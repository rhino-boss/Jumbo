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hinshen\Mine\個人工作區\工作區\Slots\H014_錢來襲\Source\"/>
    </mc:Choice>
  </mc:AlternateContent>
  <xr:revisionPtr revIDLastSave="0" documentId="13_ncr:1_{1DE007DB-9E89-4614-AA08-9F3DD3C0E70D}" xr6:coauthVersionLast="47" xr6:coauthVersionMax="47" xr10:uidLastSave="{00000000-0000-0000-0000-000000000000}"/>
  <bookViews>
    <workbookView xWindow="768" yWindow="768" windowWidth="17280" windowHeight="8880" xr2:uid="{3449EE3A-2B69-4BD0-BCB0-6771B4293237}"/>
  </bookViews>
  <sheets>
    <sheet name="Overview" sheetId="20" r:id="rId1"/>
    <sheet name="Extra_info" sheetId="62" state="hidden" r:id="rId2"/>
    <sheet name="Description" sheetId="8" state="hidden" r:id="rId3"/>
    <sheet name="Card_Info_NoExtra_testA" sheetId="61" r:id="rId4"/>
    <sheet name="Card_Info_NoExtra_testB" sheetId="63" state="hidden" r:id="rId5"/>
    <sheet name="Card_Bet1" sheetId="51" r:id="rId6"/>
    <sheet name="Sim_Mul_Bet1" sheetId="52" state="hidden" r:id="rId7"/>
    <sheet name="Card_Bet5" sheetId="53" r:id="rId8"/>
    <sheet name="Sim_Mul_Bet5" sheetId="54" state="hidden" r:id="rId9"/>
    <sheet name="Card_Bet10" sheetId="55" r:id="rId10"/>
    <sheet name="Sim_Mul_Bet10" sheetId="56" state="hidden" r:id="rId11"/>
    <sheet name="Card_Bet50" sheetId="57" r:id="rId12"/>
    <sheet name="Sim_Mul_Bet50" sheetId="58" state="hidden" r:id="rId13"/>
    <sheet name="Card_Bet100" sheetId="59" r:id="rId14"/>
    <sheet name="OP Jackpot" sheetId="64" r:id="rId15"/>
    <sheet name="Sim_Mul_Bet100" sheetId="60" state="hidden" r:id="rId16"/>
    <sheet name="bet1p_A" sheetId="38" state="hidden" r:id="rId17"/>
    <sheet name="bet1p_B" sheetId="18" state="hidden" r:id="rId18"/>
    <sheet name="bet5p_A" sheetId="17" state="hidden" r:id="rId19"/>
    <sheet name="bet5p_B" sheetId="39" state="hidden" r:id="rId20"/>
    <sheet name="bet10p_A" sheetId="42" state="hidden" r:id="rId21"/>
    <sheet name="bet10p_B" sheetId="43" state="hidden" r:id="rId22"/>
    <sheet name="bet50p_A" sheetId="45" state="hidden" r:id="rId23"/>
    <sheet name="bet50p_B" sheetId="46" state="hidden" r:id="rId24"/>
    <sheet name="bet100p_A" sheetId="47" state="hidden" r:id="rId25"/>
    <sheet name="bet100p_B" sheetId="48" state="hidden" r:id="rId26"/>
    <sheet name="bet100p_C" sheetId="49" state="hidden" r:id="rId27"/>
  </sheets>
  <calcPr calcId="191029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S3" i="51" l="1" a="1"/>
  <c r="S3" i="51" s="1"/>
  <c r="J44" i="48"/>
  <c r="W8" i="61"/>
  <c r="W7" i="61"/>
  <c r="W4" i="61"/>
  <c r="H26" i="58" a="1"/>
  <c r="H26" i="58" s="1"/>
  <c r="D3" i="57" s="1" a="1"/>
  <c r="D3" i="57" s="1"/>
  <c r="H54" i="57" a="1"/>
  <c r="H54" i="57" s="1"/>
  <c r="G54" i="57" a="1"/>
  <c r="G54" i="57" s="1"/>
  <c r="F54" i="57" a="1"/>
  <c r="F54" i="57" s="1"/>
  <c r="E54" i="57" a="1"/>
  <c r="E54" i="57" s="1"/>
  <c r="D54" i="57" a="1"/>
  <c r="D54" i="57" s="1"/>
  <c r="C54" i="57" a="1"/>
  <c r="C54" i="57" s="1"/>
  <c r="H53" i="57" a="1"/>
  <c r="H53" i="57" s="1"/>
  <c r="G53" i="57" a="1"/>
  <c r="G53" i="57" s="1"/>
  <c r="F53" i="57" a="1"/>
  <c r="F53" i="57" s="1"/>
  <c r="E53" i="57" a="1"/>
  <c r="E53" i="57" s="1"/>
  <c r="D53" i="57" a="1"/>
  <c r="D53" i="57" s="1"/>
  <c r="C53" i="57" a="1"/>
  <c r="C53" i="57" s="1"/>
  <c r="H52" i="57" a="1"/>
  <c r="H52" i="57" s="1"/>
  <c r="G52" i="57" a="1"/>
  <c r="G52" i="57" s="1"/>
  <c r="F52" i="57" a="1"/>
  <c r="F52" i="57" s="1"/>
  <c r="E52" i="57" a="1"/>
  <c r="E52" i="57" s="1"/>
  <c r="D52" i="57" a="1"/>
  <c r="D52" i="57" s="1"/>
  <c r="C52" i="57" a="1"/>
  <c r="C52" i="57" s="1"/>
  <c r="H51" i="57" a="1"/>
  <c r="H51" i="57" s="1"/>
  <c r="G51" i="57" a="1"/>
  <c r="G51" i="57" s="1"/>
  <c r="F51" i="57" a="1"/>
  <c r="F51" i="57" s="1"/>
  <c r="E51" i="57" a="1"/>
  <c r="E51" i="57" s="1"/>
  <c r="D51" i="57" a="1"/>
  <c r="D51" i="57" s="1"/>
  <c r="C51" i="57" a="1"/>
  <c r="C51" i="57" s="1"/>
  <c r="H50" i="57" a="1"/>
  <c r="H50" i="57" s="1"/>
  <c r="G50" i="57"/>
  <c r="G50" i="57" a="1"/>
  <c r="F50" i="57" a="1"/>
  <c r="F50" i="57" s="1"/>
  <c r="E50" i="57" a="1"/>
  <c r="E50" i="57" s="1"/>
  <c r="D50" i="57" a="1"/>
  <c r="D50" i="57" s="1"/>
  <c r="C50" i="57" a="1"/>
  <c r="C50" i="57" s="1"/>
  <c r="H49" i="57" a="1"/>
  <c r="H49" i="57" s="1"/>
  <c r="G49" i="57" a="1"/>
  <c r="G49" i="57" s="1"/>
  <c r="F49" i="57" a="1"/>
  <c r="F49" i="57" s="1"/>
  <c r="E49" i="57" a="1"/>
  <c r="E49" i="57" s="1"/>
  <c r="D49" i="57" a="1"/>
  <c r="D49" i="57" s="1"/>
  <c r="C49" i="57" a="1"/>
  <c r="C49" i="57" s="1"/>
  <c r="H48" i="57" a="1"/>
  <c r="H48" i="57" s="1"/>
  <c r="G48" i="57" a="1"/>
  <c r="G48" i="57" s="1"/>
  <c r="F48" i="57" a="1"/>
  <c r="F48" i="57" s="1"/>
  <c r="E48" i="57" a="1"/>
  <c r="E48" i="57" s="1"/>
  <c r="D48" i="57" a="1"/>
  <c r="D48" i="57" s="1"/>
  <c r="C48" i="57" a="1"/>
  <c r="C48" i="57" s="1"/>
  <c r="H47" i="57" a="1"/>
  <c r="H47" i="57" s="1"/>
  <c r="G47" i="57" a="1"/>
  <c r="G47" i="57" s="1"/>
  <c r="F47" i="57" a="1"/>
  <c r="F47" i="57" s="1"/>
  <c r="E47" i="57" a="1"/>
  <c r="E47" i="57" s="1"/>
  <c r="D47" i="57" a="1"/>
  <c r="D47" i="57" s="1"/>
  <c r="C47" i="57" a="1"/>
  <c r="C47" i="57" s="1"/>
  <c r="H46" i="57" a="1"/>
  <c r="H46" i="57" s="1"/>
  <c r="G46" i="57" a="1"/>
  <c r="G46" i="57" s="1"/>
  <c r="F46" i="57" a="1"/>
  <c r="F46" i="57" s="1"/>
  <c r="E46" i="57" a="1"/>
  <c r="E46" i="57" s="1"/>
  <c r="D46" i="57" a="1"/>
  <c r="D46" i="57" s="1"/>
  <c r="C46" i="57" a="1"/>
  <c r="C46" i="57" s="1"/>
  <c r="H45" i="57" a="1"/>
  <c r="H45" i="57" s="1"/>
  <c r="G45" i="57"/>
  <c r="G45" i="57" a="1"/>
  <c r="F45" i="57" a="1"/>
  <c r="F45" i="57" s="1"/>
  <c r="E45" i="57" a="1"/>
  <c r="E45" i="57" s="1"/>
  <c r="D45" i="57" a="1"/>
  <c r="D45" i="57" s="1"/>
  <c r="C45" i="57" a="1"/>
  <c r="C45" i="57" s="1"/>
  <c r="H44" i="57" a="1"/>
  <c r="H44" i="57" s="1"/>
  <c r="G44" i="57" a="1"/>
  <c r="G44" i="57" s="1"/>
  <c r="F44" i="57" a="1"/>
  <c r="F44" i="57" s="1"/>
  <c r="E44" i="57" a="1"/>
  <c r="E44" i="57" s="1"/>
  <c r="D44" i="57" a="1"/>
  <c r="D44" i="57" s="1"/>
  <c r="C44" i="57" a="1"/>
  <c r="C44" i="57" s="1"/>
  <c r="H43" i="57" a="1"/>
  <c r="H43" i="57" s="1"/>
  <c r="G43" i="57" a="1"/>
  <c r="G43" i="57" s="1"/>
  <c r="F43" i="57" a="1"/>
  <c r="F43" i="57" s="1"/>
  <c r="E43" i="57" a="1"/>
  <c r="E43" i="57" s="1"/>
  <c r="D43" i="57" a="1"/>
  <c r="D43" i="57" s="1"/>
  <c r="C43" i="57" a="1"/>
  <c r="C43" i="57" s="1"/>
  <c r="H42" i="57" a="1"/>
  <c r="H42" i="57" s="1"/>
  <c r="G42" i="57" a="1"/>
  <c r="G42" i="57" s="1"/>
  <c r="F42" i="57" a="1"/>
  <c r="F42" i="57" s="1"/>
  <c r="E42" i="57" a="1"/>
  <c r="E42" i="57" s="1"/>
  <c r="D42" i="57" a="1"/>
  <c r="D42" i="57" s="1"/>
  <c r="C42" i="57" a="1"/>
  <c r="C42" i="57" s="1"/>
  <c r="H41" i="57" a="1"/>
  <c r="H41" i="57" s="1"/>
  <c r="G41" i="57" a="1"/>
  <c r="G41" i="57" s="1"/>
  <c r="F41" i="57" a="1"/>
  <c r="F41" i="57" s="1"/>
  <c r="E41" i="57" a="1"/>
  <c r="E41" i="57" s="1"/>
  <c r="D41" i="57" a="1"/>
  <c r="D41" i="57" s="1"/>
  <c r="C41" i="57" a="1"/>
  <c r="C41" i="57" s="1"/>
  <c r="H40" i="57" a="1"/>
  <c r="H40" i="57" s="1"/>
  <c r="G40" i="57"/>
  <c r="G40" i="57" a="1"/>
  <c r="F40" i="57" a="1"/>
  <c r="F40" i="57" s="1"/>
  <c r="E40" i="57" a="1"/>
  <c r="E40" i="57" s="1"/>
  <c r="D40" i="57" a="1"/>
  <c r="D40" i="57" s="1"/>
  <c r="C40" i="57" a="1"/>
  <c r="C40" i="57" s="1"/>
  <c r="H39" i="57" a="1"/>
  <c r="H39" i="57" s="1"/>
  <c r="G39" i="57" a="1"/>
  <c r="G39" i="57" s="1"/>
  <c r="F39" i="57" a="1"/>
  <c r="F39" i="57" s="1"/>
  <c r="E39" i="57" a="1"/>
  <c r="E39" i="57" s="1"/>
  <c r="D39" i="57" a="1"/>
  <c r="D39" i="57" s="1"/>
  <c r="C39" i="57" a="1"/>
  <c r="C39" i="57" s="1"/>
  <c r="H38" i="57" a="1"/>
  <c r="H38" i="57" s="1"/>
  <c r="G38" i="57" a="1"/>
  <c r="G38" i="57" s="1"/>
  <c r="F38" i="57" a="1"/>
  <c r="F38" i="57" s="1"/>
  <c r="E38" i="57" a="1"/>
  <c r="E38" i="57" s="1"/>
  <c r="D38" i="57" a="1"/>
  <c r="D38" i="57" s="1"/>
  <c r="C38" i="57" a="1"/>
  <c r="C38" i="57" s="1"/>
  <c r="H37" i="57" a="1"/>
  <c r="H37" i="57" s="1"/>
  <c r="G37" i="57" a="1"/>
  <c r="G37" i="57" s="1"/>
  <c r="F37" i="57" a="1"/>
  <c r="F37" i="57" s="1"/>
  <c r="E37" i="57" a="1"/>
  <c r="E37" i="57" s="1"/>
  <c r="D37" i="57" a="1"/>
  <c r="D37" i="57" s="1"/>
  <c r="C37" i="57" a="1"/>
  <c r="C37" i="57" s="1"/>
  <c r="H36" i="57" a="1"/>
  <c r="H36" i="57" s="1"/>
  <c r="G36" i="57" a="1"/>
  <c r="G36" i="57" s="1"/>
  <c r="F36" i="57" a="1"/>
  <c r="F36" i="57" s="1"/>
  <c r="E36" i="57" a="1"/>
  <c r="E36" i="57" s="1"/>
  <c r="D36" i="57" a="1"/>
  <c r="D36" i="57" s="1"/>
  <c r="C36" i="57" a="1"/>
  <c r="C36" i="57" s="1"/>
  <c r="H35" i="57" a="1"/>
  <c r="H35" i="57" s="1"/>
  <c r="G35" i="57"/>
  <c r="G35" i="57" a="1"/>
  <c r="F35" i="57" a="1"/>
  <c r="F35" i="57" s="1"/>
  <c r="E35" i="57" a="1"/>
  <c r="E35" i="57" s="1"/>
  <c r="D35" i="57" a="1"/>
  <c r="D35" i="57" s="1"/>
  <c r="C35" i="57" a="1"/>
  <c r="C35" i="57" s="1"/>
  <c r="H34" i="57" a="1"/>
  <c r="H34" i="57" s="1"/>
  <c r="G34" i="57" a="1"/>
  <c r="G34" i="57" s="1"/>
  <c r="F34" i="57" a="1"/>
  <c r="F34" i="57" s="1"/>
  <c r="E34" i="57" a="1"/>
  <c r="E34" i="57" s="1"/>
  <c r="D34" i="57" a="1"/>
  <c r="D34" i="57" s="1"/>
  <c r="C34" i="57"/>
  <c r="C34" i="57" a="1"/>
  <c r="H33" i="57" a="1"/>
  <c r="H33" i="57" s="1"/>
  <c r="G33" i="57" a="1"/>
  <c r="G33" i="57" s="1"/>
  <c r="F33" i="57" a="1"/>
  <c r="F33" i="57" s="1"/>
  <c r="E33" i="57" a="1"/>
  <c r="E33" i="57" s="1"/>
  <c r="D33" i="57" a="1"/>
  <c r="D33" i="57" s="1"/>
  <c r="C33" i="57" a="1"/>
  <c r="C33" i="57" s="1"/>
  <c r="H32" i="57" a="1"/>
  <c r="H32" i="57" s="1"/>
  <c r="G32" i="57" a="1"/>
  <c r="G32" i="57" s="1"/>
  <c r="F32" i="57" a="1"/>
  <c r="F32" i="57" s="1"/>
  <c r="E32" i="57" a="1"/>
  <c r="E32" i="57" s="1"/>
  <c r="D32" i="57" a="1"/>
  <c r="D32" i="57" s="1"/>
  <c r="C32" i="57" a="1"/>
  <c r="C32" i="57" s="1"/>
  <c r="H31" i="57" a="1"/>
  <c r="H31" i="57" s="1"/>
  <c r="G31" i="57" a="1"/>
  <c r="G31" i="57" s="1"/>
  <c r="F31" i="57" a="1"/>
  <c r="F31" i="57" s="1"/>
  <c r="E31" i="57" a="1"/>
  <c r="E31" i="57" s="1"/>
  <c r="D31" i="57" a="1"/>
  <c r="D31" i="57" s="1"/>
  <c r="C31" i="57" a="1"/>
  <c r="C31" i="57" s="1"/>
  <c r="H30" i="57" a="1"/>
  <c r="H30" i="57" s="1"/>
  <c r="G30" i="57"/>
  <c r="G30" i="57" a="1"/>
  <c r="F30" i="57" a="1"/>
  <c r="F30" i="57" s="1"/>
  <c r="E30" i="57" a="1"/>
  <c r="E30" i="57" s="1"/>
  <c r="D30" i="57" a="1"/>
  <c r="D30" i="57" s="1"/>
  <c r="C30" i="57" a="1"/>
  <c r="C30" i="57" s="1"/>
  <c r="H29" i="57" a="1"/>
  <c r="H29" i="57" s="1"/>
  <c r="G29" i="57" a="1"/>
  <c r="G29" i="57" s="1"/>
  <c r="F29" i="57" a="1"/>
  <c r="F29" i="57" s="1"/>
  <c r="E29" i="57" a="1"/>
  <c r="E29" i="57" s="1"/>
  <c r="D29" i="57" a="1"/>
  <c r="D29" i="57" s="1"/>
  <c r="C29" i="57" a="1"/>
  <c r="C29" i="57" s="1"/>
  <c r="H28" i="57" a="1"/>
  <c r="H28" i="57" s="1"/>
  <c r="G28" i="57" a="1"/>
  <c r="G28" i="57" s="1"/>
  <c r="F28" i="57" a="1"/>
  <c r="F28" i="57" s="1"/>
  <c r="E28" i="57" a="1"/>
  <c r="E28" i="57" s="1"/>
  <c r="D28" i="57" a="1"/>
  <c r="D28" i="57" s="1"/>
  <c r="C28" i="57" a="1"/>
  <c r="C28" i="57" s="1"/>
  <c r="H27" i="57" a="1"/>
  <c r="H27" i="57" s="1"/>
  <c r="G27" i="57" a="1"/>
  <c r="G27" i="57" s="1"/>
  <c r="F27" i="57" a="1"/>
  <c r="F27" i="57" s="1"/>
  <c r="E27" i="57" a="1"/>
  <c r="E27" i="57" s="1"/>
  <c r="D27" i="57" a="1"/>
  <c r="D27" i="57" s="1"/>
  <c r="C27" i="57" a="1"/>
  <c r="C27" i="57" s="1"/>
  <c r="H26" i="57" a="1"/>
  <c r="H26" i="57" s="1"/>
  <c r="G26" i="57" a="1"/>
  <c r="G26" i="57" s="1"/>
  <c r="F26" i="57" a="1"/>
  <c r="F26" i="57" s="1"/>
  <c r="E26" i="57" a="1"/>
  <c r="E26" i="57" s="1"/>
  <c r="D26" i="57" a="1"/>
  <c r="D26" i="57" s="1"/>
  <c r="C26" i="57" a="1"/>
  <c r="C26" i="57" s="1"/>
  <c r="H25" i="57" a="1"/>
  <c r="H25" i="57" s="1"/>
  <c r="G25" i="57"/>
  <c r="G25" i="57" a="1"/>
  <c r="F25" i="57" a="1"/>
  <c r="F25" i="57" s="1"/>
  <c r="E25" i="57" a="1"/>
  <c r="E25" i="57" s="1"/>
  <c r="D25" i="57" a="1"/>
  <c r="D25" i="57" s="1"/>
  <c r="C25" i="57" a="1"/>
  <c r="C25" i="57" s="1"/>
  <c r="H24" i="57" a="1"/>
  <c r="H24" i="57" s="1"/>
  <c r="G24" i="57" a="1"/>
  <c r="G24" i="57" s="1"/>
  <c r="F24" i="57" a="1"/>
  <c r="F24" i="57" s="1"/>
  <c r="E24" i="57" a="1"/>
  <c r="E24" i="57" s="1"/>
  <c r="D24" i="57" a="1"/>
  <c r="D24" i="57" s="1"/>
  <c r="C24" i="57" a="1"/>
  <c r="C24" i="57" s="1"/>
  <c r="H23" i="57" a="1"/>
  <c r="H23" i="57" s="1"/>
  <c r="G23" i="57" a="1"/>
  <c r="G23" i="57" s="1"/>
  <c r="F23" i="57" a="1"/>
  <c r="F23" i="57" s="1"/>
  <c r="E23" i="57" a="1"/>
  <c r="E23" i="57" s="1"/>
  <c r="D23" i="57" a="1"/>
  <c r="D23" i="57" s="1"/>
  <c r="C23" i="57" a="1"/>
  <c r="C23" i="57" s="1"/>
  <c r="H22" i="57" a="1"/>
  <c r="H22" i="57" s="1"/>
  <c r="G22" i="57" a="1"/>
  <c r="G22" i="57" s="1"/>
  <c r="F22" i="57" a="1"/>
  <c r="F22" i="57" s="1"/>
  <c r="E22" i="57" a="1"/>
  <c r="E22" i="57" s="1"/>
  <c r="D22" i="57" a="1"/>
  <c r="D22" i="57" s="1"/>
  <c r="C22" i="57" a="1"/>
  <c r="C22" i="57" s="1"/>
  <c r="H21" i="57" a="1"/>
  <c r="H21" i="57" s="1"/>
  <c r="G21" i="57" a="1"/>
  <c r="G21" i="57" s="1"/>
  <c r="F21" i="57" a="1"/>
  <c r="F21" i="57" s="1"/>
  <c r="E21" i="57" a="1"/>
  <c r="E21" i="57" s="1"/>
  <c r="D21" i="57" a="1"/>
  <c r="D21" i="57" s="1"/>
  <c r="C21" i="57" a="1"/>
  <c r="C21" i="57" s="1"/>
  <c r="H20" i="57" a="1"/>
  <c r="H20" i="57" s="1"/>
  <c r="G20" i="57"/>
  <c r="G20" i="57" a="1"/>
  <c r="F20" i="57" a="1"/>
  <c r="F20" i="57" s="1"/>
  <c r="E20" i="57" a="1"/>
  <c r="E20" i="57" s="1"/>
  <c r="D20" i="57" a="1"/>
  <c r="D20" i="57" s="1"/>
  <c r="C20" i="57" a="1"/>
  <c r="C20" i="57" s="1"/>
  <c r="H19" i="57" a="1"/>
  <c r="H19" i="57" s="1"/>
  <c r="G19" i="57" a="1"/>
  <c r="G19" i="57" s="1"/>
  <c r="F19" i="57" a="1"/>
  <c r="F19" i="57" s="1"/>
  <c r="E19" i="57" a="1"/>
  <c r="E19" i="57" s="1"/>
  <c r="D19" i="57" a="1"/>
  <c r="D19" i="57" s="1"/>
  <c r="C19" i="57" a="1"/>
  <c r="C19" i="57" s="1"/>
  <c r="H18" i="57" a="1"/>
  <c r="H18" i="57" s="1"/>
  <c r="G18" i="57" a="1"/>
  <c r="G18" i="57" s="1"/>
  <c r="F18" i="57" a="1"/>
  <c r="F18" i="57" s="1"/>
  <c r="E18" i="57" a="1"/>
  <c r="E18" i="57" s="1"/>
  <c r="D18" i="57" a="1"/>
  <c r="D18" i="57" s="1"/>
  <c r="C18" i="57" a="1"/>
  <c r="C18" i="57" s="1"/>
  <c r="H17" i="57" a="1"/>
  <c r="H17" i="57" s="1"/>
  <c r="G17" i="57" a="1"/>
  <c r="G17" i="57" s="1"/>
  <c r="F17" i="57" a="1"/>
  <c r="F17" i="57" s="1"/>
  <c r="E17" i="57" a="1"/>
  <c r="E17" i="57" s="1"/>
  <c r="D17" i="57" a="1"/>
  <c r="D17" i="57" s="1"/>
  <c r="C17" i="57" a="1"/>
  <c r="C17" i="57" s="1"/>
  <c r="H16" i="57" a="1"/>
  <c r="H16" i="57" s="1"/>
  <c r="G16" i="57" a="1"/>
  <c r="G16" i="57" s="1"/>
  <c r="F16" i="57" a="1"/>
  <c r="F16" i="57" s="1"/>
  <c r="E16" i="57" a="1"/>
  <c r="E16" i="57" s="1"/>
  <c r="D16" i="57" a="1"/>
  <c r="D16" i="57" s="1"/>
  <c r="C16" i="57" a="1"/>
  <c r="C16" i="57" s="1"/>
  <c r="H15" i="57" a="1"/>
  <c r="H15" i="57" s="1"/>
  <c r="G15" i="57"/>
  <c r="G15" i="57" a="1"/>
  <c r="F15" i="57" a="1"/>
  <c r="F15" i="57" s="1"/>
  <c r="E15" i="57" a="1"/>
  <c r="E15" i="57" s="1"/>
  <c r="D15" i="57" a="1"/>
  <c r="D15" i="57" s="1"/>
  <c r="C15" i="57" a="1"/>
  <c r="C15" i="57" s="1"/>
  <c r="H14" i="57" a="1"/>
  <c r="H14" i="57" s="1"/>
  <c r="G14" i="57" a="1"/>
  <c r="G14" i="57" s="1"/>
  <c r="F14" i="57" a="1"/>
  <c r="F14" i="57" s="1"/>
  <c r="E14" i="57" a="1"/>
  <c r="E14" i="57" s="1"/>
  <c r="D14" i="57" a="1"/>
  <c r="D14" i="57" s="1"/>
  <c r="C14" i="57" a="1"/>
  <c r="C14" i="57" s="1"/>
  <c r="H13" i="57" a="1"/>
  <c r="H13" i="57" s="1"/>
  <c r="G13" i="57" a="1"/>
  <c r="G13" i="57" s="1"/>
  <c r="F13" i="57" a="1"/>
  <c r="F13" i="57" s="1"/>
  <c r="E13" i="57" a="1"/>
  <c r="E13" i="57" s="1"/>
  <c r="D13" i="57" a="1"/>
  <c r="D13" i="57" s="1"/>
  <c r="C13" i="57" a="1"/>
  <c r="C13" i="57" s="1"/>
  <c r="H12" i="57" a="1"/>
  <c r="H12" i="57" s="1"/>
  <c r="G12" i="57" a="1"/>
  <c r="G12" i="57" s="1"/>
  <c r="F12" i="57" a="1"/>
  <c r="F12" i="57" s="1"/>
  <c r="E12" i="57" a="1"/>
  <c r="E12" i="57" s="1"/>
  <c r="D12" i="57" a="1"/>
  <c r="D12" i="57" s="1"/>
  <c r="C12" i="57" a="1"/>
  <c r="C12" i="57" s="1"/>
  <c r="H11" i="57" a="1"/>
  <c r="H11" i="57" s="1"/>
  <c r="G11" i="57" a="1"/>
  <c r="G11" i="57" s="1"/>
  <c r="F11" i="57" a="1"/>
  <c r="F11" i="57" s="1"/>
  <c r="E11" i="57" a="1"/>
  <c r="E11" i="57" s="1"/>
  <c r="D11" i="57" a="1"/>
  <c r="D11" i="57" s="1"/>
  <c r="C11" i="57" a="1"/>
  <c r="C11" i="57" s="1"/>
  <c r="H10" i="57" a="1"/>
  <c r="H10" i="57" s="1"/>
  <c r="G10" i="57"/>
  <c r="G10" i="57" a="1"/>
  <c r="F10" i="57" a="1"/>
  <c r="F10" i="57" s="1"/>
  <c r="E10" i="57" a="1"/>
  <c r="E10" i="57" s="1"/>
  <c r="D10" i="57" a="1"/>
  <c r="D10" i="57" s="1"/>
  <c r="C10" i="57" a="1"/>
  <c r="C10" i="57" s="1"/>
  <c r="H9" i="57" a="1"/>
  <c r="H9" i="57" s="1"/>
  <c r="G9" i="57" a="1"/>
  <c r="G9" i="57" s="1"/>
  <c r="F9" i="57" a="1"/>
  <c r="F9" i="57" s="1"/>
  <c r="E9" i="57" a="1"/>
  <c r="E9" i="57" s="1"/>
  <c r="D9" i="57" a="1"/>
  <c r="D9" i="57" s="1"/>
  <c r="C9" i="57" a="1"/>
  <c r="C9" i="57" s="1"/>
  <c r="H8" i="57" a="1"/>
  <c r="H8" i="57" s="1"/>
  <c r="G8" i="57" a="1"/>
  <c r="G8" i="57" s="1"/>
  <c r="F8" i="57" a="1"/>
  <c r="F8" i="57" s="1"/>
  <c r="E8" i="57" a="1"/>
  <c r="E8" i="57" s="1"/>
  <c r="D8" i="57" a="1"/>
  <c r="D8" i="57" s="1"/>
  <c r="C8" i="57" a="1"/>
  <c r="C8" i="57" s="1"/>
  <c r="H7" i="57" a="1"/>
  <c r="H7" i="57" s="1"/>
  <c r="G7" i="57" a="1"/>
  <c r="G7" i="57" s="1"/>
  <c r="F7" i="57" a="1"/>
  <c r="F7" i="57" s="1"/>
  <c r="E7" i="57" a="1"/>
  <c r="E7" i="57" s="1"/>
  <c r="D7" i="57" a="1"/>
  <c r="D7" i="57" s="1"/>
  <c r="C7" i="57" a="1"/>
  <c r="C7" i="57" s="1"/>
  <c r="H6" i="57" a="1"/>
  <c r="H6" i="57" s="1"/>
  <c r="G6" i="57" a="1"/>
  <c r="G6" i="57" s="1"/>
  <c r="F6" i="57" a="1"/>
  <c r="F6" i="57" s="1"/>
  <c r="E6" i="57" a="1"/>
  <c r="E6" i="57" s="1"/>
  <c r="D6" i="57" a="1"/>
  <c r="D6" i="57" s="1"/>
  <c r="C6" i="57" a="1"/>
  <c r="C6" i="57" s="1"/>
  <c r="H5" i="57" a="1"/>
  <c r="H5" i="57" s="1"/>
  <c r="G5" i="57"/>
  <c r="G5" i="57" a="1"/>
  <c r="F5" i="57" a="1"/>
  <c r="F5" i="57" s="1"/>
  <c r="E5" i="57" a="1"/>
  <c r="E5" i="57" s="1"/>
  <c r="D5" i="57" a="1"/>
  <c r="D5" i="57" s="1"/>
  <c r="C5" i="57" a="1"/>
  <c r="C5" i="57" s="1"/>
  <c r="H4" i="57" a="1"/>
  <c r="H4" i="57" s="1"/>
  <c r="G4" i="57" a="1"/>
  <c r="G4" i="57" s="1"/>
  <c r="F4" i="57" a="1"/>
  <c r="F4" i="57" s="1"/>
  <c r="E4" i="57" a="1"/>
  <c r="E4" i="57" s="1"/>
  <c r="D4" i="57" a="1"/>
  <c r="D4" i="57" s="1"/>
  <c r="C4" i="57" a="1"/>
  <c r="C4" i="57" s="1"/>
  <c r="G3" i="57" a="1"/>
  <c r="G3" i="57" s="1"/>
  <c r="C3" i="57" a="1"/>
  <c r="C3" i="57" s="1"/>
  <c r="O28" i="58"/>
  <c r="O29" i="58"/>
  <c r="O30" i="58"/>
  <c r="O31" i="58"/>
  <c r="O32" i="58"/>
  <c r="O33" i="58"/>
  <c r="O34" i="58"/>
  <c r="O35" i="58"/>
  <c r="O36" i="58"/>
  <c r="O37" i="58"/>
  <c r="O38" i="58"/>
  <c r="O39" i="58"/>
  <c r="O40" i="58"/>
  <c r="O41" i="58"/>
  <c r="O42" i="58"/>
  <c r="O43" i="58"/>
  <c r="O44" i="58"/>
  <c r="O45" i="58"/>
  <c r="O46" i="58"/>
  <c r="O47" i="58"/>
  <c r="O48" i="58"/>
  <c r="O49" i="58"/>
  <c r="O50" i="58"/>
  <c r="O51" i="58"/>
  <c r="O52" i="58"/>
  <c r="O53" i="58"/>
  <c r="O54" i="58"/>
  <c r="O55" i="58"/>
  <c r="O56" i="58"/>
  <c r="O57" i="58"/>
  <c r="O58" i="58"/>
  <c r="O59" i="58"/>
  <c r="O60" i="58"/>
  <c r="O61" i="58"/>
  <c r="O62" i="58"/>
  <c r="O63" i="58"/>
  <c r="O64" i="58"/>
  <c r="O27" i="58"/>
  <c r="H54" i="59" a="1"/>
  <c r="H54" i="59" s="1"/>
  <c r="G54" i="59" a="1"/>
  <c r="G54" i="59" s="1"/>
  <c r="F54" i="59" a="1"/>
  <c r="F54" i="59" s="1"/>
  <c r="E54" i="59" a="1"/>
  <c r="E54" i="59" s="1"/>
  <c r="D54" i="59" a="1"/>
  <c r="D54" i="59" s="1"/>
  <c r="C54" i="59"/>
  <c r="C54" i="59" a="1"/>
  <c r="H53" i="59" a="1"/>
  <c r="H53" i="59" s="1"/>
  <c r="G53" i="59" a="1"/>
  <c r="G53" i="59" s="1"/>
  <c r="F53" i="59"/>
  <c r="F53" i="59" a="1"/>
  <c r="E53" i="59" a="1"/>
  <c r="E53" i="59" s="1"/>
  <c r="D53" i="59" a="1"/>
  <c r="D53" i="59" s="1"/>
  <c r="C53" i="59" a="1"/>
  <c r="C53" i="59" s="1"/>
  <c r="H52" i="59" a="1"/>
  <c r="H52" i="59" s="1"/>
  <c r="G52" i="59" a="1"/>
  <c r="G52" i="59" s="1"/>
  <c r="F52" i="59" a="1"/>
  <c r="F52" i="59" s="1"/>
  <c r="E52" i="59"/>
  <c r="E52" i="59" a="1"/>
  <c r="D52" i="59" a="1"/>
  <c r="D52" i="59" s="1"/>
  <c r="C52" i="59" a="1"/>
  <c r="C52" i="59" s="1"/>
  <c r="H51" i="59" a="1"/>
  <c r="H51" i="59" s="1"/>
  <c r="G51" i="59" a="1"/>
  <c r="G51" i="59" s="1"/>
  <c r="F51" i="59" a="1"/>
  <c r="F51" i="59" s="1"/>
  <c r="E51" i="59" a="1"/>
  <c r="E51" i="59" s="1"/>
  <c r="D51" i="59" a="1"/>
  <c r="D51" i="59" s="1"/>
  <c r="C51" i="59" a="1"/>
  <c r="C51" i="59" s="1"/>
  <c r="H50" i="59" a="1"/>
  <c r="H50" i="59" s="1"/>
  <c r="G50" i="59"/>
  <c r="G50" i="59" a="1"/>
  <c r="F50" i="59" a="1"/>
  <c r="F50" i="59" s="1"/>
  <c r="E50" i="59" a="1"/>
  <c r="E50" i="59" s="1"/>
  <c r="D50" i="59" a="1"/>
  <c r="D50" i="59" s="1"/>
  <c r="C50" i="59"/>
  <c r="C50" i="59" a="1"/>
  <c r="H49" i="59" a="1"/>
  <c r="H49" i="59" s="1"/>
  <c r="G49" i="59" a="1"/>
  <c r="G49" i="59" s="1"/>
  <c r="F49" i="59" a="1"/>
  <c r="F49" i="59" s="1"/>
  <c r="E49" i="59" a="1"/>
  <c r="E49" i="59" s="1"/>
  <c r="D49" i="59" a="1"/>
  <c r="D49" i="59" s="1"/>
  <c r="C49" i="59"/>
  <c r="C49" i="59" a="1"/>
  <c r="H48" i="59" a="1"/>
  <c r="H48" i="59" s="1"/>
  <c r="G48" i="59" a="1"/>
  <c r="G48" i="59" s="1"/>
  <c r="F48" i="59" a="1"/>
  <c r="F48" i="59" s="1"/>
  <c r="E48" i="59" a="1"/>
  <c r="E48" i="59" s="1"/>
  <c r="D48" i="59" a="1"/>
  <c r="D48" i="59" s="1"/>
  <c r="C48" i="59" a="1"/>
  <c r="C48" i="59" s="1"/>
  <c r="H47" i="59" a="1"/>
  <c r="H47" i="59" s="1"/>
  <c r="G47" i="59" a="1"/>
  <c r="G47" i="59" s="1"/>
  <c r="F47" i="59" a="1"/>
  <c r="F47" i="59" s="1"/>
  <c r="E47" i="59"/>
  <c r="E47" i="59" a="1"/>
  <c r="D47" i="59" a="1"/>
  <c r="D47" i="59" s="1"/>
  <c r="C47" i="59" a="1"/>
  <c r="C47" i="59" s="1"/>
  <c r="H46" i="59" a="1"/>
  <c r="H46" i="59" s="1"/>
  <c r="G46" i="59"/>
  <c r="G46" i="59" a="1"/>
  <c r="F46" i="59" a="1"/>
  <c r="F46" i="59" s="1"/>
  <c r="E46" i="59" a="1"/>
  <c r="E46" i="59" s="1"/>
  <c r="D46" i="59" a="1"/>
  <c r="D46" i="59" s="1"/>
  <c r="C46" i="59" a="1"/>
  <c r="C46" i="59" s="1"/>
  <c r="H45" i="59" a="1"/>
  <c r="H45" i="59" s="1"/>
  <c r="G45" i="59"/>
  <c r="G45" i="59" a="1"/>
  <c r="F45" i="59" a="1"/>
  <c r="F45" i="59" s="1"/>
  <c r="E45" i="59" a="1"/>
  <c r="E45" i="59" s="1"/>
  <c r="D45" i="59"/>
  <c r="D45" i="59" a="1"/>
  <c r="C45" i="59" a="1"/>
  <c r="C45" i="59" s="1"/>
  <c r="H44" i="59" a="1"/>
  <c r="H44" i="59" s="1"/>
  <c r="G44" i="59" a="1"/>
  <c r="G44" i="59" s="1"/>
  <c r="F44" i="59" a="1"/>
  <c r="F44" i="59" s="1"/>
  <c r="E44" i="59" a="1"/>
  <c r="E44" i="59" s="1"/>
  <c r="D44" i="59" a="1"/>
  <c r="D44" i="59" s="1"/>
  <c r="C44" i="59"/>
  <c r="C44" i="59" a="1"/>
  <c r="H43" i="59" a="1"/>
  <c r="H43" i="59" s="1"/>
  <c r="G43" i="59" a="1"/>
  <c r="G43" i="59" s="1"/>
  <c r="F43" i="59" a="1"/>
  <c r="F43" i="59" s="1"/>
  <c r="E43" i="59" a="1"/>
  <c r="E43" i="59" s="1"/>
  <c r="D43" i="59" a="1"/>
  <c r="D43" i="59" s="1"/>
  <c r="C43" i="59" a="1"/>
  <c r="C43" i="59" s="1"/>
  <c r="H42" i="59" a="1"/>
  <c r="H42" i="59" s="1"/>
  <c r="G42" i="59" a="1"/>
  <c r="G42" i="59" s="1"/>
  <c r="F42" i="59" a="1"/>
  <c r="F42" i="59" s="1"/>
  <c r="E42" i="59"/>
  <c r="E42" i="59" a="1"/>
  <c r="D42" i="59" a="1"/>
  <c r="D42" i="59" s="1"/>
  <c r="C42" i="59" a="1"/>
  <c r="C42" i="59" s="1"/>
  <c r="H41" i="59" a="1"/>
  <c r="H41" i="59" s="1"/>
  <c r="G41" i="59" a="1"/>
  <c r="G41" i="59" s="1"/>
  <c r="F41" i="59" a="1"/>
  <c r="F41" i="59" s="1"/>
  <c r="E41" i="59" a="1"/>
  <c r="E41" i="59" s="1"/>
  <c r="D41" i="59" a="1"/>
  <c r="D41" i="59" s="1"/>
  <c r="C41" i="59" a="1"/>
  <c r="C41" i="59" s="1"/>
  <c r="H40" i="59" a="1"/>
  <c r="H40" i="59" s="1"/>
  <c r="G40" i="59"/>
  <c r="G40" i="59" a="1"/>
  <c r="F40" i="59"/>
  <c r="F40" i="59" a="1"/>
  <c r="E40" i="59" a="1"/>
  <c r="E40" i="59" s="1"/>
  <c r="D40" i="59" a="1"/>
  <c r="D40" i="59" s="1"/>
  <c r="C40" i="59" a="1"/>
  <c r="C40" i="59" s="1"/>
  <c r="H39" i="59" a="1"/>
  <c r="H39" i="59" s="1"/>
  <c r="G39" i="59" a="1"/>
  <c r="G39" i="59" s="1"/>
  <c r="F39" i="59" a="1"/>
  <c r="F39" i="59" s="1"/>
  <c r="E39" i="59" a="1"/>
  <c r="E39" i="59" s="1"/>
  <c r="D39" i="59" a="1"/>
  <c r="D39" i="59" s="1"/>
  <c r="C39" i="59" a="1"/>
  <c r="C39" i="59" s="1"/>
  <c r="H38" i="59" a="1"/>
  <c r="H38" i="59" s="1"/>
  <c r="G38" i="59" a="1"/>
  <c r="G38" i="59" s="1"/>
  <c r="F38" i="59" a="1"/>
  <c r="F38" i="59" s="1"/>
  <c r="E38" i="59" a="1"/>
  <c r="E38" i="59" s="1"/>
  <c r="D38" i="59" a="1"/>
  <c r="D38" i="59" s="1"/>
  <c r="C38" i="59" a="1"/>
  <c r="C38" i="59" s="1"/>
  <c r="H37" i="59" a="1"/>
  <c r="H37" i="59" s="1"/>
  <c r="G37" i="59" a="1"/>
  <c r="G37" i="59" s="1"/>
  <c r="F37" i="59" a="1"/>
  <c r="F37" i="59" s="1"/>
  <c r="E37" i="59" a="1"/>
  <c r="E37" i="59" s="1"/>
  <c r="D37" i="59"/>
  <c r="D37" i="59" a="1"/>
  <c r="C37" i="59" a="1"/>
  <c r="C37" i="59" s="1"/>
  <c r="H36" i="59" a="1"/>
  <c r="H36" i="59" s="1"/>
  <c r="G36" i="59" a="1"/>
  <c r="G36" i="59" s="1"/>
  <c r="F36" i="59" a="1"/>
  <c r="F36" i="59" s="1"/>
  <c r="E36" i="59" a="1"/>
  <c r="E36" i="59" s="1"/>
  <c r="D36" i="59" a="1"/>
  <c r="D36" i="59" s="1"/>
  <c r="C36" i="59" a="1"/>
  <c r="C36" i="59" s="1"/>
  <c r="H35" i="59" a="1"/>
  <c r="H35" i="59" s="1"/>
  <c r="G35" i="59" a="1"/>
  <c r="G35" i="59" s="1"/>
  <c r="F35" i="59" a="1"/>
  <c r="F35" i="59" s="1"/>
  <c r="E35" i="59" a="1"/>
  <c r="E35" i="59" s="1"/>
  <c r="D35" i="59" a="1"/>
  <c r="D35" i="59" s="1"/>
  <c r="C35" i="59"/>
  <c r="C35" i="59" a="1"/>
  <c r="H34" i="59" a="1"/>
  <c r="H34" i="59" s="1"/>
  <c r="G34" i="59" a="1"/>
  <c r="G34" i="59" s="1"/>
  <c r="F34" i="59" a="1"/>
  <c r="F34" i="59" s="1"/>
  <c r="E34" i="59" a="1"/>
  <c r="E34" i="59" s="1"/>
  <c r="D34" i="59" a="1"/>
  <c r="D34" i="59" s="1"/>
  <c r="C34" i="59" a="1"/>
  <c r="C34" i="59" s="1"/>
  <c r="H33" i="59" a="1"/>
  <c r="H33" i="59" s="1"/>
  <c r="G33" i="59" a="1"/>
  <c r="G33" i="59" s="1"/>
  <c r="F33" i="59" a="1"/>
  <c r="F33" i="59" s="1"/>
  <c r="E33" i="59" a="1"/>
  <c r="E33" i="59" s="1"/>
  <c r="D33" i="59" a="1"/>
  <c r="D33" i="59" s="1"/>
  <c r="C33" i="59" a="1"/>
  <c r="C33" i="59" s="1"/>
  <c r="H32" i="59" a="1"/>
  <c r="H32" i="59" s="1"/>
  <c r="G32" i="59" a="1"/>
  <c r="G32" i="59" s="1"/>
  <c r="F32" i="59" a="1"/>
  <c r="F32" i="59" s="1"/>
  <c r="E32" i="59" a="1"/>
  <c r="E32" i="59" s="1"/>
  <c r="D32" i="59" a="1"/>
  <c r="D32" i="59" s="1"/>
  <c r="C32" i="59" a="1"/>
  <c r="C32" i="59" s="1"/>
  <c r="H31" i="59" a="1"/>
  <c r="H31" i="59" s="1"/>
  <c r="G31" i="59" a="1"/>
  <c r="G31" i="59" s="1"/>
  <c r="F31" i="59" a="1"/>
  <c r="F31" i="59" s="1"/>
  <c r="E31" i="59" a="1"/>
  <c r="E31" i="59" s="1"/>
  <c r="D31" i="59" a="1"/>
  <c r="D31" i="59" s="1"/>
  <c r="C31" i="59" a="1"/>
  <c r="C31" i="59" s="1"/>
  <c r="H30" i="59" a="1"/>
  <c r="H30" i="59" s="1"/>
  <c r="G30" i="59" a="1"/>
  <c r="G30" i="59" s="1"/>
  <c r="F30" i="59" a="1"/>
  <c r="F30" i="59" s="1"/>
  <c r="E30" i="59" a="1"/>
  <c r="E30" i="59" s="1"/>
  <c r="D30" i="59"/>
  <c r="D30" i="59" a="1"/>
  <c r="C30" i="59" a="1"/>
  <c r="C30" i="59" s="1"/>
  <c r="H29" i="59" a="1"/>
  <c r="H29" i="59" s="1"/>
  <c r="G29" i="59" a="1"/>
  <c r="G29" i="59" s="1"/>
  <c r="F29" i="59" a="1"/>
  <c r="F29" i="59" s="1"/>
  <c r="E29" i="59" a="1"/>
  <c r="E29" i="59" s="1"/>
  <c r="D29" i="59" a="1"/>
  <c r="D29" i="59" s="1"/>
  <c r="C29" i="59" a="1"/>
  <c r="C29" i="59" s="1"/>
  <c r="H28" i="59" a="1"/>
  <c r="H28" i="59" s="1"/>
  <c r="G28" i="59" a="1"/>
  <c r="G28" i="59" s="1"/>
  <c r="F28" i="59" a="1"/>
  <c r="F28" i="59" s="1"/>
  <c r="E28" i="59" a="1"/>
  <c r="E28" i="59" s="1"/>
  <c r="D28" i="59" a="1"/>
  <c r="D28" i="59" s="1"/>
  <c r="C28" i="59" a="1"/>
  <c r="C28" i="59" s="1"/>
  <c r="H27" i="59" a="1"/>
  <c r="H27" i="59" s="1"/>
  <c r="G27" i="59" a="1"/>
  <c r="G27" i="59" s="1"/>
  <c r="F27" i="59" a="1"/>
  <c r="F27" i="59" s="1"/>
  <c r="E27" i="59" a="1"/>
  <c r="E27" i="59" s="1"/>
  <c r="D27" i="59" a="1"/>
  <c r="D27" i="59" s="1"/>
  <c r="C27" i="59" a="1"/>
  <c r="C27" i="59" s="1"/>
  <c r="H26" i="59" a="1"/>
  <c r="H26" i="59" s="1"/>
  <c r="G26" i="59" a="1"/>
  <c r="G26" i="59" s="1"/>
  <c r="F26" i="59" a="1"/>
  <c r="F26" i="59" s="1"/>
  <c r="E26" i="59" a="1"/>
  <c r="E26" i="59" s="1"/>
  <c r="D26" i="59" a="1"/>
  <c r="D26" i="59" s="1"/>
  <c r="C26" i="59" a="1"/>
  <c r="C26" i="59" s="1"/>
  <c r="H25" i="59" a="1"/>
  <c r="H25" i="59" s="1"/>
  <c r="G25" i="59" a="1"/>
  <c r="G25" i="59" s="1"/>
  <c r="F25" i="59" a="1"/>
  <c r="F25" i="59" s="1"/>
  <c r="E25" i="59"/>
  <c r="E25" i="59" a="1"/>
  <c r="D25" i="59" a="1"/>
  <c r="D25" i="59" s="1"/>
  <c r="C25" i="59" a="1"/>
  <c r="C25" i="59" s="1"/>
  <c r="H24" i="59" a="1"/>
  <c r="H24" i="59" s="1"/>
  <c r="G24" i="59" a="1"/>
  <c r="G24" i="59" s="1"/>
  <c r="F24" i="59" a="1"/>
  <c r="F24" i="59" s="1"/>
  <c r="E24" i="59" a="1"/>
  <c r="E24" i="59" s="1"/>
  <c r="D24" i="59" a="1"/>
  <c r="D24" i="59" s="1"/>
  <c r="C24" i="59" a="1"/>
  <c r="C24" i="59" s="1"/>
  <c r="H23" i="59" a="1"/>
  <c r="H23" i="59" s="1"/>
  <c r="G23" i="59" a="1"/>
  <c r="G23" i="59" s="1"/>
  <c r="F23" i="59" a="1"/>
  <c r="F23" i="59" s="1"/>
  <c r="E23" i="59" a="1"/>
  <c r="E23" i="59" s="1"/>
  <c r="D23" i="59" a="1"/>
  <c r="D23" i="59" s="1"/>
  <c r="C23" i="59" a="1"/>
  <c r="C23" i="59" s="1"/>
  <c r="H22" i="59" a="1"/>
  <c r="H22" i="59" s="1"/>
  <c r="G22" i="59" a="1"/>
  <c r="G22" i="59" s="1"/>
  <c r="F22" i="59" a="1"/>
  <c r="F22" i="59" s="1"/>
  <c r="E22" i="59" a="1"/>
  <c r="E22" i="59" s="1"/>
  <c r="D22" i="59" a="1"/>
  <c r="D22" i="59" s="1"/>
  <c r="C22" i="59" a="1"/>
  <c r="C22" i="59" s="1"/>
  <c r="H21" i="59" a="1"/>
  <c r="H21" i="59" s="1"/>
  <c r="G21" i="59" a="1"/>
  <c r="G21" i="59" s="1"/>
  <c r="F21" i="59" a="1"/>
  <c r="F21" i="59" s="1"/>
  <c r="E21" i="59" a="1"/>
  <c r="E21" i="59" s="1"/>
  <c r="D21" i="59" a="1"/>
  <c r="D21" i="59" s="1"/>
  <c r="C21" i="59" a="1"/>
  <c r="C21" i="59" s="1"/>
  <c r="H20" i="59" a="1"/>
  <c r="H20" i="59" s="1"/>
  <c r="G20" i="59" a="1"/>
  <c r="G20" i="59" s="1"/>
  <c r="F20" i="59"/>
  <c r="F20" i="59" a="1"/>
  <c r="E20" i="59" a="1"/>
  <c r="E20" i="59" s="1"/>
  <c r="D20" i="59" a="1"/>
  <c r="D20" i="59" s="1"/>
  <c r="C20" i="59" a="1"/>
  <c r="C20" i="59" s="1"/>
  <c r="H19" i="59" a="1"/>
  <c r="H19" i="59" s="1"/>
  <c r="G19" i="59" a="1"/>
  <c r="G19" i="59" s="1"/>
  <c r="F19" i="59" a="1"/>
  <c r="F19" i="59" s="1"/>
  <c r="E19" i="59" a="1"/>
  <c r="E19" i="59" s="1"/>
  <c r="D19" i="59" a="1"/>
  <c r="D19" i="59" s="1"/>
  <c r="C19" i="59" a="1"/>
  <c r="C19" i="59" s="1"/>
  <c r="H18" i="59" a="1"/>
  <c r="H18" i="59" s="1"/>
  <c r="G18" i="59" a="1"/>
  <c r="G18" i="59" s="1"/>
  <c r="F18" i="59" a="1"/>
  <c r="F18" i="59" s="1"/>
  <c r="E18" i="59"/>
  <c r="E18" i="59" a="1"/>
  <c r="D18" i="59" a="1"/>
  <c r="D18" i="59" s="1"/>
  <c r="C18" i="59" a="1"/>
  <c r="C18" i="59" s="1"/>
  <c r="H17" i="59" a="1"/>
  <c r="H17" i="59" s="1"/>
  <c r="G17" i="59" a="1"/>
  <c r="G17" i="59" s="1"/>
  <c r="F17" i="59" a="1"/>
  <c r="F17" i="59" s="1"/>
  <c r="E17" i="59" a="1"/>
  <c r="E17" i="59" s="1"/>
  <c r="D17" i="59" a="1"/>
  <c r="D17" i="59" s="1"/>
  <c r="C17" i="59" a="1"/>
  <c r="C17" i="59" s="1"/>
  <c r="H16" i="59" a="1"/>
  <c r="H16" i="59" s="1"/>
  <c r="G16" i="59" a="1"/>
  <c r="G16" i="59" s="1"/>
  <c r="F16" i="59" a="1"/>
  <c r="F16" i="59" s="1"/>
  <c r="E16" i="59" a="1"/>
  <c r="E16" i="59" s="1"/>
  <c r="D16" i="59" a="1"/>
  <c r="D16" i="59" s="1"/>
  <c r="C16" i="59" a="1"/>
  <c r="C16" i="59" s="1"/>
  <c r="H15" i="59" a="1"/>
  <c r="H15" i="59" s="1"/>
  <c r="G15" i="59" a="1"/>
  <c r="G15" i="59" s="1"/>
  <c r="F15" i="59" a="1"/>
  <c r="F15" i="59" s="1"/>
  <c r="E15" i="59" a="1"/>
  <c r="E15" i="59" s="1"/>
  <c r="D15" i="59" a="1"/>
  <c r="D15" i="59" s="1"/>
  <c r="C15" i="59" a="1"/>
  <c r="C15" i="59" s="1"/>
  <c r="H14" i="59" a="1"/>
  <c r="H14" i="59" s="1"/>
  <c r="G14" i="59" a="1"/>
  <c r="G14" i="59" s="1"/>
  <c r="F14" i="59" a="1"/>
  <c r="F14" i="59" s="1"/>
  <c r="E14" i="59" a="1"/>
  <c r="E14" i="59" s="1"/>
  <c r="D14" i="59" a="1"/>
  <c r="D14" i="59" s="1"/>
  <c r="C14" i="59" a="1"/>
  <c r="C14" i="59" s="1"/>
  <c r="H13" i="59" a="1"/>
  <c r="H13" i="59" s="1"/>
  <c r="G13" i="59" a="1"/>
  <c r="G13" i="59" s="1"/>
  <c r="F13" i="59"/>
  <c r="F13" i="59" a="1"/>
  <c r="E13" i="59" a="1"/>
  <c r="E13" i="59" s="1"/>
  <c r="D13" i="59" a="1"/>
  <c r="D13" i="59" s="1"/>
  <c r="C13" i="59" a="1"/>
  <c r="C13" i="59" s="1"/>
  <c r="H12" i="59" a="1"/>
  <c r="H12" i="59" s="1"/>
  <c r="G12" i="59" a="1"/>
  <c r="G12" i="59" s="1"/>
  <c r="F12" i="59" a="1"/>
  <c r="F12" i="59" s="1"/>
  <c r="E12" i="59" a="1"/>
  <c r="E12" i="59" s="1"/>
  <c r="D12" i="59" a="1"/>
  <c r="D12" i="59" s="1"/>
  <c r="C12" i="59" a="1"/>
  <c r="C12" i="59" s="1"/>
  <c r="H11" i="59" a="1"/>
  <c r="H11" i="59" s="1"/>
  <c r="G11" i="59" a="1"/>
  <c r="G11" i="59" s="1"/>
  <c r="F11" i="59" a="1"/>
  <c r="F11" i="59" s="1"/>
  <c r="E11" i="59" a="1"/>
  <c r="E11" i="59" s="1"/>
  <c r="D11" i="59" a="1"/>
  <c r="D11" i="59" s="1"/>
  <c r="C11" i="59" a="1"/>
  <c r="C11" i="59" s="1"/>
  <c r="H10" i="59" a="1"/>
  <c r="H10" i="59" s="1"/>
  <c r="G10" i="59" a="1"/>
  <c r="G10" i="59" s="1"/>
  <c r="F10" i="59" a="1"/>
  <c r="F10" i="59" s="1"/>
  <c r="E10" i="59" a="1"/>
  <c r="E10" i="59" s="1"/>
  <c r="D10" i="59" a="1"/>
  <c r="D10" i="59" s="1"/>
  <c r="C10" i="59" a="1"/>
  <c r="C10" i="59" s="1"/>
  <c r="H9" i="59" a="1"/>
  <c r="H9" i="59" s="1"/>
  <c r="G9" i="59" a="1"/>
  <c r="G9" i="59" s="1"/>
  <c r="F9" i="59" a="1"/>
  <c r="F9" i="59" s="1"/>
  <c r="E9" i="59" a="1"/>
  <c r="E9" i="59" s="1"/>
  <c r="D9" i="59" a="1"/>
  <c r="D9" i="59" s="1"/>
  <c r="C9" i="59" a="1"/>
  <c r="C9" i="59" s="1"/>
  <c r="H8" i="59" a="1"/>
  <c r="H8" i="59" s="1"/>
  <c r="G8" i="59"/>
  <c r="G8" i="59" a="1"/>
  <c r="F8" i="59" a="1"/>
  <c r="F8" i="59" s="1"/>
  <c r="E8" i="59" a="1"/>
  <c r="E8" i="59" s="1"/>
  <c r="D8" i="59" a="1"/>
  <c r="D8" i="59" s="1"/>
  <c r="C8" i="59" a="1"/>
  <c r="C8" i="59" s="1"/>
  <c r="H7" i="59" a="1"/>
  <c r="H7" i="59" s="1"/>
  <c r="G7" i="59" a="1"/>
  <c r="G7" i="59" s="1"/>
  <c r="F7" i="59" a="1"/>
  <c r="F7" i="59" s="1"/>
  <c r="E7" i="59" a="1"/>
  <c r="E7" i="59" s="1"/>
  <c r="D7" i="59" a="1"/>
  <c r="D7" i="59" s="1"/>
  <c r="C7" i="59" a="1"/>
  <c r="C7" i="59" s="1"/>
  <c r="H6" i="59" a="1"/>
  <c r="H6" i="59" s="1"/>
  <c r="G6" i="59" a="1"/>
  <c r="G6" i="59" s="1"/>
  <c r="F6" i="59" a="1"/>
  <c r="F6" i="59" s="1"/>
  <c r="E6" i="59" a="1"/>
  <c r="E6" i="59" s="1"/>
  <c r="D6" i="59" a="1"/>
  <c r="D6" i="59" s="1"/>
  <c r="C6" i="59" a="1"/>
  <c r="C6" i="59" s="1"/>
  <c r="H5" i="59" a="1"/>
  <c r="H5" i="59" s="1"/>
  <c r="G5" i="59" a="1"/>
  <c r="G5" i="59" s="1"/>
  <c r="F5" i="59" a="1"/>
  <c r="F5" i="59" s="1"/>
  <c r="E5" i="59" a="1"/>
  <c r="E5" i="59" s="1"/>
  <c r="D5" i="59" a="1"/>
  <c r="D5" i="59" s="1"/>
  <c r="C5" i="59" a="1"/>
  <c r="C5" i="59" s="1"/>
  <c r="H4" i="59" a="1"/>
  <c r="H4" i="59" s="1"/>
  <c r="G4" i="59" a="1"/>
  <c r="G4" i="59" s="1"/>
  <c r="F4" i="59" a="1"/>
  <c r="F4" i="59" s="1"/>
  <c r="E4" i="59" a="1"/>
  <c r="E4" i="59" s="1"/>
  <c r="D4" i="59" a="1"/>
  <c r="D4" i="59" s="1"/>
  <c r="C4" i="59" a="1"/>
  <c r="C4" i="59" s="1"/>
  <c r="G3" i="59"/>
  <c r="G3" i="59" a="1"/>
  <c r="E3" i="59" a="1"/>
  <c r="E3" i="59" s="1"/>
  <c r="D3" i="59" a="1"/>
  <c r="D3" i="59" s="1"/>
  <c r="C3" i="59" a="1"/>
  <c r="C3" i="59" s="1"/>
  <c r="O47" i="60"/>
  <c r="O48" i="60"/>
  <c r="O49" i="60"/>
  <c r="O50" i="60"/>
  <c r="O51" i="60"/>
  <c r="O52" i="60"/>
  <c r="O53" i="60"/>
  <c r="O54" i="60"/>
  <c r="O55" i="60"/>
  <c r="O56" i="60"/>
  <c r="O57" i="60"/>
  <c r="O58" i="60"/>
  <c r="O59" i="60"/>
  <c r="O60" i="60"/>
  <c r="O61" i="60"/>
  <c r="O62" i="60"/>
  <c r="O63" i="60"/>
  <c r="O64" i="60"/>
  <c r="O65" i="60"/>
  <c r="O66" i="60"/>
  <c r="O67" i="60"/>
  <c r="O68" i="60"/>
  <c r="O69" i="60"/>
  <c r="O70" i="60"/>
  <c r="O71" i="60"/>
  <c r="O72" i="60"/>
  <c r="O73" i="60"/>
  <c r="O74" i="60"/>
  <c r="O75" i="60"/>
  <c r="O76" i="60"/>
  <c r="O77" i="60"/>
  <c r="O78" i="60"/>
  <c r="O79" i="60"/>
  <c r="O80" i="60"/>
  <c r="O81" i="60"/>
  <c r="O46" i="60"/>
  <c r="H45" i="60" a="1"/>
  <c r="H45" i="60" s="1"/>
  <c r="L35" i="46"/>
  <c r="J35" i="46" a="1"/>
  <c r="J35" i="46" s="1"/>
  <c r="N4" i="63" l="1" a="1"/>
  <c r="N4" i="63" s="1"/>
  <c r="K4" i="63" a="1"/>
  <c r="K4" i="63" s="1"/>
  <c r="H4" i="63" a="1"/>
  <c r="H4" i="63" s="1"/>
  <c r="E4" i="63" a="1"/>
  <c r="E4" i="63" s="1"/>
  <c r="W8" i="63"/>
  <c r="X8" i="63" s="1"/>
  <c r="W7" i="63"/>
  <c r="X7" i="63" s="1"/>
  <c r="W6" i="63"/>
  <c r="X6" i="63" s="1"/>
  <c r="W5" i="63"/>
  <c r="X5" i="63" s="1"/>
  <c r="W4" i="63"/>
  <c r="X4" i="63" s="1"/>
  <c r="O4" i="63" a="1"/>
  <c r="O4" i="63" s="1"/>
  <c r="M4" i="63" a="1"/>
  <c r="M4" i="63" s="1"/>
  <c r="L4" i="63" a="1"/>
  <c r="L4" i="63" s="1"/>
  <c r="J4" i="63" a="1"/>
  <c r="J4" i="63" s="1"/>
  <c r="I4" i="63" a="1"/>
  <c r="I4" i="63" s="1"/>
  <c r="G4" i="63"/>
  <c r="G4" i="63" a="1"/>
  <c r="F4" i="63" a="1"/>
  <c r="F4" i="63" s="1"/>
  <c r="D4" i="63" a="1"/>
  <c r="D4" i="63" s="1"/>
  <c r="C4" i="63" a="1"/>
  <c r="C4" i="63" s="1"/>
  <c r="A4" i="63"/>
  <c r="A4" i="63" a="1"/>
  <c r="Y54" i="59"/>
  <c r="AD54" i="59" s="1"/>
  <c r="Y53" i="59"/>
  <c r="AD53" i="59" s="1"/>
  <c r="Y52" i="59"/>
  <c r="Y51" i="59"/>
  <c r="AD51" i="59" s="1"/>
  <c r="Y50" i="59"/>
  <c r="AD50" i="59" s="1"/>
  <c r="Y49" i="59"/>
  <c r="AD49" i="59" s="1"/>
  <c r="Y48" i="59"/>
  <c r="AD48" i="59" s="1"/>
  <c r="Y47" i="59"/>
  <c r="Y46" i="59"/>
  <c r="Y45" i="59"/>
  <c r="AD45" i="59" s="1"/>
  <c r="Y44" i="59"/>
  <c r="AD44" i="59" s="1"/>
  <c r="Y43" i="59"/>
  <c r="AD43" i="59" s="1"/>
  <c r="Y42" i="59"/>
  <c r="Y41" i="59"/>
  <c r="AD41" i="59" s="1"/>
  <c r="Y40" i="59"/>
  <c r="AD40" i="59" s="1"/>
  <c r="Y39" i="59"/>
  <c r="AD39" i="59" s="1"/>
  <c r="Y38" i="59"/>
  <c r="AD38" i="59" s="1"/>
  <c r="Y37" i="59"/>
  <c r="Y36" i="59"/>
  <c r="AD36" i="59" s="1"/>
  <c r="Y35" i="59"/>
  <c r="AD35" i="59" s="1"/>
  <c r="Y34" i="59"/>
  <c r="AD34" i="59" s="1"/>
  <c r="Y33" i="59"/>
  <c r="AD33" i="59" s="1"/>
  <c r="Y32" i="59"/>
  <c r="Y31" i="59"/>
  <c r="AD31" i="59" s="1"/>
  <c r="Y30" i="59"/>
  <c r="Y29" i="59"/>
  <c r="AD29" i="59" s="1"/>
  <c r="Y28" i="59"/>
  <c r="AD28" i="59" s="1"/>
  <c r="Y27" i="59"/>
  <c r="Y26" i="59"/>
  <c r="AD26" i="59" s="1"/>
  <c r="Y25" i="59"/>
  <c r="AD25" i="59" s="1"/>
  <c r="Y24" i="59"/>
  <c r="AD24" i="59" s="1"/>
  <c r="Y23" i="59"/>
  <c r="AD23" i="59" s="1"/>
  <c r="Y22" i="59"/>
  <c r="Y21" i="59"/>
  <c r="AD21" i="59" s="1"/>
  <c r="Y20" i="59"/>
  <c r="AD20" i="59" s="1"/>
  <c r="Y19" i="59"/>
  <c r="AD19" i="59" s="1"/>
  <c r="Y18" i="59"/>
  <c r="AD18" i="59" s="1"/>
  <c r="Y17" i="59"/>
  <c r="Y16" i="59"/>
  <c r="AD16" i="59" s="1"/>
  <c r="Y15" i="59"/>
  <c r="AD15" i="59" s="1"/>
  <c r="Y14" i="59"/>
  <c r="AD14" i="59" s="1"/>
  <c r="Y13" i="59"/>
  <c r="AD13" i="59" s="1"/>
  <c r="Y12" i="59"/>
  <c r="AD12" i="59" s="1"/>
  <c r="Y11" i="59"/>
  <c r="AD11" i="59" s="1"/>
  <c r="Y10" i="59"/>
  <c r="AD10" i="59" s="1"/>
  <c r="Y9" i="59"/>
  <c r="AD9" i="59" s="1"/>
  <c r="Y8" i="59"/>
  <c r="AD8" i="59" s="1"/>
  <c r="Y7" i="59"/>
  <c r="AD7" i="59" s="1"/>
  <c r="Y6" i="59"/>
  <c r="Y5" i="59"/>
  <c r="Y4" i="59"/>
  <c r="AD4" i="59" s="1"/>
  <c r="AA3" i="59"/>
  <c r="Z3" i="59"/>
  <c r="AD5" i="59" l="1"/>
  <c r="Y3" i="59"/>
  <c r="AD37" i="59"/>
  <c r="AD30" i="59"/>
  <c r="AD46" i="59"/>
  <c r="AD6" i="59"/>
  <c r="AD22" i="59"/>
  <c r="AD47" i="59"/>
  <c r="AD32" i="59"/>
  <c r="AD17" i="59"/>
  <c r="AD42" i="59"/>
  <c r="AD27" i="59"/>
  <c r="AD52" i="59"/>
  <c r="Y54" i="57"/>
  <c r="AD54" i="57" s="1"/>
  <c r="Y53" i="57"/>
  <c r="AD53" i="57" s="1"/>
  <c r="Y52" i="57"/>
  <c r="AD52" i="57" s="1"/>
  <c r="AD51" i="57"/>
  <c r="Y51" i="57"/>
  <c r="Y50" i="57"/>
  <c r="AD50" i="57" s="1"/>
  <c r="Y49" i="57"/>
  <c r="AD49" i="57" s="1"/>
  <c r="Y48" i="57"/>
  <c r="AD48" i="57" s="1"/>
  <c r="Y47" i="57"/>
  <c r="AD46" i="57"/>
  <c r="Y46" i="57"/>
  <c r="Y45" i="57"/>
  <c r="AD45" i="57" s="1"/>
  <c r="Y44" i="57"/>
  <c r="AD44" i="57" s="1"/>
  <c r="Y43" i="57"/>
  <c r="AD43" i="57" s="1"/>
  <c r="Y42" i="57"/>
  <c r="AD41" i="57"/>
  <c r="Y41" i="57"/>
  <c r="Y40" i="57"/>
  <c r="AD40" i="57" s="1"/>
  <c r="Y39" i="57"/>
  <c r="AD39" i="57" s="1"/>
  <c r="Y38" i="57"/>
  <c r="AD38" i="57" s="1"/>
  <c r="Y37" i="57"/>
  <c r="AD37" i="57" s="1"/>
  <c r="Y36" i="57"/>
  <c r="Y35" i="57"/>
  <c r="AD35" i="57" s="1"/>
  <c r="Y34" i="57"/>
  <c r="AD34" i="57" s="1"/>
  <c r="Y33" i="57"/>
  <c r="AD33" i="57" s="1"/>
  <c r="Y32" i="57"/>
  <c r="AD32" i="57" s="1"/>
  <c r="Y31" i="57"/>
  <c r="Y30" i="57"/>
  <c r="AD30" i="57" s="1"/>
  <c r="Y29" i="57"/>
  <c r="AD29" i="57" s="1"/>
  <c r="Y28" i="57"/>
  <c r="AD28" i="57" s="1"/>
  <c r="Y27" i="57"/>
  <c r="AD27" i="57" s="1"/>
  <c r="Y26" i="57"/>
  <c r="Y25" i="57"/>
  <c r="AD25" i="57" s="1"/>
  <c r="Y24" i="57"/>
  <c r="AD24" i="57" s="1"/>
  <c r="Y23" i="57"/>
  <c r="AD23" i="57" s="1"/>
  <c r="Y22" i="57"/>
  <c r="AD22" i="57" s="1"/>
  <c r="Y21" i="57"/>
  <c r="Y20" i="57"/>
  <c r="AD20" i="57" s="1"/>
  <c r="Y19" i="57"/>
  <c r="AD19" i="57" s="1"/>
  <c r="Y18" i="57"/>
  <c r="AD18" i="57" s="1"/>
  <c r="Y17" i="57"/>
  <c r="AD17" i="57" s="1"/>
  <c r="Y16" i="57"/>
  <c r="Y15" i="57"/>
  <c r="AD15" i="57" s="1"/>
  <c r="Y14" i="57"/>
  <c r="AD14" i="57" s="1"/>
  <c r="Y13" i="57"/>
  <c r="AD13" i="57" s="1"/>
  <c r="Y12" i="57"/>
  <c r="AD12" i="57" s="1"/>
  <c r="Y11" i="57"/>
  <c r="Y10" i="57"/>
  <c r="AD10" i="57" s="1"/>
  <c r="Y9" i="57"/>
  <c r="AD9" i="57" s="1"/>
  <c r="Y8" i="57"/>
  <c r="AD8" i="57" s="1"/>
  <c r="Y7" i="57"/>
  <c r="AD7" i="57" s="1"/>
  <c r="Y6" i="57"/>
  <c r="Y5" i="57"/>
  <c r="AD5" i="57" s="1"/>
  <c r="Y4" i="57"/>
  <c r="AD4" i="57" s="1"/>
  <c r="AA3" i="57"/>
  <c r="Z3" i="57"/>
  <c r="Y54" i="55"/>
  <c r="AD54" i="55" s="1"/>
  <c r="Y53" i="55"/>
  <c r="AD53" i="55" s="1"/>
  <c r="Y52" i="55"/>
  <c r="Y51" i="55"/>
  <c r="AD51" i="55" s="1"/>
  <c r="Y50" i="55"/>
  <c r="AD50" i="55" s="1"/>
  <c r="Y49" i="55"/>
  <c r="AD49" i="55" s="1"/>
  <c r="Y48" i="55"/>
  <c r="AD48" i="55" s="1"/>
  <c r="Y47" i="55"/>
  <c r="Y46" i="55"/>
  <c r="AD46" i="55" s="1"/>
  <c r="Y45" i="55"/>
  <c r="AD45" i="55" s="1"/>
  <c r="Y44" i="55"/>
  <c r="AD44" i="55" s="1"/>
  <c r="Y43" i="55"/>
  <c r="AD43" i="55" s="1"/>
  <c r="Y42" i="55"/>
  <c r="Y41" i="55"/>
  <c r="AD41" i="55" s="1"/>
  <c r="Y40" i="55"/>
  <c r="AD40" i="55" s="1"/>
  <c r="Y39" i="55"/>
  <c r="AD39" i="55" s="1"/>
  <c r="Y38" i="55"/>
  <c r="AD38" i="55" s="1"/>
  <c r="Y37" i="55"/>
  <c r="Y36" i="55"/>
  <c r="AD36" i="55" s="1"/>
  <c r="Y35" i="55"/>
  <c r="AD35" i="55" s="1"/>
  <c r="Y34" i="55"/>
  <c r="AD34" i="55" s="1"/>
  <c r="Y33" i="55"/>
  <c r="AD33" i="55" s="1"/>
  <c r="Y32" i="55"/>
  <c r="Y31" i="55"/>
  <c r="AD31" i="55" s="1"/>
  <c r="Y30" i="55"/>
  <c r="AD30" i="55" s="1"/>
  <c r="Y29" i="55"/>
  <c r="AD29" i="55" s="1"/>
  <c r="Y28" i="55"/>
  <c r="AD28" i="55" s="1"/>
  <c r="Y27" i="55"/>
  <c r="Y26" i="55"/>
  <c r="AD26" i="55" s="1"/>
  <c r="Y25" i="55"/>
  <c r="AD25" i="55" s="1"/>
  <c r="Y24" i="55"/>
  <c r="AD24" i="55" s="1"/>
  <c r="Y23" i="55"/>
  <c r="AD23" i="55" s="1"/>
  <c r="Y22" i="55"/>
  <c r="Y21" i="55"/>
  <c r="AD21" i="55" s="1"/>
  <c r="Y20" i="55"/>
  <c r="AD20" i="55" s="1"/>
  <c r="Y19" i="55"/>
  <c r="AD19" i="55" s="1"/>
  <c r="Y18" i="55"/>
  <c r="AD18" i="55" s="1"/>
  <c r="Y17" i="55"/>
  <c r="Y16" i="55"/>
  <c r="AD16" i="55" s="1"/>
  <c r="Y15" i="55"/>
  <c r="AD15" i="55" s="1"/>
  <c r="Y14" i="55"/>
  <c r="AD14" i="55" s="1"/>
  <c r="Y13" i="55"/>
  <c r="AD13" i="55" s="1"/>
  <c r="Y12" i="55"/>
  <c r="Y11" i="55"/>
  <c r="AD11" i="55" s="1"/>
  <c r="Y10" i="55"/>
  <c r="AD10" i="55" s="1"/>
  <c r="Y9" i="55"/>
  <c r="AD9" i="55" s="1"/>
  <c r="Y8" i="55"/>
  <c r="AD8" i="55" s="1"/>
  <c r="Y7" i="55"/>
  <c r="AD7" i="55" s="1"/>
  <c r="Y6" i="55"/>
  <c r="AD6" i="55" s="1"/>
  <c r="Y5" i="55"/>
  <c r="AD5" i="55" s="1"/>
  <c r="Y4" i="55"/>
  <c r="AD4" i="55" s="1"/>
  <c r="AA3" i="55"/>
  <c r="Z3" i="55"/>
  <c r="Y54" i="53"/>
  <c r="AD54" i="53" s="1"/>
  <c r="Y53" i="53"/>
  <c r="AD53" i="53" s="1"/>
  <c r="Y52" i="53"/>
  <c r="AD52" i="53" s="1"/>
  <c r="Y51" i="53"/>
  <c r="AD51" i="53" s="1"/>
  <c r="Y50" i="53"/>
  <c r="Y49" i="53"/>
  <c r="AD49" i="53" s="1"/>
  <c r="Y48" i="53"/>
  <c r="AD48" i="53" s="1"/>
  <c r="Y47" i="53"/>
  <c r="AD47" i="53" s="1"/>
  <c r="Y46" i="53"/>
  <c r="AD46" i="53" s="1"/>
  <c r="Y45" i="53"/>
  <c r="Y44" i="53"/>
  <c r="AD44" i="53" s="1"/>
  <c r="Y43" i="53"/>
  <c r="AD43" i="53" s="1"/>
  <c r="Y42" i="53"/>
  <c r="AD42" i="53" s="1"/>
  <c r="Y41" i="53"/>
  <c r="AD41" i="53" s="1"/>
  <c r="Y40" i="53"/>
  <c r="Y39" i="53"/>
  <c r="AD39" i="53" s="1"/>
  <c r="Y38" i="53"/>
  <c r="AD38" i="53" s="1"/>
  <c r="Y37" i="53"/>
  <c r="AD37" i="53" s="1"/>
  <c r="Y36" i="53"/>
  <c r="AD36" i="53" s="1"/>
  <c r="Y35" i="53"/>
  <c r="Y34" i="53"/>
  <c r="AD34" i="53" s="1"/>
  <c r="Y33" i="53"/>
  <c r="AD33" i="53" s="1"/>
  <c r="Y32" i="53"/>
  <c r="AD32" i="53" s="1"/>
  <c r="Y31" i="53"/>
  <c r="AD31" i="53" s="1"/>
  <c r="Y30" i="53"/>
  <c r="Y29" i="53"/>
  <c r="AD29" i="53" s="1"/>
  <c r="Y28" i="53"/>
  <c r="AD28" i="53" s="1"/>
  <c r="Y27" i="53"/>
  <c r="AD27" i="53" s="1"/>
  <c r="Y26" i="53"/>
  <c r="AD26" i="53" s="1"/>
  <c r="Y25" i="53"/>
  <c r="Y24" i="53"/>
  <c r="AD24" i="53" s="1"/>
  <c r="Y23" i="53"/>
  <c r="AD23" i="53" s="1"/>
  <c r="Y22" i="53"/>
  <c r="AD22" i="53" s="1"/>
  <c r="Y21" i="53"/>
  <c r="AD21" i="53" s="1"/>
  <c r="Y20" i="53"/>
  <c r="Y19" i="53"/>
  <c r="AD19" i="53" s="1"/>
  <c r="Y18" i="53"/>
  <c r="AD18" i="53" s="1"/>
  <c r="Y17" i="53"/>
  <c r="AD17" i="53" s="1"/>
  <c r="Y16" i="53"/>
  <c r="AD16" i="53" s="1"/>
  <c r="Y15" i="53"/>
  <c r="Y14" i="53"/>
  <c r="AD14" i="53" s="1"/>
  <c r="Y13" i="53"/>
  <c r="AD13" i="53" s="1"/>
  <c r="Y12" i="53"/>
  <c r="Y11" i="53"/>
  <c r="AD11" i="53" s="1"/>
  <c r="AD10" i="53"/>
  <c r="Y10" i="53"/>
  <c r="Y9" i="53"/>
  <c r="AD9" i="53" s="1"/>
  <c r="Y8" i="53"/>
  <c r="AD8" i="53" s="1"/>
  <c r="Y7" i="53"/>
  <c r="AD7" i="53" s="1"/>
  <c r="Y6" i="53"/>
  <c r="Y5" i="53"/>
  <c r="Y4" i="53"/>
  <c r="AD4" i="53" s="1"/>
  <c r="AA3" i="53"/>
  <c r="Z3" i="53"/>
  <c r="Y5" i="51"/>
  <c r="AD5" i="51" s="1"/>
  <c r="Y6" i="51"/>
  <c r="Y7" i="51"/>
  <c r="Y8" i="51"/>
  <c r="AD8" i="51" s="1"/>
  <c r="Y9" i="51"/>
  <c r="AD9" i="51" s="1"/>
  <c r="Y10" i="51"/>
  <c r="AD10" i="51" s="1"/>
  <c r="Y11" i="51"/>
  <c r="Y12" i="51"/>
  <c r="AD12" i="51" s="1"/>
  <c r="Y13" i="51"/>
  <c r="Y14" i="51"/>
  <c r="Y15" i="51"/>
  <c r="AD15" i="51" s="1"/>
  <c r="Y16" i="51"/>
  <c r="AD16" i="51" s="1"/>
  <c r="Y17" i="51"/>
  <c r="Y18" i="51"/>
  <c r="Y19" i="51"/>
  <c r="Y20" i="51"/>
  <c r="Y21" i="51"/>
  <c r="Y22" i="51"/>
  <c r="Y23" i="51"/>
  <c r="Y24" i="51"/>
  <c r="Y25" i="51"/>
  <c r="Y26" i="51"/>
  <c r="Y27" i="51"/>
  <c r="Y28" i="51"/>
  <c r="Y29" i="51"/>
  <c r="Y30" i="51"/>
  <c r="Y31" i="51"/>
  <c r="Y32" i="51"/>
  <c r="AD32" i="51" s="1"/>
  <c r="Y33" i="51"/>
  <c r="Y34" i="51"/>
  <c r="Y35" i="51"/>
  <c r="AD35" i="51" s="1"/>
  <c r="Y36" i="51"/>
  <c r="AD36" i="51" s="1"/>
  <c r="Y37" i="51"/>
  <c r="Y38" i="51"/>
  <c r="Y39" i="51"/>
  <c r="Y40" i="51"/>
  <c r="Y41" i="51"/>
  <c r="Y42" i="51"/>
  <c r="Y43" i="51"/>
  <c r="Y44" i="51"/>
  <c r="Y45" i="51"/>
  <c r="Y46" i="51"/>
  <c r="Y47" i="51"/>
  <c r="Y48" i="51"/>
  <c r="Y49" i="51"/>
  <c r="Y50" i="51"/>
  <c r="Y51" i="51"/>
  <c r="Y52" i="51"/>
  <c r="AD52" i="51" s="1"/>
  <c r="Y53" i="51"/>
  <c r="Y54" i="51"/>
  <c r="Y4" i="51"/>
  <c r="AD4" i="51" s="1"/>
  <c r="AD54" i="51"/>
  <c r="AD51" i="51"/>
  <c r="AD50" i="51"/>
  <c r="AD49" i="51"/>
  <c r="AD48" i="51"/>
  <c r="AD47" i="51"/>
  <c r="AD46" i="51"/>
  <c r="AD45" i="51"/>
  <c r="AD40" i="51"/>
  <c r="AD39" i="51"/>
  <c r="AD34" i="51"/>
  <c r="AD31" i="51"/>
  <c r="AD30" i="51"/>
  <c r="AD29" i="51"/>
  <c r="AD28" i="51"/>
  <c r="AD27" i="51"/>
  <c r="AD26" i="51"/>
  <c r="AD25" i="51"/>
  <c r="AD20" i="51"/>
  <c r="AD19" i="51"/>
  <c r="AD18" i="51"/>
  <c r="AD11" i="51"/>
  <c r="AD7" i="51"/>
  <c r="AD6" i="51"/>
  <c r="AA3" i="51"/>
  <c r="Z3" i="51"/>
  <c r="X6" i="61"/>
  <c r="X8" i="61"/>
  <c r="X7" i="61"/>
  <c r="W6" i="61"/>
  <c r="Y6" i="61" s="1"/>
  <c r="W5" i="61"/>
  <c r="X5" i="61" s="1"/>
  <c r="X4" i="61"/>
  <c r="AD3" i="59" l="1"/>
  <c r="AD26" i="57"/>
  <c r="AD31" i="57"/>
  <c r="AD36" i="57"/>
  <c r="AD16" i="57"/>
  <c r="AD21" i="57"/>
  <c r="AD6" i="57"/>
  <c r="AD11" i="57"/>
  <c r="AD42" i="57"/>
  <c r="AD47" i="57"/>
  <c r="Y3" i="57"/>
  <c r="AD17" i="55"/>
  <c r="AD37" i="55"/>
  <c r="Y3" i="55"/>
  <c r="AD22" i="55"/>
  <c r="AD42" i="55"/>
  <c r="AD27" i="55"/>
  <c r="AD47" i="55"/>
  <c r="AD12" i="55"/>
  <c r="AD32" i="55"/>
  <c r="AD52" i="55"/>
  <c r="AD25" i="53"/>
  <c r="AD15" i="53"/>
  <c r="AD30" i="53"/>
  <c r="AD45" i="53"/>
  <c r="AD40" i="53"/>
  <c r="AD35" i="53"/>
  <c r="Y3" i="53"/>
  <c r="AD50" i="53"/>
  <c r="AD12" i="53"/>
  <c r="AD20" i="53"/>
  <c r="AD5" i="53"/>
  <c r="AD6" i="53"/>
  <c r="AD37" i="51"/>
  <c r="AD38" i="51"/>
  <c r="AD17" i="51"/>
  <c r="AD14" i="51"/>
  <c r="Y3" i="51"/>
  <c r="AD21" i="51"/>
  <c r="AD41" i="51"/>
  <c r="AD22" i="51"/>
  <c r="AD42" i="51"/>
  <c r="AD23" i="51"/>
  <c r="AD43" i="51"/>
  <c r="AD24" i="51"/>
  <c r="AD44" i="51"/>
  <c r="AD13" i="51"/>
  <c r="AD33" i="51"/>
  <c r="AD53" i="51"/>
  <c r="E35" i="18"/>
  <c r="F35" i="18"/>
  <c r="E36" i="18"/>
  <c r="F36" i="18"/>
  <c r="E37" i="18"/>
  <c r="F37" i="18"/>
  <c r="E38" i="18"/>
  <c r="F38" i="18"/>
  <c r="E39" i="18"/>
  <c r="F39" i="18"/>
  <c r="E40" i="18"/>
  <c r="F40" i="18"/>
  <c r="E41" i="18"/>
  <c r="F41" i="18"/>
  <c r="E42" i="18"/>
  <c r="F42" i="18"/>
  <c r="E43" i="18"/>
  <c r="F43" i="18"/>
  <c r="E44" i="18"/>
  <c r="F44" i="18"/>
  <c r="E45" i="18"/>
  <c r="F45" i="18"/>
  <c r="E46" i="18"/>
  <c r="F46" i="18"/>
  <c r="D36" i="18"/>
  <c r="D37" i="18"/>
  <c r="D38" i="18"/>
  <c r="D39" i="18"/>
  <c r="D40" i="18"/>
  <c r="D41" i="18"/>
  <c r="D42" i="18"/>
  <c r="D43" i="18"/>
  <c r="D44" i="18"/>
  <c r="D45" i="18"/>
  <c r="D46" i="18"/>
  <c r="D35" i="18"/>
  <c r="E19" i="18"/>
  <c r="F19" i="18"/>
  <c r="E20" i="18"/>
  <c r="F20" i="18"/>
  <c r="E21" i="18"/>
  <c r="F21" i="18"/>
  <c r="E22" i="18"/>
  <c r="F22" i="18"/>
  <c r="E23" i="18"/>
  <c r="F23" i="18"/>
  <c r="E24" i="18"/>
  <c r="F24" i="18"/>
  <c r="E25" i="18"/>
  <c r="F25" i="18"/>
  <c r="E26" i="18"/>
  <c r="F26" i="18"/>
  <c r="E27" i="18"/>
  <c r="F27" i="18"/>
  <c r="E28" i="18"/>
  <c r="F28" i="18"/>
  <c r="E29" i="18"/>
  <c r="F29" i="18"/>
  <c r="E30" i="18"/>
  <c r="F30" i="18"/>
  <c r="D20" i="18"/>
  <c r="D21" i="18"/>
  <c r="D22" i="18"/>
  <c r="D23" i="18"/>
  <c r="D24" i="18"/>
  <c r="D25" i="18"/>
  <c r="D26" i="18"/>
  <c r="D27" i="18"/>
  <c r="D28" i="18"/>
  <c r="D29" i="18"/>
  <c r="D30" i="18"/>
  <c r="D19" i="18"/>
  <c r="E3" i="18"/>
  <c r="F3" i="18"/>
  <c r="E4" i="18"/>
  <c r="F4" i="18"/>
  <c r="E5" i="18"/>
  <c r="F5" i="18"/>
  <c r="E6" i="18"/>
  <c r="F6" i="18"/>
  <c r="E7" i="18"/>
  <c r="F7" i="18"/>
  <c r="E8" i="18"/>
  <c r="F8" i="18"/>
  <c r="E9" i="18"/>
  <c r="F9" i="18"/>
  <c r="E10" i="18"/>
  <c r="F10" i="18"/>
  <c r="E11" i="18"/>
  <c r="F11" i="18"/>
  <c r="E12" i="18"/>
  <c r="F12" i="18"/>
  <c r="E13" i="18"/>
  <c r="F13" i="18"/>
  <c r="E14" i="18"/>
  <c r="F14" i="18"/>
  <c r="D4" i="18"/>
  <c r="D5" i="18"/>
  <c r="D6" i="18"/>
  <c r="D7" i="18"/>
  <c r="D8" i="18"/>
  <c r="D9" i="18"/>
  <c r="D10" i="18"/>
  <c r="D11" i="18"/>
  <c r="D12" i="18"/>
  <c r="D13" i="18"/>
  <c r="D14" i="18"/>
  <c r="D3" i="18"/>
  <c r="AD3" i="57" l="1"/>
  <c r="AD3" i="55"/>
  <c r="AD3" i="53"/>
  <c r="AD3" i="51"/>
  <c r="O4" i="61" a="1"/>
  <c r="O4" i="61" s="1"/>
  <c r="M4" i="61" a="1"/>
  <c r="M4" i="61" s="1"/>
  <c r="L4" i="61" a="1"/>
  <c r="L4" i="61" s="1"/>
  <c r="J4" i="61" a="1"/>
  <c r="J4" i="61" s="1"/>
  <c r="I4" i="61" a="1"/>
  <c r="I4" i="61" s="1"/>
  <c r="G4" i="61" a="1"/>
  <c r="G4" i="61" s="1"/>
  <c r="F4" i="61" a="1"/>
  <c r="F4" i="61" s="1"/>
  <c r="D4" i="61" a="1"/>
  <c r="D4" i="61" s="1"/>
  <c r="C4" i="61" a="1"/>
  <c r="C4" i="61" s="1"/>
  <c r="A4" i="61" a="1"/>
  <c r="A4" i="61" s="1"/>
  <c r="P3" i="59"/>
  <c r="P3" i="57"/>
  <c r="P3" i="55"/>
  <c r="P3" i="53"/>
  <c r="P3" i="51"/>
  <c r="O30" i="60"/>
  <c r="O31" i="60"/>
  <c r="O32" i="60"/>
  <c r="O33" i="60"/>
  <c r="O34" i="60"/>
  <c r="O35" i="60"/>
  <c r="O36" i="60"/>
  <c r="O37" i="60"/>
  <c r="O38" i="60"/>
  <c r="O39" i="60"/>
  <c r="O40" i="60"/>
  <c r="O41" i="60"/>
  <c r="O42" i="60"/>
  <c r="O29" i="60"/>
  <c r="H28" i="60" a="1"/>
  <c r="H28" i="60" s="1"/>
  <c r="B4" i="63" l="1" a="1"/>
  <c r="B4" i="63" s="1"/>
  <c r="H54" i="53" a="1"/>
  <c r="H54" i="53" s="1"/>
  <c r="G54" i="53" a="1"/>
  <c r="G54" i="53" s="1"/>
  <c r="N54" i="53" s="1"/>
  <c r="F54" i="53" a="1"/>
  <c r="F54" i="53" s="1"/>
  <c r="E54" i="53" a="1"/>
  <c r="E54" i="53" s="1"/>
  <c r="D54" i="53" a="1"/>
  <c r="D54" i="53" s="1"/>
  <c r="M54" i="53" s="1"/>
  <c r="C54" i="53" a="1"/>
  <c r="C54" i="53" s="1"/>
  <c r="H53" i="53" a="1"/>
  <c r="H53" i="53" s="1"/>
  <c r="G53" i="53" a="1"/>
  <c r="G53" i="53" s="1"/>
  <c r="N53" i="53" s="1"/>
  <c r="F53" i="53" a="1"/>
  <c r="F53" i="53" s="1"/>
  <c r="E53" i="53" a="1"/>
  <c r="E53" i="53" s="1"/>
  <c r="D53" i="53" a="1"/>
  <c r="D53" i="53" s="1"/>
  <c r="M53" i="53" s="1"/>
  <c r="C53" i="53" a="1"/>
  <c r="C53" i="53" s="1"/>
  <c r="H52" i="53" a="1"/>
  <c r="H52" i="53" s="1"/>
  <c r="G52" i="53" a="1"/>
  <c r="G52" i="53" s="1"/>
  <c r="N52" i="53" s="1"/>
  <c r="F52" i="53" a="1"/>
  <c r="F52" i="53" s="1"/>
  <c r="E52" i="53" a="1"/>
  <c r="E52" i="53" s="1"/>
  <c r="D52" i="53" a="1"/>
  <c r="D52" i="53" s="1"/>
  <c r="M52" i="53" s="1"/>
  <c r="C52" i="53" a="1"/>
  <c r="C52" i="53" s="1"/>
  <c r="H51" i="53" a="1"/>
  <c r="H51" i="53" s="1"/>
  <c r="G51" i="53" a="1"/>
  <c r="G51" i="53" s="1"/>
  <c r="N51" i="53" s="1"/>
  <c r="F51" i="53" a="1"/>
  <c r="F51" i="53" s="1"/>
  <c r="E51" i="53" a="1"/>
  <c r="E51" i="53" s="1"/>
  <c r="D51" i="53" a="1"/>
  <c r="D51" i="53" s="1"/>
  <c r="M51" i="53" s="1"/>
  <c r="C51" i="53" a="1"/>
  <c r="C51" i="53" s="1"/>
  <c r="H50" i="53" a="1"/>
  <c r="H50" i="53" s="1"/>
  <c r="G50" i="53" a="1"/>
  <c r="G50" i="53" s="1"/>
  <c r="N50" i="53" s="1"/>
  <c r="F50" i="53" a="1"/>
  <c r="F50" i="53" s="1"/>
  <c r="E50" i="53" a="1"/>
  <c r="E50" i="53" s="1"/>
  <c r="D50" i="53" a="1"/>
  <c r="D50" i="53" s="1"/>
  <c r="M50" i="53" s="1"/>
  <c r="C50" i="53" a="1"/>
  <c r="C50" i="53" s="1"/>
  <c r="H49" i="53" a="1"/>
  <c r="H49" i="53" s="1"/>
  <c r="G49" i="53" a="1"/>
  <c r="G49" i="53" s="1"/>
  <c r="N49" i="53" s="1"/>
  <c r="F49" i="53" a="1"/>
  <c r="F49" i="53" s="1"/>
  <c r="E49" i="53" a="1"/>
  <c r="E49" i="53" s="1"/>
  <c r="D49" i="53" a="1"/>
  <c r="D49" i="53" s="1"/>
  <c r="M49" i="53" s="1"/>
  <c r="C49" i="53" a="1"/>
  <c r="C49" i="53" s="1"/>
  <c r="H48" i="53" a="1"/>
  <c r="H48" i="53" s="1"/>
  <c r="F48" i="53" a="1"/>
  <c r="F48" i="53" s="1"/>
  <c r="E48" i="53" a="1"/>
  <c r="E48" i="53" s="1"/>
  <c r="C48" i="53" a="1"/>
  <c r="C48" i="53" s="1"/>
  <c r="H47" i="53" a="1"/>
  <c r="H47" i="53" s="1"/>
  <c r="F47" i="53" a="1"/>
  <c r="F47" i="53" s="1"/>
  <c r="E47" i="53" a="1"/>
  <c r="E47" i="53" s="1"/>
  <c r="C47" i="53" a="1"/>
  <c r="C47" i="53" s="1"/>
  <c r="H46" i="53" a="1"/>
  <c r="H46" i="53" s="1"/>
  <c r="G46" i="53" a="1"/>
  <c r="G46" i="53" s="1"/>
  <c r="N46" i="53" s="1"/>
  <c r="F46" i="53" a="1"/>
  <c r="F46" i="53" s="1"/>
  <c r="E46" i="53" a="1"/>
  <c r="E46" i="53" s="1"/>
  <c r="D46" i="53" a="1"/>
  <c r="D46" i="53" s="1"/>
  <c r="M46" i="53" s="1"/>
  <c r="C46" i="53" a="1"/>
  <c r="C46" i="53" s="1"/>
  <c r="H45" i="53" a="1"/>
  <c r="H45" i="53" s="1"/>
  <c r="G45" i="53" a="1"/>
  <c r="G45" i="53" s="1"/>
  <c r="N45" i="53" s="1"/>
  <c r="F45" i="53" a="1"/>
  <c r="F45" i="53" s="1"/>
  <c r="E45" i="53" a="1"/>
  <c r="E45" i="53" s="1"/>
  <c r="D45" i="53" a="1"/>
  <c r="D45" i="53" s="1"/>
  <c r="M45" i="53" s="1"/>
  <c r="C45" i="53" a="1"/>
  <c r="C45" i="53" s="1"/>
  <c r="H44" i="53" a="1"/>
  <c r="H44" i="53" s="1"/>
  <c r="G44" i="53" a="1"/>
  <c r="G44" i="53" s="1"/>
  <c r="N44" i="53" s="1"/>
  <c r="F44" i="53" a="1"/>
  <c r="F44" i="53" s="1"/>
  <c r="E44" i="53" a="1"/>
  <c r="E44" i="53" s="1"/>
  <c r="D44" i="53" a="1"/>
  <c r="D44" i="53" s="1"/>
  <c r="M44" i="53" s="1"/>
  <c r="C44" i="53" a="1"/>
  <c r="C44" i="53" s="1"/>
  <c r="H43" i="53" a="1"/>
  <c r="H43" i="53" s="1"/>
  <c r="G43" i="53" a="1"/>
  <c r="G43" i="53" s="1"/>
  <c r="N43" i="53" s="1"/>
  <c r="F43" i="53" a="1"/>
  <c r="F43" i="53" s="1"/>
  <c r="E43" i="53" a="1"/>
  <c r="E43" i="53" s="1"/>
  <c r="D43" i="53" a="1"/>
  <c r="D43" i="53" s="1"/>
  <c r="M43" i="53" s="1"/>
  <c r="C43" i="53" a="1"/>
  <c r="C43" i="53" s="1"/>
  <c r="H42" i="53" a="1"/>
  <c r="H42" i="53" s="1"/>
  <c r="G42" i="53" a="1"/>
  <c r="G42" i="53" s="1"/>
  <c r="N42" i="53" s="1"/>
  <c r="F42" i="53" a="1"/>
  <c r="F42" i="53" s="1"/>
  <c r="E42" i="53" a="1"/>
  <c r="E42" i="53" s="1"/>
  <c r="D42" i="53" a="1"/>
  <c r="D42" i="53" s="1"/>
  <c r="M42" i="53" s="1"/>
  <c r="C42" i="53" a="1"/>
  <c r="C42" i="53" s="1"/>
  <c r="H41" i="53" a="1"/>
  <c r="H41" i="53" s="1"/>
  <c r="G41" i="53" a="1"/>
  <c r="G41" i="53" s="1"/>
  <c r="N41" i="53" s="1"/>
  <c r="F41" i="53" a="1"/>
  <c r="F41" i="53" s="1"/>
  <c r="E41" i="53" a="1"/>
  <c r="E41" i="53" s="1"/>
  <c r="D41" i="53" a="1"/>
  <c r="D41" i="53" s="1"/>
  <c r="M41" i="53" s="1"/>
  <c r="C41" i="53" a="1"/>
  <c r="C41" i="53" s="1"/>
  <c r="H40" i="53" a="1"/>
  <c r="H40" i="53" s="1"/>
  <c r="G40" i="53" a="1"/>
  <c r="G40" i="53" s="1"/>
  <c r="N40" i="53" s="1"/>
  <c r="F40" i="53" a="1"/>
  <c r="F40" i="53" s="1"/>
  <c r="E40" i="53" a="1"/>
  <c r="E40" i="53" s="1"/>
  <c r="D40" i="53" a="1"/>
  <c r="D40" i="53" s="1"/>
  <c r="M40" i="53" s="1"/>
  <c r="C40" i="53" a="1"/>
  <c r="C40" i="53" s="1"/>
  <c r="H39" i="53" a="1"/>
  <c r="H39" i="53" s="1"/>
  <c r="F39" i="53" a="1"/>
  <c r="F39" i="53" s="1"/>
  <c r="E39" i="53" a="1"/>
  <c r="E39" i="53" s="1"/>
  <c r="C39" i="53" a="1"/>
  <c r="C39" i="53" s="1"/>
  <c r="H38" i="53" a="1"/>
  <c r="H38" i="53" s="1"/>
  <c r="E38" i="53" a="1"/>
  <c r="E38" i="53" s="1"/>
  <c r="H37" i="53" a="1"/>
  <c r="H37" i="53" s="1"/>
  <c r="F37" i="53" a="1"/>
  <c r="F37" i="53" s="1"/>
  <c r="E37" i="53" a="1"/>
  <c r="E37" i="53" s="1"/>
  <c r="C37" i="53" a="1"/>
  <c r="C37" i="53" s="1"/>
  <c r="H36" i="53" a="1"/>
  <c r="H36" i="53" s="1"/>
  <c r="E36" i="53" a="1"/>
  <c r="E36" i="53" s="1"/>
  <c r="H35" i="53" a="1"/>
  <c r="H35" i="53" s="1"/>
  <c r="F35" i="53" a="1"/>
  <c r="F35" i="53" s="1"/>
  <c r="E35" i="53" a="1"/>
  <c r="E35" i="53" s="1"/>
  <c r="C35" i="53" a="1"/>
  <c r="C35" i="53" s="1"/>
  <c r="H34" i="53" a="1"/>
  <c r="H34" i="53" s="1"/>
  <c r="F34" i="53" a="1"/>
  <c r="F34" i="53" s="1"/>
  <c r="E34" i="53" a="1"/>
  <c r="E34" i="53" s="1"/>
  <c r="C34" i="53" a="1"/>
  <c r="C34" i="53" s="1"/>
  <c r="H33" i="53" a="1"/>
  <c r="H33" i="53" s="1"/>
  <c r="E33" i="53" a="1"/>
  <c r="E33" i="53" s="1"/>
  <c r="H32" i="53" a="1"/>
  <c r="H32" i="53" s="1"/>
  <c r="E32" i="53" a="1"/>
  <c r="E32" i="53" s="1"/>
  <c r="H31" i="53" a="1"/>
  <c r="H31" i="53" s="1"/>
  <c r="F31" i="53" a="1"/>
  <c r="F31" i="53" s="1"/>
  <c r="E31" i="53" a="1"/>
  <c r="E31" i="53" s="1"/>
  <c r="C31" i="53" a="1"/>
  <c r="C31" i="53" s="1"/>
  <c r="H30" i="53" a="1"/>
  <c r="H30" i="53" s="1"/>
  <c r="F30" i="53" a="1"/>
  <c r="F30" i="53" s="1"/>
  <c r="E30" i="53" a="1"/>
  <c r="E30" i="53" s="1"/>
  <c r="C30" i="53" a="1"/>
  <c r="C30" i="53" s="1"/>
  <c r="H29" i="53" a="1"/>
  <c r="H29" i="53" s="1"/>
  <c r="E29" i="53" a="1"/>
  <c r="E29" i="53" s="1"/>
  <c r="H28" i="53" a="1"/>
  <c r="H28" i="53" s="1"/>
  <c r="E28" i="53" a="1"/>
  <c r="E28" i="53" s="1"/>
  <c r="H27" i="53" a="1"/>
  <c r="H27" i="53" s="1"/>
  <c r="E27" i="53" a="1"/>
  <c r="E27" i="53" s="1"/>
  <c r="H26" i="53" a="1"/>
  <c r="H26" i="53" s="1"/>
  <c r="F26" i="53" a="1"/>
  <c r="F26" i="53" s="1"/>
  <c r="E26" i="53" a="1"/>
  <c r="E26" i="53" s="1"/>
  <c r="C26" i="53" a="1"/>
  <c r="C26" i="53" s="1"/>
  <c r="H25" i="53" a="1"/>
  <c r="H25" i="53" s="1"/>
  <c r="E25" i="53" a="1"/>
  <c r="E25" i="53" s="1"/>
  <c r="D25" i="53" a="1"/>
  <c r="D25" i="53" s="1"/>
  <c r="M25" i="53" s="1"/>
  <c r="H24" i="53" a="1"/>
  <c r="H24" i="53" s="1"/>
  <c r="E24" i="53" a="1"/>
  <c r="E24" i="53" s="1"/>
  <c r="H23" i="53" a="1"/>
  <c r="H23" i="53" s="1"/>
  <c r="E23" i="53" a="1"/>
  <c r="E23" i="53" s="1"/>
  <c r="H22" i="53" a="1"/>
  <c r="H22" i="53" s="1"/>
  <c r="E22" i="53" a="1"/>
  <c r="E22" i="53" s="1"/>
  <c r="H21" i="53" a="1"/>
  <c r="H21" i="53" s="1"/>
  <c r="E21" i="53" a="1"/>
  <c r="E21" i="53" s="1"/>
  <c r="H20" i="53" a="1"/>
  <c r="H20" i="53" s="1"/>
  <c r="E20" i="53" a="1"/>
  <c r="E20" i="53" s="1"/>
  <c r="H19" i="53" a="1"/>
  <c r="H19" i="53" s="1"/>
  <c r="E19" i="53" a="1"/>
  <c r="E19" i="53" s="1"/>
  <c r="H18" i="53" a="1"/>
  <c r="H18" i="53" s="1"/>
  <c r="E18" i="53" a="1"/>
  <c r="E18" i="53" s="1"/>
  <c r="H17" i="53" a="1"/>
  <c r="H17" i="53" s="1"/>
  <c r="E17" i="53" a="1"/>
  <c r="E17" i="53" s="1"/>
  <c r="H16" i="53" a="1"/>
  <c r="H16" i="53" s="1"/>
  <c r="E16" i="53" a="1"/>
  <c r="E16" i="53" s="1"/>
  <c r="H15" i="53" a="1"/>
  <c r="H15" i="53" s="1"/>
  <c r="E15" i="53" a="1"/>
  <c r="E15" i="53" s="1"/>
  <c r="H14" i="53" a="1"/>
  <c r="H14" i="53" s="1"/>
  <c r="E14" i="53" a="1"/>
  <c r="E14" i="53" s="1"/>
  <c r="H13" i="53" a="1"/>
  <c r="H13" i="53" s="1"/>
  <c r="F13" i="53" a="1"/>
  <c r="F13" i="53" s="1"/>
  <c r="E13" i="53" a="1"/>
  <c r="E13" i="53" s="1"/>
  <c r="C13" i="53" a="1"/>
  <c r="C13" i="53" s="1"/>
  <c r="H12" i="53" a="1"/>
  <c r="H12" i="53" s="1"/>
  <c r="G12" i="53" a="1"/>
  <c r="G12" i="53" s="1"/>
  <c r="N12" i="53" s="1"/>
  <c r="E12" i="53" a="1"/>
  <c r="E12" i="53" s="1"/>
  <c r="D12" i="53" a="1"/>
  <c r="D12" i="53" s="1"/>
  <c r="M12" i="53" s="1"/>
  <c r="H11" i="53" a="1"/>
  <c r="H11" i="53" s="1"/>
  <c r="E11" i="53" a="1"/>
  <c r="E11" i="53" s="1"/>
  <c r="H10" i="53" a="1"/>
  <c r="H10" i="53" s="1"/>
  <c r="E10" i="53" a="1"/>
  <c r="E10" i="53" s="1"/>
  <c r="H9" i="53" a="1"/>
  <c r="H9" i="53" s="1"/>
  <c r="E9" i="53" a="1"/>
  <c r="E9" i="53" s="1"/>
  <c r="H8" i="53" a="1"/>
  <c r="H8" i="53" s="1"/>
  <c r="G8" i="53" a="1"/>
  <c r="G8" i="53" s="1"/>
  <c r="N8" i="53" s="1"/>
  <c r="E8" i="53" a="1"/>
  <c r="E8" i="53" s="1"/>
  <c r="H7" i="53" a="1"/>
  <c r="H7" i="53" s="1"/>
  <c r="G7" i="53" a="1"/>
  <c r="G7" i="53" s="1"/>
  <c r="N7" i="53" s="1"/>
  <c r="E7" i="53" a="1"/>
  <c r="E7" i="53" s="1"/>
  <c r="H6" i="53" a="1"/>
  <c r="H6" i="53" s="1"/>
  <c r="E6" i="53" a="1"/>
  <c r="E6" i="53" s="1"/>
  <c r="H5" i="53" a="1"/>
  <c r="H5" i="53" s="1"/>
  <c r="E5" i="53" a="1"/>
  <c r="E5" i="53" s="1"/>
  <c r="H4" i="53" a="1"/>
  <c r="H4" i="53" s="1"/>
  <c r="E4" i="53" a="1"/>
  <c r="E4" i="53" s="1"/>
  <c r="G3" i="53" a="1"/>
  <c r="G3" i="53" s="1"/>
  <c r="N3" i="53" s="1"/>
  <c r="AB3" i="53" s="1"/>
  <c r="D3" i="53" a="1"/>
  <c r="D3" i="53" s="1"/>
  <c r="M3" i="53" s="1"/>
  <c r="C3" i="53" a="1"/>
  <c r="C3" i="53" s="1"/>
  <c r="O36" i="54"/>
  <c r="G5" i="53" s="1" a="1"/>
  <c r="G5" i="53" s="1"/>
  <c r="N5" i="53" s="1"/>
  <c r="O37" i="54"/>
  <c r="G6" i="53" s="1" a="1"/>
  <c r="G6" i="53" s="1"/>
  <c r="N6" i="53" s="1"/>
  <c r="O38" i="54"/>
  <c r="O39" i="54"/>
  <c r="O40" i="54"/>
  <c r="G9" i="53" s="1" a="1"/>
  <c r="G9" i="53" s="1"/>
  <c r="N9" i="53" s="1"/>
  <c r="O41" i="54"/>
  <c r="G10" i="53" s="1" a="1"/>
  <c r="G10" i="53" s="1"/>
  <c r="N10" i="53" s="1"/>
  <c r="O42" i="54"/>
  <c r="G11" i="53" s="1" a="1"/>
  <c r="G11" i="53" s="1"/>
  <c r="N11" i="53" s="1"/>
  <c r="O43" i="54"/>
  <c r="G13" i="53" s="1" a="1"/>
  <c r="G13" i="53" s="1"/>
  <c r="N13" i="53" s="1"/>
  <c r="O44" i="54"/>
  <c r="G14" i="53" s="1" a="1"/>
  <c r="G14" i="53" s="1"/>
  <c r="N14" i="53" s="1"/>
  <c r="O45" i="54"/>
  <c r="G15" i="53" s="1" a="1"/>
  <c r="G15" i="53" s="1"/>
  <c r="N15" i="53" s="1"/>
  <c r="O46" i="54"/>
  <c r="G16" i="53" s="1" a="1"/>
  <c r="G16" i="53" s="1"/>
  <c r="N16" i="53" s="1"/>
  <c r="O47" i="54"/>
  <c r="G17" i="53" s="1" a="1"/>
  <c r="G17" i="53" s="1"/>
  <c r="N17" i="53" s="1"/>
  <c r="O48" i="54"/>
  <c r="G18" i="53" s="1" a="1"/>
  <c r="G18" i="53" s="1"/>
  <c r="N18" i="53" s="1"/>
  <c r="O49" i="54"/>
  <c r="G19" i="53" s="1" a="1"/>
  <c r="G19" i="53" s="1"/>
  <c r="N19" i="53" s="1"/>
  <c r="O50" i="54"/>
  <c r="G20" i="53" s="1" a="1"/>
  <c r="G20" i="53" s="1"/>
  <c r="N20" i="53" s="1"/>
  <c r="O51" i="54"/>
  <c r="G21" i="53" s="1" a="1"/>
  <c r="G21" i="53" s="1"/>
  <c r="N21" i="53" s="1"/>
  <c r="O52" i="54"/>
  <c r="G22" i="53" s="1" a="1"/>
  <c r="G22" i="53" s="1"/>
  <c r="N22" i="53" s="1"/>
  <c r="O53" i="54"/>
  <c r="G23" i="53" s="1" a="1"/>
  <c r="G23" i="53" s="1"/>
  <c r="N23" i="53" s="1"/>
  <c r="O54" i="54"/>
  <c r="G24" i="53" s="1" a="1"/>
  <c r="G24" i="53" s="1"/>
  <c r="N24" i="53" s="1"/>
  <c r="O55" i="54"/>
  <c r="G25" i="53" s="1" a="1"/>
  <c r="G25" i="53" s="1"/>
  <c r="N25" i="53" s="1"/>
  <c r="O56" i="54"/>
  <c r="G26" i="53" s="1" a="1"/>
  <c r="G26" i="53" s="1"/>
  <c r="N26" i="53" s="1"/>
  <c r="O57" i="54"/>
  <c r="G27" i="53" s="1" a="1"/>
  <c r="G27" i="53" s="1"/>
  <c r="N27" i="53" s="1"/>
  <c r="O58" i="54"/>
  <c r="G28" i="53" s="1" a="1"/>
  <c r="G28" i="53" s="1"/>
  <c r="N28" i="53" s="1"/>
  <c r="O59" i="54"/>
  <c r="G29" i="53" s="1" a="1"/>
  <c r="G29" i="53" s="1"/>
  <c r="N29" i="53" s="1"/>
  <c r="O60" i="54"/>
  <c r="G30" i="53" s="1" a="1"/>
  <c r="G30" i="53" s="1"/>
  <c r="N30" i="53" s="1"/>
  <c r="O61" i="54"/>
  <c r="G31" i="53" s="1" a="1"/>
  <c r="G31" i="53" s="1"/>
  <c r="N31" i="53" s="1"/>
  <c r="O62" i="54"/>
  <c r="G32" i="53" s="1" a="1"/>
  <c r="G32" i="53" s="1"/>
  <c r="N32" i="53" s="1"/>
  <c r="O63" i="54"/>
  <c r="G33" i="53" s="1" a="1"/>
  <c r="G33" i="53" s="1"/>
  <c r="N33" i="53" s="1"/>
  <c r="O64" i="54"/>
  <c r="G34" i="53" s="1" a="1"/>
  <c r="G34" i="53" s="1"/>
  <c r="N34" i="53" s="1"/>
  <c r="O65" i="54"/>
  <c r="G35" i="53" s="1" a="1"/>
  <c r="G35" i="53" s="1"/>
  <c r="N35" i="53" s="1"/>
  <c r="O66" i="54"/>
  <c r="G36" i="53" s="1" a="1"/>
  <c r="G36" i="53" s="1"/>
  <c r="N36" i="53" s="1"/>
  <c r="O67" i="54"/>
  <c r="G37" i="53" s="1" a="1"/>
  <c r="G37" i="53" s="1"/>
  <c r="N37" i="53" s="1"/>
  <c r="O68" i="54"/>
  <c r="G38" i="53" s="1" a="1"/>
  <c r="G38" i="53" s="1"/>
  <c r="N38" i="53" s="1"/>
  <c r="O69" i="54"/>
  <c r="G39" i="53" s="1" a="1"/>
  <c r="G39" i="53" s="1"/>
  <c r="N39" i="53" s="1"/>
  <c r="O70" i="54"/>
  <c r="G47" i="53" s="1" a="1"/>
  <c r="G47" i="53" s="1"/>
  <c r="N47" i="53" s="1"/>
  <c r="O71" i="54"/>
  <c r="G48" i="53" s="1" a="1"/>
  <c r="G48" i="53" s="1"/>
  <c r="N48" i="53" s="1"/>
  <c r="O35" i="54"/>
  <c r="G4" i="53" s="1" a="1"/>
  <c r="G4" i="53" s="1"/>
  <c r="N4" i="53" s="1"/>
  <c r="H34" i="54" a="1"/>
  <c r="H34" i="54" s="1"/>
  <c r="Q3" i="53"/>
  <c r="O3" i="53"/>
  <c r="H54" i="55" a="1"/>
  <c r="H54" i="55" s="1"/>
  <c r="G54" i="55" a="1"/>
  <c r="G54" i="55" s="1"/>
  <c r="N54" i="55" s="1"/>
  <c r="F54" i="55" a="1"/>
  <c r="F54" i="55" s="1"/>
  <c r="E54" i="55" a="1"/>
  <c r="E54" i="55" s="1"/>
  <c r="D54" i="55" a="1"/>
  <c r="D54" i="55" s="1"/>
  <c r="M54" i="55" s="1"/>
  <c r="C54" i="55" a="1"/>
  <c r="C54" i="55" s="1"/>
  <c r="H53" i="55" a="1"/>
  <c r="H53" i="55" s="1"/>
  <c r="G53" i="55" a="1"/>
  <c r="G53" i="55" s="1"/>
  <c r="N53" i="55" s="1"/>
  <c r="F53" i="55" a="1"/>
  <c r="F53" i="55" s="1"/>
  <c r="E53" i="55" a="1"/>
  <c r="E53" i="55" s="1"/>
  <c r="D53" i="55" a="1"/>
  <c r="D53" i="55" s="1"/>
  <c r="M53" i="55" s="1"/>
  <c r="C53" i="55" a="1"/>
  <c r="C53" i="55" s="1"/>
  <c r="H52" i="55" a="1"/>
  <c r="H52" i="55" s="1"/>
  <c r="G52" i="55" a="1"/>
  <c r="G52" i="55" s="1"/>
  <c r="N52" i="55" s="1"/>
  <c r="F52" i="55" a="1"/>
  <c r="F52" i="55" s="1"/>
  <c r="E52" i="55" a="1"/>
  <c r="E52" i="55" s="1"/>
  <c r="D52" i="55" a="1"/>
  <c r="D52" i="55" s="1"/>
  <c r="M52" i="55" s="1"/>
  <c r="C52" i="55" a="1"/>
  <c r="C52" i="55" s="1"/>
  <c r="H51" i="55" a="1"/>
  <c r="H51" i="55" s="1"/>
  <c r="G51" i="55" a="1"/>
  <c r="G51" i="55" s="1"/>
  <c r="N51" i="55" s="1"/>
  <c r="F51" i="55" a="1"/>
  <c r="F51" i="55" s="1"/>
  <c r="E51" i="55" a="1"/>
  <c r="E51" i="55" s="1"/>
  <c r="D51" i="55" a="1"/>
  <c r="D51" i="55" s="1"/>
  <c r="M51" i="55" s="1"/>
  <c r="C51" i="55" a="1"/>
  <c r="C51" i="55" s="1"/>
  <c r="H50" i="55" a="1"/>
  <c r="H50" i="55" s="1"/>
  <c r="G50" i="55" a="1"/>
  <c r="G50" i="55" s="1"/>
  <c r="N50" i="55" s="1"/>
  <c r="F50" i="55" a="1"/>
  <c r="F50" i="55" s="1"/>
  <c r="E50" i="55" a="1"/>
  <c r="E50" i="55" s="1"/>
  <c r="D50" i="55" a="1"/>
  <c r="D50" i="55" s="1"/>
  <c r="M50" i="55" s="1"/>
  <c r="C50" i="55" a="1"/>
  <c r="C50" i="55" s="1"/>
  <c r="H49" i="55" a="1"/>
  <c r="H49" i="55" s="1"/>
  <c r="G49" i="55" a="1"/>
  <c r="G49" i="55" s="1"/>
  <c r="N49" i="55" s="1"/>
  <c r="F49" i="55" a="1"/>
  <c r="F49" i="55" s="1"/>
  <c r="E49" i="55" a="1"/>
  <c r="E49" i="55" s="1"/>
  <c r="D49" i="55" a="1"/>
  <c r="D49" i="55" s="1"/>
  <c r="M49" i="55" s="1"/>
  <c r="C49" i="55" a="1"/>
  <c r="C49" i="55" s="1"/>
  <c r="H48" i="55" a="1"/>
  <c r="H48" i="55" s="1"/>
  <c r="E48" i="55" a="1"/>
  <c r="E48" i="55" s="1"/>
  <c r="H47" i="55" a="1"/>
  <c r="H47" i="55" s="1"/>
  <c r="F47" i="55" a="1"/>
  <c r="F47" i="55" s="1"/>
  <c r="E47" i="55" a="1"/>
  <c r="E47" i="55" s="1"/>
  <c r="C47" i="55" a="1"/>
  <c r="C47" i="55" s="1"/>
  <c r="H46" i="55" a="1"/>
  <c r="H46" i="55" s="1"/>
  <c r="G46" i="55" a="1"/>
  <c r="G46" i="55" s="1"/>
  <c r="N46" i="55" s="1"/>
  <c r="F46" i="55" a="1"/>
  <c r="F46" i="55" s="1"/>
  <c r="E46" i="55" a="1"/>
  <c r="E46" i="55" s="1"/>
  <c r="D46" i="55" a="1"/>
  <c r="D46" i="55" s="1"/>
  <c r="M46" i="55" s="1"/>
  <c r="C46" i="55" a="1"/>
  <c r="C46" i="55" s="1"/>
  <c r="H45" i="55" a="1"/>
  <c r="H45" i="55" s="1"/>
  <c r="G45" i="55" a="1"/>
  <c r="G45" i="55" s="1"/>
  <c r="N45" i="55" s="1"/>
  <c r="F45" i="55" a="1"/>
  <c r="F45" i="55" s="1"/>
  <c r="E45" i="55" a="1"/>
  <c r="E45" i="55" s="1"/>
  <c r="D45" i="55" a="1"/>
  <c r="D45" i="55" s="1"/>
  <c r="M45" i="55" s="1"/>
  <c r="C45" i="55" a="1"/>
  <c r="C45" i="55" s="1"/>
  <c r="H44" i="55" a="1"/>
  <c r="H44" i="55" s="1"/>
  <c r="G44" i="55" a="1"/>
  <c r="G44" i="55" s="1"/>
  <c r="N44" i="55" s="1"/>
  <c r="F44" i="55" a="1"/>
  <c r="F44" i="55" s="1"/>
  <c r="E44" i="55" a="1"/>
  <c r="E44" i="55" s="1"/>
  <c r="D44" i="55" a="1"/>
  <c r="D44" i="55" s="1"/>
  <c r="M44" i="55" s="1"/>
  <c r="C44" i="55" a="1"/>
  <c r="C44" i="55" s="1"/>
  <c r="H43" i="55" a="1"/>
  <c r="H43" i="55" s="1"/>
  <c r="G43" i="55" a="1"/>
  <c r="G43" i="55" s="1"/>
  <c r="N43" i="55" s="1"/>
  <c r="F43" i="55" a="1"/>
  <c r="F43" i="55" s="1"/>
  <c r="E43" i="55" a="1"/>
  <c r="E43" i="55" s="1"/>
  <c r="D43" i="55" a="1"/>
  <c r="D43" i="55" s="1"/>
  <c r="M43" i="55" s="1"/>
  <c r="C43" i="55" a="1"/>
  <c r="C43" i="55" s="1"/>
  <c r="H42" i="55" a="1"/>
  <c r="H42" i="55" s="1"/>
  <c r="G42" i="55" a="1"/>
  <c r="G42" i="55" s="1"/>
  <c r="N42" i="55" s="1"/>
  <c r="F42" i="55" a="1"/>
  <c r="F42" i="55" s="1"/>
  <c r="E42" i="55" a="1"/>
  <c r="E42" i="55" s="1"/>
  <c r="D42" i="55" a="1"/>
  <c r="D42" i="55" s="1"/>
  <c r="M42" i="55" s="1"/>
  <c r="C42" i="55" a="1"/>
  <c r="C42" i="55" s="1"/>
  <c r="H41" i="55" a="1"/>
  <c r="H41" i="55" s="1"/>
  <c r="G41" i="55" a="1"/>
  <c r="G41" i="55" s="1"/>
  <c r="N41" i="55" s="1"/>
  <c r="F41" i="55" a="1"/>
  <c r="F41" i="55" s="1"/>
  <c r="E41" i="55" a="1"/>
  <c r="E41" i="55" s="1"/>
  <c r="D41" i="55" a="1"/>
  <c r="D41" i="55" s="1"/>
  <c r="M41" i="55" s="1"/>
  <c r="C41" i="55" a="1"/>
  <c r="C41" i="55" s="1"/>
  <c r="H40" i="55" a="1"/>
  <c r="H40" i="55" s="1"/>
  <c r="G40" i="55" a="1"/>
  <c r="G40" i="55" s="1"/>
  <c r="N40" i="55" s="1"/>
  <c r="F40" i="55" a="1"/>
  <c r="F40" i="55" s="1"/>
  <c r="E40" i="55" a="1"/>
  <c r="E40" i="55" s="1"/>
  <c r="D40" i="55" a="1"/>
  <c r="D40" i="55" s="1"/>
  <c r="M40" i="55" s="1"/>
  <c r="C40" i="55" a="1"/>
  <c r="C40" i="55" s="1"/>
  <c r="H39" i="55" a="1"/>
  <c r="H39" i="55" s="1"/>
  <c r="E39" i="55" a="1"/>
  <c r="E39" i="55" s="1"/>
  <c r="H38" i="55" a="1"/>
  <c r="H38" i="55" s="1"/>
  <c r="E38" i="55" a="1"/>
  <c r="E38" i="55" s="1"/>
  <c r="H37" i="55" a="1"/>
  <c r="H37" i="55" s="1"/>
  <c r="F37" i="55" a="1"/>
  <c r="F37" i="55" s="1"/>
  <c r="E37" i="55" a="1"/>
  <c r="E37" i="55" s="1"/>
  <c r="C37" i="55" a="1"/>
  <c r="C37" i="55" s="1"/>
  <c r="H36" i="55" a="1"/>
  <c r="H36" i="55" s="1"/>
  <c r="G36" i="55" a="1"/>
  <c r="G36" i="55" s="1"/>
  <c r="N36" i="55" s="1"/>
  <c r="F36" i="55" a="1"/>
  <c r="F36" i="55" s="1"/>
  <c r="E36" i="55" a="1"/>
  <c r="E36" i="55" s="1"/>
  <c r="D36" i="55" a="1"/>
  <c r="D36" i="55" s="1"/>
  <c r="M36" i="55" s="1"/>
  <c r="C36" i="55" a="1"/>
  <c r="C36" i="55" s="1"/>
  <c r="H35" i="55" a="1"/>
  <c r="H35" i="55" s="1"/>
  <c r="G35" i="55" a="1"/>
  <c r="G35" i="55" s="1"/>
  <c r="N35" i="55" s="1"/>
  <c r="F35" i="55" a="1"/>
  <c r="F35" i="55" s="1"/>
  <c r="E35" i="55" a="1"/>
  <c r="E35" i="55" s="1"/>
  <c r="D35" i="55" a="1"/>
  <c r="D35" i="55" s="1"/>
  <c r="M35" i="55" s="1"/>
  <c r="C35" i="55" a="1"/>
  <c r="C35" i="55" s="1"/>
  <c r="H34" i="55" a="1"/>
  <c r="H34" i="55" s="1"/>
  <c r="F34" i="55" a="1"/>
  <c r="F34" i="55" s="1"/>
  <c r="E34" i="55" a="1"/>
  <c r="E34" i="55" s="1"/>
  <c r="C34" i="55" a="1"/>
  <c r="C34" i="55" s="1"/>
  <c r="H33" i="55" a="1"/>
  <c r="H33" i="55" s="1"/>
  <c r="E33" i="55" a="1"/>
  <c r="E33" i="55" s="1"/>
  <c r="H32" i="55" a="1"/>
  <c r="H32" i="55" s="1"/>
  <c r="E32" i="55" a="1"/>
  <c r="E32" i="55" s="1"/>
  <c r="H31" i="55" a="1"/>
  <c r="H31" i="55" s="1"/>
  <c r="F31" i="55" a="1"/>
  <c r="F31" i="55" s="1"/>
  <c r="E31" i="55" a="1"/>
  <c r="E31" i="55" s="1"/>
  <c r="C31" i="55" a="1"/>
  <c r="C31" i="55" s="1"/>
  <c r="H30" i="55" a="1"/>
  <c r="H30" i="55" s="1"/>
  <c r="F30" i="55" a="1"/>
  <c r="F30" i="55" s="1"/>
  <c r="E30" i="55" a="1"/>
  <c r="E30" i="55" s="1"/>
  <c r="C30" i="55" a="1"/>
  <c r="C30" i="55" s="1"/>
  <c r="H29" i="55" a="1"/>
  <c r="H29" i="55" s="1"/>
  <c r="E29" i="55" a="1"/>
  <c r="E29" i="55" s="1"/>
  <c r="H28" i="55" a="1"/>
  <c r="H28" i="55" s="1"/>
  <c r="E28" i="55" a="1"/>
  <c r="E28" i="55" s="1"/>
  <c r="H27" i="55" a="1"/>
  <c r="H27" i="55" s="1"/>
  <c r="E27" i="55" a="1"/>
  <c r="E27" i="55" s="1"/>
  <c r="H26" i="55" a="1"/>
  <c r="H26" i="55" s="1"/>
  <c r="F26" i="55" a="1"/>
  <c r="F26" i="55" s="1"/>
  <c r="E26" i="55" a="1"/>
  <c r="E26" i="55" s="1"/>
  <c r="C26" i="55" a="1"/>
  <c r="C26" i="55" s="1"/>
  <c r="H25" i="55" a="1"/>
  <c r="H25" i="55" s="1"/>
  <c r="E25" i="55" a="1"/>
  <c r="E25" i="55" s="1"/>
  <c r="H24" i="55" a="1"/>
  <c r="H24" i="55" s="1"/>
  <c r="E24" i="55" a="1"/>
  <c r="E24" i="55" s="1"/>
  <c r="H23" i="55" a="1"/>
  <c r="H23" i="55" s="1"/>
  <c r="E23" i="55" a="1"/>
  <c r="E23" i="55" s="1"/>
  <c r="H22" i="55" a="1"/>
  <c r="H22" i="55" s="1"/>
  <c r="E22" i="55" a="1"/>
  <c r="E22" i="55" s="1"/>
  <c r="H21" i="55" a="1"/>
  <c r="H21" i="55" s="1"/>
  <c r="F21" i="55" a="1"/>
  <c r="F21" i="55" s="1"/>
  <c r="E21" i="55" a="1"/>
  <c r="E21" i="55" s="1"/>
  <c r="C21" i="55" a="1"/>
  <c r="C21" i="55" s="1"/>
  <c r="H20" i="55" a="1"/>
  <c r="H20" i="55" s="1"/>
  <c r="E20" i="55" a="1"/>
  <c r="E20" i="55" s="1"/>
  <c r="H19" i="55" a="1"/>
  <c r="H19" i="55" s="1"/>
  <c r="E19" i="55" a="1"/>
  <c r="E19" i="55" s="1"/>
  <c r="H18" i="55" a="1"/>
  <c r="H18" i="55" s="1"/>
  <c r="E18" i="55" a="1"/>
  <c r="E18" i="55" s="1"/>
  <c r="H17" i="55" a="1"/>
  <c r="H17" i="55" s="1"/>
  <c r="E17" i="55" a="1"/>
  <c r="E17" i="55" s="1"/>
  <c r="H16" i="55" a="1"/>
  <c r="H16" i="55" s="1"/>
  <c r="E16" i="55" a="1"/>
  <c r="E16" i="55" s="1"/>
  <c r="H15" i="55" a="1"/>
  <c r="H15" i="55" s="1"/>
  <c r="E15" i="55" a="1"/>
  <c r="E15" i="55" s="1"/>
  <c r="H14" i="55" a="1"/>
  <c r="H14" i="55" s="1"/>
  <c r="E14" i="55" a="1"/>
  <c r="E14" i="55" s="1"/>
  <c r="H13" i="55" a="1"/>
  <c r="H13" i="55" s="1"/>
  <c r="F13" i="55" a="1"/>
  <c r="F13" i="55" s="1"/>
  <c r="E13" i="55" a="1"/>
  <c r="E13" i="55" s="1"/>
  <c r="C13" i="55" a="1"/>
  <c r="C13" i="55" s="1"/>
  <c r="H12" i="55" a="1"/>
  <c r="H12" i="55" s="1"/>
  <c r="G12" i="55" a="1"/>
  <c r="G12" i="55" s="1"/>
  <c r="N12" i="55" s="1"/>
  <c r="F12" i="55" a="1"/>
  <c r="F12" i="55" s="1"/>
  <c r="E12" i="55" a="1"/>
  <c r="E12" i="55" s="1"/>
  <c r="D12" i="55" a="1"/>
  <c r="D12" i="55" s="1"/>
  <c r="M12" i="55" s="1"/>
  <c r="C12" i="55" a="1"/>
  <c r="C12" i="55" s="1"/>
  <c r="H11" i="55" a="1"/>
  <c r="H11" i="55" s="1"/>
  <c r="E11" i="55" a="1"/>
  <c r="E11" i="55" s="1"/>
  <c r="H10" i="55" a="1"/>
  <c r="H10" i="55" s="1"/>
  <c r="E10" i="55" a="1"/>
  <c r="E10" i="55" s="1"/>
  <c r="H9" i="55" a="1"/>
  <c r="H9" i="55" s="1"/>
  <c r="E9" i="55" a="1"/>
  <c r="E9" i="55" s="1"/>
  <c r="H8" i="55" a="1"/>
  <c r="H8" i="55" s="1"/>
  <c r="F8" i="55" a="1"/>
  <c r="F8" i="55" s="1"/>
  <c r="E8" i="55" a="1"/>
  <c r="E8" i="55" s="1"/>
  <c r="C8" i="55" a="1"/>
  <c r="C8" i="55" s="1"/>
  <c r="H7" i="55" a="1"/>
  <c r="H7" i="55" s="1"/>
  <c r="G7" i="55" a="1"/>
  <c r="G7" i="55" s="1"/>
  <c r="N7" i="55" s="1"/>
  <c r="E7" i="55" a="1"/>
  <c r="E7" i="55" s="1"/>
  <c r="D7" i="55" a="1"/>
  <c r="D7" i="55" s="1"/>
  <c r="M7" i="55" s="1"/>
  <c r="H6" i="55" a="1"/>
  <c r="H6" i="55" s="1"/>
  <c r="E6" i="55" a="1"/>
  <c r="E6" i="55" s="1"/>
  <c r="H5" i="55" a="1"/>
  <c r="H5" i="55" s="1"/>
  <c r="E5" i="55" a="1"/>
  <c r="E5" i="55" s="1"/>
  <c r="H4" i="55" a="1"/>
  <c r="H4" i="55" s="1"/>
  <c r="E4" i="55" a="1"/>
  <c r="E4" i="55" s="1"/>
  <c r="G3" i="55" a="1"/>
  <c r="G3" i="55" s="1"/>
  <c r="N3" i="55" s="1"/>
  <c r="AB3" i="55" s="1"/>
  <c r="C3" i="55" a="1"/>
  <c r="C3" i="55" s="1"/>
  <c r="Q3" i="55"/>
  <c r="O3" i="55"/>
  <c r="O34" i="56"/>
  <c r="G5" i="55" s="1" a="1"/>
  <c r="G5" i="55" s="1"/>
  <c r="N5" i="55" s="1"/>
  <c r="O35" i="56"/>
  <c r="G6" i="55" s="1" a="1"/>
  <c r="G6" i="55" s="1"/>
  <c r="N6" i="55" s="1"/>
  <c r="O36" i="56"/>
  <c r="G8" i="55" s="1" a="1"/>
  <c r="G8" i="55" s="1"/>
  <c r="N8" i="55" s="1"/>
  <c r="O37" i="56"/>
  <c r="G9" i="55" s="1" a="1"/>
  <c r="G9" i="55" s="1"/>
  <c r="N9" i="55" s="1"/>
  <c r="O38" i="56"/>
  <c r="G10" i="55" s="1" a="1"/>
  <c r="G10" i="55" s="1"/>
  <c r="N10" i="55" s="1"/>
  <c r="O39" i="56"/>
  <c r="G11" i="55" s="1" a="1"/>
  <c r="G11" i="55" s="1"/>
  <c r="N11" i="55" s="1"/>
  <c r="O40" i="56"/>
  <c r="G13" i="55" s="1" a="1"/>
  <c r="G13" i="55" s="1"/>
  <c r="N13" i="55" s="1"/>
  <c r="O41" i="56"/>
  <c r="G14" i="55" s="1" a="1"/>
  <c r="G14" i="55" s="1"/>
  <c r="N14" i="55" s="1"/>
  <c r="O42" i="56"/>
  <c r="G15" i="55" s="1" a="1"/>
  <c r="G15" i="55" s="1"/>
  <c r="N15" i="55" s="1"/>
  <c r="O43" i="56"/>
  <c r="G16" i="55" s="1" a="1"/>
  <c r="G16" i="55" s="1"/>
  <c r="N16" i="55" s="1"/>
  <c r="O44" i="56"/>
  <c r="G17" i="55" s="1" a="1"/>
  <c r="G17" i="55" s="1"/>
  <c r="N17" i="55" s="1"/>
  <c r="O45" i="56"/>
  <c r="G18" i="55" s="1" a="1"/>
  <c r="G18" i="55" s="1"/>
  <c r="N18" i="55" s="1"/>
  <c r="O46" i="56"/>
  <c r="G19" i="55" s="1" a="1"/>
  <c r="G19" i="55" s="1"/>
  <c r="N19" i="55" s="1"/>
  <c r="O47" i="56"/>
  <c r="G20" i="55" s="1" a="1"/>
  <c r="G20" i="55" s="1"/>
  <c r="N20" i="55" s="1"/>
  <c r="O48" i="56"/>
  <c r="G21" i="55" s="1" a="1"/>
  <c r="G21" i="55" s="1"/>
  <c r="N21" i="55" s="1"/>
  <c r="O49" i="56"/>
  <c r="G22" i="55" s="1" a="1"/>
  <c r="G22" i="55" s="1"/>
  <c r="N22" i="55" s="1"/>
  <c r="O50" i="56"/>
  <c r="G23" i="55" s="1" a="1"/>
  <c r="G23" i="55" s="1"/>
  <c r="N23" i="55" s="1"/>
  <c r="O51" i="56"/>
  <c r="G24" i="55" s="1" a="1"/>
  <c r="G24" i="55" s="1"/>
  <c r="N24" i="55" s="1"/>
  <c r="O52" i="56"/>
  <c r="G25" i="55" s="1" a="1"/>
  <c r="G25" i="55" s="1"/>
  <c r="N25" i="55" s="1"/>
  <c r="O53" i="56"/>
  <c r="G26" i="55" s="1" a="1"/>
  <c r="G26" i="55" s="1"/>
  <c r="N26" i="55" s="1"/>
  <c r="O54" i="56"/>
  <c r="G27" i="55" s="1" a="1"/>
  <c r="G27" i="55" s="1"/>
  <c r="N27" i="55" s="1"/>
  <c r="O55" i="56"/>
  <c r="G28" i="55" s="1" a="1"/>
  <c r="G28" i="55" s="1"/>
  <c r="N28" i="55" s="1"/>
  <c r="O56" i="56"/>
  <c r="G29" i="55" s="1" a="1"/>
  <c r="G29" i="55" s="1"/>
  <c r="N29" i="55" s="1"/>
  <c r="O57" i="56"/>
  <c r="G30" i="55" s="1" a="1"/>
  <c r="G30" i="55" s="1"/>
  <c r="N30" i="55" s="1"/>
  <c r="O58" i="56"/>
  <c r="G31" i="55" s="1" a="1"/>
  <c r="G31" i="55" s="1"/>
  <c r="N31" i="55" s="1"/>
  <c r="O59" i="56"/>
  <c r="G32" i="55" s="1" a="1"/>
  <c r="G32" i="55" s="1"/>
  <c r="N32" i="55" s="1"/>
  <c r="O60" i="56"/>
  <c r="G33" i="55" s="1" a="1"/>
  <c r="G33" i="55" s="1"/>
  <c r="N33" i="55" s="1"/>
  <c r="O61" i="56"/>
  <c r="G34" i="55" s="1" a="1"/>
  <c r="G34" i="55" s="1"/>
  <c r="N34" i="55" s="1"/>
  <c r="O62" i="56"/>
  <c r="G37" i="55" s="1" a="1"/>
  <c r="G37" i="55" s="1"/>
  <c r="N37" i="55" s="1"/>
  <c r="O63" i="56"/>
  <c r="G38" i="55" s="1" a="1"/>
  <c r="G38" i="55" s="1"/>
  <c r="N38" i="55" s="1"/>
  <c r="O64" i="56"/>
  <c r="G39" i="55" s="1" a="1"/>
  <c r="G39" i="55" s="1"/>
  <c r="N39" i="55" s="1"/>
  <c r="O65" i="56"/>
  <c r="G47" i="55" s="1" a="1"/>
  <c r="G47" i="55" s="1"/>
  <c r="N47" i="55" s="1"/>
  <c r="O66" i="56"/>
  <c r="G48" i="55" s="1" a="1"/>
  <c r="G48" i="55" s="1"/>
  <c r="N48" i="55" s="1"/>
  <c r="O33" i="56"/>
  <c r="G4" i="55" s="1" a="1"/>
  <c r="G4" i="55" s="1"/>
  <c r="N4" i="55" s="1"/>
  <c r="H32" i="56" a="1"/>
  <c r="H32" i="56" s="1"/>
  <c r="D3" i="55" s="1" a="1"/>
  <c r="D3" i="55" s="1"/>
  <c r="M3" i="55" s="1"/>
  <c r="N54" i="59"/>
  <c r="M54" i="59"/>
  <c r="N53" i="59"/>
  <c r="M53" i="59"/>
  <c r="N52" i="59"/>
  <c r="M52" i="59"/>
  <c r="N51" i="59"/>
  <c r="M51" i="59"/>
  <c r="N50" i="59"/>
  <c r="M50" i="59"/>
  <c r="N49" i="59"/>
  <c r="M49" i="59"/>
  <c r="N46" i="59"/>
  <c r="M46" i="59"/>
  <c r="N45" i="59"/>
  <c r="M45" i="59"/>
  <c r="N44" i="59"/>
  <c r="M44" i="59"/>
  <c r="N43" i="59"/>
  <c r="M43" i="59"/>
  <c r="N42" i="59"/>
  <c r="M42" i="59"/>
  <c r="N41" i="59"/>
  <c r="M41" i="59"/>
  <c r="N40" i="59"/>
  <c r="M40" i="59"/>
  <c r="N36" i="59"/>
  <c r="M36" i="59"/>
  <c r="N35" i="59"/>
  <c r="M35" i="59"/>
  <c r="N12" i="59"/>
  <c r="M12" i="59"/>
  <c r="N3" i="59"/>
  <c r="AB3" i="59" s="1"/>
  <c r="Q3" i="59"/>
  <c r="O3" i="59"/>
  <c r="N54" i="57"/>
  <c r="M54" i="57"/>
  <c r="N53" i="57"/>
  <c r="M53" i="57"/>
  <c r="N52" i="57"/>
  <c r="M52" i="57"/>
  <c r="N51" i="57"/>
  <c r="M51" i="57"/>
  <c r="N50" i="57"/>
  <c r="M50" i="57"/>
  <c r="N46" i="57"/>
  <c r="M46" i="57"/>
  <c r="N45" i="57"/>
  <c r="M45" i="57"/>
  <c r="N44" i="57"/>
  <c r="M44" i="57"/>
  <c r="N43" i="57"/>
  <c r="M43" i="57"/>
  <c r="N42" i="57"/>
  <c r="M42" i="57"/>
  <c r="N41" i="57"/>
  <c r="M41" i="57"/>
  <c r="N40" i="57"/>
  <c r="M40" i="57"/>
  <c r="N39" i="57"/>
  <c r="M39" i="57"/>
  <c r="M35" i="57"/>
  <c r="N30" i="57"/>
  <c r="M30" i="57"/>
  <c r="N25" i="57"/>
  <c r="M25" i="57"/>
  <c r="N12" i="57"/>
  <c r="M12" i="57"/>
  <c r="N11" i="57"/>
  <c r="M11" i="57"/>
  <c r="M6" i="57"/>
  <c r="N3" i="57"/>
  <c r="AB3" i="57" s="1"/>
  <c r="Q3" i="57"/>
  <c r="O3" i="57"/>
  <c r="C3" i="51" a="1"/>
  <c r="C3" i="51" s="1"/>
  <c r="N5" i="57"/>
  <c r="N6" i="57"/>
  <c r="N7" i="57"/>
  <c r="N8" i="57"/>
  <c r="N9" i="57"/>
  <c r="N10" i="57"/>
  <c r="N13" i="57"/>
  <c r="N14" i="57"/>
  <c r="N15" i="57"/>
  <c r="N16" i="57"/>
  <c r="N17" i="57"/>
  <c r="N18" i="57"/>
  <c r="N19" i="57"/>
  <c r="N20" i="57"/>
  <c r="N21" i="57"/>
  <c r="N22" i="57"/>
  <c r="N23" i="57"/>
  <c r="N24" i="57"/>
  <c r="N26" i="57"/>
  <c r="N27" i="57"/>
  <c r="N28" i="57"/>
  <c r="N29" i="57"/>
  <c r="N31" i="57"/>
  <c r="N32" i="57"/>
  <c r="N33" i="57"/>
  <c r="N34" i="57"/>
  <c r="N35" i="57"/>
  <c r="N36" i="57"/>
  <c r="N37" i="57"/>
  <c r="N38" i="57"/>
  <c r="N47" i="57"/>
  <c r="N48" i="57"/>
  <c r="N49" i="57"/>
  <c r="N4" i="57"/>
  <c r="M3" i="57"/>
  <c r="E35" i="39"/>
  <c r="F35" i="39"/>
  <c r="E36" i="39"/>
  <c r="F36" i="39"/>
  <c r="E37" i="39"/>
  <c r="F37" i="39"/>
  <c r="E38" i="39"/>
  <c r="F38" i="39"/>
  <c r="E39" i="39"/>
  <c r="F39" i="39"/>
  <c r="E40" i="39"/>
  <c r="F40" i="39"/>
  <c r="E41" i="39"/>
  <c r="F41" i="39"/>
  <c r="E42" i="39"/>
  <c r="F42" i="39"/>
  <c r="E43" i="39"/>
  <c r="F43" i="39"/>
  <c r="E44" i="39"/>
  <c r="F44" i="39"/>
  <c r="E45" i="39"/>
  <c r="F45" i="39"/>
  <c r="E46" i="39"/>
  <c r="F46" i="39"/>
  <c r="D36" i="39"/>
  <c r="D37" i="39"/>
  <c r="D38" i="39"/>
  <c r="D39" i="39"/>
  <c r="D40" i="39"/>
  <c r="D41" i="39"/>
  <c r="D42" i="39"/>
  <c r="D43" i="39"/>
  <c r="D44" i="39"/>
  <c r="D45" i="39"/>
  <c r="D46" i="39"/>
  <c r="D35" i="39"/>
  <c r="E19" i="39"/>
  <c r="F19" i="39"/>
  <c r="E20" i="39"/>
  <c r="F20" i="39"/>
  <c r="E21" i="39"/>
  <c r="F21" i="39"/>
  <c r="E22" i="39"/>
  <c r="F22" i="39"/>
  <c r="E23" i="39"/>
  <c r="F23" i="39"/>
  <c r="E24" i="39"/>
  <c r="F24" i="39"/>
  <c r="E25" i="39"/>
  <c r="F25" i="39"/>
  <c r="E26" i="39"/>
  <c r="F26" i="39"/>
  <c r="E27" i="39"/>
  <c r="F27" i="39"/>
  <c r="E28" i="39"/>
  <c r="F28" i="39"/>
  <c r="E29" i="39"/>
  <c r="F29" i="39"/>
  <c r="E30" i="39"/>
  <c r="F30" i="39"/>
  <c r="D20" i="39"/>
  <c r="D21" i="39"/>
  <c r="D22" i="39"/>
  <c r="D23" i="39"/>
  <c r="D24" i="39"/>
  <c r="D25" i="39"/>
  <c r="D26" i="39"/>
  <c r="D27" i="39"/>
  <c r="D28" i="39"/>
  <c r="D29" i="39"/>
  <c r="D30" i="39"/>
  <c r="D19" i="39"/>
  <c r="E3" i="39"/>
  <c r="F3" i="39"/>
  <c r="E4" i="39"/>
  <c r="F4" i="39"/>
  <c r="E5" i="39"/>
  <c r="F5" i="39"/>
  <c r="E6" i="39"/>
  <c r="F6" i="39"/>
  <c r="E7" i="39"/>
  <c r="F7" i="39"/>
  <c r="E8" i="39"/>
  <c r="F8" i="39"/>
  <c r="E9" i="39"/>
  <c r="F9" i="39"/>
  <c r="E10" i="39"/>
  <c r="F10" i="39"/>
  <c r="E11" i="39"/>
  <c r="F11" i="39"/>
  <c r="E12" i="39"/>
  <c r="F12" i="39"/>
  <c r="E13" i="39"/>
  <c r="F13" i="39"/>
  <c r="E14" i="39"/>
  <c r="F14" i="39"/>
  <c r="D4" i="39"/>
  <c r="D5" i="39"/>
  <c r="D6" i="39"/>
  <c r="D7" i="39"/>
  <c r="D8" i="39"/>
  <c r="D9" i="39"/>
  <c r="D10" i="39"/>
  <c r="D11" i="39"/>
  <c r="D12" i="39"/>
  <c r="D13" i="39"/>
  <c r="D14" i="39"/>
  <c r="D3" i="39"/>
  <c r="G3" i="51" a="1"/>
  <c r="G3" i="51" s="1"/>
  <c r="N3" i="51" s="1"/>
  <c r="AB3" i="51" s="1"/>
  <c r="R4" i="53" l="1"/>
  <c r="AB4" i="53"/>
  <c r="R22" i="53"/>
  <c r="AB22" i="53"/>
  <c r="R12" i="53"/>
  <c r="AB12" i="53"/>
  <c r="R48" i="53"/>
  <c r="AB48" i="53"/>
  <c r="R21" i="53"/>
  <c r="AB21" i="53"/>
  <c r="R44" i="53"/>
  <c r="AB44" i="53"/>
  <c r="R47" i="53"/>
  <c r="AB47" i="53"/>
  <c r="R20" i="53"/>
  <c r="AB20" i="53"/>
  <c r="R39" i="53"/>
  <c r="AB39" i="53"/>
  <c r="R19" i="53"/>
  <c r="AB19" i="53"/>
  <c r="R41" i="53"/>
  <c r="AB41" i="53"/>
  <c r="R38" i="53"/>
  <c r="AB38" i="53"/>
  <c r="R18" i="53"/>
  <c r="AB18" i="53"/>
  <c r="R37" i="53"/>
  <c r="AB37" i="53"/>
  <c r="R17" i="53"/>
  <c r="AB17" i="53"/>
  <c r="R52" i="53"/>
  <c r="AB52" i="53"/>
  <c r="R36" i="53"/>
  <c r="AB36" i="53"/>
  <c r="R16" i="53"/>
  <c r="AB16" i="53"/>
  <c r="R35" i="53"/>
  <c r="AB35" i="53"/>
  <c r="R15" i="53"/>
  <c r="AB15" i="53"/>
  <c r="R7" i="53"/>
  <c r="AB7" i="53"/>
  <c r="R45" i="53"/>
  <c r="AB45" i="53"/>
  <c r="R49" i="53"/>
  <c r="AB49" i="53"/>
  <c r="R34" i="53"/>
  <c r="AB34" i="53"/>
  <c r="R14" i="53"/>
  <c r="AB14" i="53"/>
  <c r="R33" i="53"/>
  <c r="AB33" i="53"/>
  <c r="R13" i="53"/>
  <c r="AB13" i="53"/>
  <c r="R42" i="53"/>
  <c r="AB42" i="53"/>
  <c r="R32" i="53"/>
  <c r="AB32" i="53"/>
  <c r="R11" i="53"/>
  <c r="AB11" i="53"/>
  <c r="R8" i="53"/>
  <c r="AB8" i="53"/>
  <c r="R31" i="53"/>
  <c r="AB31" i="53"/>
  <c r="R10" i="53"/>
  <c r="AB10" i="53"/>
  <c r="R53" i="53"/>
  <c r="AB53" i="53"/>
  <c r="R30" i="53"/>
  <c r="AB30" i="53"/>
  <c r="R9" i="53"/>
  <c r="AB9" i="53"/>
  <c r="R29" i="53"/>
  <c r="AB29" i="53"/>
  <c r="R46" i="53"/>
  <c r="AB46" i="53"/>
  <c r="R50" i="53"/>
  <c r="AB50" i="53"/>
  <c r="R28" i="53"/>
  <c r="AB28" i="53"/>
  <c r="R27" i="53"/>
  <c r="AB27" i="53"/>
  <c r="R6" i="53"/>
  <c r="AB6" i="53"/>
  <c r="R43" i="53"/>
  <c r="AB43" i="53"/>
  <c r="R26" i="53"/>
  <c r="AB26" i="53"/>
  <c r="R5" i="53"/>
  <c r="AB5" i="53"/>
  <c r="R25" i="53"/>
  <c r="AB25" i="53"/>
  <c r="R40" i="53"/>
  <c r="AB40" i="53"/>
  <c r="R54" i="53"/>
  <c r="AB54" i="53"/>
  <c r="R24" i="53"/>
  <c r="AB24" i="53"/>
  <c r="R23" i="53"/>
  <c r="AB23" i="53"/>
  <c r="R51" i="53"/>
  <c r="AB51" i="53"/>
  <c r="M16" i="57"/>
  <c r="M26" i="57"/>
  <c r="M15" i="57"/>
  <c r="M32" i="57"/>
  <c r="M49" i="57"/>
  <c r="M22" i="57"/>
  <c r="M28" i="57"/>
  <c r="M48" i="57"/>
  <c r="M5" i="57"/>
  <c r="M18" i="57"/>
  <c r="M29" i="59"/>
  <c r="M9" i="59"/>
  <c r="M15" i="59"/>
  <c r="M5" i="59"/>
  <c r="M18" i="59"/>
  <c r="M31" i="59"/>
  <c r="M34" i="59"/>
  <c r="M14" i="59"/>
  <c r="M23" i="59"/>
  <c r="M16" i="59"/>
  <c r="M25" i="59"/>
  <c r="M28" i="59"/>
  <c r="M21" i="59"/>
  <c r="M32" i="59"/>
  <c r="M22" i="59"/>
  <c r="M38" i="59"/>
  <c r="M11" i="59"/>
  <c r="M30" i="59"/>
  <c r="M10" i="59"/>
  <c r="M6" i="59"/>
  <c r="M48" i="59"/>
  <c r="M8" i="59"/>
  <c r="M4" i="59"/>
  <c r="M24" i="59"/>
  <c r="M33" i="59"/>
  <c r="M13" i="59"/>
  <c r="M47" i="59"/>
  <c r="M37" i="59"/>
  <c r="M27" i="59"/>
  <c r="M17" i="59"/>
  <c r="M7" i="59"/>
  <c r="N21" i="59"/>
  <c r="N4" i="59"/>
  <c r="N20" i="59"/>
  <c r="R20" i="59" s="1"/>
  <c r="N48" i="59"/>
  <c r="N19" i="59"/>
  <c r="AB19" i="59" s="1"/>
  <c r="N47" i="59"/>
  <c r="N18" i="59"/>
  <c r="N39" i="59"/>
  <c r="N17" i="59"/>
  <c r="N38" i="59"/>
  <c r="N16" i="59"/>
  <c r="N37" i="59"/>
  <c r="N15" i="59"/>
  <c r="N34" i="59"/>
  <c r="N14" i="59"/>
  <c r="N33" i="59"/>
  <c r="N32" i="59"/>
  <c r="N8" i="59"/>
  <c r="N7" i="59"/>
  <c r="N27" i="59"/>
  <c r="N26" i="59"/>
  <c r="R26" i="59" s="1"/>
  <c r="N5" i="59"/>
  <c r="N13" i="59"/>
  <c r="N10" i="59"/>
  <c r="N11" i="59"/>
  <c r="N31" i="59"/>
  <c r="N9" i="59"/>
  <c r="N29" i="59"/>
  <c r="N28" i="59"/>
  <c r="N24" i="59"/>
  <c r="N23" i="59"/>
  <c r="N30" i="59"/>
  <c r="N6" i="59"/>
  <c r="N25" i="59"/>
  <c r="N22" i="59"/>
  <c r="R12" i="59"/>
  <c r="AB12" i="59"/>
  <c r="R49" i="59"/>
  <c r="AB49" i="59"/>
  <c r="R35" i="59"/>
  <c r="AB35" i="59"/>
  <c r="R50" i="59"/>
  <c r="AB50" i="59"/>
  <c r="R40" i="59"/>
  <c r="AB40" i="59"/>
  <c r="R52" i="59"/>
  <c r="AB52" i="59"/>
  <c r="R41" i="59"/>
  <c r="AB41" i="59"/>
  <c r="R53" i="59"/>
  <c r="AB53" i="59"/>
  <c r="R43" i="59"/>
  <c r="AB43" i="59"/>
  <c r="R45" i="59"/>
  <c r="AB45" i="59"/>
  <c r="R51" i="59"/>
  <c r="AB51" i="59"/>
  <c r="R42" i="59"/>
  <c r="AB42" i="59"/>
  <c r="R46" i="59"/>
  <c r="AB46" i="59"/>
  <c r="R36" i="59"/>
  <c r="AB36" i="59"/>
  <c r="R54" i="59"/>
  <c r="AB54" i="59"/>
  <c r="R44" i="59"/>
  <c r="AB44" i="59"/>
  <c r="M36" i="57"/>
  <c r="M29" i="57"/>
  <c r="M13" i="57"/>
  <c r="M38" i="57"/>
  <c r="M19" i="57"/>
  <c r="R22" i="57"/>
  <c r="AB22" i="57"/>
  <c r="R12" i="57"/>
  <c r="AB12" i="57"/>
  <c r="R49" i="57"/>
  <c r="AB49" i="57"/>
  <c r="R44" i="57"/>
  <c r="AB44" i="57"/>
  <c r="R37" i="57"/>
  <c r="AB37" i="57"/>
  <c r="R17" i="57"/>
  <c r="AB17" i="57"/>
  <c r="R13" i="57"/>
  <c r="AB13" i="57"/>
  <c r="R4" i="57"/>
  <c r="AB4" i="57"/>
  <c r="R54" i="57"/>
  <c r="AB54" i="57"/>
  <c r="R47" i="57"/>
  <c r="AB47" i="57"/>
  <c r="R41" i="57"/>
  <c r="AB41" i="57"/>
  <c r="R48" i="57"/>
  <c r="AB48" i="57"/>
  <c r="R14" i="57"/>
  <c r="AB14" i="57"/>
  <c r="R34" i="57"/>
  <c r="AB34" i="57"/>
  <c r="R10" i="57"/>
  <c r="AB10" i="57"/>
  <c r="R52" i="57"/>
  <c r="AB52" i="57"/>
  <c r="R8" i="57"/>
  <c r="AB8" i="57"/>
  <c r="R29" i="57"/>
  <c r="AB29" i="57"/>
  <c r="R30" i="57"/>
  <c r="AB30" i="57"/>
  <c r="R38" i="57"/>
  <c r="AB38" i="57"/>
  <c r="R25" i="57"/>
  <c r="AB25" i="57"/>
  <c r="R7" i="57"/>
  <c r="AB7" i="57"/>
  <c r="R6" i="57"/>
  <c r="AB6" i="57"/>
  <c r="R15" i="57"/>
  <c r="AB15" i="57"/>
  <c r="R39" i="57"/>
  <c r="AB39" i="57"/>
  <c r="R28" i="57"/>
  <c r="AB28" i="57"/>
  <c r="R35" i="57"/>
  <c r="AB35" i="57"/>
  <c r="R53" i="57"/>
  <c r="AB53" i="57"/>
  <c r="R18" i="57"/>
  <c r="AB18" i="57"/>
  <c r="R9" i="57"/>
  <c r="AB9" i="57"/>
  <c r="R42" i="57"/>
  <c r="AB42" i="57"/>
  <c r="R26" i="57"/>
  <c r="AB26" i="57"/>
  <c r="R46" i="57"/>
  <c r="AB46" i="57"/>
  <c r="R33" i="57"/>
  <c r="AB33" i="57"/>
  <c r="R45" i="57"/>
  <c r="AB45" i="57"/>
  <c r="R27" i="57"/>
  <c r="AB27" i="57"/>
  <c r="R11" i="57"/>
  <c r="AB11" i="57"/>
  <c r="R21" i="57"/>
  <c r="AB21" i="57"/>
  <c r="R50" i="57"/>
  <c r="AB50" i="57"/>
  <c r="R32" i="57"/>
  <c r="AB32" i="57"/>
  <c r="R20" i="57"/>
  <c r="AB20" i="57"/>
  <c r="R51" i="57"/>
  <c r="AB51" i="57"/>
  <c r="R19" i="57"/>
  <c r="AB19" i="57"/>
  <c r="R23" i="57"/>
  <c r="AB23" i="57"/>
  <c r="R16" i="57"/>
  <c r="AB16" i="57"/>
  <c r="R43" i="57"/>
  <c r="AB43" i="57"/>
  <c r="R36" i="57"/>
  <c r="AB36" i="57"/>
  <c r="R24" i="57"/>
  <c r="AB24" i="57"/>
  <c r="R31" i="57"/>
  <c r="AB31" i="57"/>
  <c r="R5" i="57"/>
  <c r="AB5" i="57"/>
  <c r="R40" i="57"/>
  <c r="AB40" i="57"/>
  <c r="R30" i="55"/>
  <c r="AB30" i="55"/>
  <c r="R26" i="55"/>
  <c r="AB26" i="55"/>
  <c r="R24" i="55"/>
  <c r="AB24" i="55"/>
  <c r="R28" i="55"/>
  <c r="AB28" i="55"/>
  <c r="R23" i="55"/>
  <c r="AB23" i="55"/>
  <c r="R34" i="55"/>
  <c r="AB34" i="55"/>
  <c r="R32" i="55"/>
  <c r="AB32" i="55"/>
  <c r="R11" i="55"/>
  <c r="AB11" i="55"/>
  <c r="R17" i="55"/>
  <c r="AB17" i="55"/>
  <c r="R49" i="55"/>
  <c r="AB49" i="55"/>
  <c r="R10" i="55"/>
  <c r="AB10" i="55"/>
  <c r="R42" i="55"/>
  <c r="AB42" i="55"/>
  <c r="R53" i="55"/>
  <c r="AB53" i="55"/>
  <c r="R27" i="55"/>
  <c r="AB27" i="55"/>
  <c r="R5" i="55"/>
  <c r="AB5" i="55"/>
  <c r="R9" i="55"/>
  <c r="AB9" i="55"/>
  <c r="R46" i="55"/>
  <c r="AB46" i="55"/>
  <c r="R7" i="55"/>
  <c r="AB7" i="55"/>
  <c r="R21" i="55"/>
  <c r="AB21" i="55"/>
  <c r="R20" i="55"/>
  <c r="AB20" i="55"/>
  <c r="R51" i="55"/>
  <c r="AB51" i="55"/>
  <c r="R48" i="55"/>
  <c r="AB48" i="55"/>
  <c r="R19" i="55"/>
  <c r="AB19" i="55"/>
  <c r="R18" i="55"/>
  <c r="AB18" i="55"/>
  <c r="R8" i="55"/>
  <c r="AB8" i="55"/>
  <c r="R54" i="55"/>
  <c r="AB54" i="55"/>
  <c r="R13" i="55"/>
  <c r="AB13" i="55"/>
  <c r="R40" i="55"/>
  <c r="AB40" i="55"/>
  <c r="R47" i="55"/>
  <c r="AB47" i="55"/>
  <c r="R39" i="55"/>
  <c r="AB39" i="55"/>
  <c r="R31" i="55"/>
  <c r="AB31" i="55"/>
  <c r="R6" i="55"/>
  <c r="AB6" i="55"/>
  <c r="R50" i="55"/>
  <c r="AB50" i="55"/>
  <c r="R22" i="55"/>
  <c r="AB22" i="55"/>
  <c r="R43" i="55"/>
  <c r="AB43" i="55"/>
  <c r="R4" i="55"/>
  <c r="AB4" i="55"/>
  <c r="R35" i="55"/>
  <c r="AB35" i="55"/>
  <c r="R38" i="55"/>
  <c r="AB38" i="55"/>
  <c r="R16" i="55"/>
  <c r="AB16" i="55"/>
  <c r="R44" i="55"/>
  <c r="AB44" i="55"/>
  <c r="R15" i="55"/>
  <c r="AB15" i="55"/>
  <c r="R36" i="55"/>
  <c r="AB36" i="55"/>
  <c r="R41" i="55"/>
  <c r="AB41" i="55"/>
  <c r="R52" i="55"/>
  <c r="AB52" i="55"/>
  <c r="R45" i="55"/>
  <c r="AB45" i="55"/>
  <c r="R29" i="55"/>
  <c r="AB29" i="55"/>
  <c r="R12" i="55"/>
  <c r="AB12" i="55"/>
  <c r="R25" i="55"/>
  <c r="AB25" i="55"/>
  <c r="R37" i="55"/>
  <c r="AB37" i="55"/>
  <c r="R14" i="55"/>
  <c r="AB14" i="55"/>
  <c r="R33" i="55"/>
  <c r="AB33" i="55"/>
  <c r="M9" i="57"/>
  <c r="M33" i="57"/>
  <c r="M7" i="57"/>
  <c r="M23" i="57"/>
  <c r="M4" i="57"/>
  <c r="M20" i="57"/>
  <c r="M24" i="57"/>
  <c r="M34" i="57"/>
  <c r="M37" i="57"/>
  <c r="M47" i="57"/>
  <c r="M17" i="57"/>
  <c r="M21" i="57"/>
  <c r="M31" i="57"/>
  <c r="M10" i="57"/>
  <c r="M27" i="57"/>
  <c r="M14" i="57"/>
  <c r="M8" i="57"/>
  <c r="D8" i="55" a="1"/>
  <c r="D8" i="55" s="1"/>
  <c r="M8" i="55" s="1"/>
  <c r="D14" i="55" a="1"/>
  <c r="D14" i="55" s="1"/>
  <c r="M14" i="55" s="1"/>
  <c r="D47" i="55" a="1"/>
  <c r="D47" i="55" s="1"/>
  <c r="M47" i="55" s="1"/>
  <c r="D27" i="55" a="1"/>
  <c r="D27" i="55" s="1"/>
  <c r="M27" i="55" s="1"/>
  <c r="D34" i="55" a="1"/>
  <c r="D34" i="55" s="1"/>
  <c r="M34" i="55" s="1"/>
  <c r="D11" i="55" a="1"/>
  <c r="D11" i="55" s="1"/>
  <c r="M11" i="55" s="1"/>
  <c r="D37" i="55" a="1"/>
  <c r="D37" i="55" s="1"/>
  <c r="M37" i="55" s="1"/>
  <c r="D4" i="55" a="1"/>
  <c r="D4" i="55" s="1"/>
  <c r="M4" i="55" s="1"/>
  <c r="D21" i="55" a="1"/>
  <c r="D21" i="55" s="1"/>
  <c r="M21" i="55" s="1"/>
  <c r="D17" i="55" a="1"/>
  <c r="D17" i="55" s="1"/>
  <c r="M17" i="55" s="1"/>
  <c r="D31" i="55" a="1"/>
  <c r="D31" i="55" s="1"/>
  <c r="M31" i="55" s="1"/>
  <c r="D24" i="55" a="1"/>
  <c r="D24" i="55" s="1"/>
  <c r="M24" i="55" s="1"/>
  <c r="D5" i="55" a="1"/>
  <c r="D5" i="55" s="1"/>
  <c r="M5" i="55" s="1"/>
  <c r="D15" i="55" a="1"/>
  <c r="D15" i="55" s="1"/>
  <c r="M15" i="55" s="1"/>
  <c r="D25" i="55" a="1"/>
  <c r="D25" i="55" s="1"/>
  <c r="M25" i="55" s="1"/>
  <c r="D28" i="55" a="1"/>
  <c r="D28" i="55" s="1"/>
  <c r="M28" i="55" s="1"/>
  <c r="D9" i="55" a="1"/>
  <c r="D9" i="55" s="1"/>
  <c r="M9" i="55" s="1"/>
  <c r="D39" i="55" a="1"/>
  <c r="D39" i="55" s="1"/>
  <c r="M39" i="55" s="1"/>
  <c r="D38" i="55" a="1"/>
  <c r="D38" i="55" s="1"/>
  <c r="M38" i="55" s="1"/>
  <c r="D26" i="55" a="1"/>
  <c r="D26" i="55" s="1"/>
  <c r="M26" i="55" s="1"/>
  <c r="D22" i="55" a="1"/>
  <c r="D22" i="55" s="1"/>
  <c r="M22" i="55" s="1"/>
  <c r="D16" i="55" a="1"/>
  <c r="D16" i="55" s="1"/>
  <c r="M16" i="55" s="1"/>
  <c r="D32" i="55" a="1"/>
  <c r="D32" i="55" s="1"/>
  <c r="M32" i="55" s="1"/>
  <c r="D19" i="55" a="1"/>
  <c r="D19" i="55" s="1"/>
  <c r="M19" i="55" s="1"/>
  <c r="D13" i="55" a="1"/>
  <c r="D13" i="55" s="1"/>
  <c r="M13" i="55" s="1"/>
  <c r="D23" i="55" a="1"/>
  <c r="D23" i="55" s="1"/>
  <c r="M23" i="55" s="1"/>
  <c r="D33" i="55" a="1"/>
  <c r="D33" i="55" s="1"/>
  <c r="M33" i="55" s="1"/>
  <c r="D18" i="55" a="1"/>
  <c r="D18" i="55" s="1"/>
  <c r="M18" i="55" s="1"/>
  <c r="D29" i="55" a="1"/>
  <c r="D29" i="55" s="1"/>
  <c r="M29" i="55" s="1"/>
  <c r="D6" i="55" a="1"/>
  <c r="D6" i="55" s="1"/>
  <c r="M6" i="55" s="1"/>
  <c r="D48" i="55" a="1"/>
  <c r="D48" i="55" s="1"/>
  <c r="M48" i="55" s="1"/>
  <c r="D10" i="55" a="1"/>
  <c r="D10" i="55" s="1"/>
  <c r="M10" i="55" s="1"/>
  <c r="D20" i="55" a="1"/>
  <c r="D20" i="55" s="1"/>
  <c r="M20" i="55" s="1"/>
  <c r="D30" i="55" a="1"/>
  <c r="D30" i="55" s="1"/>
  <c r="M30" i="55" s="1"/>
  <c r="D5" i="53" a="1"/>
  <c r="D5" i="53" s="1"/>
  <c r="M5" i="53" s="1"/>
  <c r="D32" i="53" a="1"/>
  <c r="D32" i="53" s="1"/>
  <c r="M32" i="53" s="1"/>
  <c r="D19" i="53" a="1"/>
  <c r="D19" i="53" s="1"/>
  <c r="M19" i="53" s="1"/>
  <c r="D22" i="53" a="1"/>
  <c r="D22" i="53" s="1"/>
  <c r="M22" i="53" s="1"/>
  <c r="D35" i="53" a="1"/>
  <c r="D35" i="53" s="1"/>
  <c r="M35" i="53" s="1"/>
  <c r="D7" i="53" a="1"/>
  <c r="D7" i="53" s="1"/>
  <c r="M7" i="53" s="1"/>
  <c r="D15" i="53" a="1"/>
  <c r="D15" i="53" s="1"/>
  <c r="M15" i="53" s="1"/>
  <c r="D9" i="53" a="1"/>
  <c r="D9" i="53" s="1"/>
  <c r="M9" i="53" s="1"/>
  <c r="D29" i="53" a="1"/>
  <c r="D29" i="53" s="1"/>
  <c r="M29" i="53" s="1"/>
  <c r="D6" i="53" a="1"/>
  <c r="D6" i="53" s="1"/>
  <c r="M6" i="53" s="1"/>
  <c r="D16" i="53" a="1"/>
  <c r="D16" i="53" s="1"/>
  <c r="M16" i="53" s="1"/>
  <c r="D26" i="53" a="1"/>
  <c r="D26" i="53" s="1"/>
  <c r="M26" i="53" s="1"/>
  <c r="D36" i="53" a="1"/>
  <c r="D36" i="53" s="1"/>
  <c r="M36" i="53" s="1"/>
  <c r="D13" i="53" a="1"/>
  <c r="D13" i="53" s="1"/>
  <c r="M13" i="53" s="1"/>
  <c r="D23" i="53" a="1"/>
  <c r="D23" i="53" s="1"/>
  <c r="M23" i="53" s="1"/>
  <c r="D33" i="53" a="1"/>
  <c r="D33" i="53" s="1"/>
  <c r="M33" i="53" s="1"/>
  <c r="D39" i="53" a="1"/>
  <c r="D39" i="53" s="1"/>
  <c r="M39" i="53" s="1"/>
  <c r="D10" i="53" a="1"/>
  <c r="D10" i="53" s="1"/>
  <c r="M10" i="53" s="1"/>
  <c r="D20" i="53" a="1"/>
  <c r="D20" i="53" s="1"/>
  <c r="M20" i="53" s="1"/>
  <c r="D30" i="53" a="1"/>
  <c r="D30" i="53" s="1"/>
  <c r="M30" i="53" s="1"/>
  <c r="D17" i="53" a="1"/>
  <c r="D17" i="53" s="1"/>
  <c r="M17" i="53" s="1"/>
  <c r="D27" i="53" a="1"/>
  <c r="D27" i="53" s="1"/>
  <c r="M27" i="53" s="1"/>
  <c r="D37" i="53" a="1"/>
  <c r="D37" i="53" s="1"/>
  <c r="M37" i="53" s="1"/>
  <c r="D47" i="53" a="1"/>
  <c r="D47" i="53" s="1"/>
  <c r="M47" i="53" s="1"/>
  <c r="D14" i="53" a="1"/>
  <c r="D14" i="53" s="1"/>
  <c r="M14" i="53" s="1"/>
  <c r="D24" i="53" a="1"/>
  <c r="D24" i="53" s="1"/>
  <c r="M24" i="53" s="1"/>
  <c r="D34" i="53" a="1"/>
  <c r="D34" i="53" s="1"/>
  <c r="M34" i="53" s="1"/>
  <c r="D31" i="53" a="1"/>
  <c r="D31" i="53" s="1"/>
  <c r="M31" i="53" s="1"/>
  <c r="D4" i="53" a="1"/>
  <c r="D4" i="53" s="1"/>
  <c r="M4" i="53" s="1"/>
  <c r="D11" i="53" a="1"/>
  <c r="D11" i="53" s="1"/>
  <c r="M11" i="53" s="1"/>
  <c r="D21" i="53" a="1"/>
  <c r="D21" i="53" s="1"/>
  <c r="M21" i="53" s="1"/>
  <c r="D8" i="53" a="1"/>
  <c r="D8" i="53" s="1"/>
  <c r="M8" i="53" s="1"/>
  <c r="D18" i="53" a="1"/>
  <c r="D18" i="53" s="1"/>
  <c r="M18" i="53" s="1"/>
  <c r="D28" i="53" a="1"/>
  <c r="D28" i="53" s="1"/>
  <c r="M28" i="53" s="1"/>
  <c r="D38" i="53" a="1"/>
  <c r="D38" i="53" s="1"/>
  <c r="M38" i="53" s="1"/>
  <c r="D48" i="53" a="1"/>
  <c r="D48" i="53" s="1"/>
  <c r="M48" i="53" s="1"/>
  <c r="M20" i="59"/>
  <c r="M19" i="59"/>
  <c r="M26" i="59"/>
  <c r="M39" i="59"/>
  <c r="R3" i="53"/>
  <c r="T3" i="53"/>
  <c r="T3" i="55"/>
  <c r="R3" i="55"/>
  <c r="T3" i="59"/>
  <c r="R3" i="59"/>
  <c r="R3" i="57"/>
  <c r="T3" i="57"/>
  <c r="E4" i="51" a="1"/>
  <c r="E4" i="51" s="1"/>
  <c r="O24" i="52"/>
  <c r="O25" i="52"/>
  <c r="O26" i="52"/>
  <c r="O27" i="52"/>
  <c r="O28" i="52"/>
  <c r="O29" i="52"/>
  <c r="O30" i="52"/>
  <c r="O31" i="52"/>
  <c r="O32" i="52"/>
  <c r="O33" i="52"/>
  <c r="O34" i="52"/>
  <c r="O35" i="52"/>
  <c r="O36" i="52"/>
  <c r="O37" i="52"/>
  <c r="O38" i="52"/>
  <c r="O39" i="52"/>
  <c r="O40" i="52"/>
  <c r="O41" i="52"/>
  <c r="O42" i="52"/>
  <c r="O43" i="52"/>
  <c r="O23" i="52"/>
  <c r="H22" i="52" a="1"/>
  <c r="H22" i="52" s="1"/>
  <c r="D3" i="51" s="1" a="1"/>
  <c r="D3" i="51" s="1"/>
  <c r="M3" i="51" s="1"/>
  <c r="AB1" i="53" l="1"/>
  <c r="R1" i="53"/>
  <c r="U3" i="55" a="1"/>
  <c r="V7" i="55" s="1"/>
  <c r="H4" i="61" a="1"/>
  <c r="H4" i="61" s="1"/>
  <c r="AE3" i="55" a="1"/>
  <c r="U3" i="53" a="1"/>
  <c r="V25" i="53" s="1"/>
  <c r="E4" i="61" a="1"/>
  <c r="E4" i="61" s="1"/>
  <c r="AE3" i="53" a="1"/>
  <c r="U3" i="57" a="1"/>
  <c r="V14" i="57" s="1"/>
  <c r="K4" i="61" a="1"/>
  <c r="K4" i="61" s="1"/>
  <c r="AE3" i="57" a="1"/>
  <c r="AB1" i="57"/>
  <c r="R19" i="59"/>
  <c r="AB20" i="59"/>
  <c r="AB4" i="59"/>
  <c r="R4" i="59"/>
  <c r="R7" i="59"/>
  <c r="AB7" i="59"/>
  <c r="R21" i="59"/>
  <c r="AB21" i="59"/>
  <c r="R8" i="59"/>
  <c r="AB8" i="59"/>
  <c r="R32" i="59"/>
  <c r="AB32" i="59"/>
  <c r="R22" i="59"/>
  <c r="AB22" i="59"/>
  <c r="R33" i="59"/>
  <c r="AB33" i="59"/>
  <c r="R25" i="59"/>
  <c r="AB25" i="59"/>
  <c r="R14" i="59"/>
  <c r="AB14" i="59"/>
  <c r="R6" i="59"/>
  <c r="AB6" i="59"/>
  <c r="AB34" i="59"/>
  <c r="R34" i="59"/>
  <c r="R27" i="59"/>
  <c r="AB27" i="59"/>
  <c r="R15" i="59"/>
  <c r="AB15" i="59"/>
  <c r="AB23" i="59"/>
  <c r="R23" i="59"/>
  <c r="AB16" i="59"/>
  <c r="R16" i="59"/>
  <c r="R38" i="59"/>
  <c r="AB38" i="59"/>
  <c r="AB39" i="59"/>
  <c r="R39" i="59"/>
  <c r="R31" i="59"/>
  <c r="AB31" i="59"/>
  <c r="R18" i="59"/>
  <c r="AB18" i="59"/>
  <c r="R30" i="59"/>
  <c r="AB30" i="59"/>
  <c r="R37" i="59"/>
  <c r="AB37" i="59"/>
  <c r="R24" i="59"/>
  <c r="AB24" i="59"/>
  <c r="R28" i="59"/>
  <c r="AB28" i="59"/>
  <c r="R29" i="59"/>
  <c r="AB29" i="59"/>
  <c r="AB17" i="59"/>
  <c r="R17" i="59"/>
  <c r="R9" i="59"/>
  <c r="AB9" i="59"/>
  <c r="R11" i="59"/>
  <c r="AB11" i="59"/>
  <c r="R47" i="59"/>
  <c r="AB47" i="59"/>
  <c r="R10" i="59"/>
  <c r="AB10" i="59"/>
  <c r="AB13" i="59"/>
  <c r="R13" i="59"/>
  <c r="R5" i="59"/>
  <c r="AB5" i="59"/>
  <c r="R48" i="59"/>
  <c r="AB48" i="59"/>
  <c r="AB26" i="59"/>
  <c r="M3" i="59"/>
  <c r="R1" i="57"/>
  <c r="AB1" i="55"/>
  <c r="R1" i="55"/>
  <c r="U3" i="59" a="1"/>
  <c r="V13" i="59" s="1"/>
  <c r="AE3" i="59" a="1"/>
  <c r="N4" i="61" a="1"/>
  <c r="N4" i="61" s="1"/>
  <c r="D4" i="51" a="1"/>
  <c r="D4" i="51" s="1"/>
  <c r="M4" i="51" s="1"/>
  <c r="V9" i="55" l="1"/>
  <c r="V5" i="55"/>
  <c r="V34" i="55"/>
  <c r="V31" i="55"/>
  <c r="V21" i="55"/>
  <c r="V25" i="55"/>
  <c r="V32" i="55"/>
  <c r="V28" i="55"/>
  <c r="V39" i="55"/>
  <c r="V19" i="55"/>
  <c r="V16" i="55"/>
  <c r="V44" i="55"/>
  <c r="V4" i="55"/>
  <c r="V43" i="55"/>
  <c r="V54" i="55"/>
  <c r="V15" i="55"/>
  <c r="V33" i="55"/>
  <c r="V23" i="55"/>
  <c r="V22" i="55"/>
  <c r="V18" i="55"/>
  <c r="V37" i="55"/>
  <c r="V20" i="55"/>
  <c r="V12" i="55"/>
  <c r="V26" i="55"/>
  <c r="V51" i="55"/>
  <c r="V49" i="55"/>
  <c r="V29" i="55"/>
  <c r="V41" i="55"/>
  <c r="V6" i="55"/>
  <c r="V50" i="55"/>
  <c r="V11" i="55"/>
  <c r="V10" i="55"/>
  <c r="V46" i="55"/>
  <c r="V13" i="55"/>
  <c r="V14" i="55"/>
  <c r="V38" i="55"/>
  <c r="V42" i="55"/>
  <c r="U3" i="55"/>
  <c r="V3" i="55" s="1"/>
  <c r="V24" i="55"/>
  <c r="V36" i="55"/>
  <c r="V45" i="55"/>
  <c r="V40" i="55"/>
  <c r="V53" i="55"/>
  <c r="V17" i="55"/>
  <c r="V52" i="55"/>
  <c r="V35" i="55"/>
  <c r="V47" i="55"/>
  <c r="V48" i="55"/>
  <c r="V30" i="55"/>
  <c r="V27" i="55"/>
  <c r="V8" i="55"/>
  <c r="AF52" i="55"/>
  <c r="AE3" i="55"/>
  <c r="AF3" i="55" s="1"/>
  <c r="AF41" i="55"/>
  <c r="AF45" i="55"/>
  <c r="AF46" i="55"/>
  <c r="AF20" i="55"/>
  <c r="AF24" i="55"/>
  <c r="AF9" i="55"/>
  <c r="AF21" i="55"/>
  <c r="AF10" i="55"/>
  <c r="AF47" i="55"/>
  <c r="AF15" i="55"/>
  <c r="AF51" i="55"/>
  <c r="AF29" i="55"/>
  <c r="AF39" i="55"/>
  <c r="AF30" i="55"/>
  <c r="AF16" i="55"/>
  <c r="AF50" i="55"/>
  <c r="AF38" i="55"/>
  <c r="AF19" i="55"/>
  <c r="AF35" i="55"/>
  <c r="AF13" i="55"/>
  <c r="AF37" i="55"/>
  <c r="AF11" i="55"/>
  <c r="AF5" i="55"/>
  <c r="AF32" i="55"/>
  <c r="AF18" i="55"/>
  <c r="AF48" i="55"/>
  <c r="AF42" i="55"/>
  <c r="AF40" i="55"/>
  <c r="AF54" i="55"/>
  <c r="AF44" i="55"/>
  <c r="AF36" i="55"/>
  <c r="AF49" i="55"/>
  <c r="AF34" i="55"/>
  <c r="AF53" i="55"/>
  <c r="AF25" i="55"/>
  <c r="AF23" i="55"/>
  <c r="AF6" i="55"/>
  <c r="AF17" i="55"/>
  <c r="AF14" i="55"/>
  <c r="AF7" i="55"/>
  <c r="AF12" i="55"/>
  <c r="AF27" i="55"/>
  <c r="AF43" i="55"/>
  <c r="AF26" i="55"/>
  <c r="AF4" i="55"/>
  <c r="AF22" i="55"/>
  <c r="AF33" i="55"/>
  <c r="AF8" i="55"/>
  <c r="AF28" i="55"/>
  <c r="AF31" i="55"/>
  <c r="V23" i="53"/>
  <c r="V15" i="53"/>
  <c r="V6" i="53"/>
  <c r="V39" i="53"/>
  <c r="V41" i="53"/>
  <c r="V47" i="53"/>
  <c r="V13" i="53"/>
  <c r="V43" i="53"/>
  <c r="V30" i="53"/>
  <c r="V32" i="53"/>
  <c r="V12" i="53"/>
  <c r="V7" i="53"/>
  <c r="V40" i="53"/>
  <c r="V24" i="53"/>
  <c r="V31" i="53"/>
  <c r="V21" i="53"/>
  <c r="V17" i="53"/>
  <c r="V4" i="53"/>
  <c r="V9" i="53"/>
  <c r="V26" i="53"/>
  <c r="V29" i="53"/>
  <c r="V45" i="53"/>
  <c r="V50" i="53"/>
  <c r="V54" i="53"/>
  <c r="V52" i="53"/>
  <c r="V34" i="53"/>
  <c r="V8" i="53"/>
  <c r="V20" i="53"/>
  <c r="V35" i="53"/>
  <c r="V33" i="53"/>
  <c r="V10" i="53"/>
  <c r="V36" i="53"/>
  <c r="V11" i="53"/>
  <c r="V16" i="53"/>
  <c r="V38" i="53"/>
  <c r="U3" i="53"/>
  <c r="V3" i="53" s="1"/>
  <c r="V53" i="53"/>
  <c r="V48" i="53"/>
  <c r="V51" i="53"/>
  <c r="V44" i="53"/>
  <c r="V14" i="53"/>
  <c r="V46" i="53"/>
  <c r="V19" i="53"/>
  <c r="V37" i="53"/>
  <c r="V18" i="53"/>
  <c r="V27" i="53"/>
  <c r="V42" i="53"/>
  <c r="V49" i="53"/>
  <c r="V28" i="53"/>
  <c r="V22" i="53"/>
  <c r="V5" i="53"/>
  <c r="AF29" i="53"/>
  <c r="AF49" i="53"/>
  <c r="AF35" i="53"/>
  <c r="AF44" i="53"/>
  <c r="AF11" i="53"/>
  <c r="AF27" i="53"/>
  <c r="AF33" i="53"/>
  <c r="AF8" i="53"/>
  <c r="AF14" i="53"/>
  <c r="AF54" i="53"/>
  <c r="AF48" i="53"/>
  <c r="AF45" i="53"/>
  <c r="AF32" i="53"/>
  <c r="AF43" i="53"/>
  <c r="AF7" i="53"/>
  <c r="AF51" i="53"/>
  <c r="AF21" i="53"/>
  <c r="AF28" i="53"/>
  <c r="AF12" i="53"/>
  <c r="AF39" i="53"/>
  <c r="AF13" i="53"/>
  <c r="AF53" i="53"/>
  <c r="AF17" i="53"/>
  <c r="AF24" i="53"/>
  <c r="AF50" i="53"/>
  <c r="AF46" i="53"/>
  <c r="AF16" i="53"/>
  <c r="AF36" i="53"/>
  <c r="AF9" i="53"/>
  <c r="AF23" i="53"/>
  <c r="AE3" i="53"/>
  <c r="AF3" i="53" s="1"/>
  <c r="AF4" i="53"/>
  <c r="AF6" i="53"/>
  <c r="AF18" i="53"/>
  <c r="AF19" i="53"/>
  <c r="AF15" i="53"/>
  <c r="AF40" i="53"/>
  <c r="AF5" i="53"/>
  <c r="AF47" i="53"/>
  <c r="AF10" i="53"/>
  <c r="AF31" i="53"/>
  <c r="AF25" i="53"/>
  <c r="AF22" i="53"/>
  <c r="AF37" i="53"/>
  <c r="AF41" i="53"/>
  <c r="AF20" i="53"/>
  <c r="AF34" i="53"/>
  <c r="AF52" i="53"/>
  <c r="AF38" i="53"/>
  <c r="AF30" i="53"/>
  <c r="AF42" i="53"/>
  <c r="AF26" i="53"/>
  <c r="V17" i="57"/>
  <c r="V8" i="57"/>
  <c r="V29" i="57"/>
  <c r="V18" i="57"/>
  <c r="U3" i="57"/>
  <c r="V3" i="57" s="1"/>
  <c r="V45" i="57"/>
  <c r="V26" i="57"/>
  <c r="V25" i="57"/>
  <c r="V6" i="57"/>
  <c r="V16" i="57"/>
  <c r="V5" i="57"/>
  <c r="V30" i="57"/>
  <c r="V51" i="57"/>
  <c r="V21" i="57"/>
  <c r="V54" i="57"/>
  <c r="V34" i="57"/>
  <c r="V19" i="57"/>
  <c r="V49" i="57"/>
  <c r="V38" i="57"/>
  <c r="V47" i="57"/>
  <c r="V46" i="57"/>
  <c r="V4" i="57"/>
  <c r="V44" i="57"/>
  <c r="V50" i="57"/>
  <c r="V24" i="57"/>
  <c r="V13" i="57"/>
  <c r="V15" i="57"/>
  <c r="V52" i="57"/>
  <c r="V53" i="57"/>
  <c r="V27" i="57"/>
  <c r="V9" i="57"/>
  <c r="V23" i="57"/>
  <c r="V7" i="57"/>
  <c r="V31" i="57"/>
  <c r="V48" i="57"/>
  <c r="V40" i="57"/>
  <c r="V10" i="57"/>
  <c r="V36" i="57"/>
  <c r="V35" i="57"/>
  <c r="V41" i="57"/>
  <c r="V43" i="57"/>
  <c r="V20" i="57"/>
  <c r="V37" i="57"/>
  <c r="V42" i="57"/>
  <c r="V32" i="57"/>
  <c r="V39" i="57"/>
  <c r="V11" i="57"/>
  <c r="V12" i="57"/>
  <c r="V28" i="57"/>
  <c r="V22" i="57"/>
  <c r="V33" i="57"/>
  <c r="AE3" i="57"/>
  <c r="AF3" i="57" s="1"/>
  <c r="AF23" i="57"/>
  <c r="AF30" i="57"/>
  <c r="AF25" i="57"/>
  <c r="AF53" i="57"/>
  <c r="AF20" i="57"/>
  <c r="AF28" i="57"/>
  <c r="AF16" i="57"/>
  <c r="AF36" i="57"/>
  <c r="AF24" i="57"/>
  <c r="AF45" i="57"/>
  <c r="AF22" i="57"/>
  <c r="AF48" i="57"/>
  <c r="AF4" i="57"/>
  <c r="AF7" i="57"/>
  <c r="AF26" i="57"/>
  <c r="AF18" i="57"/>
  <c r="AF14" i="57"/>
  <c r="AF39" i="57"/>
  <c r="AF9" i="57"/>
  <c r="AF52" i="57"/>
  <c r="AF27" i="57"/>
  <c r="AF46" i="57"/>
  <c r="AF15" i="57"/>
  <c r="AF41" i="57"/>
  <c r="AF19" i="57"/>
  <c r="AF49" i="57"/>
  <c r="AF43" i="57"/>
  <c r="AF21" i="57"/>
  <c r="AF31" i="57"/>
  <c r="AF33" i="57"/>
  <c r="AF32" i="57"/>
  <c r="AF47" i="57"/>
  <c r="AF38" i="57"/>
  <c r="AF12" i="57"/>
  <c r="AF51" i="57"/>
  <c r="AF10" i="57"/>
  <c r="AF8" i="57"/>
  <c r="AF13" i="57"/>
  <c r="AF42" i="57"/>
  <c r="AF40" i="57"/>
  <c r="AF54" i="57"/>
  <c r="AF35" i="57"/>
  <c r="AF5" i="57"/>
  <c r="AF50" i="57"/>
  <c r="AF17" i="57"/>
  <c r="AF37" i="57"/>
  <c r="AF11" i="57"/>
  <c r="AF29" i="57"/>
  <c r="AF6" i="57"/>
  <c r="AF34" i="57"/>
  <c r="AF44" i="57"/>
  <c r="V26" i="59"/>
  <c r="V18" i="59"/>
  <c r="V16" i="59"/>
  <c r="V38" i="59"/>
  <c r="V36" i="59"/>
  <c r="V54" i="59"/>
  <c r="V35" i="59"/>
  <c r="V15" i="59"/>
  <c r="V51" i="59"/>
  <c r="V14" i="59"/>
  <c r="V25" i="59"/>
  <c r="V22" i="59"/>
  <c r="V49" i="59"/>
  <c r="V48" i="59"/>
  <c r="V50" i="59"/>
  <c r="V52" i="59"/>
  <c r="V28" i="59"/>
  <c r="V30" i="59"/>
  <c r="V32" i="59"/>
  <c r="V6" i="59"/>
  <c r="V34" i="59"/>
  <c r="V43" i="59"/>
  <c r="V45" i="59"/>
  <c r="V33" i="59"/>
  <c r="V23" i="59"/>
  <c r="V37" i="59"/>
  <c r="V46" i="59"/>
  <c r="V24" i="59"/>
  <c r="V4" i="59"/>
  <c r="V8" i="59"/>
  <c r="V10" i="59"/>
  <c r="V47" i="59"/>
  <c r="V41" i="59"/>
  <c r="V53" i="59"/>
  <c r="V5" i="59"/>
  <c r="V29" i="59"/>
  <c r="V27" i="59"/>
  <c r="V19" i="59"/>
  <c r="V39" i="59"/>
  <c r="U3" i="59"/>
  <c r="V3" i="59" s="1"/>
  <c r="V40" i="59"/>
  <c r="V20" i="59"/>
  <c r="V42" i="59"/>
  <c r="V11" i="59"/>
  <c r="V31" i="59"/>
  <c r="V7" i="59"/>
  <c r="V44" i="59"/>
  <c r="V21" i="59"/>
  <c r="V9" i="59"/>
  <c r="V12" i="59"/>
  <c r="V17" i="59"/>
  <c r="R1" i="59"/>
  <c r="AB1" i="59"/>
  <c r="AF4" i="59"/>
  <c r="AF24" i="59"/>
  <c r="AF44" i="59"/>
  <c r="AF5" i="59"/>
  <c r="AF25" i="59"/>
  <c r="AF45" i="59"/>
  <c r="AF6" i="59"/>
  <c r="AF26" i="59"/>
  <c r="AF46" i="59"/>
  <c r="AF7" i="59"/>
  <c r="AF27" i="59"/>
  <c r="AF47" i="59"/>
  <c r="AF8" i="59"/>
  <c r="AF28" i="59"/>
  <c r="AF48" i="59"/>
  <c r="AF9" i="59"/>
  <c r="AF49" i="59"/>
  <c r="AF10" i="59"/>
  <c r="AF30" i="59"/>
  <c r="AF50" i="59"/>
  <c r="AF11" i="59"/>
  <c r="AF31" i="59"/>
  <c r="AF51" i="59"/>
  <c r="AF12" i="59"/>
  <c r="AF32" i="59"/>
  <c r="AF52" i="59"/>
  <c r="AF13" i="59"/>
  <c r="AF33" i="59"/>
  <c r="AF53" i="59"/>
  <c r="AF14" i="59"/>
  <c r="AF34" i="59"/>
  <c r="AF54" i="59"/>
  <c r="AF35" i="59"/>
  <c r="AF16" i="59"/>
  <c r="AF36" i="59"/>
  <c r="AF17" i="59"/>
  <c r="AF37" i="59"/>
  <c r="AF18" i="59"/>
  <c r="AF38" i="59"/>
  <c r="AF19" i="59"/>
  <c r="AF39" i="59"/>
  <c r="AF20" i="59"/>
  <c r="AF40" i="59"/>
  <c r="AF21" i="59"/>
  <c r="AF22" i="59"/>
  <c r="AF42" i="59"/>
  <c r="AF23" i="59"/>
  <c r="AF29" i="59"/>
  <c r="AF15" i="59"/>
  <c r="AF41" i="59"/>
  <c r="AF43" i="59"/>
  <c r="AE3" i="59"/>
  <c r="AF3" i="59" s="1"/>
  <c r="U26" i="60" a="1"/>
  <c r="U26" i="60" s="1"/>
  <c r="U25" i="60" a="1"/>
  <c r="U25" i="60" s="1"/>
  <c r="U24" i="60" a="1"/>
  <c r="U24" i="60" s="1"/>
  <c r="U23" i="60" a="1"/>
  <c r="U23" i="60" s="1"/>
  <c r="U22" i="60" a="1"/>
  <c r="U22" i="60" s="1"/>
  <c r="U21" i="60" a="1"/>
  <c r="U21" i="60" s="1"/>
  <c r="U20" i="60" a="1"/>
  <c r="U20" i="60" s="1"/>
  <c r="U19" i="60" a="1"/>
  <c r="U19" i="60" s="1"/>
  <c r="U18" i="60" a="1"/>
  <c r="U18" i="60" s="1"/>
  <c r="U17" i="60" a="1"/>
  <c r="U17" i="60" s="1"/>
  <c r="U16" i="60" a="1"/>
  <c r="U16" i="60" s="1"/>
  <c r="U15" i="60" a="1"/>
  <c r="U15" i="60" s="1"/>
  <c r="U14" i="60" a="1"/>
  <c r="U14" i="60" s="1"/>
  <c r="U13" i="60" a="1"/>
  <c r="U13" i="60" s="1"/>
  <c r="U12" i="60" a="1"/>
  <c r="U12" i="60" s="1"/>
  <c r="U11" i="60" a="1"/>
  <c r="U11" i="60" s="1"/>
  <c r="U10" i="60" a="1"/>
  <c r="U10" i="60" s="1"/>
  <c r="U9" i="60" a="1"/>
  <c r="U9" i="60" s="1"/>
  <c r="U8" i="60" a="1"/>
  <c r="U8" i="60" s="1"/>
  <c r="U7" i="60" a="1"/>
  <c r="U7" i="60" s="1"/>
  <c r="U6" i="60" a="1"/>
  <c r="U6" i="60" s="1"/>
  <c r="U5" i="60" a="1"/>
  <c r="U5" i="60" s="1"/>
  <c r="U4" i="60" a="1"/>
  <c r="U4" i="60" s="1"/>
  <c r="U24" i="58" a="1"/>
  <c r="U24" i="58" s="1"/>
  <c r="U23" i="58" a="1"/>
  <c r="U23" i="58" s="1"/>
  <c r="U22" i="58" a="1"/>
  <c r="U22" i="58" s="1"/>
  <c r="U21" i="58" a="1"/>
  <c r="U21" i="58" s="1"/>
  <c r="U20" i="58" a="1"/>
  <c r="U20" i="58" s="1"/>
  <c r="U19" i="58" a="1"/>
  <c r="U19" i="58" s="1"/>
  <c r="U18" i="58" a="1"/>
  <c r="U18" i="58" s="1"/>
  <c r="U17" i="58" a="1"/>
  <c r="U17" i="58" s="1"/>
  <c r="U16" i="58" a="1"/>
  <c r="U16" i="58" s="1"/>
  <c r="U15" i="58" a="1"/>
  <c r="U15" i="58" s="1"/>
  <c r="U14" i="58" a="1"/>
  <c r="U14" i="58" s="1"/>
  <c r="U13" i="58" a="1"/>
  <c r="U13" i="58" s="1"/>
  <c r="U12" i="58" a="1"/>
  <c r="U12" i="58" s="1"/>
  <c r="U11" i="58" a="1"/>
  <c r="U11" i="58" s="1"/>
  <c r="U10" i="58" a="1"/>
  <c r="U10" i="58" s="1"/>
  <c r="U9" i="58" a="1"/>
  <c r="U9" i="58" s="1"/>
  <c r="U8" i="58" a="1"/>
  <c r="U8" i="58" s="1"/>
  <c r="U7" i="58" a="1"/>
  <c r="U7" i="58" s="1"/>
  <c r="U6" i="58" a="1"/>
  <c r="U6" i="58" s="1"/>
  <c r="U5" i="58" a="1"/>
  <c r="U5" i="58" s="1"/>
  <c r="U4" i="58" a="1"/>
  <c r="U4" i="58" s="1"/>
  <c r="U31" i="56" a="1"/>
  <c r="U31" i="56" s="1"/>
  <c r="U30" i="56" a="1"/>
  <c r="U30" i="56" s="1"/>
  <c r="U29" i="56" a="1"/>
  <c r="U29" i="56" s="1"/>
  <c r="U28" i="56" a="1"/>
  <c r="U28" i="56" s="1"/>
  <c r="U27" i="56" a="1"/>
  <c r="U27" i="56" s="1"/>
  <c r="U26" i="56" a="1"/>
  <c r="U26" i="56" s="1"/>
  <c r="U25" i="56" a="1"/>
  <c r="U25" i="56" s="1"/>
  <c r="U24" i="56" a="1"/>
  <c r="U24" i="56" s="1"/>
  <c r="U23" i="56" a="1"/>
  <c r="U23" i="56" s="1"/>
  <c r="U22" i="56" a="1"/>
  <c r="U22" i="56" s="1"/>
  <c r="U21" i="56" a="1"/>
  <c r="U21" i="56" s="1"/>
  <c r="U20" i="56" a="1"/>
  <c r="U20" i="56" s="1"/>
  <c r="U19" i="56" a="1"/>
  <c r="U19" i="56" s="1"/>
  <c r="U18" i="56" a="1"/>
  <c r="U18" i="56" s="1"/>
  <c r="U17" i="56" a="1"/>
  <c r="U17" i="56" s="1"/>
  <c r="U16" i="56" a="1"/>
  <c r="U16" i="56" s="1"/>
  <c r="U15" i="56" a="1"/>
  <c r="U15" i="56" s="1"/>
  <c r="U14" i="56" a="1"/>
  <c r="U14" i="56" s="1"/>
  <c r="U13" i="56" a="1"/>
  <c r="U13" i="56" s="1"/>
  <c r="U12" i="56" a="1"/>
  <c r="U12" i="56" s="1"/>
  <c r="U11" i="56" a="1"/>
  <c r="U11" i="56" s="1"/>
  <c r="U10" i="56" a="1"/>
  <c r="U10" i="56" s="1"/>
  <c r="U9" i="56" a="1"/>
  <c r="U9" i="56" s="1"/>
  <c r="U8" i="56" a="1"/>
  <c r="U8" i="56" s="1"/>
  <c r="U7" i="56" a="1"/>
  <c r="U7" i="56" s="1"/>
  <c r="U6" i="56" a="1"/>
  <c r="U6" i="56" s="1"/>
  <c r="U5" i="56" a="1"/>
  <c r="U5" i="56" s="1"/>
  <c r="U4" i="56" a="1"/>
  <c r="U4" i="56" s="1"/>
  <c r="U5" i="52" a="1"/>
  <c r="U5" i="52" s="1"/>
  <c r="U6" i="52" a="1"/>
  <c r="U6" i="52" s="1"/>
  <c r="U7" i="52" a="1"/>
  <c r="U7" i="52" s="1"/>
  <c r="U8" i="52" a="1"/>
  <c r="U8" i="52" s="1"/>
  <c r="U9" i="52" a="1"/>
  <c r="U9" i="52" s="1"/>
  <c r="U10" i="52" a="1"/>
  <c r="U10" i="52" s="1"/>
  <c r="U11" i="52" a="1"/>
  <c r="U11" i="52" s="1"/>
  <c r="U12" i="52" a="1"/>
  <c r="U12" i="52"/>
  <c r="U13" i="52" a="1"/>
  <c r="U13" i="52" s="1"/>
  <c r="U14" i="52" a="1"/>
  <c r="U14" i="52"/>
  <c r="U15" i="52" a="1"/>
  <c r="U15" i="52" s="1"/>
  <c r="U16" i="52" a="1"/>
  <c r="U16" i="52" s="1"/>
  <c r="U17" i="52" a="1"/>
  <c r="U17" i="52"/>
  <c r="U18" i="52" a="1"/>
  <c r="U18" i="52" s="1"/>
  <c r="U19" i="52" a="1"/>
  <c r="U19" i="52" s="1"/>
  <c r="U20" i="52" a="1"/>
  <c r="U20" i="52" s="1"/>
  <c r="Y44" i="52" a="1"/>
  <c r="Y44" i="52" s="1"/>
  <c r="U45" i="52" a="1"/>
  <c r="U45" i="52" s="1"/>
  <c r="U46" i="52" a="1"/>
  <c r="U46" i="52" s="1"/>
  <c r="U47" i="52" a="1"/>
  <c r="U47" i="52" s="1"/>
  <c r="U48" i="52" a="1"/>
  <c r="U48" i="52" s="1"/>
  <c r="U49" i="52" a="1"/>
  <c r="U49" i="52" s="1"/>
  <c r="U4" i="52" a="1"/>
  <c r="U4" i="52" s="1"/>
  <c r="U5" i="54" a="1"/>
  <c r="U5" i="54" s="1"/>
  <c r="U6" i="54" a="1"/>
  <c r="U6" i="54" s="1"/>
  <c r="U7" i="54" a="1"/>
  <c r="U7" i="54" s="1"/>
  <c r="U8" i="54" a="1"/>
  <c r="U8" i="54" s="1"/>
  <c r="U9" i="54" a="1"/>
  <c r="U9" i="54" s="1"/>
  <c r="U10" i="54" a="1"/>
  <c r="U10" i="54" s="1"/>
  <c r="U11" i="54" a="1"/>
  <c r="U11" i="54" s="1"/>
  <c r="U12" i="54" a="1"/>
  <c r="U12" i="54" s="1"/>
  <c r="U13" i="54" a="1"/>
  <c r="U13" i="54" s="1"/>
  <c r="U14" i="54" a="1"/>
  <c r="U14" i="54"/>
  <c r="U15" i="54" a="1"/>
  <c r="U15" i="54" s="1"/>
  <c r="U16" i="54" a="1"/>
  <c r="U16" i="54" s="1"/>
  <c r="U17" i="54" a="1"/>
  <c r="U17" i="54" s="1"/>
  <c r="U18" i="54" a="1"/>
  <c r="U18" i="54" s="1"/>
  <c r="U19" i="54" a="1"/>
  <c r="U19" i="54" s="1"/>
  <c r="U20" i="54" a="1"/>
  <c r="U20" i="54" s="1"/>
  <c r="U21" i="54" a="1"/>
  <c r="U21" i="54" s="1"/>
  <c r="U22" i="54" a="1"/>
  <c r="U22" i="54" s="1"/>
  <c r="U23" i="54" a="1"/>
  <c r="U23" i="54" s="1"/>
  <c r="U24" i="54" a="1"/>
  <c r="U24" i="54" s="1"/>
  <c r="U25" i="54" a="1"/>
  <c r="U25" i="54" s="1"/>
  <c r="U26" i="54" a="1"/>
  <c r="U26" i="54" s="1"/>
  <c r="U27" i="54" a="1"/>
  <c r="U27" i="54" s="1"/>
  <c r="U28" i="54" a="1"/>
  <c r="U28" i="54"/>
  <c r="U29" i="54" a="1"/>
  <c r="U29" i="54" s="1"/>
  <c r="U30" i="54" a="1"/>
  <c r="U30" i="54" s="1"/>
  <c r="U31" i="54" a="1"/>
  <c r="U31" i="54" s="1"/>
  <c r="U32" i="54" a="1"/>
  <c r="U32" i="54" s="1"/>
  <c r="U4" i="54" a="1"/>
  <c r="U4" i="54" s="1"/>
  <c r="T3" i="51"/>
  <c r="O24" i="60"/>
  <c r="O25" i="60"/>
  <c r="O23" i="60"/>
  <c r="O22" i="60"/>
  <c r="O21" i="60"/>
  <c r="O20" i="60"/>
  <c r="O19" i="60"/>
  <c r="O18" i="60"/>
  <c r="O17" i="60"/>
  <c r="O16" i="60"/>
  <c r="O15" i="60"/>
  <c r="O14" i="60"/>
  <c r="O13" i="60"/>
  <c r="O12" i="60"/>
  <c r="O11" i="60"/>
  <c r="O10" i="60"/>
  <c r="O9" i="60"/>
  <c r="O8" i="60"/>
  <c r="O7" i="60"/>
  <c r="O6" i="60"/>
  <c r="O5" i="60"/>
  <c r="O4" i="60"/>
  <c r="H4" i="60" a="1"/>
  <c r="O23" i="58"/>
  <c r="O22" i="58"/>
  <c r="O21" i="58"/>
  <c r="O20" i="58"/>
  <c r="O19" i="58"/>
  <c r="O18" i="58"/>
  <c r="O17" i="58"/>
  <c r="O16" i="58"/>
  <c r="O15" i="58"/>
  <c r="O14" i="58"/>
  <c r="O13" i="58"/>
  <c r="O12" i="58"/>
  <c r="O11" i="58"/>
  <c r="O10" i="58"/>
  <c r="O9" i="58"/>
  <c r="O8" i="58"/>
  <c r="O7" i="58"/>
  <c r="O6" i="58"/>
  <c r="O5" i="58"/>
  <c r="O4" i="58"/>
  <c r="H4" i="58" a="1"/>
  <c r="O29" i="56"/>
  <c r="F48" i="55" s="1" a="1"/>
  <c r="F48" i="55" s="1"/>
  <c r="O28" i="56"/>
  <c r="F39" i="55" s="1" a="1"/>
  <c r="F39" i="55" s="1"/>
  <c r="O27" i="56"/>
  <c r="F38" i="55" s="1" a="1"/>
  <c r="F38" i="55" s="1"/>
  <c r="O26" i="56"/>
  <c r="F33" i="55" s="1" a="1"/>
  <c r="F33" i="55" s="1"/>
  <c r="O25" i="56"/>
  <c r="F32" i="55" s="1" a="1"/>
  <c r="F32" i="55" s="1"/>
  <c r="O24" i="56"/>
  <c r="F29" i="55" s="1" a="1"/>
  <c r="F29" i="55" s="1"/>
  <c r="O23" i="56"/>
  <c r="F28" i="55" s="1" a="1"/>
  <c r="F28" i="55" s="1"/>
  <c r="O22" i="56"/>
  <c r="F27" i="55" s="1" a="1"/>
  <c r="F27" i="55" s="1"/>
  <c r="O21" i="56"/>
  <c r="F25" i="55" s="1" a="1"/>
  <c r="F25" i="55" s="1"/>
  <c r="O20" i="56"/>
  <c r="F24" i="55" s="1" a="1"/>
  <c r="F24" i="55" s="1"/>
  <c r="O19" i="56"/>
  <c r="F23" i="55" s="1" a="1"/>
  <c r="F23" i="55" s="1"/>
  <c r="O18" i="56"/>
  <c r="F22" i="55" s="1" a="1"/>
  <c r="F22" i="55" s="1"/>
  <c r="O17" i="56"/>
  <c r="F20" i="55" s="1" a="1"/>
  <c r="F20" i="55" s="1"/>
  <c r="O16" i="56"/>
  <c r="F19" i="55" s="1" a="1"/>
  <c r="F19" i="55" s="1"/>
  <c r="O15" i="56"/>
  <c r="F18" i="55" s="1" a="1"/>
  <c r="F18" i="55" s="1"/>
  <c r="O14" i="56"/>
  <c r="F17" i="55" s="1" a="1"/>
  <c r="F17" i="55" s="1"/>
  <c r="O13" i="56"/>
  <c r="F16" i="55" s="1" a="1"/>
  <c r="F16" i="55" s="1"/>
  <c r="O12" i="56"/>
  <c r="F15" i="55" s="1" a="1"/>
  <c r="F15" i="55" s="1"/>
  <c r="O11" i="56"/>
  <c r="F14" i="55" s="1" a="1"/>
  <c r="F14" i="55" s="1"/>
  <c r="O10" i="56"/>
  <c r="F11" i="55" s="1" a="1"/>
  <c r="F11" i="55" s="1"/>
  <c r="O9" i="56"/>
  <c r="F10" i="55" s="1" a="1"/>
  <c r="F10" i="55" s="1"/>
  <c r="O8" i="56"/>
  <c r="F9" i="55" s="1" a="1"/>
  <c r="F9" i="55" s="1"/>
  <c r="O7" i="56"/>
  <c r="F7" i="55" s="1" a="1"/>
  <c r="F7" i="55" s="1"/>
  <c r="O6" i="56"/>
  <c r="F6" i="55" s="1" a="1"/>
  <c r="F6" i="55" s="1"/>
  <c r="O5" i="56"/>
  <c r="F5" i="55" s="1" a="1"/>
  <c r="F5" i="55" s="1"/>
  <c r="O4" i="56"/>
  <c r="F4" i="55" s="1" a="1"/>
  <c r="F4" i="55" s="1"/>
  <c r="H4" i="56" a="1"/>
  <c r="O5" i="54"/>
  <c r="F5" i="53" s="1" a="1"/>
  <c r="F5" i="53" s="1"/>
  <c r="O6" i="54"/>
  <c r="F6" i="53" s="1" a="1"/>
  <c r="F6" i="53" s="1"/>
  <c r="O7" i="54"/>
  <c r="F7" i="53" s="1" a="1"/>
  <c r="F7" i="53" s="1"/>
  <c r="O8" i="54"/>
  <c r="F8" i="53" s="1" a="1"/>
  <c r="F8" i="53" s="1"/>
  <c r="O9" i="54"/>
  <c r="F9" i="53" s="1" a="1"/>
  <c r="F9" i="53" s="1"/>
  <c r="O10" i="54"/>
  <c r="F10" i="53" s="1" a="1"/>
  <c r="F10" i="53" s="1"/>
  <c r="O11" i="54"/>
  <c r="F11" i="53" s="1" a="1"/>
  <c r="F11" i="53" s="1"/>
  <c r="O12" i="54"/>
  <c r="F12" i="53" s="1" a="1"/>
  <c r="F12" i="53" s="1"/>
  <c r="O13" i="54"/>
  <c r="F14" i="53" s="1" a="1"/>
  <c r="F14" i="53" s="1"/>
  <c r="O14" i="54"/>
  <c r="F15" i="53" s="1" a="1"/>
  <c r="F15" i="53" s="1"/>
  <c r="O15" i="54"/>
  <c r="F16" i="53" s="1" a="1"/>
  <c r="F16" i="53" s="1"/>
  <c r="O16" i="54"/>
  <c r="F17" i="53" s="1" a="1"/>
  <c r="F17" i="53" s="1"/>
  <c r="O17" i="54"/>
  <c r="F18" i="53" s="1" a="1"/>
  <c r="F18" i="53" s="1"/>
  <c r="O18" i="54"/>
  <c r="F19" i="53" s="1" a="1"/>
  <c r="F19" i="53" s="1"/>
  <c r="O19" i="54"/>
  <c r="F20" i="53" s="1" a="1"/>
  <c r="F20" i="53" s="1"/>
  <c r="O20" i="54"/>
  <c r="F21" i="53" s="1" a="1"/>
  <c r="F21" i="53" s="1"/>
  <c r="O21" i="54"/>
  <c r="F22" i="53" s="1" a="1"/>
  <c r="F22" i="53" s="1"/>
  <c r="O22" i="54"/>
  <c r="F23" i="53" s="1" a="1"/>
  <c r="F23" i="53" s="1"/>
  <c r="O23" i="54"/>
  <c r="F24" i="53" s="1" a="1"/>
  <c r="F24" i="53" s="1"/>
  <c r="O24" i="54"/>
  <c r="F25" i="53" s="1" a="1"/>
  <c r="F25" i="53" s="1"/>
  <c r="O25" i="54"/>
  <c r="F27" i="53" s="1" a="1"/>
  <c r="F27" i="53" s="1"/>
  <c r="O26" i="54"/>
  <c r="F28" i="53" s="1" a="1"/>
  <c r="F28" i="53" s="1"/>
  <c r="O27" i="54"/>
  <c r="F29" i="53" s="1" a="1"/>
  <c r="F29" i="53" s="1"/>
  <c r="O28" i="54"/>
  <c r="F32" i="53" s="1" a="1"/>
  <c r="F32" i="53" s="1"/>
  <c r="O29" i="54"/>
  <c r="F33" i="53" s="1" a="1"/>
  <c r="F33" i="53" s="1"/>
  <c r="O30" i="54"/>
  <c r="F36" i="53" s="1" a="1"/>
  <c r="F36" i="53" s="1"/>
  <c r="O31" i="54"/>
  <c r="F38" i="53" s="1" a="1"/>
  <c r="F38" i="53" s="1"/>
  <c r="O4" i="54"/>
  <c r="F4" i="53" s="1" a="1"/>
  <c r="F4" i="53" s="1"/>
  <c r="O5" i="52"/>
  <c r="O6" i="52"/>
  <c r="F6" i="51" s="1" a="1"/>
  <c r="F6" i="51" s="1"/>
  <c r="O7" i="52"/>
  <c r="F9" i="51" s="1" a="1"/>
  <c r="F9" i="51" s="1"/>
  <c r="O8" i="52"/>
  <c r="O9" i="52"/>
  <c r="F14" i="51" s="1" a="1"/>
  <c r="F14" i="51" s="1"/>
  <c r="O10" i="52"/>
  <c r="O11" i="52"/>
  <c r="F16" i="51" s="1" a="1"/>
  <c r="F16" i="51" s="1"/>
  <c r="O12" i="52"/>
  <c r="F17" i="51" s="1" a="1"/>
  <c r="F17" i="51" s="1"/>
  <c r="O13" i="52"/>
  <c r="F18" i="51" s="1" a="1"/>
  <c r="F18" i="51" s="1"/>
  <c r="O14" i="52"/>
  <c r="F22" i="51" s="1" a="1"/>
  <c r="F22" i="51" s="1"/>
  <c r="O15" i="52"/>
  <c r="F23" i="51" s="1" a="1"/>
  <c r="F23" i="51" s="1"/>
  <c r="O16" i="52"/>
  <c r="O17" i="52"/>
  <c r="O18" i="52"/>
  <c r="F29" i="51" s="1" a="1"/>
  <c r="F29" i="51" s="1"/>
  <c r="O19" i="52"/>
  <c r="G5" i="51" a="1"/>
  <c r="G5" i="51" s="1"/>
  <c r="N5" i="51" s="1"/>
  <c r="G9" i="51" a="1"/>
  <c r="G9" i="51" s="1"/>
  <c r="N9" i="51" s="1"/>
  <c r="H14" i="51" a="1"/>
  <c r="H14" i="51" s="1"/>
  <c r="H16" i="51" a="1"/>
  <c r="H16" i="51" s="1"/>
  <c r="H22" i="51" a="1"/>
  <c r="H22" i="51" s="1"/>
  <c r="O4" i="52"/>
  <c r="F4" i="51" s="1" a="1"/>
  <c r="F4" i="51" s="1"/>
  <c r="Q3" i="51"/>
  <c r="G4" i="51" a="1"/>
  <c r="G4" i="51" s="1"/>
  <c r="N4" i="51" s="1"/>
  <c r="H4" i="51" a="1"/>
  <c r="H4" i="51" s="1"/>
  <c r="H5" i="51" a="1"/>
  <c r="H5" i="51" s="1"/>
  <c r="G6" i="51" a="1"/>
  <c r="G6" i="51" s="1"/>
  <c r="N6" i="51" s="1"/>
  <c r="H6" i="51" a="1"/>
  <c r="H6" i="51" s="1"/>
  <c r="G7" i="51" a="1"/>
  <c r="G7" i="51" s="1"/>
  <c r="N7" i="51" s="1"/>
  <c r="H7" i="51" a="1"/>
  <c r="H7" i="51" s="1"/>
  <c r="G8" i="51" a="1"/>
  <c r="G8" i="51" s="1"/>
  <c r="N8" i="51" s="1"/>
  <c r="H8" i="51" a="1"/>
  <c r="H8" i="51" s="1"/>
  <c r="H9" i="51" a="1"/>
  <c r="H9" i="51" s="1"/>
  <c r="G10" i="51" a="1"/>
  <c r="G10" i="51" s="1"/>
  <c r="N10" i="51" s="1"/>
  <c r="H10" i="51" a="1"/>
  <c r="H10" i="51" s="1"/>
  <c r="G11" i="51" a="1"/>
  <c r="G11" i="51" s="1"/>
  <c r="N11" i="51" s="1"/>
  <c r="H11" i="51" a="1"/>
  <c r="H11" i="51" s="1"/>
  <c r="G12" i="51" a="1"/>
  <c r="G12" i="51" s="1"/>
  <c r="N12" i="51" s="1"/>
  <c r="H12" i="51" a="1"/>
  <c r="H12" i="51" s="1"/>
  <c r="G13" i="51" a="1"/>
  <c r="G13" i="51" s="1"/>
  <c r="N13" i="51" s="1"/>
  <c r="H13" i="51" a="1"/>
  <c r="H13" i="51" s="1"/>
  <c r="G14" i="51" a="1"/>
  <c r="G14" i="51" s="1"/>
  <c r="N14" i="51" s="1"/>
  <c r="G15" i="51" a="1"/>
  <c r="G15" i="51" s="1"/>
  <c r="N15" i="51" s="1"/>
  <c r="H15" i="51" a="1"/>
  <c r="H15" i="51" s="1"/>
  <c r="G16" i="51" a="1"/>
  <c r="G16" i="51" s="1"/>
  <c r="N16" i="51" s="1"/>
  <c r="G17" i="51" a="1"/>
  <c r="G17" i="51" s="1"/>
  <c r="N17" i="51" s="1"/>
  <c r="H17" i="51" a="1"/>
  <c r="H17" i="51" s="1"/>
  <c r="G18" i="51" a="1"/>
  <c r="G18" i="51" s="1"/>
  <c r="N18" i="51" s="1"/>
  <c r="H18" i="51" a="1"/>
  <c r="H18" i="51" s="1"/>
  <c r="G19" i="51" a="1"/>
  <c r="G19" i="51" s="1"/>
  <c r="N19" i="51" s="1"/>
  <c r="H19" i="51" a="1"/>
  <c r="H19" i="51" s="1"/>
  <c r="G20" i="51" a="1"/>
  <c r="G20" i="51" s="1"/>
  <c r="N20" i="51" s="1"/>
  <c r="H20" i="51" a="1"/>
  <c r="H20" i="51" s="1"/>
  <c r="G21" i="51" a="1"/>
  <c r="G21" i="51" s="1"/>
  <c r="N21" i="51" s="1"/>
  <c r="H21" i="51" a="1"/>
  <c r="H21" i="51" s="1"/>
  <c r="G22" i="51" a="1"/>
  <c r="G22" i="51" s="1"/>
  <c r="N22" i="51" s="1"/>
  <c r="G23" i="51" a="1"/>
  <c r="G23" i="51" s="1"/>
  <c r="N23" i="51" s="1"/>
  <c r="H23" i="51" a="1"/>
  <c r="H23" i="51" s="1"/>
  <c r="G24" i="51" a="1"/>
  <c r="G24" i="51" s="1"/>
  <c r="N24" i="51" s="1"/>
  <c r="H24" i="51" a="1"/>
  <c r="H24" i="51" s="1"/>
  <c r="G25" i="51" a="1"/>
  <c r="G25" i="51" s="1"/>
  <c r="N25" i="51" s="1"/>
  <c r="H25" i="51" a="1"/>
  <c r="H25" i="51" s="1"/>
  <c r="G26" i="51" a="1"/>
  <c r="G26" i="51" s="1"/>
  <c r="N26" i="51" s="1"/>
  <c r="H26" i="51" a="1"/>
  <c r="H26" i="51" s="1"/>
  <c r="G27" i="51" a="1"/>
  <c r="G27" i="51" s="1"/>
  <c r="N27" i="51" s="1"/>
  <c r="H27" i="51" a="1"/>
  <c r="H27" i="51" s="1"/>
  <c r="G28" i="51" a="1"/>
  <c r="G28" i="51" s="1"/>
  <c r="N28" i="51" s="1"/>
  <c r="H28" i="51" a="1"/>
  <c r="H28" i="51" s="1"/>
  <c r="G29" i="51" a="1"/>
  <c r="G29" i="51" s="1"/>
  <c r="N29" i="51" s="1"/>
  <c r="H29" i="51" a="1"/>
  <c r="H29" i="51" s="1"/>
  <c r="G30" i="51" a="1"/>
  <c r="G30" i="51" s="1"/>
  <c r="N30" i="51" s="1"/>
  <c r="H30" i="51" a="1"/>
  <c r="H30" i="51" s="1"/>
  <c r="G31" i="51" a="1"/>
  <c r="G31" i="51" s="1"/>
  <c r="N31" i="51" s="1"/>
  <c r="H31" i="51" a="1"/>
  <c r="H31" i="51" s="1"/>
  <c r="G32" i="51" a="1"/>
  <c r="G32" i="51" s="1"/>
  <c r="N32" i="51" s="1"/>
  <c r="H32" i="51" a="1"/>
  <c r="H32" i="51" s="1"/>
  <c r="G33" i="51" a="1"/>
  <c r="G33" i="51" s="1"/>
  <c r="N33" i="51" s="1"/>
  <c r="H33" i="51" a="1"/>
  <c r="H33" i="51" s="1"/>
  <c r="G34" i="51" a="1"/>
  <c r="G34" i="51" s="1"/>
  <c r="N34" i="51" s="1"/>
  <c r="H34" i="51" a="1"/>
  <c r="H34" i="51" s="1"/>
  <c r="G35" i="51" a="1"/>
  <c r="G35" i="51" s="1"/>
  <c r="N35" i="51" s="1"/>
  <c r="H35" i="51" a="1"/>
  <c r="H35" i="51" s="1"/>
  <c r="G36" i="51" a="1"/>
  <c r="G36" i="51" s="1"/>
  <c r="N36" i="51" s="1"/>
  <c r="H36" i="51" a="1"/>
  <c r="H36" i="51" s="1"/>
  <c r="G37" i="51" a="1"/>
  <c r="G37" i="51" s="1"/>
  <c r="N37" i="51" s="1"/>
  <c r="H37" i="51" a="1"/>
  <c r="H37" i="51" s="1"/>
  <c r="G38" i="51" a="1"/>
  <c r="G38" i="51" s="1"/>
  <c r="N38" i="51" s="1"/>
  <c r="H38" i="51" a="1"/>
  <c r="H38" i="51" s="1"/>
  <c r="G39" i="51" a="1"/>
  <c r="G39" i="51" s="1"/>
  <c r="N39" i="51" s="1"/>
  <c r="H39" i="51" a="1"/>
  <c r="H39" i="51" s="1"/>
  <c r="G40" i="51" a="1"/>
  <c r="G40" i="51" s="1"/>
  <c r="N40" i="51" s="1"/>
  <c r="H40" i="51" a="1"/>
  <c r="H40" i="51" s="1"/>
  <c r="G41" i="51" a="1"/>
  <c r="G41" i="51" s="1"/>
  <c r="N41" i="51" s="1"/>
  <c r="H41" i="51" a="1"/>
  <c r="H41" i="51" s="1"/>
  <c r="G42" i="51" a="1"/>
  <c r="G42" i="51" s="1"/>
  <c r="N42" i="51" s="1"/>
  <c r="H42" i="51" a="1"/>
  <c r="H42" i="51" s="1"/>
  <c r="G43" i="51" a="1"/>
  <c r="G43" i="51" s="1"/>
  <c r="N43" i="51" s="1"/>
  <c r="H43" i="51" a="1"/>
  <c r="H43" i="51" s="1"/>
  <c r="G44" i="51" a="1"/>
  <c r="G44" i="51" s="1"/>
  <c r="N44" i="51" s="1"/>
  <c r="H44" i="51" a="1"/>
  <c r="H44" i="51" s="1"/>
  <c r="G45" i="51" a="1"/>
  <c r="G45" i="51" s="1"/>
  <c r="N45" i="51" s="1"/>
  <c r="H45" i="51" a="1"/>
  <c r="H45" i="51" s="1"/>
  <c r="G46" i="51" a="1"/>
  <c r="G46" i="51" s="1"/>
  <c r="N46" i="51" s="1"/>
  <c r="H46" i="51" a="1"/>
  <c r="H46" i="51" s="1"/>
  <c r="G47" i="51" a="1"/>
  <c r="G47" i="51" s="1"/>
  <c r="N47" i="51" s="1"/>
  <c r="H47" i="51" a="1"/>
  <c r="H47" i="51" s="1"/>
  <c r="G48" i="51" a="1"/>
  <c r="G48" i="51" s="1"/>
  <c r="N48" i="51" s="1"/>
  <c r="H48" i="51" a="1"/>
  <c r="H48" i="51" s="1"/>
  <c r="G49" i="51" a="1"/>
  <c r="G49" i="51" s="1"/>
  <c r="N49" i="51" s="1"/>
  <c r="H49" i="51" a="1"/>
  <c r="H49" i="51" s="1"/>
  <c r="G50" i="51" a="1"/>
  <c r="G50" i="51" s="1"/>
  <c r="N50" i="51" s="1"/>
  <c r="H50" i="51" a="1"/>
  <c r="H50" i="51" s="1"/>
  <c r="G51" i="51" a="1"/>
  <c r="G51" i="51" s="1"/>
  <c r="N51" i="51" s="1"/>
  <c r="H51" i="51" a="1"/>
  <c r="H51" i="51" s="1"/>
  <c r="G52" i="51" a="1"/>
  <c r="G52" i="51" s="1"/>
  <c r="N52" i="51" s="1"/>
  <c r="H52" i="51" a="1"/>
  <c r="H52" i="51" s="1"/>
  <c r="G53" i="51" a="1"/>
  <c r="G53" i="51" s="1"/>
  <c r="N53" i="51" s="1"/>
  <c r="H53" i="51" a="1"/>
  <c r="H53" i="51" s="1"/>
  <c r="G54" i="51" a="1"/>
  <c r="G54" i="51" s="1"/>
  <c r="N54" i="51" s="1"/>
  <c r="H54" i="51" a="1"/>
  <c r="H54" i="51" s="1"/>
  <c r="F7" i="51" a="1"/>
  <c r="F7" i="51" s="1"/>
  <c r="F8" i="51" a="1"/>
  <c r="F8" i="51" s="1"/>
  <c r="F11" i="51" a="1"/>
  <c r="F11" i="51" s="1"/>
  <c r="F12" i="51" a="1"/>
  <c r="F12" i="51" s="1"/>
  <c r="F13" i="51" a="1"/>
  <c r="F13" i="51" s="1"/>
  <c r="F15" i="51" a="1"/>
  <c r="F15" i="51" s="1"/>
  <c r="F19" i="51" a="1"/>
  <c r="F19" i="51" s="1"/>
  <c r="F20" i="51" a="1"/>
  <c r="F20" i="51" s="1"/>
  <c r="F21" i="51" a="1"/>
  <c r="F21" i="51" s="1"/>
  <c r="F25" i="51" a="1"/>
  <c r="F25" i="51" s="1"/>
  <c r="F26" i="51" a="1"/>
  <c r="F26" i="51" s="1"/>
  <c r="F28" i="51" a="1"/>
  <c r="F28" i="51" s="1"/>
  <c r="F30" i="51" a="1"/>
  <c r="F30" i="51" s="1"/>
  <c r="F31" i="51" a="1"/>
  <c r="F31" i="51" s="1"/>
  <c r="F32" i="51" a="1"/>
  <c r="F32" i="51" s="1"/>
  <c r="F33" i="51" a="1"/>
  <c r="F33" i="51" s="1"/>
  <c r="F34" i="51" a="1"/>
  <c r="F34" i="51" s="1"/>
  <c r="F35" i="51" a="1"/>
  <c r="F35" i="51" s="1"/>
  <c r="F36" i="51" a="1"/>
  <c r="F36" i="51" s="1"/>
  <c r="F37" i="51" a="1"/>
  <c r="F37" i="51" s="1"/>
  <c r="F39" i="51" a="1"/>
  <c r="F39" i="51" s="1"/>
  <c r="F40" i="51" a="1"/>
  <c r="F40" i="51" s="1"/>
  <c r="F41" i="51" a="1"/>
  <c r="F41" i="51" s="1"/>
  <c r="F42" i="51" a="1"/>
  <c r="F42" i="51" s="1"/>
  <c r="F43" i="51" a="1"/>
  <c r="F43" i="51" s="1"/>
  <c r="F44" i="51" a="1"/>
  <c r="F44" i="51" s="1"/>
  <c r="F45" i="51" a="1"/>
  <c r="F45" i="51" s="1"/>
  <c r="F46" i="51" a="1"/>
  <c r="F46" i="51" s="1"/>
  <c r="F47" i="51" a="1"/>
  <c r="F47" i="51" s="1"/>
  <c r="F48" i="51" a="1"/>
  <c r="F48" i="51" s="1"/>
  <c r="F49" i="51" a="1"/>
  <c r="F49" i="51" s="1"/>
  <c r="F50" i="51" a="1"/>
  <c r="F50" i="51" s="1"/>
  <c r="F51" i="51" a="1"/>
  <c r="F51" i="51" s="1"/>
  <c r="F52" i="51" a="1"/>
  <c r="F52" i="51" s="1"/>
  <c r="F53" i="51" a="1"/>
  <c r="F53" i="51" s="1"/>
  <c r="F54" i="51" a="1"/>
  <c r="F54" i="51" s="1"/>
  <c r="E5" i="51" a="1"/>
  <c r="E5" i="51" s="1"/>
  <c r="D6" i="51" a="1"/>
  <c r="D6" i="51" s="1"/>
  <c r="M6" i="51" s="1"/>
  <c r="E6" i="51" a="1"/>
  <c r="E6" i="51" s="1"/>
  <c r="D7" i="51" a="1"/>
  <c r="D7" i="51" s="1"/>
  <c r="M7" i="51" s="1"/>
  <c r="E7" i="51" a="1"/>
  <c r="E7" i="51" s="1"/>
  <c r="D8" i="51" a="1"/>
  <c r="D8" i="51" s="1"/>
  <c r="M8" i="51" s="1"/>
  <c r="E8" i="51" a="1"/>
  <c r="E8" i="51" s="1"/>
  <c r="E9" i="51" a="1"/>
  <c r="E9" i="51" s="1"/>
  <c r="D10" i="51" a="1"/>
  <c r="D10" i="51" s="1"/>
  <c r="M10" i="51" s="1"/>
  <c r="E10" i="51" a="1"/>
  <c r="E10" i="51" s="1"/>
  <c r="D11" i="51" a="1"/>
  <c r="D11" i="51" s="1"/>
  <c r="M11" i="51" s="1"/>
  <c r="E11" i="51" a="1"/>
  <c r="E11" i="51" s="1"/>
  <c r="D12" i="51" a="1"/>
  <c r="D12" i="51" s="1"/>
  <c r="M12" i="51" s="1"/>
  <c r="E12" i="51" a="1"/>
  <c r="E12" i="51" s="1"/>
  <c r="D13" i="51" a="1"/>
  <c r="D13" i="51" s="1"/>
  <c r="M13" i="51" s="1"/>
  <c r="E13" i="51" a="1"/>
  <c r="E13" i="51" s="1"/>
  <c r="D14" i="51" a="1"/>
  <c r="D14" i="51" s="1"/>
  <c r="M14" i="51" s="1"/>
  <c r="D15" i="51" a="1"/>
  <c r="D15" i="51" s="1"/>
  <c r="M15" i="51" s="1"/>
  <c r="E15" i="51" a="1"/>
  <c r="E15" i="51" s="1"/>
  <c r="D16" i="51" a="1"/>
  <c r="D16" i="51" s="1"/>
  <c r="M16" i="51" s="1"/>
  <c r="D17" i="51" a="1"/>
  <c r="D17" i="51" s="1"/>
  <c r="M17" i="51" s="1"/>
  <c r="E17" i="51" a="1"/>
  <c r="E17" i="51" s="1"/>
  <c r="D18" i="51" a="1"/>
  <c r="D18" i="51" s="1"/>
  <c r="M18" i="51" s="1"/>
  <c r="E18" i="51" a="1"/>
  <c r="E18" i="51" s="1"/>
  <c r="D19" i="51" a="1"/>
  <c r="D19" i="51" s="1"/>
  <c r="M19" i="51" s="1"/>
  <c r="E19" i="51" a="1"/>
  <c r="E19" i="51" s="1"/>
  <c r="D20" i="51" a="1"/>
  <c r="D20" i="51" s="1"/>
  <c r="M20" i="51" s="1"/>
  <c r="E20" i="51" a="1"/>
  <c r="E20" i="51" s="1"/>
  <c r="D21" i="51" a="1"/>
  <c r="D21" i="51" s="1"/>
  <c r="M21" i="51" s="1"/>
  <c r="E21" i="51" a="1"/>
  <c r="E21" i="51" s="1"/>
  <c r="D22" i="51" a="1"/>
  <c r="D22" i="51" s="1"/>
  <c r="M22" i="51" s="1"/>
  <c r="D23" i="51" a="1"/>
  <c r="D23" i="51" s="1"/>
  <c r="M23" i="51" s="1"/>
  <c r="E23" i="51" a="1"/>
  <c r="E23" i="51" s="1"/>
  <c r="D24" i="51" a="1"/>
  <c r="D24" i="51" s="1"/>
  <c r="M24" i="51" s="1"/>
  <c r="E24" i="51" a="1"/>
  <c r="E24" i="51" s="1"/>
  <c r="D25" i="51" a="1"/>
  <c r="D25" i="51" s="1"/>
  <c r="M25" i="51" s="1"/>
  <c r="E25" i="51" a="1"/>
  <c r="E25" i="51" s="1"/>
  <c r="D26" i="51" a="1"/>
  <c r="D26" i="51" s="1"/>
  <c r="M26" i="51" s="1"/>
  <c r="E26" i="51" a="1"/>
  <c r="E26" i="51" s="1"/>
  <c r="D27" i="51" a="1"/>
  <c r="D27" i="51" s="1"/>
  <c r="M27" i="51" s="1"/>
  <c r="E27" i="51" a="1"/>
  <c r="E27" i="51" s="1"/>
  <c r="D28" i="51" a="1"/>
  <c r="D28" i="51" s="1"/>
  <c r="M28" i="51" s="1"/>
  <c r="E28" i="51" a="1"/>
  <c r="E28" i="51" s="1"/>
  <c r="D29" i="51" a="1"/>
  <c r="D29" i="51" s="1"/>
  <c r="M29" i="51" s="1"/>
  <c r="E29" i="51" a="1"/>
  <c r="E29" i="51" s="1"/>
  <c r="D30" i="51" a="1"/>
  <c r="D30" i="51" s="1"/>
  <c r="M30" i="51" s="1"/>
  <c r="E30" i="51" a="1"/>
  <c r="E30" i="51" s="1"/>
  <c r="D31" i="51" a="1"/>
  <c r="D31" i="51" s="1"/>
  <c r="M31" i="51" s="1"/>
  <c r="E31" i="51" a="1"/>
  <c r="E31" i="51" s="1"/>
  <c r="D32" i="51" a="1"/>
  <c r="D32" i="51" s="1"/>
  <c r="M32" i="51" s="1"/>
  <c r="E32" i="51" a="1"/>
  <c r="E32" i="51" s="1"/>
  <c r="D33" i="51" a="1"/>
  <c r="D33" i="51" s="1"/>
  <c r="M33" i="51" s="1"/>
  <c r="E33" i="51" a="1"/>
  <c r="E33" i="51" s="1"/>
  <c r="D34" i="51" a="1"/>
  <c r="D34" i="51" s="1"/>
  <c r="M34" i="51" s="1"/>
  <c r="E34" i="51" a="1"/>
  <c r="E34" i="51" s="1"/>
  <c r="D35" i="51" a="1"/>
  <c r="D35" i="51" s="1"/>
  <c r="M35" i="51" s="1"/>
  <c r="E35" i="51" a="1"/>
  <c r="E35" i="51" s="1"/>
  <c r="D36" i="51" a="1"/>
  <c r="D36" i="51" s="1"/>
  <c r="M36" i="51" s="1"/>
  <c r="E36" i="51" a="1"/>
  <c r="E36" i="51" s="1"/>
  <c r="D37" i="51" a="1"/>
  <c r="D37" i="51" s="1"/>
  <c r="M37" i="51" s="1"/>
  <c r="E37" i="51" a="1"/>
  <c r="E37" i="51" s="1"/>
  <c r="D38" i="51" a="1"/>
  <c r="D38" i="51" s="1"/>
  <c r="M38" i="51" s="1"/>
  <c r="E38" i="51" a="1"/>
  <c r="E38" i="51" s="1"/>
  <c r="D39" i="51" a="1"/>
  <c r="D39" i="51" s="1"/>
  <c r="M39" i="51" s="1"/>
  <c r="E39" i="51" a="1"/>
  <c r="E39" i="51" s="1"/>
  <c r="D40" i="51" a="1"/>
  <c r="D40" i="51" s="1"/>
  <c r="M40" i="51" s="1"/>
  <c r="E40" i="51" a="1"/>
  <c r="E40" i="51" s="1"/>
  <c r="D41" i="51" a="1"/>
  <c r="D41" i="51" s="1"/>
  <c r="M41" i="51" s="1"/>
  <c r="E41" i="51" a="1"/>
  <c r="E41" i="51" s="1"/>
  <c r="D42" i="51" a="1"/>
  <c r="D42" i="51" s="1"/>
  <c r="M42" i="51" s="1"/>
  <c r="E42" i="51" a="1"/>
  <c r="E42" i="51" s="1"/>
  <c r="D43" i="51" a="1"/>
  <c r="D43" i="51" s="1"/>
  <c r="M43" i="51" s="1"/>
  <c r="E43" i="51" a="1"/>
  <c r="E43" i="51" s="1"/>
  <c r="D44" i="51" a="1"/>
  <c r="D44" i="51" s="1"/>
  <c r="M44" i="51" s="1"/>
  <c r="E44" i="51" a="1"/>
  <c r="E44" i="51" s="1"/>
  <c r="D45" i="51" a="1"/>
  <c r="D45" i="51" s="1"/>
  <c r="M45" i="51" s="1"/>
  <c r="E45" i="51" a="1"/>
  <c r="E45" i="51" s="1"/>
  <c r="D46" i="51" a="1"/>
  <c r="D46" i="51" s="1"/>
  <c r="M46" i="51" s="1"/>
  <c r="E46" i="51" a="1"/>
  <c r="E46" i="51" s="1"/>
  <c r="D47" i="51" a="1"/>
  <c r="D47" i="51" s="1"/>
  <c r="M47" i="51" s="1"/>
  <c r="E47" i="51" a="1"/>
  <c r="E47" i="51" s="1"/>
  <c r="D48" i="51" a="1"/>
  <c r="D48" i="51" s="1"/>
  <c r="M48" i="51" s="1"/>
  <c r="E48" i="51" a="1"/>
  <c r="E48" i="51" s="1"/>
  <c r="D49" i="51" a="1"/>
  <c r="D49" i="51" s="1"/>
  <c r="M49" i="51" s="1"/>
  <c r="E49" i="51" a="1"/>
  <c r="E49" i="51" s="1"/>
  <c r="D50" i="51" a="1"/>
  <c r="D50" i="51" s="1"/>
  <c r="M50" i="51" s="1"/>
  <c r="E50" i="51" a="1"/>
  <c r="E50" i="51" s="1"/>
  <c r="D51" i="51" a="1"/>
  <c r="D51" i="51" s="1"/>
  <c r="M51" i="51" s="1"/>
  <c r="E51" i="51" a="1"/>
  <c r="E51" i="51" s="1"/>
  <c r="D52" i="51" a="1"/>
  <c r="D52" i="51" s="1"/>
  <c r="M52" i="51" s="1"/>
  <c r="E52" i="51" a="1"/>
  <c r="E52" i="51" s="1"/>
  <c r="D53" i="51" a="1"/>
  <c r="D53" i="51" s="1"/>
  <c r="M53" i="51" s="1"/>
  <c r="E53" i="51" a="1"/>
  <c r="E53" i="51" s="1"/>
  <c r="D54" i="51" a="1"/>
  <c r="D54" i="51" s="1"/>
  <c r="M54" i="51" s="1"/>
  <c r="E54" i="51" a="1"/>
  <c r="E54" i="51" s="1"/>
  <c r="C7" i="51" a="1"/>
  <c r="C7" i="51" s="1"/>
  <c r="C8" i="51" a="1"/>
  <c r="C8" i="51" s="1"/>
  <c r="C11" i="51" a="1"/>
  <c r="C11" i="51" s="1"/>
  <c r="C12" i="51" a="1"/>
  <c r="C12" i="51" s="1"/>
  <c r="C13" i="51" a="1"/>
  <c r="C13" i="51" s="1"/>
  <c r="C19" i="51" a="1"/>
  <c r="C19" i="51" s="1"/>
  <c r="C20" i="51" a="1"/>
  <c r="C20" i="51" s="1"/>
  <c r="C21" i="51" a="1"/>
  <c r="C21" i="51" s="1"/>
  <c r="C25" i="51" a="1"/>
  <c r="C25" i="51" s="1"/>
  <c r="C26" i="51" a="1"/>
  <c r="C26" i="51" s="1"/>
  <c r="C28" i="51" a="1"/>
  <c r="C28" i="51" s="1"/>
  <c r="C30" i="51" a="1"/>
  <c r="C30" i="51" s="1"/>
  <c r="C31" i="51" a="1"/>
  <c r="C31" i="51" s="1"/>
  <c r="C32" i="51" a="1"/>
  <c r="C32" i="51" s="1"/>
  <c r="C33" i="51" a="1"/>
  <c r="C33" i="51" s="1"/>
  <c r="C34" i="51" a="1"/>
  <c r="C34" i="51" s="1"/>
  <c r="C35" i="51" a="1"/>
  <c r="C35" i="51" s="1"/>
  <c r="C36" i="51" a="1"/>
  <c r="C36" i="51" s="1"/>
  <c r="C37" i="51" a="1"/>
  <c r="C37" i="51" s="1"/>
  <c r="C39" i="51" a="1"/>
  <c r="C39" i="51" s="1"/>
  <c r="C40" i="51" a="1"/>
  <c r="C40" i="51" s="1"/>
  <c r="C41" i="51" a="1"/>
  <c r="C41" i="51" s="1"/>
  <c r="C42" i="51" a="1"/>
  <c r="C42" i="51" s="1"/>
  <c r="C43" i="51" a="1"/>
  <c r="C43" i="51" s="1"/>
  <c r="C44" i="51" a="1"/>
  <c r="C44" i="51" s="1"/>
  <c r="C45" i="51" a="1"/>
  <c r="C45" i="51" s="1"/>
  <c r="C46" i="51" a="1"/>
  <c r="C46" i="51" s="1"/>
  <c r="C47" i="51" a="1"/>
  <c r="C47" i="51" s="1"/>
  <c r="C48" i="51" a="1"/>
  <c r="C48" i="51" s="1"/>
  <c r="C49" i="51" a="1"/>
  <c r="C49" i="51" s="1"/>
  <c r="C50" i="51" a="1"/>
  <c r="C50" i="51" s="1"/>
  <c r="C51" i="51" a="1"/>
  <c r="C51" i="51" s="1"/>
  <c r="C52" i="51" a="1"/>
  <c r="C52" i="51" s="1"/>
  <c r="C53" i="51" a="1"/>
  <c r="C53" i="51" s="1"/>
  <c r="C54" i="51" a="1"/>
  <c r="C54" i="51" s="1"/>
  <c r="H4" i="54" a="1"/>
  <c r="O3" i="51"/>
  <c r="R3" i="51" s="1"/>
  <c r="R50" i="51" l="1"/>
  <c r="AB50" i="51"/>
  <c r="R49" i="51"/>
  <c r="AB49" i="51"/>
  <c r="R17" i="51"/>
  <c r="AB17" i="51"/>
  <c r="R47" i="51"/>
  <c r="AB47" i="51"/>
  <c r="R16" i="51"/>
  <c r="AB16" i="51"/>
  <c r="R36" i="51"/>
  <c r="AB36" i="51"/>
  <c r="R35" i="51"/>
  <c r="AB35" i="51"/>
  <c r="R54" i="51"/>
  <c r="AB54" i="51"/>
  <c r="R23" i="51"/>
  <c r="AB23" i="51"/>
  <c r="R42" i="51"/>
  <c r="AB42" i="51"/>
  <c r="R32" i="51"/>
  <c r="AB32" i="51"/>
  <c r="R30" i="51"/>
  <c r="AB30" i="51"/>
  <c r="R7" i="51"/>
  <c r="AB7" i="51"/>
  <c r="R48" i="51"/>
  <c r="AB48" i="51"/>
  <c r="R6" i="51"/>
  <c r="AB6" i="51"/>
  <c r="R37" i="51"/>
  <c r="AB37" i="51"/>
  <c r="R15" i="51"/>
  <c r="AB15" i="51"/>
  <c r="R45" i="51"/>
  <c r="AB45" i="51"/>
  <c r="R24" i="51"/>
  <c r="AB24" i="51"/>
  <c r="R9" i="51"/>
  <c r="AB9" i="51"/>
  <c r="R33" i="51"/>
  <c r="AB33" i="51"/>
  <c r="R11" i="51"/>
  <c r="AB11" i="51"/>
  <c r="R21" i="51"/>
  <c r="AB21" i="51"/>
  <c r="R10" i="51"/>
  <c r="AB10" i="51"/>
  <c r="R8" i="51"/>
  <c r="AB8" i="51"/>
  <c r="R39" i="51"/>
  <c r="AB39" i="51"/>
  <c r="R18" i="51"/>
  <c r="AB18" i="51"/>
  <c r="R28" i="51"/>
  <c r="AB28" i="51"/>
  <c r="R4" i="51"/>
  <c r="AB4" i="51"/>
  <c r="R26" i="51"/>
  <c r="AB26" i="51"/>
  <c r="R25" i="51"/>
  <c r="AB25" i="51"/>
  <c r="R44" i="51"/>
  <c r="AB44" i="51"/>
  <c r="R53" i="51"/>
  <c r="AB53" i="51"/>
  <c r="R5" i="51"/>
  <c r="AB5" i="51"/>
  <c r="R52" i="51"/>
  <c r="AB52" i="51"/>
  <c r="R51" i="51"/>
  <c r="AB51" i="51"/>
  <c r="R41" i="51"/>
  <c r="AB41" i="51"/>
  <c r="R31" i="51"/>
  <c r="AB31" i="51"/>
  <c r="R40" i="51"/>
  <c r="AB40" i="51"/>
  <c r="R19" i="51"/>
  <c r="AB19" i="51"/>
  <c r="R29" i="51"/>
  <c r="AB29" i="51"/>
  <c r="R38" i="51"/>
  <c r="AB38" i="51"/>
  <c r="R27" i="51"/>
  <c r="AB27" i="51"/>
  <c r="R46" i="51"/>
  <c r="AB46" i="51"/>
  <c r="R14" i="51"/>
  <c r="AB14" i="51"/>
  <c r="R13" i="51"/>
  <c r="AB13" i="51"/>
  <c r="R34" i="51"/>
  <c r="AB34" i="51"/>
  <c r="R12" i="51"/>
  <c r="AB12" i="51"/>
  <c r="R43" i="51"/>
  <c r="AB43" i="51"/>
  <c r="R22" i="51"/>
  <c r="AB22" i="51"/>
  <c r="R20" i="51"/>
  <c r="AB20" i="51"/>
  <c r="V1" i="55"/>
  <c r="G2" i="61" s="1"/>
  <c r="E12" i="20" s="1"/>
  <c r="AF1" i="55"/>
  <c r="G2" i="63" s="1"/>
  <c r="V1" i="53"/>
  <c r="D2" i="61" s="1"/>
  <c r="E11" i="20" s="1"/>
  <c r="AF1" i="53"/>
  <c r="D2" i="63" s="1"/>
  <c r="B4" i="61" a="1"/>
  <c r="B4" i="61" s="1"/>
  <c r="AE3" i="51" a="1"/>
  <c r="V1" i="57"/>
  <c r="J2" i="61" s="1"/>
  <c r="E13" i="20" s="1"/>
  <c r="AF1" i="57"/>
  <c r="J2" i="63" s="1"/>
  <c r="V1" i="59"/>
  <c r="M2" i="61" s="1"/>
  <c r="E14" i="20" s="1"/>
  <c r="AF1" i="59"/>
  <c r="M2" i="63" s="1"/>
  <c r="H4" i="58"/>
  <c r="H4" i="56"/>
  <c r="C4" i="55" s="1" a="1"/>
  <c r="C4" i="55" s="1"/>
  <c r="C27" i="55" a="1"/>
  <c r="C27" i="55" s="1"/>
  <c r="C17" i="55" a="1"/>
  <c r="C17" i="55" s="1"/>
  <c r="C7" i="55" a="1"/>
  <c r="C7" i="55" s="1"/>
  <c r="C38" i="55" a="1"/>
  <c r="C38" i="55" s="1"/>
  <c r="C11" i="55" a="1"/>
  <c r="C11" i="55" s="1"/>
  <c r="C20" i="55" a="1"/>
  <c r="C20" i="55" s="1"/>
  <c r="C10" i="55" a="1"/>
  <c r="C10" i="55" s="1"/>
  <c r="C22" i="55" a="1"/>
  <c r="C22" i="55" s="1"/>
  <c r="C28" i="55" a="1"/>
  <c r="C28" i="55" s="1"/>
  <c r="C39" i="55" a="1"/>
  <c r="C39" i="55" s="1"/>
  <c r="C9" i="55" a="1"/>
  <c r="C9" i="55" s="1"/>
  <c r="C15" i="55" a="1"/>
  <c r="C15" i="55" s="1"/>
  <c r="C24" i="55" a="1"/>
  <c r="C24" i="55" s="1"/>
  <c r="C33" i="55" a="1"/>
  <c r="C33" i="55" s="1"/>
  <c r="C23" i="55" a="1"/>
  <c r="C23" i="55" s="1"/>
  <c r="C19" i="55" a="1"/>
  <c r="C19" i="55" s="1"/>
  <c r="C48" i="55" a="1"/>
  <c r="C48" i="55" s="1"/>
  <c r="C32" i="55" a="1"/>
  <c r="C32" i="55" s="1"/>
  <c r="C16" i="55" a="1"/>
  <c r="C16" i="55" s="1"/>
  <c r="C6" i="55" a="1"/>
  <c r="C6" i="55" s="1"/>
  <c r="C29" i="55" a="1"/>
  <c r="C29" i="55" s="1"/>
  <c r="C14" i="55" a="1"/>
  <c r="C14" i="55" s="1"/>
  <c r="C25" i="55" a="1"/>
  <c r="C25" i="55" s="1"/>
  <c r="C5" i="55" a="1"/>
  <c r="C5" i="55" s="1"/>
  <c r="C18" i="55" a="1"/>
  <c r="C18" i="55" s="1"/>
  <c r="H4" i="54"/>
  <c r="C4" i="53" s="1" a="1"/>
  <c r="C4" i="53" s="1"/>
  <c r="C38" i="53" a="1"/>
  <c r="C38" i="53" s="1"/>
  <c r="C28" i="53" a="1"/>
  <c r="C28" i="53" s="1"/>
  <c r="C18" i="53" a="1"/>
  <c r="C18" i="53" s="1"/>
  <c r="C8" i="53" a="1"/>
  <c r="C8" i="53" s="1"/>
  <c r="C9" i="53" a="1"/>
  <c r="C9" i="53" s="1"/>
  <c r="C11" i="53" a="1"/>
  <c r="C11" i="53" s="1"/>
  <c r="C21" i="53" a="1"/>
  <c r="C21" i="53" s="1"/>
  <c r="C15" i="53" a="1"/>
  <c r="C15" i="53" s="1"/>
  <c r="C24" i="53" a="1"/>
  <c r="C24" i="53" s="1"/>
  <c r="C14" i="53" a="1"/>
  <c r="C14" i="53" s="1"/>
  <c r="C32" i="53" a="1"/>
  <c r="C32" i="53" s="1"/>
  <c r="C25" i="53" a="1"/>
  <c r="C25" i="53" s="1"/>
  <c r="C27" i="53" a="1"/>
  <c r="C27" i="53" s="1"/>
  <c r="C17" i="53" a="1"/>
  <c r="C17" i="53" s="1"/>
  <c r="C7" i="53" a="1"/>
  <c r="C7" i="53" s="1"/>
  <c r="C19" i="53" a="1"/>
  <c r="C19" i="53" s="1"/>
  <c r="C20" i="53" a="1"/>
  <c r="C20" i="53" s="1"/>
  <c r="C10" i="53" a="1"/>
  <c r="C10" i="53" s="1"/>
  <c r="C22" i="53" a="1"/>
  <c r="C22" i="53" s="1"/>
  <c r="C33" i="53" a="1"/>
  <c r="C33" i="53" s="1"/>
  <c r="C23" i="53" a="1"/>
  <c r="C23" i="53" s="1"/>
  <c r="C29" i="53" a="1"/>
  <c r="C29" i="53" s="1"/>
  <c r="C36" i="53" a="1"/>
  <c r="C36" i="53" s="1"/>
  <c r="C16" i="53" a="1"/>
  <c r="C16" i="53" s="1"/>
  <c r="C6" i="53" a="1"/>
  <c r="C6" i="53" s="1"/>
  <c r="C12" i="53" a="1"/>
  <c r="C12" i="53" s="1"/>
  <c r="C5" i="53" a="1"/>
  <c r="C5" i="53" s="1"/>
  <c r="H4" i="60"/>
  <c r="F24" i="51" a="1"/>
  <c r="F24" i="51" s="1"/>
  <c r="F5" i="51" a="1"/>
  <c r="F5" i="51" s="1"/>
  <c r="F38" i="51" a="1"/>
  <c r="F38" i="51" s="1"/>
  <c r="F10" i="51" a="1"/>
  <c r="F10" i="51" s="1"/>
  <c r="F27" i="51" a="1"/>
  <c r="F27" i="51" s="1"/>
  <c r="AB1" i="51" l="1"/>
  <c r="AF12" i="51"/>
  <c r="AF50" i="51"/>
  <c r="AF13" i="51"/>
  <c r="AF20" i="51"/>
  <c r="AF43" i="51"/>
  <c r="AF48" i="51"/>
  <c r="AF8" i="51"/>
  <c r="AF27" i="51"/>
  <c r="AF53" i="51"/>
  <c r="AF51" i="51"/>
  <c r="AF49" i="51"/>
  <c r="AF29" i="51"/>
  <c r="AF22" i="51"/>
  <c r="AF15" i="51"/>
  <c r="AF42" i="51"/>
  <c r="AF33" i="51"/>
  <c r="AF21" i="51"/>
  <c r="AF32" i="51"/>
  <c r="AF28" i="51"/>
  <c r="AF6" i="51"/>
  <c r="AF25" i="51"/>
  <c r="AF39" i="51"/>
  <c r="AF17" i="51"/>
  <c r="AF5" i="51"/>
  <c r="AF18" i="51"/>
  <c r="AF38" i="51"/>
  <c r="AF11" i="51"/>
  <c r="AF52" i="51"/>
  <c r="AF31" i="51"/>
  <c r="AF10" i="51"/>
  <c r="AF9" i="51"/>
  <c r="AE3" i="51"/>
  <c r="AF3" i="51" s="1"/>
  <c r="AF30" i="51"/>
  <c r="AF19" i="51"/>
  <c r="AF44" i="51"/>
  <c r="AF36" i="51"/>
  <c r="AF54" i="51"/>
  <c r="AF14" i="51"/>
  <c r="AF34" i="51"/>
  <c r="AF24" i="51"/>
  <c r="AF4" i="51"/>
  <c r="AF37" i="51"/>
  <c r="AF47" i="51"/>
  <c r="AF16" i="51"/>
  <c r="AF7" i="51"/>
  <c r="AF40" i="51"/>
  <c r="AF35" i="51"/>
  <c r="AF45" i="51"/>
  <c r="AF26" i="51"/>
  <c r="AF41" i="51"/>
  <c r="AF46" i="51"/>
  <c r="AF23" i="51"/>
  <c r="J2" i="58"/>
  <c r="U3" i="51" a="1"/>
  <c r="AF1" i="51" l="1"/>
  <c r="A2" i="63" s="1"/>
  <c r="U3" i="51"/>
  <c r="V3" i="51" s="1"/>
  <c r="V4" i="51"/>
  <c r="V24" i="51"/>
  <c r="V44" i="51"/>
  <c r="V5" i="51"/>
  <c r="V25" i="51"/>
  <c r="V45" i="51"/>
  <c r="V6" i="51"/>
  <c r="V26" i="51"/>
  <c r="V46" i="51"/>
  <c r="V7" i="51"/>
  <c r="V27" i="51"/>
  <c r="V47" i="51"/>
  <c r="V8" i="51"/>
  <c r="V28" i="51"/>
  <c r="V48" i="51"/>
  <c r="V9" i="51"/>
  <c r="V29" i="51"/>
  <c r="V49" i="51"/>
  <c r="V10" i="51"/>
  <c r="V30" i="51"/>
  <c r="V50" i="51"/>
  <c r="V11" i="51"/>
  <c r="V31" i="51"/>
  <c r="V51" i="51"/>
  <c r="V12" i="51"/>
  <c r="V32" i="51"/>
  <c r="V52" i="51"/>
  <c r="V13" i="51"/>
  <c r="V33" i="51"/>
  <c r="V53" i="51"/>
  <c r="V14" i="51"/>
  <c r="V34" i="51"/>
  <c r="V54" i="51"/>
  <c r="V15" i="51"/>
  <c r="V35" i="51"/>
  <c r="V16" i="51"/>
  <c r="V36" i="51"/>
  <c r="V17" i="51"/>
  <c r="V37" i="51"/>
  <c r="V18" i="51"/>
  <c r="V38" i="51"/>
  <c r="V19" i="51"/>
  <c r="V39" i="51"/>
  <c r="V20" i="51"/>
  <c r="V40" i="51"/>
  <c r="V21" i="51"/>
  <c r="V41" i="51"/>
  <c r="V22" i="51"/>
  <c r="V42" i="51"/>
  <c r="V23" i="51"/>
  <c r="V43" i="51"/>
  <c r="H4" i="52" a="1"/>
  <c r="AO3" i="49" a="1"/>
  <c r="AO3" i="49" s="1"/>
  <c r="AN3" i="49" a="1"/>
  <c r="AN3" i="49" s="1"/>
  <c r="AJ3" i="49" a="1"/>
  <c r="AJ3" i="49" s="1"/>
  <c r="AI3" i="49" a="1"/>
  <c r="AI3" i="49" s="1"/>
  <c r="AE3" i="49" a="1"/>
  <c r="AE3" i="49" s="1"/>
  <c r="AD3" i="49" a="1"/>
  <c r="AD3" i="49" s="1"/>
  <c r="H4" i="52" l="1"/>
  <c r="C4" i="51" s="1" a="1"/>
  <c r="C4" i="51" s="1"/>
  <c r="C5" i="51" a="1"/>
  <c r="C5" i="51" s="1"/>
  <c r="C18" i="51" a="1"/>
  <c r="C18" i="51" s="1"/>
  <c r="C6" i="51" a="1"/>
  <c r="C6" i="51" s="1"/>
  <c r="C22" i="51" a="1"/>
  <c r="C22" i="51" s="1"/>
  <c r="C24" i="51" a="1"/>
  <c r="C24" i="51" s="1"/>
  <c r="C27" i="51" a="1"/>
  <c r="C27" i="51" s="1"/>
  <c r="C23" i="51" a="1"/>
  <c r="C23" i="51" s="1"/>
  <c r="C10" i="51" a="1"/>
  <c r="C10" i="51" s="1"/>
  <c r="C29" i="51" a="1"/>
  <c r="C29" i="51" s="1"/>
  <c r="C17" i="51" a="1"/>
  <c r="C17" i="51" s="1"/>
  <c r="C9" i="51" a="1"/>
  <c r="C9" i="51" s="1"/>
  <c r="C38" i="51" a="1"/>
  <c r="C38" i="51" s="1"/>
  <c r="C14" i="51" a="1"/>
  <c r="C14" i="51" s="1"/>
  <c r="C16" i="51" a="1"/>
  <c r="C16" i="51" s="1"/>
  <c r="C15" i="51" a="1"/>
  <c r="C15" i="51" s="1"/>
  <c r="D5" i="51" a="1"/>
  <c r="D5" i="51" s="1"/>
  <c r="M5" i="51" s="1"/>
  <c r="D9" i="51" a="1"/>
  <c r="D9" i="51" s="1"/>
  <c r="M9" i="51" s="1"/>
  <c r="E14" i="51" a="1"/>
  <c r="E14" i="51" s="1"/>
  <c r="E16" i="51" a="1"/>
  <c r="E16" i="51" s="1"/>
  <c r="E22" i="51" a="1"/>
  <c r="E22" i="51" s="1"/>
  <c r="R1" i="51" l="1"/>
  <c r="V1" i="51"/>
  <c r="A2" i="61" s="1"/>
  <c r="E10" i="20" s="1"/>
  <c r="F84" i="49"/>
  <c r="E84" i="49"/>
  <c r="D84" i="49"/>
  <c r="F83" i="49"/>
  <c r="E83" i="49"/>
  <c r="D83" i="49"/>
  <c r="F82" i="49"/>
  <c r="E82" i="49"/>
  <c r="D82" i="49"/>
  <c r="F81" i="49"/>
  <c r="E81" i="49"/>
  <c r="D81" i="49"/>
  <c r="F80" i="49"/>
  <c r="E80" i="49"/>
  <c r="D80" i="49"/>
  <c r="F79" i="49"/>
  <c r="E79" i="49"/>
  <c r="D79" i="49"/>
  <c r="F78" i="49"/>
  <c r="E78" i="49"/>
  <c r="D78" i="49"/>
  <c r="F77" i="49"/>
  <c r="E77" i="49"/>
  <c r="D77" i="49"/>
  <c r="F76" i="49"/>
  <c r="E76" i="49"/>
  <c r="D76" i="49"/>
  <c r="F75" i="49"/>
  <c r="E75" i="49"/>
  <c r="D75" i="49"/>
  <c r="F74" i="49"/>
  <c r="E74" i="49"/>
  <c r="D74" i="49"/>
  <c r="F73" i="49"/>
  <c r="E73" i="49"/>
  <c r="D73" i="49"/>
  <c r="F74" i="48"/>
  <c r="F75" i="48"/>
  <c r="F76" i="48"/>
  <c r="F77" i="48"/>
  <c r="F78" i="48"/>
  <c r="F79" i="48"/>
  <c r="F80" i="48"/>
  <c r="F81" i="48"/>
  <c r="F82" i="48"/>
  <c r="F83" i="48"/>
  <c r="F84" i="48"/>
  <c r="F73" i="48"/>
  <c r="E74" i="48"/>
  <c r="E75" i="48"/>
  <c r="E76" i="48"/>
  <c r="E77" i="48"/>
  <c r="E78" i="48"/>
  <c r="E79" i="48"/>
  <c r="E80" i="48"/>
  <c r="E81" i="48"/>
  <c r="E82" i="48"/>
  <c r="E83" i="48"/>
  <c r="E84" i="48"/>
  <c r="E73" i="48"/>
  <c r="E74" i="46"/>
  <c r="E75" i="46"/>
  <c r="E76" i="46"/>
  <c r="E77" i="46"/>
  <c r="E78" i="46"/>
  <c r="E79" i="46"/>
  <c r="E80" i="46"/>
  <c r="E81" i="46"/>
  <c r="E82" i="46"/>
  <c r="E83" i="46"/>
  <c r="E84" i="46"/>
  <c r="E73" i="46"/>
  <c r="E42" i="46"/>
  <c r="E43" i="46"/>
  <c r="E44" i="46"/>
  <c r="E45" i="46"/>
  <c r="E46" i="46"/>
  <c r="E47" i="46"/>
  <c r="E48" i="46"/>
  <c r="E49" i="46"/>
  <c r="E50" i="46"/>
  <c r="E51" i="46"/>
  <c r="E52" i="46"/>
  <c r="E41" i="46"/>
  <c r="E42" i="45"/>
  <c r="E43" i="45"/>
  <c r="E44" i="45"/>
  <c r="E45" i="45"/>
  <c r="E46" i="45"/>
  <c r="E47" i="45"/>
  <c r="E48" i="45"/>
  <c r="E49" i="45"/>
  <c r="E50" i="45"/>
  <c r="E51" i="45"/>
  <c r="E52" i="45"/>
  <c r="E41" i="45"/>
  <c r="F78" i="18"/>
  <c r="E78" i="18"/>
  <c r="D78" i="18"/>
  <c r="F77" i="18"/>
  <c r="E77" i="18"/>
  <c r="D77" i="18"/>
  <c r="F76" i="18"/>
  <c r="E76" i="18"/>
  <c r="D76" i="18"/>
  <c r="F75" i="18"/>
  <c r="E75" i="18"/>
  <c r="D75" i="18"/>
  <c r="F74" i="18"/>
  <c r="E74" i="18"/>
  <c r="D74" i="18"/>
  <c r="F73" i="18"/>
  <c r="E73" i="18"/>
  <c r="D73" i="18"/>
  <c r="F72" i="18"/>
  <c r="E72" i="18"/>
  <c r="D72" i="18"/>
  <c r="F71" i="18"/>
  <c r="E71" i="18"/>
  <c r="D71" i="18"/>
  <c r="F70" i="18"/>
  <c r="E70" i="18"/>
  <c r="D70" i="18"/>
  <c r="F69" i="18"/>
  <c r="E69" i="18"/>
  <c r="D69" i="18"/>
  <c r="F68" i="18"/>
  <c r="E68" i="18"/>
  <c r="D68" i="18"/>
  <c r="F67" i="18"/>
  <c r="E67" i="18"/>
  <c r="D67" i="18"/>
  <c r="O62" i="18"/>
  <c r="N62" i="18"/>
  <c r="M62" i="18"/>
  <c r="L62" i="18"/>
  <c r="K62" i="18"/>
  <c r="J62" i="18"/>
  <c r="I62" i="18"/>
  <c r="H62" i="18"/>
  <c r="G62" i="18"/>
  <c r="F62" i="18"/>
  <c r="E62" i="18"/>
  <c r="D62" i="18"/>
  <c r="O61" i="18"/>
  <c r="N61" i="18"/>
  <c r="M61" i="18"/>
  <c r="L61" i="18"/>
  <c r="K61" i="18"/>
  <c r="J61" i="18"/>
  <c r="I61" i="18"/>
  <c r="H61" i="18"/>
  <c r="G61" i="18"/>
  <c r="F61" i="18"/>
  <c r="E61" i="18"/>
  <c r="D61" i="18"/>
  <c r="O60" i="18"/>
  <c r="N60" i="18"/>
  <c r="M60" i="18"/>
  <c r="L60" i="18"/>
  <c r="K60" i="18"/>
  <c r="J60" i="18"/>
  <c r="I60" i="18"/>
  <c r="H60" i="18"/>
  <c r="G60" i="18"/>
  <c r="F60" i="18"/>
  <c r="E60" i="18"/>
  <c r="D60" i="18"/>
  <c r="O59" i="18"/>
  <c r="N59" i="18"/>
  <c r="M59" i="18"/>
  <c r="L59" i="18"/>
  <c r="K59" i="18"/>
  <c r="J59" i="18"/>
  <c r="I59" i="18"/>
  <c r="H59" i="18"/>
  <c r="G59" i="18"/>
  <c r="F59" i="18"/>
  <c r="E59" i="18"/>
  <c r="D59" i="18"/>
  <c r="O58" i="18"/>
  <c r="N58" i="18"/>
  <c r="M58" i="18"/>
  <c r="L58" i="18"/>
  <c r="K58" i="18"/>
  <c r="J58" i="18"/>
  <c r="I58" i="18"/>
  <c r="H58" i="18"/>
  <c r="G58" i="18"/>
  <c r="F58" i="18"/>
  <c r="E58" i="18"/>
  <c r="D58" i="18"/>
  <c r="O57" i="18"/>
  <c r="N57" i="18"/>
  <c r="M57" i="18"/>
  <c r="L57" i="18"/>
  <c r="K57" i="18"/>
  <c r="J57" i="18"/>
  <c r="I57" i="18"/>
  <c r="H57" i="18"/>
  <c r="G57" i="18"/>
  <c r="F57" i="18"/>
  <c r="E57" i="18"/>
  <c r="D57" i="18"/>
  <c r="O56" i="18"/>
  <c r="N56" i="18"/>
  <c r="M56" i="18"/>
  <c r="L56" i="18"/>
  <c r="K56" i="18"/>
  <c r="J56" i="18"/>
  <c r="I56" i="18"/>
  <c r="H56" i="18"/>
  <c r="G56" i="18"/>
  <c r="F56" i="18"/>
  <c r="E56" i="18"/>
  <c r="D56" i="18"/>
  <c r="O55" i="18"/>
  <c r="N55" i="18"/>
  <c r="M55" i="18"/>
  <c r="L55" i="18"/>
  <c r="K55" i="18"/>
  <c r="J55" i="18"/>
  <c r="I55" i="18"/>
  <c r="H55" i="18"/>
  <c r="G55" i="18"/>
  <c r="F55" i="18"/>
  <c r="E55" i="18"/>
  <c r="D55" i="18"/>
  <c r="O54" i="18"/>
  <c r="N54" i="18"/>
  <c r="M54" i="18"/>
  <c r="L54" i="18"/>
  <c r="K54" i="18"/>
  <c r="J54" i="18"/>
  <c r="I54" i="18"/>
  <c r="H54" i="18"/>
  <c r="G54" i="18"/>
  <c r="F54" i="18"/>
  <c r="E54" i="18"/>
  <c r="D54" i="18"/>
  <c r="O53" i="18"/>
  <c r="N53" i="18"/>
  <c r="M53" i="18"/>
  <c r="L53" i="18"/>
  <c r="K53" i="18"/>
  <c r="J53" i="18"/>
  <c r="I53" i="18"/>
  <c r="H53" i="18"/>
  <c r="G53" i="18"/>
  <c r="F53" i="18"/>
  <c r="E53" i="18"/>
  <c r="D53" i="18"/>
  <c r="O52" i="18"/>
  <c r="N52" i="18"/>
  <c r="M52" i="18"/>
  <c r="L52" i="18"/>
  <c r="K52" i="18"/>
  <c r="J52" i="18"/>
  <c r="I52" i="18"/>
  <c r="H52" i="18"/>
  <c r="G52" i="18"/>
  <c r="F52" i="18"/>
  <c r="E52" i="18"/>
  <c r="D52" i="18"/>
  <c r="O51" i="18"/>
  <c r="N51" i="18"/>
  <c r="M51" i="18"/>
  <c r="L51" i="18"/>
  <c r="K51" i="18"/>
  <c r="J51" i="18"/>
  <c r="I51" i="18"/>
  <c r="H51" i="18"/>
  <c r="G51" i="18"/>
  <c r="F51" i="18"/>
  <c r="E51" i="18"/>
  <c r="D51" i="18"/>
  <c r="D63" i="18" s="1"/>
  <c r="E63" i="18" l="1"/>
  <c r="G63" i="18"/>
  <c r="H63" i="18"/>
  <c r="I63" i="18"/>
  <c r="L63" i="18"/>
  <c r="J63" i="18"/>
  <c r="M63" i="18"/>
  <c r="F63" i="18"/>
  <c r="K63" i="18"/>
  <c r="N63" i="18"/>
  <c r="O63" i="18"/>
  <c r="F74" i="47"/>
  <c r="F75" i="47"/>
  <c r="F76" i="47"/>
  <c r="F77" i="47"/>
  <c r="F78" i="47"/>
  <c r="F79" i="47"/>
  <c r="F80" i="47"/>
  <c r="F81" i="47"/>
  <c r="F82" i="47"/>
  <c r="F83" i="47"/>
  <c r="F84" i="47"/>
  <c r="F73" i="47"/>
  <c r="E74" i="47"/>
  <c r="E75" i="47"/>
  <c r="E76" i="47"/>
  <c r="E77" i="47"/>
  <c r="E78" i="47"/>
  <c r="E79" i="47"/>
  <c r="E80" i="47"/>
  <c r="E81" i="47"/>
  <c r="E82" i="47"/>
  <c r="E83" i="47"/>
  <c r="E84" i="47"/>
  <c r="E73" i="47"/>
  <c r="I42" i="49"/>
  <c r="I41" i="49"/>
  <c r="I40" i="49"/>
  <c r="I39" i="49"/>
  <c r="I38" i="49"/>
  <c r="I37" i="49"/>
  <c r="I36" i="49"/>
  <c r="I35" i="49"/>
  <c r="I42" i="48"/>
  <c r="I41" i="48"/>
  <c r="I40" i="48"/>
  <c r="I39" i="48"/>
  <c r="I38" i="48"/>
  <c r="I37" i="48"/>
  <c r="I36" i="48"/>
  <c r="I35" i="48"/>
  <c r="I42" i="47"/>
  <c r="I41" i="47"/>
  <c r="I40" i="47"/>
  <c r="I39" i="47"/>
  <c r="I38" i="47"/>
  <c r="I37" i="47"/>
  <c r="I36" i="47"/>
  <c r="I35" i="47"/>
  <c r="I42" i="46"/>
  <c r="I41" i="46"/>
  <c r="I40" i="46"/>
  <c r="I39" i="46"/>
  <c r="I38" i="46"/>
  <c r="I37" i="46"/>
  <c r="I36" i="46"/>
  <c r="I35" i="46"/>
  <c r="I42" i="45"/>
  <c r="I41" i="45"/>
  <c r="I40" i="45"/>
  <c r="I39" i="45"/>
  <c r="I38" i="45"/>
  <c r="I37" i="45"/>
  <c r="I36" i="45"/>
  <c r="I35" i="45"/>
  <c r="I42" i="43"/>
  <c r="I41" i="43"/>
  <c r="I40" i="43"/>
  <c r="I39" i="43"/>
  <c r="I38" i="43"/>
  <c r="I37" i="43"/>
  <c r="I36" i="43"/>
  <c r="I35" i="43"/>
  <c r="I42" i="39"/>
  <c r="I41" i="39"/>
  <c r="I40" i="39"/>
  <c r="I39" i="39"/>
  <c r="I38" i="39"/>
  <c r="I37" i="39"/>
  <c r="I36" i="39"/>
  <c r="I35" i="39"/>
  <c r="I42" i="17"/>
  <c r="I41" i="17"/>
  <c r="I40" i="17"/>
  <c r="I39" i="17"/>
  <c r="I38" i="17"/>
  <c r="I37" i="17"/>
  <c r="I36" i="17"/>
  <c r="I35" i="17"/>
  <c r="I36" i="42"/>
  <c r="I37" i="42"/>
  <c r="I38" i="42"/>
  <c r="I39" i="42"/>
  <c r="I40" i="42"/>
  <c r="I41" i="42"/>
  <c r="I42" i="42"/>
  <c r="I35" i="42"/>
  <c r="F78" i="38"/>
  <c r="E78" i="38"/>
  <c r="D78" i="38"/>
  <c r="F77" i="38"/>
  <c r="E77" i="38"/>
  <c r="D77" i="38"/>
  <c r="F76" i="38"/>
  <c r="E76" i="38"/>
  <c r="D76" i="38"/>
  <c r="F75" i="38"/>
  <c r="E75" i="38"/>
  <c r="D75" i="38"/>
  <c r="F74" i="38"/>
  <c r="E74" i="38"/>
  <c r="D74" i="38"/>
  <c r="F73" i="38"/>
  <c r="E73" i="38"/>
  <c r="D73" i="38"/>
  <c r="F72" i="38"/>
  <c r="E72" i="38"/>
  <c r="D72" i="38"/>
  <c r="F71" i="38"/>
  <c r="E71" i="38"/>
  <c r="D71" i="38"/>
  <c r="F70" i="38"/>
  <c r="E70" i="38"/>
  <c r="D70" i="38"/>
  <c r="F69" i="38"/>
  <c r="E69" i="38"/>
  <c r="D69" i="38"/>
  <c r="F68" i="38"/>
  <c r="E68" i="38"/>
  <c r="D68" i="38"/>
  <c r="F67" i="38"/>
  <c r="E67" i="38"/>
  <c r="D67" i="38"/>
  <c r="F78" i="17"/>
  <c r="E78" i="17"/>
  <c r="D78" i="17"/>
  <c r="F77" i="17"/>
  <c r="E77" i="17"/>
  <c r="D77" i="17"/>
  <c r="F76" i="17"/>
  <c r="E76" i="17"/>
  <c r="D76" i="17"/>
  <c r="F75" i="17"/>
  <c r="E75" i="17"/>
  <c r="D75" i="17"/>
  <c r="F74" i="17"/>
  <c r="E74" i="17"/>
  <c r="D74" i="17"/>
  <c r="F73" i="17"/>
  <c r="E73" i="17"/>
  <c r="D73" i="17"/>
  <c r="F72" i="17"/>
  <c r="E72" i="17"/>
  <c r="D72" i="17"/>
  <c r="F71" i="17"/>
  <c r="E71" i="17"/>
  <c r="D71" i="17"/>
  <c r="F70" i="17"/>
  <c r="E70" i="17"/>
  <c r="D70" i="17"/>
  <c r="F69" i="17"/>
  <c r="E69" i="17"/>
  <c r="D69" i="17"/>
  <c r="F68" i="17"/>
  <c r="E68" i="17"/>
  <c r="D68" i="17"/>
  <c r="F67" i="17"/>
  <c r="E67" i="17"/>
  <c r="D67" i="17"/>
  <c r="F78" i="39"/>
  <c r="E78" i="39"/>
  <c r="D78" i="39"/>
  <c r="F77" i="39"/>
  <c r="E77" i="39"/>
  <c r="D77" i="39"/>
  <c r="F76" i="39"/>
  <c r="E76" i="39"/>
  <c r="D76" i="39"/>
  <c r="F75" i="39"/>
  <c r="E75" i="39"/>
  <c r="D75" i="39"/>
  <c r="F74" i="39"/>
  <c r="E74" i="39"/>
  <c r="D74" i="39"/>
  <c r="F73" i="39"/>
  <c r="E73" i="39"/>
  <c r="D73" i="39"/>
  <c r="F72" i="39"/>
  <c r="E72" i="39"/>
  <c r="D72" i="39"/>
  <c r="F71" i="39"/>
  <c r="E71" i="39"/>
  <c r="D71" i="39"/>
  <c r="F70" i="39"/>
  <c r="E70" i="39"/>
  <c r="D70" i="39"/>
  <c r="F69" i="39"/>
  <c r="E69" i="39"/>
  <c r="D69" i="39"/>
  <c r="F68" i="39"/>
  <c r="E68" i="39"/>
  <c r="D68" i="39"/>
  <c r="F67" i="39"/>
  <c r="E67" i="39"/>
  <c r="D67" i="39"/>
  <c r="O62" i="38"/>
  <c r="N62" i="38"/>
  <c r="M62" i="38"/>
  <c r="L62" i="38"/>
  <c r="K62" i="38"/>
  <c r="J62" i="38"/>
  <c r="I62" i="38"/>
  <c r="H62" i="38"/>
  <c r="G62" i="38"/>
  <c r="F62" i="38"/>
  <c r="E62" i="38"/>
  <c r="D62" i="38"/>
  <c r="O61" i="38"/>
  <c r="N61" i="38"/>
  <c r="M61" i="38"/>
  <c r="L61" i="38"/>
  <c r="K61" i="38"/>
  <c r="J61" i="38"/>
  <c r="I61" i="38"/>
  <c r="H61" i="38"/>
  <c r="G61" i="38"/>
  <c r="F61" i="38"/>
  <c r="E61" i="38"/>
  <c r="D61" i="38"/>
  <c r="O60" i="38"/>
  <c r="N60" i="38"/>
  <c r="M60" i="38"/>
  <c r="L60" i="38"/>
  <c r="K60" i="38"/>
  <c r="J60" i="38"/>
  <c r="I60" i="38"/>
  <c r="H60" i="38"/>
  <c r="G60" i="38"/>
  <c r="F60" i="38"/>
  <c r="E60" i="38"/>
  <c r="D60" i="38"/>
  <c r="O59" i="38"/>
  <c r="N59" i="38"/>
  <c r="M59" i="38"/>
  <c r="L59" i="38"/>
  <c r="K59" i="38"/>
  <c r="J59" i="38"/>
  <c r="I59" i="38"/>
  <c r="H59" i="38"/>
  <c r="G59" i="38"/>
  <c r="F59" i="38"/>
  <c r="E59" i="38"/>
  <c r="D59" i="38"/>
  <c r="O58" i="38"/>
  <c r="N58" i="38"/>
  <c r="M58" i="38"/>
  <c r="L58" i="38"/>
  <c r="K58" i="38"/>
  <c r="J58" i="38"/>
  <c r="I58" i="38"/>
  <c r="H58" i="38"/>
  <c r="G58" i="38"/>
  <c r="F58" i="38"/>
  <c r="E58" i="38"/>
  <c r="D58" i="38"/>
  <c r="O57" i="38"/>
  <c r="N57" i="38"/>
  <c r="M57" i="38"/>
  <c r="L57" i="38"/>
  <c r="K57" i="38"/>
  <c r="J57" i="38"/>
  <c r="I57" i="38"/>
  <c r="H57" i="38"/>
  <c r="G57" i="38"/>
  <c r="F57" i="38"/>
  <c r="E57" i="38"/>
  <c r="D57" i="38"/>
  <c r="O56" i="38"/>
  <c r="N56" i="38"/>
  <c r="M56" i="38"/>
  <c r="L56" i="38"/>
  <c r="K56" i="38"/>
  <c r="J56" i="38"/>
  <c r="I56" i="38"/>
  <c r="H56" i="38"/>
  <c r="G56" i="38"/>
  <c r="F56" i="38"/>
  <c r="E56" i="38"/>
  <c r="D56" i="38"/>
  <c r="O55" i="38"/>
  <c r="N55" i="38"/>
  <c r="M55" i="38"/>
  <c r="L55" i="38"/>
  <c r="K55" i="38"/>
  <c r="J55" i="38"/>
  <c r="I55" i="38"/>
  <c r="H55" i="38"/>
  <c r="G55" i="38"/>
  <c r="F55" i="38"/>
  <c r="E55" i="38"/>
  <c r="D55" i="38"/>
  <c r="O54" i="38"/>
  <c r="N54" i="38"/>
  <c r="M54" i="38"/>
  <c r="L54" i="38"/>
  <c r="K54" i="38"/>
  <c r="J54" i="38"/>
  <c r="I54" i="38"/>
  <c r="H54" i="38"/>
  <c r="G54" i="38"/>
  <c r="F54" i="38"/>
  <c r="E54" i="38"/>
  <c r="D54" i="38"/>
  <c r="O53" i="38"/>
  <c r="N53" i="38"/>
  <c r="M53" i="38"/>
  <c r="L53" i="38"/>
  <c r="K53" i="38"/>
  <c r="J53" i="38"/>
  <c r="I53" i="38"/>
  <c r="H53" i="38"/>
  <c r="G53" i="38"/>
  <c r="F53" i="38"/>
  <c r="E53" i="38"/>
  <c r="D53" i="38"/>
  <c r="O52" i="38"/>
  <c r="N52" i="38"/>
  <c r="M52" i="38"/>
  <c r="L52" i="38"/>
  <c r="K52" i="38"/>
  <c r="J52" i="38"/>
  <c r="I52" i="38"/>
  <c r="H52" i="38"/>
  <c r="G52" i="38"/>
  <c r="F52" i="38"/>
  <c r="E52" i="38"/>
  <c r="D52" i="38"/>
  <c r="O51" i="38"/>
  <c r="N51" i="38"/>
  <c r="M51" i="38"/>
  <c r="L51" i="38"/>
  <c r="K51" i="38"/>
  <c r="J51" i="38"/>
  <c r="I51" i="38"/>
  <c r="H51" i="38"/>
  <c r="G51" i="38"/>
  <c r="F51" i="38"/>
  <c r="E51" i="38"/>
  <c r="D51" i="38"/>
  <c r="F46" i="38"/>
  <c r="E46" i="38"/>
  <c r="D46" i="38"/>
  <c r="F45" i="38"/>
  <c r="E45" i="38"/>
  <c r="D45" i="38"/>
  <c r="F44" i="38"/>
  <c r="E44" i="38"/>
  <c r="D44" i="38"/>
  <c r="F43" i="38"/>
  <c r="E43" i="38"/>
  <c r="D43" i="38"/>
  <c r="F42" i="38"/>
  <c r="E42" i="38"/>
  <c r="D42" i="38"/>
  <c r="F41" i="38"/>
  <c r="E41" i="38"/>
  <c r="D41" i="38"/>
  <c r="F40" i="38"/>
  <c r="E40" i="38"/>
  <c r="D40" i="38"/>
  <c r="F39" i="38"/>
  <c r="E39" i="38"/>
  <c r="D39" i="38"/>
  <c r="F38" i="38"/>
  <c r="E38" i="38"/>
  <c r="D38" i="38"/>
  <c r="F37" i="38"/>
  <c r="E37" i="38"/>
  <c r="D37" i="38"/>
  <c r="F36" i="38"/>
  <c r="E36" i="38"/>
  <c r="D36" i="38"/>
  <c r="F35" i="38"/>
  <c r="E35" i="38"/>
  <c r="D35" i="38"/>
  <c r="F30" i="38"/>
  <c r="E30" i="38"/>
  <c r="D30" i="38"/>
  <c r="F29" i="38"/>
  <c r="E29" i="38"/>
  <c r="D29" i="38"/>
  <c r="F28" i="38"/>
  <c r="E28" i="38"/>
  <c r="D28" i="38"/>
  <c r="F27" i="38"/>
  <c r="E27" i="38"/>
  <c r="D27" i="38"/>
  <c r="F26" i="38"/>
  <c r="E26" i="38"/>
  <c r="D26" i="38"/>
  <c r="F25" i="38"/>
  <c r="E25" i="38"/>
  <c r="D25" i="38"/>
  <c r="F24" i="38"/>
  <c r="E24" i="38"/>
  <c r="D24" i="38"/>
  <c r="F23" i="38"/>
  <c r="E23" i="38"/>
  <c r="D23" i="38"/>
  <c r="F22" i="38"/>
  <c r="E22" i="38"/>
  <c r="D22" i="38"/>
  <c r="F21" i="38"/>
  <c r="E21" i="38"/>
  <c r="D21" i="38"/>
  <c r="F20" i="38"/>
  <c r="E20" i="38"/>
  <c r="D20" i="38"/>
  <c r="F19" i="38"/>
  <c r="E19" i="38"/>
  <c r="D19" i="38"/>
  <c r="F14" i="38"/>
  <c r="E14" i="38"/>
  <c r="D14" i="38"/>
  <c r="F13" i="38"/>
  <c r="E13" i="38"/>
  <c r="D13" i="38"/>
  <c r="F12" i="38"/>
  <c r="E12" i="38"/>
  <c r="D12" i="38"/>
  <c r="F11" i="38"/>
  <c r="E11" i="38"/>
  <c r="D11" i="38"/>
  <c r="F10" i="38"/>
  <c r="E10" i="38"/>
  <c r="D10" i="38"/>
  <c r="F9" i="38"/>
  <c r="E9" i="38"/>
  <c r="D9" i="38"/>
  <c r="F8" i="38"/>
  <c r="E8" i="38"/>
  <c r="D8" i="38"/>
  <c r="F7" i="38"/>
  <c r="E7" i="38"/>
  <c r="D7" i="38"/>
  <c r="F6" i="38"/>
  <c r="E6" i="38"/>
  <c r="D6" i="38"/>
  <c r="F5" i="38"/>
  <c r="E5" i="38"/>
  <c r="D5" i="38"/>
  <c r="F4" i="38"/>
  <c r="E4" i="38"/>
  <c r="D4" i="38"/>
  <c r="F3" i="38"/>
  <c r="E3" i="38"/>
  <c r="D3" i="38"/>
  <c r="E35" i="17"/>
  <c r="F35" i="17"/>
  <c r="E36" i="17"/>
  <c r="F36" i="17"/>
  <c r="E37" i="17"/>
  <c r="F37" i="17"/>
  <c r="E38" i="17"/>
  <c r="F38" i="17"/>
  <c r="E39" i="17"/>
  <c r="F39" i="17"/>
  <c r="E40" i="17"/>
  <c r="F40" i="17"/>
  <c r="E41" i="17"/>
  <c r="F41" i="17"/>
  <c r="E42" i="17"/>
  <c r="F42" i="17"/>
  <c r="E43" i="17"/>
  <c r="F43" i="17"/>
  <c r="E44" i="17"/>
  <c r="F44" i="17"/>
  <c r="E45" i="17"/>
  <c r="F45" i="17"/>
  <c r="E46" i="17"/>
  <c r="F46" i="17"/>
  <c r="D36" i="17"/>
  <c r="D37" i="17"/>
  <c r="D38" i="17"/>
  <c r="D39" i="17"/>
  <c r="D40" i="17"/>
  <c r="D41" i="17"/>
  <c r="D42" i="17"/>
  <c r="D43" i="17"/>
  <c r="D44" i="17"/>
  <c r="D45" i="17"/>
  <c r="D46" i="17"/>
  <c r="D35" i="17"/>
  <c r="E19" i="17"/>
  <c r="F19" i="17"/>
  <c r="E20" i="17"/>
  <c r="F20" i="17"/>
  <c r="E21" i="17"/>
  <c r="F21" i="17"/>
  <c r="E22" i="17"/>
  <c r="F22" i="17"/>
  <c r="E23" i="17"/>
  <c r="F23" i="17"/>
  <c r="E24" i="17"/>
  <c r="F24" i="17"/>
  <c r="E25" i="17"/>
  <c r="F25" i="17"/>
  <c r="E26" i="17"/>
  <c r="F26" i="17"/>
  <c r="E27" i="17"/>
  <c r="F27" i="17"/>
  <c r="E28" i="17"/>
  <c r="F28" i="17"/>
  <c r="E29" i="17"/>
  <c r="F29" i="17"/>
  <c r="E30" i="17"/>
  <c r="F30" i="17"/>
  <c r="D20" i="17"/>
  <c r="D21" i="17"/>
  <c r="D22" i="17"/>
  <c r="D23" i="17"/>
  <c r="D24" i="17"/>
  <c r="D25" i="17"/>
  <c r="D26" i="17"/>
  <c r="D27" i="17"/>
  <c r="D28" i="17"/>
  <c r="D29" i="17"/>
  <c r="D30" i="17"/>
  <c r="D19" i="17"/>
  <c r="E3" i="17"/>
  <c r="F3" i="17"/>
  <c r="E4" i="17"/>
  <c r="F4" i="17"/>
  <c r="E5" i="17"/>
  <c r="F5" i="17"/>
  <c r="E6" i="17"/>
  <c r="F6" i="17"/>
  <c r="E7" i="17"/>
  <c r="F7" i="17"/>
  <c r="E8" i="17"/>
  <c r="F8" i="17"/>
  <c r="E9" i="17"/>
  <c r="F9" i="17"/>
  <c r="E10" i="17"/>
  <c r="F10" i="17"/>
  <c r="E11" i="17"/>
  <c r="F11" i="17"/>
  <c r="E12" i="17"/>
  <c r="F12" i="17"/>
  <c r="E13" i="17"/>
  <c r="F13" i="17"/>
  <c r="E14" i="17"/>
  <c r="F14" i="17"/>
  <c r="D4" i="17"/>
  <c r="D5" i="17"/>
  <c r="D6" i="17"/>
  <c r="D7" i="17"/>
  <c r="D8" i="17"/>
  <c r="D9" i="17"/>
  <c r="D10" i="17"/>
  <c r="D11" i="17"/>
  <c r="D12" i="17"/>
  <c r="D13" i="17"/>
  <c r="D14" i="17"/>
  <c r="D3" i="17"/>
  <c r="F15" i="17" l="1"/>
  <c r="E15" i="17"/>
  <c r="O63" i="38"/>
  <c r="N63" i="38"/>
  <c r="M63" i="38"/>
  <c r="L63" i="38"/>
  <c r="K63" i="38"/>
  <c r="J63" i="38"/>
  <c r="I63" i="38"/>
  <c r="H63" i="38"/>
  <c r="G63" i="38"/>
  <c r="F63" i="38"/>
  <c r="E63" i="38"/>
  <c r="D63" i="38"/>
  <c r="D15" i="17"/>
  <c r="O68" i="49"/>
  <c r="N68" i="49"/>
  <c r="M68" i="49"/>
  <c r="L68" i="49"/>
  <c r="K68" i="49"/>
  <c r="J68" i="49"/>
  <c r="I68" i="49"/>
  <c r="H68" i="49"/>
  <c r="G68" i="49"/>
  <c r="F68" i="49"/>
  <c r="E68" i="49"/>
  <c r="D68" i="49"/>
  <c r="O67" i="49"/>
  <c r="N67" i="49"/>
  <c r="M67" i="49"/>
  <c r="L67" i="49"/>
  <c r="K67" i="49"/>
  <c r="J67" i="49"/>
  <c r="I67" i="49"/>
  <c r="H67" i="49"/>
  <c r="G67" i="49"/>
  <c r="F67" i="49"/>
  <c r="E67" i="49"/>
  <c r="D67" i="49"/>
  <c r="O66" i="49"/>
  <c r="N66" i="49"/>
  <c r="M66" i="49"/>
  <c r="L66" i="49"/>
  <c r="K66" i="49"/>
  <c r="J66" i="49"/>
  <c r="I66" i="49"/>
  <c r="H66" i="49"/>
  <c r="G66" i="49"/>
  <c r="F66" i="49"/>
  <c r="E66" i="49"/>
  <c r="D66" i="49"/>
  <c r="O65" i="49"/>
  <c r="N65" i="49"/>
  <c r="M65" i="49"/>
  <c r="L65" i="49"/>
  <c r="K65" i="49"/>
  <c r="J65" i="49"/>
  <c r="I65" i="49"/>
  <c r="H65" i="49"/>
  <c r="G65" i="49"/>
  <c r="F65" i="49"/>
  <c r="E65" i="49"/>
  <c r="D65" i="49"/>
  <c r="O64" i="49"/>
  <c r="N64" i="49"/>
  <c r="M64" i="49"/>
  <c r="L64" i="49"/>
  <c r="K64" i="49"/>
  <c r="J64" i="49"/>
  <c r="I64" i="49"/>
  <c r="H64" i="49"/>
  <c r="G64" i="49"/>
  <c r="F64" i="49"/>
  <c r="E64" i="49"/>
  <c r="D64" i="49"/>
  <c r="O63" i="49"/>
  <c r="N63" i="49"/>
  <c r="M63" i="49"/>
  <c r="L63" i="49"/>
  <c r="K63" i="49"/>
  <c r="J63" i="49"/>
  <c r="I63" i="49"/>
  <c r="H63" i="49"/>
  <c r="G63" i="49"/>
  <c r="F63" i="49"/>
  <c r="E63" i="49"/>
  <c r="D63" i="49"/>
  <c r="O62" i="49"/>
  <c r="N62" i="49"/>
  <c r="M62" i="49"/>
  <c r="L62" i="49"/>
  <c r="K62" i="49"/>
  <c r="J62" i="49"/>
  <c r="I62" i="49"/>
  <c r="H62" i="49"/>
  <c r="G62" i="49"/>
  <c r="F62" i="49"/>
  <c r="E62" i="49"/>
  <c r="D62" i="49"/>
  <c r="O61" i="49"/>
  <c r="N61" i="49"/>
  <c r="M61" i="49"/>
  <c r="L61" i="49"/>
  <c r="K61" i="49"/>
  <c r="J61" i="49"/>
  <c r="I61" i="49"/>
  <c r="H61" i="49"/>
  <c r="G61" i="49"/>
  <c r="F61" i="49"/>
  <c r="E61" i="49"/>
  <c r="D61" i="49"/>
  <c r="O60" i="49"/>
  <c r="N60" i="49"/>
  <c r="M60" i="49"/>
  <c r="L60" i="49"/>
  <c r="K60" i="49"/>
  <c r="J60" i="49"/>
  <c r="I60" i="49"/>
  <c r="H60" i="49"/>
  <c r="G60" i="49"/>
  <c r="F60" i="49"/>
  <c r="E60" i="49"/>
  <c r="D60" i="49"/>
  <c r="O59" i="49"/>
  <c r="O69" i="49" s="1"/>
  <c r="N59" i="49"/>
  <c r="N69" i="49" s="1"/>
  <c r="M59" i="49"/>
  <c r="M69" i="49" s="1"/>
  <c r="L59" i="49"/>
  <c r="L69" i="49" s="1"/>
  <c r="K59" i="49"/>
  <c r="J59" i="49"/>
  <c r="I59" i="49"/>
  <c r="H59" i="49"/>
  <c r="G59" i="49"/>
  <c r="F59" i="49"/>
  <c r="E59" i="49"/>
  <c r="D59" i="49"/>
  <c r="O58" i="49"/>
  <c r="N58" i="49"/>
  <c r="M58" i="49"/>
  <c r="L58" i="49"/>
  <c r="K58" i="49"/>
  <c r="J58" i="49"/>
  <c r="I58" i="49"/>
  <c r="H58" i="49"/>
  <c r="G58" i="49"/>
  <c r="F58" i="49"/>
  <c r="E58" i="49"/>
  <c r="D58" i="49"/>
  <c r="O57" i="49"/>
  <c r="N57" i="49"/>
  <c r="M57" i="49"/>
  <c r="L57" i="49"/>
  <c r="K57" i="49"/>
  <c r="K69" i="49" s="1"/>
  <c r="J57" i="49"/>
  <c r="J69" i="49" s="1"/>
  <c r="I57" i="49"/>
  <c r="I69" i="49" s="1"/>
  <c r="H57" i="49"/>
  <c r="H69" i="49" s="1"/>
  <c r="G57" i="49"/>
  <c r="G69" i="49" s="1"/>
  <c r="F57" i="49"/>
  <c r="F69" i="49" s="1"/>
  <c r="E57" i="49"/>
  <c r="E69" i="49" s="1"/>
  <c r="D57" i="49"/>
  <c r="D69" i="49" s="1"/>
  <c r="F52" i="49"/>
  <c r="E52" i="49"/>
  <c r="D52" i="49"/>
  <c r="F51" i="49"/>
  <c r="E51" i="49"/>
  <c r="D51" i="49"/>
  <c r="F50" i="49"/>
  <c r="E50" i="49"/>
  <c r="D50" i="49"/>
  <c r="F49" i="49"/>
  <c r="E49" i="49"/>
  <c r="D49" i="49"/>
  <c r="F48" i="49"/>
  <c r="E48" i="49"/>
  <c r="D48" i="49"/>
  <c r="F47" i="49"/>
  <c r="E47" i="49"/>
  <c r="D47" i="49"/>
  <c r="E46" i="49"/>
  <c r="D46" i="49"/>
  <c r="F45" i="49"/>
  <c r="E45" i="49"/>
  <c r="D45" i="49"/>
  <c r="F44" i="49"/>
  <c r="E43" i="49"/>
  <c r="D42" i="49"/>
  <c r="F34" i="49"/>
  <c r="E34" i="49"/>
  <c r="D34" i="49"/>
  <c r="F33" i="49"/>
  <c r="E33" i="49"/>
  <c r="D33" i="49"/>
  <c r="F32" i="49"/>
  <c r="E32" i="49"/>
  <c r="D32" i="49"/>
  <c r="F31" i="49"/>
  <c r="E31" i="49"/>
  <c r="D31" i="49"/>
  <c r="F30" i="49"/>
  <c r="E30" i="49"/>
  <c r="D30" i="49"/>
  <c r="F29" i="49"/>
  <c r="E29" i="49"/>
  <c r="D29" i="49"/>
  <c r="D28" i="49"/>
  <c r="D27" i="49"/>
  <c r="F26" i="49"/>
  <c r="E26" i="49"/>
  <c r="D24" i="49"/>
  <c r="D23" i="49"/>
  <c r="F16" i="49"/>
  <c r="E16" i="49"/>
  <c r="D16" i="49"/>
  <c r="F15" i="49"/>
  <c r="E15" i="49"/>
  <c r="D15" i="49"/>
  <c r="F14" i="49"/>
  <c r="E14" i="49"/>
  <c r="D14" i="49"/>
  <c r="F13" i="49"/>
  <c r="E13" i="49"/>
  <c r="D13" i="49"/>
  <c r="F12" i="49"/>
  <c r="E12" i="49"/>
  <c r="D12" i="49"/>
  <c r="F11" i="49"/>
  <c r="E11" i="49"/>
  <c r="D11" i="49"/>
  <c r="F10" i="49"/>
  <c r="D10" i="49"/>
  <c r="F9" i="49"/>
  <c r="E9" i="49"/>
  <c r="D9" i="49"/>
  <c r="F8" i="49"/>
  <c r="E8" i="49"/>
  <c r="D8" i="49"/>
  <c r="F7" i="49"/>
  <c r="F6" i="49"/>
  <c r="D6" i="49"/>
  <c r="D5" i="49"/>
  <c r="F43" i="49"/>
  <c r="E41" i="49"/>
  <c r="E44" i="49"/>
  <c r="AM3" i="49" a="1"/>
  <c r="D44" i="49" s="1"/>
  <c r="F25" i="49"/>
  <c r="E24" i="49"/>
  <c r="AH3" i="49"/>
  <c r="D25" i="49" s="1"/>
  <c r="AH3" i="49" a="1"/>
  <c r="D26" i="49" s="1"/>
  <c r="F5" i="49"/>
  <c r="E7" i="49"/>
  <c r="AC3" i="49"/>
  <c r="D7" i="49" s="1"/>
  <c r="AC3" i="49" a="1"/>
  <c r="D84" i="48"/>
  <c r="D83" i="48"/>
  <c r="D82" i="48"/>
  <c r="D81" i="48"/>
  <c r="D80" i="48"/>
  <c r="D79" i="48"/>
  <c r="D78" i="48"/>
  <c r="D77" i="48"/>
  <c r="D76" i="48"/>
  <c r="D75" i="48"/>
  <c r="D74" i="48"/>
  <c r="D73" i="48"/>
  <c r="O68" i="48"/>
  <c r="N68" i="48"/>
  <c r="M68" i="48"/>
  <c r="L68" i="48"/>
  <c r="K68" i="48"/>
  <c r="J68" i="48"/>
  <c r="I68" i="48"/>
  <c r="H68" i="48"/>
  <c r="G68" i="48"/>
  <c r="F68" i="48"/>
  <c r="E68" i="48"/>
  <c r="D68" i="48"/>
  <c r="O67" i="48"/>
  <c r="N67" i="48"/>
  <c r="M67" i="48"/>
  <c r="L67" i="48"/>
  <c r="K67" i="48"/>
  <c r="J67" i="48"/>
  <c r="I67" i="48"/>
  <c r="H67" i="48"/>
  <c r="G67" i="48"/>
  <c r="F67" i="48"/>
  <c r="E67" i="48"/>
  <c r="D67" i="48"/>
  <c r="O66" i="48"/>
  <c r="N66" i="48"/>
  <c r="M66" i="48"/>
  <c r="L66" i="48"/>
  <c r="K66" i="48"/>
  <c r="J66" i="48"/>
  <c r="I66" i="48"/>
  <c r="H66" i="48"/>
  <c r="G66" i="48"/>
  <c r="F66" i="48"/>
  <c r="E66" i="48"/>
  <c r="D66" i="48"/>
  <c r="O65" i="48"/>
  <c r="N65" i="48"/>
  <c r="M65" i="48"/>
  <c r="L65" i="48"/>
  <c r="K65" i="48"/>
  <c r="J65" i="48"/>
  <c r="I65" i="48"/>
  <c r="H65" i="48"/>
  <c r="G65" i="48"/>
  <c r="F65" i="48"/>
  <c r="E65" i="48"/>
  <c r="D65" i="48"/>
  <c r="O64" i="48"/>
  <c r="N64" i="48"/>
  <c r="M64" i="48"/>
  <c r="L64" i="48"/>
  <c r="K64" i="48"/>
  <c r="J64" i="48"/>
  <c r="I64" i="48"/>
  <c r="H64" i="48"/>
  <c r="G64" i="48"/>
  <c r="F64" i="48"/>
  <c r="E64" i="48"/>
  <c r="D64" i="48"/>
  <c r="O63" i="48"/>
  <c r="N63" i="48"/>
  <c r="M63" i="48"/>
  <c r="L63" i="48"/>
  <c r="K63" i="48"/>
  <c r="J63" i="48"/>
  <c r="I63" i="48"/>
  <c r="H63" i="48"/>
  <c r="G63" i="48"/>
  <c r="F63" i="48"/>
  <c r="E63" i="48"/>
  <c r="D63" i="48"/>
  <c r="O62" i="48"/>
  <c r="N62" i="48"/>
  <c r="M62" i="48"/>
  <c r="L62" i="48"/>
  <c r="K62" i="48"/>
  <c r="J62" i="48"/>
  <c r="I62" i="48"/>
  <c r="H62" i="48"/>
  <c r="G62" i="48"/>
  <c r="F62" i="48"/>
  <c r="E62" i="48"/>
  <c r="D62" i="48"/>
  <c r="O61" i="48"/>
  <c r="N61" i="48"/>
  <c r="M61" i="48"/>
  <c r="L61" i="48"/>
  <c r="K61" i="48"/>
  <c r="J61" i="48"/>
  <c r="I61" i="48"/>
  <c r="H61" i="48"/>
  <c r="G61" i="48"/>
  <c r="F61" i="48"/>
  <c r="E61" i="48"/>
  <c r="D61" i="48"/>
  <c r="O60" i="48"/>
  <c r="N60" i="48"/>
  <c r="M60" i="48"/>
  <c r="L60" i="48"/>
  <c r="K60" i="48"/>
  <c r="J60" i="48"/>
  <c r="I60" i="48"/>
  <c r="H60" i="48"/>
  <c r="G60" i="48"/>
  <c r="F60" i="48"/>
  <c r="E60" i="48"/>
  <c r="D60" i="48"/>
  <c r="O59" i="48"/>
  <c r="O69" i="48" s="1"/>
  <c r="N59" i="48"/>
  <c r="M59" i="48"/>
  <c r="L59" i="48"/>
  <c r="K59" i="48"/>
  <c r="J59" i="48"/>
  <c r="I59" i="48"/>
  <c r="H59" i="48"/>
  <c r="G59" i="48"/>
  <c r="F59" i="48"/>
  <c r="E59" i="48"/>
  <c r="D59" i="48"/>
  <c r="O58" i="48"/>
  <c r="N58" i="48"/>
  <c r="M58" i="48"/>
  <c r="L58" i="48"/>
  <c r="K58" i="48"/>
  <c r="J58" i="48"/>
  <c r="I58" i="48"/>
  <c r="H58" i="48"/>
  <c r="G58" i="48"/>
  <c r="F58" i="48"/>
  <c r="E58" i="48"/>
  <c r="D58" i="48"/>
  <c r="D69" i="48" s="1"/>
  <c r="O57" i="48"/>
  <c r="N57" i="48"/>
  <c r="M57" i="48"/>
  <c r="L57" i="48"/>
  <c r="K57" i="48"/>
  <c r="J57" i="48"/>
  <c r="I57" i="48"/>
  <c r="H57" i="48"/>
  <c r="G57" i="48"/>
  <c r="F57" i="48"/>
  <c r="E57" i="48"/>
  <c r="D57" i="48"/>
  <c r="F52" i="48"/>
  <c r="E52" i="48"/>
  <c r="D52" i="48"/>
  <c r="F51" i="48"/>
  <c r="E51" i="48"/>
  <c r="D51" i="48"/>
  <c r="F50" i="48"/>
  <c r="E50" i="48"/>
  <c r="D50" i="48"/>
  <c r="F49" i="48"/>
  <c r="E49" i="48"/>
  <c r="D49" i="48"/>
  <c r="F48" i="48"/>
  <c r="E48" i="48"/>
  <c r="D48" i="48"/>
  <c r="F47" i="48"/>
  <c r="E47" i="48"/>
  <c r="D47" i="48"/>
  <c r="E46" i="48"/>
  <c r="D46" i="48"/>
  <c r="F45" i="48"/>
  <c r="E45" i="48"/>
  <c r="F44" i="48"/>
  <c r="E42" i="48"/>
  <c r="D42" i="48"/>
  <c r="F34" i="48"/>
  <c r="E34" i="48"/>
  <c r="D34" i="48"/>
  <c r="F33" i="48"/>
  <c r="E33" i="48"/>
  <c r="D33" i="48"/>
  <c r="F32" i="48"/>
  <c r="E32" i="48"/>
  <c r="D32" i="48"/>
  <c r="F31" i="48"/>
  <c r="E31" i="48"/>
  <c r="D31" i="48"/>
  <c r="F30" i="48"/>
  <c r="E30" i="48"/>
  <c r="D30" i="48"/>
  <c r="F29" i="48"/>
  <c r="E29" i="48"/>
  <c r="D29" i="48"/>
  <c r="D28" i="48"/>
  <c r="D27" i="48"/>
  <c r="F26" i="48"/>
  <c r="E26" i="48"/>
  <c r="D24" i="48"/>
  <c r="D23" i="48"/>
  <c r="F16" i="48"/>
  <c r="E16" i="48"/>
  <c r="D16" i="48"/>
  <c r="F15" i="48"/>
  <c r="E15" i="48"/>
  <c r="D15" i="48"/>
  <c r="F14" i="48"/>
  <c r="E14" i="48"/>
  <c r="D14" i="48"/>
  <c r="F13" i="48"/>
  <c r="E13" i="48"/>
  <c r="D13" i="48"/>
  <c r="F12" i="48"/>
  <c r="E12" i="48"/>
  <c r="D12" i="48"/>
  <c r="F11" i="48"/>
  <c r="E11" i="48"/>
  <c r="D11" i="48"/>
  <c r="D10" i="48"/>
  <c r="F9" i="48"/>
  <c r="E9" i="48"/>
  <c r="F8" i="48"/>
  <c r="E8" i="48"/>
  <c r="D8" i="48"/>
  <c r="D6" i="48"/>
  <c r="D5" i="48"/>
  <c r="F41" i="48"/>
  <c r="E44" i="48"/>
  <c r="D44" i="48"/>
  <c r="F25" i="48"/>
  <c r="E24" i="48"/>
  <c r="D26" i="48"/>
  <c r="F7" i="48"/>
  <c r="E7" i="48"/>
  <c r="D7" i="48"/>
  <c r="F23" i="47"/>
  <c r="F41" i="47"/>
  <c r="F42" i="47"/>
  <c r="F43" i="47"/>
  <c r="F44" i="47"/>
  <c r="F45" i="47"/>
  <c r="F46" i="47"/>
  <c r="F47" i="47"/>
  <c r="F48" i="47"/>
  <c r="F49" i="47"/>
  <c r="F50" i="47"/>
  <c r="F51" i="47"/>
  <c r="F52" i="47"/>
  <c r="E42" i="47"/>
  <c r="E43" i="47"/>
  <c r="E44" i="47"/>
  <c r="E45" i="47"/>
  <c r="E46" i="47"/>
  <c r="E47" i="47"/>
  <c r="E48" i="47"/>
  <c r="E49" i="47"/>
  <c r="E50" i="47"/>
  <c r="E51" i="47"/>
  <c r="E52" i="47"/>
  <c r="E41" i="47"/>
  <c r="F6" i="47"/>
  <c r="F7" i="47"/>
  <c r="F8" i="47"/>
  <c r="F9" i="47"/>
  <c r="F10" i="47"/>
  <c r="F11" i="47"/>
  <c r="F12" i="47"/>
  <c r="F13" i="47"/>
  <c r="F14" i="47"/>
  <c r="F15" i="47"/>
  <c r="F16" i="47"/>
  <c r="F5" i="47"/>
  <c r="E6" i="47"/>
  <c r="E7" i="47"/>
  <c r="E8" i="47"/>
  <c r="E9" i="47"/>
  <c r="E10" i="47"/>
  <c r="E11" i="47"/>
  <c r="E12" i="47"/>
  <c r="E13" i="47"/>
  <c r="E14" i="47"/>
  <c r="E15" i="47"/>
  <c r="E16" i="47"/>
  <c r="E5" i="47"/>
  <c r="E24" i="47"/>
  <c r="E25" i="47"/>
  <c r="E26" i="47"/>
  <c r="E27" i="47"/>
  <c r="E28" i="47"/>
  <c r="E29" i="47"/>
  <c r="E30" i="47"/>
  <c r="E31" i="47"/>
  <c r="E32" i="47"/>
  <c r="E33" i="47"/>
  <c r="E34" i="47"/>
  <c r="E23" i="47"/>
  <c r="F25" i="47"/>
  <c r="F26" i="47"/>
  <c r="F27" i="47"/>
  <c r="F28" i="47"/>
  <c r="F29" i="47"/>
  <c r="F30" i="47"/>
  <c r="F31" i="47"/>
  <c r="F32" i="47"/>
  <c r="F33" i="47"/>
  <c r="F34" i="47"/>
  <c r="F24" i="47"/>
  <c r="D84" i="47"/>
  <c r="D83" i="47"/>
  <c r="D82" i="47"/>
  <c r="D81" i="47"/>
  <c r="D80" i="47"/>
  <c r="D79" i="47"/>
  <c r="D78" i="47"/>
  <c r="D77" i="47"/>
  <c r="D76" i="47"/>
  <c r="D75" i="47"/>
  <c r="D74" i="47"/>
  <c r="D73" i="47"/>
  <c r="O68" i="47"/>
  <c r="N68" i="47"/>
  <c r="M68" i="47"/>
  <c r="L68" i="47"/>
  <c r="K68" i="47"/>
  <c r="J68" i="47"/>
  <c r="I68" i="47"/>
  <c r="H68" i="47"/>
  <c r="G68" i="47"/>
  <c r="F68" i="47"/>
  <c r="E68" i="47"/>
  <c r="D68" i="47"/>
  <c r="O67" i="47"/>
  <c r="N67" i="47"/>
  <c r="M67" i="47"/>
  <c r="L67" i="47"/>
  <c r="K67" i="47"/>
  <c r="J67" i="47"/>
  <c r="I67" i="47"/>
  <c r="H67" i="47"/>
  <c r="G67" i="47"/>
  <c r="F67" i="47"/>
  <c r="E67" i="47"/>
  <c r="D67" i="47"/>
  <c r="O66" i="47"/>
  <c r="N66" i="47"/>
  <c r="M66" i="47"/>
  <c r="L66" i="47"/>
  <c r="K66" i="47"/>
  <c r="J66" i="47"/>
  <c r="I66" i="47"/>
  <c r="H66" i="47"/>
  <c r="G66" i="47"/>
  <c r="F66" i="47"/>
  <c r="E66" i="47"/>
  <c r="D66" i="47"/>
  <c r="O65" i="47"/>
  <c r="N65" i="47"/>
  <c r="M65" i="47"/>
  <c r="L65" i="47"/>
  <c r="K65" i="47"/>
  <c r="J65" i="47"/>
  <c r="I65" i="47"/>
  <c r="H65" i="47"/>
  <c r="G65" i="47"/>
  <c r="F65" i="47"/>
  <c r="E65" i="47"/>
  <c r="D65" i="47"/>
  <c r="O64" i="47"/>
  <c r="N64" i="47"/>
  <c r="M64" i="47"/>
  <c r="L64" i="47"/>
  <c r="K64" i="47"/>
  <c r="J64" i="47"/>
  <c r="I64" i="47"/>
  <c r="H64" i="47"/>
  <c r="G64" i="47"/>
  <c r="F64" i="47"/>
  <c r="E64" i="47"/>
  <c r="D64" i="47"/>
  <c r="O63" i="47"/>
  <c r="N63" i="47"/>
  <c r="M63" i="47"/>
  <c r="L63" i="47"/>
  <c r="K63" i="47"/>
  <c r="J63" i="47"/>
  <c r="I63" i="47"/>
  <c r="H63" i="47"/>
  <c r="G63" i="47"/>
  <c r="F63" i="47"/>
  <c r="E63" i="47"/>
  <c r="D63" i="47"/>
  <c r="O62" i="47"/>
  <c r="N62" i="47"/>
  <c r="M62" i="47"/>
  <c r="L62" i="47"/>
  <c r="K62" i="47"/>
  <c r="J62" i="47"/>
  <c r="I62" i="47"/>
  <c r="H62" i="47"/>
  <c r="G62" i="47"/>
  <c r="F62" i="47"/>
  <c r="E62" i="47"/>
  <c r="D62" i="47"/>
  <c r="O61" i="47"/>
  <c r="N61" i="47"/>
  <c r="M61" i="47"/>
  <c r="L61" i="47"/>
  <c r="K61" i="47"/>
  <c r="J61" i="47"/>
  <c r="I61" i="47"/>
  <c r="H61" i="47"/>
  <c r="G61" i="47"/>
  <c r="F61" i="47"/>
  <c r="E61" i="47"/>
  <c r="D61" i="47"/>
  <c r="O60" i="47"/>
  <c r="N60" i="47"/>
  <c r="M60" i="47"/>
  <c r="L60" i="47"/>
  <c r="K60" i="47"/>
  <c r="J60" i="47"/>
  <c r="I60" i="47"/>
  <c r="H60" i="47"/>
  <c r="G60" i="47"/>
  <c r="F60" i="47"/>
  <c r="E60" i="47"/>
  <c r="D60" i="47"/>
  <c r="O59" i="47"/>
  <c r="N59" i="47"/>
  <c r="M59" i="47"/>
  <c r="L59" i="47"/>
  <c r="K59" i="47"/>
  <c r="J59" i="47"/>
  <c r="I59" i="47"/>
  <c r="H59" i="47"/>
  <c r="G59" i="47"/>
  <c r="F59" i="47"/>
  <c r="E59" i="47"/>
  <c r="D59" i="47"/>
  <c r="O58" i="47"/>
  <c r="N58" i="47"/>
  <c r="M58" i="47"/>
  <c r="L58" i="47"/>
  <c r="K58" i="47"/>
  <c r="J58" i="47"/>
  <c r="I58" i="47"/>
  <c r="H58" i="47"/>
  <c r="G58" i="47"/>
  <c r="F58" i="47"/>
  <c r="E58" i="47"/>
  <c r="D58" i="47"/>
  <c r="O57" i="47"/>
  <c r="N57" i="47"/>
  <c r="M57" i="47"/>
  <c r="L57" i="47"/>
  <c r="K57" i="47"/>
  <c r="J57" i="47"/>
  <c r="I57" i="47"/>
  <c r="H57" i="47"/>
  <c r="G57" i="47"/>
  <c r="F57" i="47"/>
  <c r="E57" i="47"/>
  <c r="D57" i="47"/>
  <c r="D52" i="47"/>
  <c r="D51" i="47"/>
  <c r="D50" i="47"/>
  <c r="D49" i="47"/>
  <c r="D48" i="47"/>
  <c r="D47" i="47"/>
  <c r="D46" i="47"/>
  <c r="D42" i="47"/>
  <c r="D34" i="47"/>
  <c r="D33" i="47"/>
  <c r="D32" i="47"/>
  <c r="D31" i="47"/>
  <c r="D30" i="47"/>
  <c r="D29" i="47"/>
  <c r="D28" i="47"/>
  <c r="D24" i="47"/>
  <c r="D23" i="47"/>
  <c r="D16" i="47"/>
  <c r="D15" i="47"/>
  <c r="D14" i="47"/>
  <c r="D13" i="47"/>
  <c r="D12" i="47"/>
  <c r="D11" i="47"/>
  <c r="D10" i="47"/>
  <c r="D6" i="47"/>
  <c r="D43" i="47"/>
  <c r="D27" i="47"/>
  <c r="D9" i="47"/>
  <c r="E69" i="48" l="1"/>
  <c r="G69" i="48"/>
  <c r="F69" i="48"/>
  <c r="K69" i="48"/>
  <c r="L69" i="48"/>
  <c r="H69" i="48"/>
  <c r="I69" i="48"/>
  <c r="J69" i="48"/>
  <c r="M69" i="48"/>
  <c r="N69" i="48"/>
  <c r="F17" i="49"/>
  <c r="O69" i="47"/>
  <c r="O70" i="47" s="1"/>
  <c r="M69" i="47"/>
  <c r="M70" i="47" s="1"/>
  <c r="N69" i="47"/>
  <c r="N70" i="47" s="1"/>
  <c r="F69" i="47"/>
  <c r="F70" i="47" s="1"/>
  <c r="D17" i="49"/>
  <c r="D35" i="49"/>
  <c r="AM3" i="49"/>
  <c r="D43" i="49" s="1"/>
  <c r="E28" i="49"/>
  <c r="F46" i="49"/>
  <c r="E10" i="49"/>
  <c r="F28" i="49"/>
  <c r="F23" i="49"/>
  <c r="F27" i="49"/>
  <c r="F41" i="49"/>
  <c r="E27" i="49"/>
  <c r="D41" i="49"/>
  <c r="D53" i="49" s="1"/>
  <c r="E42" i="49"/>
  <c r="E53" i="49" s="1"/>
  <c r="F42" i="49"/>
  <c r="E6" i="49"/>
  <c r="F24" i="49"/>
  <c r="E5" i="49"/>
  <c r="E25" i="49"/>
  <c r="E23" i="49"/>
  <c r="D45" i="48"/>
  <c r="D25" i="48"/>
  <c r="D35" i="48" s="1"/>
  <c r="E10" i="48"/>
  <c r="F10" i="48"/>
  <c r="F5" i="48"/>
  <c r="D9" i="48"/>
  <c r="D17" i="48" s="1"/>
  <c r="D43" i="48"/>
  <c r="E28" i="48"/>
  <c r="F46" i="48"/>
  <c r="F23" i="48"/>
  <c r="F28" i="48"/>
  <c r="E41" i="48"/>
  <c r="E27" i="48"/>
  <c r="F42" i="48"/>
  <c r="F27" i="48"/>
  <c r="E5" i="48"/>
  <c r="F6" i="48"/>
  <c r="F17" i="48" s="1"/>
  <c r="E43" i="48"/>
  <c r="E23" i="48"/>
  <c r="D41" i="48"/>
  <c r="E25" i="48"/>
  <c r="F43" i="48"/>
  <c r="F24" i="48"/>
  <c r="E6" i="48"/>
  <c r="I69" i="47"/>
  <c r="I70" i="47" s="1"/>
  <c r="H69" i="47"/>
  <c r="H70" i="47" s="1"/>
  <c r="J69" i="47"/>
  <c r="J70" i="47" s="1"/>
  <c r="K69" i="47"/>
  <c r="K70" i="47" s="1"/>
  <c r="L69" i="47"/>
  <c r="L70" i="47" s="1"/>
  <c r="G69" i="47"/>
  <c r="G70" i="47" s="1"/>
  <c r="D69" i="47"/>
  <c r="D70" i="47" s="1"/>
  <c r="E69" i="47"/>
  <c r="E70" i="47" s="1"/>
  <c r="D5" i="47"/>
  <c r="D44" i="47"/>
  <c r="D45" i="47"/>
  <c r="D41" i="47"/>
  <c r="D7" i="47"/>
  <c r="D26" i="47"/>
  <c r="D8" i="47"/>
  <c r="D25" i="47"/>
  <c r="F53" i="48" l="1"/>
  <c r="F35" i="49"/>
  <c r="E17" i="49"/>
  <c r="F53" i="49"/>
  <c r="E35" i="49"/>
  <c r="D53" i="48"/>
  <c r="E35" i="48"/>
  <c r="E17" i="48"/>
  <c r="F35" i="48"/>
  <c r="E53" i="48"/>
  <c r="D53" i="47"/>
  <c r="F35" i="47"/>
  <c r="D17" i="47"/>
  <c r="D35" i="47"/>
  <c r="E53" i="47"/>
  <c r="E35" i="47"/>
  <c r="F17" i="47"/>
  <c r="E17" i="47"/>
  <c r="F53" i="47"/>
  <c r="E74" i="45" l="1"/>
  <c r="E75" i="45"/>
  <c r="E76" i="45"/>
  <c r="E77" i="45"/>
  <c r="E78" i="45"/>
  <c r="E79" i="45"/>
  <c r="E80" i="45"/>
  <c r="E81" i="45"/>
  <c r="E82" i="45"/>
  <c r="E83" i="45"/>
  <c r="E84" i="45"/>
  <c r="E73" i="45"/>
  <c r="E24" i="45"/>
  <c r="E25" i="45"/>
  <c r="E26" i="45"/>
  <c r="E27" i="45"/>
  <c r="E28" i="45"/>
  <c r="E29" i="45"/>
  <c r="E30" i="45"/>
  <c r="E31" i="45"/>
  <c r="E32" i="45"/>
  <c r="E33" i="45"/>
  <c r="E34" i="45"/>
  <c r="E23" i="45"/>
  <c r="E6" i="45"/>
  <c r="E7" i="45"/>
  <c r="E8" i="45"/>
  <c r="E9" i="45"/>
  <c r="E10" i="45"/>
  <c r="E11" i="45"/>
  <c r="E12" i="45"/>
  <c r="E13" i="45"/>
  <c r="E14" i="45"/>
  <c r="E15" i="45"/>
  <c r="E16" i="45"/>
  <c r="E5" i="45"/>
  <c r="F84" i="46"/>
  <c r="D84" i="46"/>
  <c r="F83" i="46"/>
  <c r="D83" i="46"/>
  <c r="F82" i="46"/>
  <c r="D82" i="46"/>
  <c r="F81" i="46"/>
  <c r="D81" i="46"/>
  <c r="F80" i="46"/>
  <c r="D80" i="46"/>
  <c r="F79" i="46"/>
  <c r="D79" i="46"/>
  <c r="F78" i="46"/>
  <c r="D78" i="46"/>
  <c r="F77" i="46"/>
  <c r="D77" i="46"/>
  <c r="F76" i="46"/>
  <c r="D76" i="46"/>
  <c r="F75" i="46"/>
  <c r="D75" i="46"/>
  <c r="F74" i="46"/>
  <c r="D74" i="46"/>
  <c r="F73" i="46"/>
  <c r="D73" i="46"/>
  <c r="O68" i="46"/>
  <c r="N68" i="46"/>
  <c r="M68" i="46"/>
  <c r="L68" i="46"/>
  <c r="K68" i="46"/>
  <c r="J68" i="46"/>
  <c r="I68" i="46"/>
  <c r="H68" i="46"/>
  <c r="G68" i="46"/>
  <c r="F68" i="46"/>
  <c r="E68" i="46"/>
  <c r="D68" i="46"/>
  <c r="O67" i="46"/>
  <c r="N67" i="46"/>
  <c r="M67" i="46"/>
  <c r="L67" i="46"/>
  <c r="K67" i="46"/>
  <c r="J67" i="46"/>
  <c r="I67" i="46"/>
  <c r="H67" i="46"/>
  <c r="G67" i="46"/>
  <c r="F67" i="46"/>
  <c r="E67" i="46"/>
  <c r="D67" i="46"/>
  <c r="O66" i="46"/>
  <c r="N66" i="46"/>
  <c r="M66" i="46"/>
  <c r="L66" i="46"/>
  <c r="K66" i="46"/>
  <c r="J66" i="46"/>
  <c r="I66" i="46"/>
  <c r="H66" i="46"/>
  <c r="G66" i="46"/>
  <c r="F66" i="46"/>
  <c r="E66" i="46"/>
  <c r="D66" i="46"/>
  <c r="O65" i="46"/>
  <c r="N65" i="46"/>
  <c r="M65" i="46"/>
  <c r="L65" i="46"/>
  <c r="K65" i="46"/>
  <c r="J65" i="46"/>
  <c r="I65" i="46"/>
  <c r="H65" i="46"/>
  <c r="G65" i="46"/>
  <c r="F65" i="46"/>
  <c r="E65" i="46"/>
  <c r="D65" i="46"/>
  <c r="O64" i="46"/>
  <c r="N64" i="46"/>
  <c r="M64" i="46"/>
  <c r="L64" i="46"/>
  <c r="K64" i="46"/>
  <c r="J64" i="46"/>
  <c r="I64" i="46"/>
  <c r="H64" i="46"/>
  <c r="G64" i="46"/>
  <c r="F64" i="46"/>
  <c r="E64" i="46"/>
  <c r="D64" i="46"/>
  <c r="O63" i="46"/>
  <c r="N63" i="46"/>
  <c r="M63" i="46"/>
  <c r="L63" i="46"/>
  <c r="K63" i="46"/>
  <c r="J63" i="46"/>
  <c r="I63" i="46"/>
  <c r="H63" i="46"/>
  <c r="G63" i="46"/>
  <c r="F63" i="46"/>
  <c r="E63" i="46"/>
  <c r="D63" i="46"/>
  <c r="O62" i="46"/>
  <c r="N62" i="46"/>
  <c r="M62" i="46"/>
  <c r="L62" i="46"/>
  <c r="K62" i="46"/>
  <c r="J62" i="46"/>
  <c r="I62" i="46"/>
  <c r="H62" i="46"/>
  <c r="G62" i="46"/>
  <c r="F62" i="46"/>
  <c r="E62" i="46"/>
  <c r="D62" i="46"/>
  <c r="O61" i="46"/>
  <c r="N61" i="46"/>
  <c r="M61" i="46"/>
  <c r="L61" i="46"/>
  <c r="K61" i="46"/>
  <c r="J61" i="46"/>
  <c r="I61" i="46"/>
  <c r="H61" i="46"/>
  <c r="G61" i="46"/>
  <c r="F61" i="46"/>
  <c r="E61" i="46"/>
  <c r="D61" i="46"/>
  <c r="O60" i="46"/>
  <c r="N60" i="46"/>
  <c r="M60" i="46"/>
  <c r="L60" i="46"/>
  <c r="K60" i="46"/>
  <c r="J60" i="46"/>
  <c r="I60" i="46"/>
  <c r="H60" i="46"/>
  <c r="G60" i="46"/>
  <c r="F60" i="46"/>
  <c r="E60" i="46"/>
  <c r="D60" i="46"/>
  <c r="O59" i="46"/>
  <c r="N59" i="46"/>
  <c r="M59" i="46"/>
  <c r="L59" i="46"/>
  <c r="K59" i="46"/>
  <c r="J59" i="46"/>
  <c r="I59" i="46"/>
  <c r="H59" i="46"/>
  <c r="G59" i="46"/>
  <c r="F59" i="46"/>
  <c r="E59" i="46"/>
  <c r="D59" i="46"/>
  <c r="O58" i="46"/>
  <c r="N58" i="46"/>
  <c r="M58" i="46"/>
  <c r="L58" i="46"/>
  <c r="K58" i="46"/>
  <c r="J58" i="46"/>
  <c r="I58" i="46"/>
  <c r="H58" i="46"/>
  <c r="G58" i="46"/>
  <c r="F58" i="46"/>
  <c r="E58" i="46"/>
  <c r="D58" i="46"/>
  <c r="O57" i="46"/>
  <c r="N57" i="46"/>
  <c r="M57" i="46"/>
  <c r="L57" i="46"/>
  <c r="K57" i="46"/>
  <c r="J57" i="46"/>
  <c r="I57" i="46"/>
  <c r="H57" i="46"/>
  <c r="H69" i="46" s="1"/>
  <c r="G57" i="46"/>
  <c r="F57" i="46"/>
  <c r="E57" i="46"/>
  <c r="D57" i="46"/>
  <c r="BR52" i="46"/>
  <c r="Y52" i="46"/>
  <c r="F52" i="46"/>
  <c r="D52" i="46"/>
  <c r="BR51" i="46"/>
  <c r="Y51" i="46"/>
  <c r="F51" i="46"/>
  <c r="D51" i="46"/>
  <c r="BR50" i="46"/>
  <c r="Y50" i="46"/>
  <c r="F50" i="46"/>
  <c r="D50" i="46"/>
  <c r="BR49" i="46"/>
  <c r="Y49" i="46"/>
  <c r="F49" i="46"/>
  <c r="D49" i="46"/>
  <c r="BR48" i="46"/>
  <c r="Y48" i="46"/>
  <c r="F48" i="46"/>
  <c r="D48" i="46"/>
  <c r="BR47" i="46"/>
  <c r="Y47" i="46"/>
  <c r="F47" i="46"/>
  <c r="D47" i="46"/>
  <c r="BR46" i="46"/>
  <c r="Y46" i="46"/>
  <c r="F46" i="46"/>
  <c r="D46" i="46"/>
  <c r="BR45" i="46"/>
  <c r="Y45" i="46"/>
  <c r="F45" i="46"/>
  <c r="D45" i="46"/>
  <c r="BR44" i="46"/>
  <c r="Y44" i="46"/>
  <c r="D44" i="46"/>
  <c r="BR43" i="46"/>
  <c r="Y43" i="46"/>
  <c r="BR42" i="46"/>
  <c r="Y42" i="46"/>
  <c r="D42" i="46"/>
  <c r="BR41" i="46"/>
  <c r="Y41" i="46"/>
  <c r="D41" i="46"/>
  <c r="BR40" i="46"/>
  <c r="Y40" i="46"/>
  <c r="BR39" i="46"/>
  <c r="Y39" i="46"/>
  <c r="F34" i="46"/>
  <c r="E34" i="46"/>
  <c r="D34" i="46"/>
  <c r="F33" i="46"/>
  <c r="E33" i="46"/>
  <c r="D33" i="46"/>
  <c r="F32" i="46"/>
  <c r="E32" i="46"/>
  <c r="D32" i="46"/>
  <c r="F31" i="46"/>
  <c r="E31" i="46"/>
  <c r="D31" i="46"/>
  <c r="F30" i="46"/>
  <c r="E30" i="46"/>
  <c r="D30" i="46"/>
  <c r="F29" i="46"/>
  <c r="E29" i="46"/>
  <c r="D29" i="46"/>
  <c r="F28" i="46"/>
  <c r="D28" i="46"/>
  <c r="F27" i="46"/>
  <c r="F26" i="46"/>
  <c r="E26" i="46"/>
  <c r="F25" i="46"/>
  <c r="E25" i="46"/>
  <c r="F24" i="46"/>
  <c r="E24" i="46"/>
  <c r="D24" i="46"/>
  <c r="F16" i="46"/>
  <c r="E16" i="46"/>
  <c r="D16" i="46"/>
  <c r="F15" i="46"/>
  <c r="E15" i="46"/>
  <c r="D15" i="46"/>
  <c r="F14" i="46"/>
  <c r="E14" i="46"/>
  <c r="D14" i="46"/>
  <c r="F13" i="46"/>
  <c r="E13" i="46"/>
  <c r="D13" i="46"/>
  <c r="F12" i="46"/>
  <c r="E12" i="46"/>
  <c r="D12" i="46"/>
  <c r="F11" i="46"/>
  <c r="E11" i="46"/>
  <c r="D11" i="46"/>
  <c r="F10" i="46"/>
  <c r="D10" i="46"/>
  <c r="F9" i="46"/>
  <c r="D6" i="46"/>
  <c r="D5" i="46"/>
  <c r="F43" i="46"/>
  <c r="D43" i="46"/>
  <c r="F23" i="46"/>
  <c r="E27" i="46"/>
  <c r="D25" i="46"/>
  <c r="F8" i="46"/>
  <c r="E10" i="46"/>
  <c r="D8" i="46"/>
  <c r="BR52" i="45"/>
  <c r="BR51" i="45"/>
  <c r="BR50" i="45"/>
  <c r="BR49" i="45"/>
  <c r="BR48" i="45"/>
  <c r="BR47" i="45"/>
  <c r="BR46" i="45"/>
  <c r="BR45" i="45"/>
  <c r="BR44" i="45"/>
  <c r="BR43" i="45"/>
  <c r="BR42" i="45"/>
  <c r="BR41" i="45"/>
  <c r="BR40" i="45"/>
  <c r="BR39" i="45"/>
  <c r="Y52" i="45"/>
  <c r="Y51" i="45"/>
  <c r="Y50" i="45"/>
  <c r="Y49" i="45"/>
  <c r="Y48" i="45"/>
  <c r="Y47" i="45"/>
  <c r="Y46" i="45"/>
  <c r="Y45" i="45"/>
  <c r="Y44" i="45"/>
  <c r="Y43" i="45"/>
  <c r="Y42" i="45"/>
  <c r="Y41" i="45"/>
  <c r="Y40" i="45"/>
  <c r="Y39" i="45"/>
  <c r="F84" i="45"/>
  <c r="D84" i="45"/>
  <c r="F83" i="45"/>
  <c r="D83" i="45"/>
  <c r="F82" i="45"/>
  <c r="D82" i="45"/>
  <c r="F81" i="45"/>
  <c r="D81" i="45"/>
  <c r="F80" i="45"/>
  <c r="D80" i="45"/>
  <c r="F79" i="45"/>
  <c r="D79" i="45"/>
  <c r="F78" i="45"/>
  <c r="D78" i="45"/>
  <c r="F77" i="45"/>
  <c r="D77" i="45"/>
  <c r="F76" i="45"/>
  <c r="D76" i="45"/>
  <c r="F75" i="45"/>
  <c r="D75" i="45"/>
  <c r="F74" i="45"/>
  <c r="D74" i="45"/>
  <c r="F73" i="45"/>
  <c r="D73" i="45"/>
  <c r="O68" i="45"/>
  <c r="N68" i="45"/>
  <c r="M68" i="45"/>
  <c r="L68" i="45"/>
  <c r="K68" i="45"/>
  <c r="J68" i="45"/>
  <c r="I68" i="45"/>
  <c r="H68" i="45"/>
  <c r="G68" i="45"/>
  <c r="F68" i="45"/>
  <c r="E68" i="45"/>
  <c r="D68" i="45"/>
  <c r="O67" i="45"/>
  <c r="N67" i="45"/>
  <c r="M67" i="45"/>
  <c r="L67" i="45"/>
  <c r="K67" i="45"/>
  <c r="J67" i="45"/>
  <c r="I67" i="45"/>
  <c r="H67" i="45"/>
  <c r="G67" i="45"/>
  <c r="F67" i="45"/>
  <c r="E67" i="45"/>
  <c r="D67" i="45"/>
  <c r="O66" i="45"/>
  <c r="N66" i="45"/>
  <c r="M66" i="45"/>
  <c r="L66" i="45"/>
  <c r="K66" i="45"/>
  <c r="J66" i="45"/>
  <c r="I66" i="45"/>
  <c r="H66" i="45"/>
  <c r="G66" i="45"/>
  <c r="F66" i="45"/>
  <c r="E66" i="45"/>
  <c r="D66" i="45"/>
  <c r="O65" i="45"/>
  <c r="N65" i="45"/>
  <c r="M65" i="45"/>
  <c r="L65" i="45"/>
  <c r="K65" i="45"/>
  <c r="J65" i="45"/>
  <c r="I65" i="45"/>
  <c r="H65" i="45"/>
  <c r="G65" i="45"/>
  <c r="F65" i="45"/>
  <c r="E65" i="45"/>
  <c r="D65" i="45"/>
  <c r="O64" i="45"/>
  <c r="N64" i="45"/>
  <c r="M64" i="45"/>
  <c r="L64" i="45"/>
  <c r="K64" i="45"/>
  <c r="J64" i="45"/>
  <c r="I64" i="45"/>
  <c r="H64" i="45"/>
  <c r="G64" i="45"/>
  <c r="F64" i="45"/>
  <c r="E64" i="45"/>
  <c r="D64" i="45"/>
  <c r="O63" i="45"/>
  <c r="N63" i="45"/>
  <c r="M63" i="45"/>
  <c r="L63" i="45"/>
  <c r="K63" i="45"/>
  <c r="J63" i="45"/>
  <c r="I63" i="45"/>
  <c r="H63" i="45"/>
  <c r="G63" i="45"/>
  <c r="F63" i="45"/>
  <c r="E63" i="45"/>
  <c r="D63" i="45"/>
  <c r="O62" i="45"/>
  <c r="N62" i="45"/>
  <c r="M62" i="45"/>
  <c r="L62" i="45"/>
  <c r="K62" i="45"/>
  <c r="J62" i="45"/>
  <c r="I62" i="45"/>
  <c r="H62" i="45"/>
  <c r="G62" i="45"/>
  <c r="F62" i="45"/>
  <c r="E62" i="45"/>
  <c r="D62" i="45"/>
  <c r="O61" i="45"/>
  <c r="N61" i="45"/>
  <c r="M61" i="45"/>
  <c r="L61" i="45"/>
  <c r="K61" i="45"/>
  <c r="J61" i="45"/>
  <c r="I61" i="45"/>
  <c r="H61" i="45"/>
  <c r="G61" i="45"/>
  <c r="F61" i="45"/>
  <c r="E61" i="45"/>
  <c r="D61" i="45"/>
  <c r="O60" i="45"/>
  <c r="N60" i="45"/>
  <c r="M60" i="45"/>
  <c r="L60" i="45"/>
  <c r="K60" i="45"/>
  <c r="J60" i="45"/>
  <c r="I60" i="45"/>
  <c r="H60" i="45"/>
  <c r="G60" i="45"/>
  <c r="F60" i="45"/>
  <c r="E60" i="45"/>
  <c r="D60" i="45"/>
  <c r="O59" i="45"/>
  <c r="N59" i="45"/>
  <c r="M59" i="45"/>
  <c r="L59" i="45"/>
  <c r="K59" i="45"/>
  <c r="J59" i="45"/>
  <c r="I59" i="45"/>
  <c r="H59" i="45"/>
  <c r="G59" i="45"/>
  <c r="F59" i="45"/>
  <c r="E59" i="45"/>
  <c r="D59" i="45"/>
  <c r="O58" i="45"/>
  <c r="N58" i="45"/>
  <c r="M58" i="45"/>
  <c r="L58" i="45"/>
  <c r="K58" i="45"/>
  <c r="J58" i="45"/>
  <c r="I58" i="45"/>
  <c r="H58" i="45"/>
  <c r="G58" i="45"/>
  <c r="F58" i="45"/>
  <c r="E58" i="45"/>
  <c r="D58" i="45"/>
  <c r="O57" i="45"/>
  <c r="N57" i="45"/>
  <c r="M57" i="45"/>
  <c r="L57" i="45"/>
  <c r="K57" i="45"/>
  <c r="J57" i="45"/>
  <c r="I57" i="45"/>
  <c r="H57" i="45"/>
  <c r="G57" i="45"/>
  <c r="F57" i="45"/>
  <c r="E57" i="45"/>
  <c r="D57" i="45"/>
  <c r="F52" i="45"/>
  <c r="D52" i="45"/>
  <c r="F51" i="45"/>
  <c r="D51" i="45"/>
  <c r="F50" i="45"/>
  <c r="D50" i="45"/>
  <c r="F49" i="45"/>
  <c r="D49" i="45"/>
  <c r="F48" i="45"/>
  <c r="D48" i="45"/>
  <c r="F47" i="45"/>
  <c r="D47" i="45"/>
  <c r="F46" i="45"/>
  <c r="D46" i="45"/>
  <c r="F45" i="45"/>
  <c r="D45" i="45"/>
  <c r="F44" i="45"/>
  <c r="D42" i="45"/>
  <c r="F34" i="45"/>
  <c r="D34" i="45"/>
  <c r="F33" i="45"/>
  <c r="D33" i="45"/>
  <c r="F32" i="45"/>
  <c r="D32" i="45"/>
  <c r="F31" i="45"/>
  <c r="D31" i="45"/>
  <c r="F30" i="45"/>
  <c r="D30" i="45"/>
  <c r="F29" i="45"/>
  <c r="D29" i="45"/>
  <c r="F28" i="45"/>
  <c r="D28" i="45"/>
  <c r="F27" i="45"/>
  <c r="F26" i="45"/>
  <c r="D24" i="45"/>
  <c r="F16" i="45"/>
  <c r="D16" i="45"/>
  <c r="F15" i="45"/>
  <c r="D15" i="45"/>
  <c r="F14" i="45"/>
  <c r="D14" i="45"/>
  <c r="F13" i="45"/>
  <c r="D13" i="45"/>
  <c r="F12" i="45"/>
  <c r="D12" i="45"/>
  <c r="F11" i="45"/>
  <c r="D11" i="45"/>
  <c r="F10" i="45"/>
  <c r="D10" i="45"/>
  <c r="F9" i="45"/>
  <c r="D9" i="45"/>
  <c r="F8" i="45"/>
  <c r="D8" i="45"/>
  <c r="F7" i="45"/>
  <c r="F6" i="45"/>
  <c r="D6" i="45"/>
  <c r="F43" i="45"/>
  <c r="D44" i="45"/>
  <c r="F25" i="45"/>
  <c r="D26" i="45"/>
  <c r="F5" i="45"/>
  <c r="D7" i="45"/>
  <c r="F41" i="43"/>
  <c r="E41" i="43"/>
  <c r="D43" i="43"/>
  <c r="D44" i="43"/>
  <c r="F23" i="43"/>
  <c r="E23" i="43"/>
  <c r="D23" i="43"/>
  <c r="F5" i="43"/>
  <c r="E5" i="43"/>
  <c r="D9" i="43"/>
  <c r="F84" i="43"/>
  <c r="E84" i="43"/>
  <c r="D84" i="43"/>
  <c r="F83" i="43"/>
  <c r="E83" i="43"/>
  <c r="D83" i="43"/>
  <c r="F82" i="43"/>
  <c r="E82" i="43"/>
  <c r="D82" i="43"/>
  <c r="F81" i="43"/>
  <c r="E81" i="43"/>
  <c r="D81" i="43"/>
  <c r="F80" i="43"/>
  <c r="E80" i="43"/>
  <c r="D80" i="43"/>
  <c r="F79" i="43"/>
  <c r="E79" i="43"/>
  <c r="D79" i="43"/>
  <c r="F78" i="43"/>
  <c r="E78" i="43"/>
  <c r="D78" i="43"/>
  <c r="F77" i="43"/>
  <c r="E77" i="43"/>
  <c r="D77" i="43"/>
  <c r="F76" i="43"/>
  <c r="E76" i="43"/>
  <c r="D76" i="43"/>
  <c r="F75" i="43"/>
  <c r="E75" i="43"/>
  <c r="D75" i="43"/>
  <c r="F74" i="43"/>
  <c r="E74" i="43"/>
  <c r="D74" i="43"/>
  <c r="F73" i="43"/>
  <c r="E73" i="43"/>
  <c r="D73" i="43"/>
  <c r="O68" i="43"/>
  <c r="N68" i="43"/>
  <c r="M68" i="43"/>
  <c r="L68" i="43"/>
  <c r="K68" i="43"/>
  <c r="J68" i="43"/>
  <c r="I68" i="43"/>
  <c r="H68" i="43"/>
  <c r="G68" i="43"/>
  <c r="F68" i="43"/>
  <c r="E68" i="43"/>
  <c r="D68" i="43"/>
  <c r="O67" i="43"/>
  <c r="N67" i="43"/>
  <c r="M67" i="43"/>
  <c r="L67" i="43"/>
  <c r="K67" i="43"/>
  <c r="J67" i="43"/>
  <c r="I67" i="43"/>
  <c r="H67" i="43"/>
  <c r="G67" i="43"/>
  <c r="F67" i="43"/>
  <c r="E67" i="43"/>
  <c r="D67" i="43"/>
  <c r="O66" i="43"/>
  <c r="N66" i="43"/>
  <c r="M66" i="43"/>
  <c r="L66" i="43"/>
  <c r="K66" i="43"/>
  <c r="J66" i="43"/>
  <c r="I66" i="43"/>
  <c r="H66" i="43"/>
  <c r="G66" i="43"/>
  <c r="F66" i="43"/>
  <c r="E66" i="43"/>
  <c r="D66" i="43"/>
  <c r="O65" i="43"/>
  <c r="N65" i="43"/>
  <c r="M65" i="43"/>
  <c r="L65" i="43"/>
  <c r="K65" i="43"/>
  <c r="J65" i="43"/>
  <c r="I65" i="43"/>
  <c r="H65" i="43"/>
  <c r="G65" i="43"/>
  <c r="F65" i="43"/>
  <c r="E65" i="43"/>
  <c r="D65" i="43"/>
  <c r="O64" i="43"/>
  <c r="N64" i="43"/>
  <c r="M64" i="43"/>
  <c r="L64" i="43"/>
  <c r="K64" i="43"/>
  <c r="J64" i="43"/>
  <c r="I64" i="43"/>
  <c r="H64" i="43"/>
  <c r="G64" i="43"/>
  <c r="F64" i="43"/>
  <c r="E64" i="43"/>
  <c r="D64" i="43"/>
  <c r="O63" i="43"/>
  <c r="N63" i="43"/>
  <c r="M63" i="43"/>
  <c r="L63" i="43"/>
  <c r="K63" i="43"/>
  <c r="J63" i="43"/>
  <c r="I63" i="43"/>
  <c r="H63" i="43"/>
  <c r="G63" i="43"/>
  <c r="F63" i="43"/>
  <c r="E63" i="43"/>
  <c r="D63" i="43"/>
  <c r="O62" i="43"/>
  <c r="N62" i="43"/>
  <c r="M62" i="43"/>
  <c r="L62" i="43"/>
  <c r="K62" i="43"/>
  <c r="J62" i="43"/>
  <c r="I62" i="43"/>
  <c r="H62" i="43"/>
  <c r="G62" i="43"/>
  <c r="F62" i="43"/>
  <c r="E62" i="43"/>
  <c r="D62" i="43"/>
  <c r="O61" i="43"/>
  <c r="N61" i="43"/>
  <c r="M61" i="43"/>
  <c r="L61" i="43"/>
  <c r="K61" i="43"/>
  <c r="J61" i="43"/>
  <c r="I61" i="43"/>
  <c r="H61" i="43"/>
  <c r="G61" i="43"/>
  <c r="F61" i="43"/>
  <c r="E61" i="43"/>
  <c r="D61" i="43"/>
  <c r="O60" i="43"/>
  <c r="N60" i="43"/>
  <c r="M60" i="43"/>
  <c r="L60" i="43"/>
  <c r="K60" i="43"/>
  <c r="J60" i="43"/>
  <c r="I60" i="43"/>
  <c r="H60" i="43"/>
  <c r="G60" i="43"/>
  <c r="F60" i="43"/>
  <c r="E60" i="43"/>
  <c r="D60" i="43"/>
  <c r="O59" i="43"/>
  <c r="N59" i="43"/>
  <c r="M59" i="43"/>
  <c r="L59" i="43"/>
  <c r="L69" i="43" s="1"/>
  <c r="K59" i="43"/>
  <c r="J59" i="43"/>
  <c r="I59" i="43"/>
  <c r="H59" i="43"/>
  <c r="G59" i="43"/>
  <c r="F59" i="43"/>
  <c r="E59" i="43"/>
  <c r="D59" i="43"/>
  <c r="O58" i="43"/>
  <c r="N58" i="43"/>
  <c r="M58" i="43"/>
  <c r="L58" i="43"/>
  <c r="K58" i="43"/>
  <c r="J58" i="43"/>
  <c r="I58" i="43"/>
  <c r="H58" i="43"/>
  <c r="G58" i="43"/>
  <c r="F58" i="43"/>
  <c r="E58" i="43"/>
  <c r="D58" i="43"/>
  <c r="O57" i="43"/>
  <c r="N57" i="43"/>
  <c r="M57" i="43"/>
  <c r="L57" i="43"/>
  <c r="K57" i="43"/>
  <c r="J57" i="43"/>
  <c r="I57" i="43"/>
  <c r="H57" i="43"/>
  <c r="G57" i="43"/>
  <c r="F57" i="43"/>
  <c r="E57" i="43"/>
  <c r="D57" i="43"/>
  <c r="F52" i="43"/>
  <c r="E52" i="43"/>
  <c r="D52" i="43"/>
  <c r="F51" i="43"/>
  <c r="E51" i="43"/>
  <c r="D51" i="43"/>
  <c r="F50" i="43"/>
  <c r="E50" i="43"/>
  <c r="D50" i="43"/>
  <c r="F49" i="43"/>
  <c r="E49" i="43"/>
  <c r="D49" i="43"/>
  <c r="F48" i="43"/>
  <c r="E48" i="43"/>
  <c r="D48" i="43"/>
  <c r="F47" i="43"/>
  <c r="E47" i="43"/>
  <c r="D47" i="43"/>
  <c r="F46" i="43"/>
  <c r="E46" i="43"/>
  <c r="D46" i="43"/>
  <c r="F45" i="43"/>
  <c r="E45" i="43"/>
  <c r="D45" i="43"/>
  <c r="F43" i="43"/>
  <c r="D42" i="43"/>
  <c r="D41" i="43"/>
  <c r="F34" i="43"/>
  <c r="E34" i="43"/>
  <c r="D34" i="43"/>
  <c r="F33" i="43"/>
  <c r="E33" i="43"/>
  <c r="D33" i="43"/>
  <c r="F32" i="43"/>
  <c r="E32" i="43"/>
  <c r="D32" i="43"/>
  <c r="F31" i="43"/>
  <c r="E31" i="43"/>
  <c r="D31" i="43"/>
  <c r="F30" i="43"/>
  <c r="E30" i="43"/>
  <c r="D30" i="43"/>
  <c r="F29" i="43"/>
  <c r="E29" i="43"/>
  <c r="D29" i="43"/>
  <c r="F28" i="43"/>
  <c r="E28" i="43"/>
  <c r="D28" i="43"/>
  <c r="F27" i="43"/>
  <c r="E27" i="43"/>
  <c r="D27" i="43"/>
  <c r="F26" i="43"/>
  <c r="F25" i="43"/>
  <c r="E25" i="43"/>
  <c r="F24" i="43"/>
  <c r="E24" i="43"/>
  <c r="D24" i="43"/>
  <c r="F16" i="43"/>
  <c r="E16" i="43"/>
  <c r="D16" i="43"/>
  <c r="F15" i="43"/>
  <c r="E15" i="43"/>
  <c r="D15" i="43"/>
  <c r="F14" i="43"/>
  <c r="E14" i="43"/>
  <c r="D14" i="43"/>
  <c r="F13" i="43"/>
  <c r="E13" i="43"/>
  <c r="D13" i="43"/>
  <c r="F12" i="43"/>
  <c r="E12" i="43"/>
  <c r="D12" i="43"/>
  <c r="F11" i="43"/>
  <c r="E11" i="43"/>
  <c r="D11" i="43"/>
  <c r="F10" i="43"/>
  <c r="E10" i="43"/>
  <c r="D10" i="43"/>
  <c r="F9" i="43"/>
  <c r="E9" i="43"/>
  <c r="F8" i="43"/>
  <c r="E8" i="43"/>
  <c r="F7" i="43"/>
  <c r="E7" i="43"/>
  <c r="F6" i="43"/>
  <c r="E6" i="43"/>
  <c r="D6" i="43"/>
  <c r="F84" i="42"/>
  <c r="E84" i="42"/>
  <c r="D84" i="42"/>
  <c r="F83" i="42"/>
  <c r="E83" i="42"/>
  <c r="D83" i="42"/>
  <c r="F82" i="42"/>
  <c r="E82" i="42"/>
  <c r="D82" i="42"/>
  <c r="F81" i="42"/>
  <c r="E81" i="42"/>
  <c r="D81" i="42"/>
  <c r="F80" i="42"/>
  <c r="E80" i="42"/>
  <c r="D80" i="42"/>
  <c r="F79" i="42"/>
  <c r="E79" i="42"/>
  <c r="D79" i="42"/>
  <c r="F78" i="42"/>
  <c r="E78" i="42"/>
  <c r="D78" i="42"/>
  <c r="F77" i="42"/>
  <c r="E77" i="42"/>
  <c r="D77" i="42"/>
  <c r="F76" i="42"/>
  <c r="E76" i="42"/>
  <c r="D76" i="42"/>
  <c r="F75" i="42"/>
  <c r="E75" i="42"/>
  <c r="D75" i="42"/>
  <c r="F74" i="42"/>
  <c r="E74" i="42"/>
  <c r="D74" i="42"/>
  <c r="F73" i="42"/>
  <c r="E73" i="42"/>
  <c r="D73" i="42"/>
  <c r="E41" i="42"/>
  <c r="F41" i="42"/>
  <c r="E42" i="42"/>
  <c r="F42" i="42"/>
  <c r="E43" i="42"/>
  <c r="F43" i="42"/>
  <c r="E44" i="42"/>
  <c r="F44" i="42"/>
  <c r="E45" i="42"/>
  <c r="F45" i="42"/>
  <c r="E46" i="42"/>
  <c r="F46" i="42"/>
  <c r="E47" i="42"/>
  <c r="F47" i="42"/>
  <c r="E48" i="42"/>
  <c r="F48" i="42"/>
  <c r="E49" i="42"/>
  <c r="F49" i="42"/>
  <c r="E50" i="42"/>
  <c r="F50" i="42"/>
  <c r="E51" i="42"/>
  <c r="F51" i="42"/>
  <c r="E52" i="42"/>
  <c r="F52" i="42"/>
  <c r="D42" i="42"/>
  <c r="D43" i="42"/>
  <c r="D44" i="42"/>
  <c r="D45" i="42"/>
  <c r="D46" i="42"/>
  <c r="D47" i="42"/>
  <c r="D48" i="42"/>
  <c r="D49" i="42"/>
  <c r="D50" i="42"/>
  <c r="D51" i="42"/>
  <c r="D52" i="42"/>
  <c r="D41" i="42"/>
  <c r="E23" i="42"/>
  <c r="F23" i="42"/>
  <c r="E24" i="42"/>
  <c r="F24" i="42"/>
  <c r="E25" i="42"/>
  <c r="F25" i="42"/>
  <c r="E26" i="42"/>
  <c r="F26" i="42"/>
  <c r="E27" i="42"/>
  <c r="F27" i="42"/>
  <c r="E28" i="42"/>
  <c r="F28" i="42"/>
  <c r="E29" i="42"/>
  <c r="F29" i="42"/>
  <c r="E30" i="42"/>
  <c r="F30" i="42"/>
  <c r="E31" i="42"/>
  <c r="F31" i="42"/>
  <c r="E32" i="42"/>
  <c r="F32" i="42"/>
  <c r="E33" i="42"/>
  <c r="F33" i="42"/>
  <c r="E34" i="42"/>
  <c r="F34" i="42"/>
  <c r="D24" i="42"/>
  <c r="D25" i="42"/>
  <c r="D26" i="42"/>
  <c r="D27" i="42"/>
  <c r="D28" i="42"/>
  <c r="D29" i="42"/>
  <c r="D30" i="42"/>
  <c r="D31" i="42"/>
  <c r="D32" i="42"/>
  <c r="D33" i="42"/>
  <c r="D34" i="42"/>
  <c r="D23" i="42"/>
  <c r="E5" i="42"/>
  <c r="F5" i="42"/>
  <c r="E6" i="42"/>
  <c r="F6" i="42"/>
  <c r="E7" i="42"/>
  <c r="F7" i="42"/>
  <c r="E8" i="42"/>
  <c r="F8" i="42"/>
  <c r="E9" i="42"/>
  <c r="F9" i="42"/>
  <c r="E10" i="42"/>
  <c r="F10" i="42"/>
  <c r="E11" i="42"/>
  <c r="F11" i="42"/>
  <c r="E12" i="42"/>
  <c r="F12" i="42"/>
  <c r="E13" i="42"/>
  <c r="F13" i="42"/>
  <c r="E14" i="42"/>
  <c r="F14" i="42"/>
  <c r="E15" i="42"/>
  <c r="F15" i="42"/>
  <c r="E16" i="42"/>
  <c r="F16" i="42"/>
  <c r="D6" i="42"/>
  <c r="D7" i="42"/>
  <c r="D8" i="42"/>
  <c r="D9" i="42"/>
  <c r="D10" i="42"/>
  <c r="D11" i="42"/>
  <c r="D12" i="42"/>
  <c r="D13" i="42"/>
  <c r="D14" i="42"/>
  <c r="D15" i="42"/>
  <c r="D16" i="42"/>
  <c r="D5" i="42"/>
  <c r="O68" i="42"/>
  <c r="N68" i="42"/>
  <c r="M68" i="42"/>
  <c r="L68" i="42"/>
  <c r="K68" i="42"/>
  <c r="J68" i="42"/>
  <c r="I68" i="42"/>
  <c r="H68" i="42"/>
  <c r="G68" i="42"/>
  <c r="F68" i="42"/>
  <c r="E68" i="42"/>
  <c r="D68" i="42"/>
  <c r="O67" i="42"/>
  <c r="N67" i="42"/>
  <c r="M67" i="42"/>
  <c r="L67" i="42"/>
  <c r="K67" i="42"/>
  <c r="J67" i="42"/>
  <c r="I67" i="42"/>
  <c r="H67" i="42"/>
  <c r="G67" i="42"/>
  <c r="F67" i="42"/>
  <c r="E67" i="42"/>
  <c r="D67" i="42"/>
  <c r="O66" i="42"/>
  <c r="N66" i="42"/>
  <c r="M66" i="42"/>
  <c r="L66" i="42"/>
  <c r="K66" i="42"/>
  <c r="J66" i="42"/>
  <c r="I66" i="42"/>
  <c r="H66" i="42"/>
  <c r="G66" i="42"/>
  <c r="F66" i="42"/>
  <c r="E66" i="42"/>
  <c r="D66" i="42"/>
  <c r="O65" i="42"/>
  <c r="N65" i="42"/>
  <c r="M65" i="42"/>
  <c r="L65" i="42"/>
  <c r="K65" i="42"/>
  <c r="J65" i="42"/>
  <c r="I65" i="42"/>
  <c r="H65" i="42"/>
  <c r="G65" i="42"/>
  <c r="F65" i="42"/>
  <c r="E65" i="42"/>
  <c r="D65" i="42"/>
  <c r="O64" i="42"/>
  <c r="N64" i="42"/>
  <c r="M64" i="42"/>
  <c r="L64" i="42"/>
  <c r="K64" i="42"/>
  <c r="J64" i="42"/>
  <c r="I64" i="42"/>
  <c r="H64" i="42"/>
  <c r="G64" i="42"/>
  <c r="F64" i="42"/>
  <c r="E64" i="42"/>
  <c r="D64" i="42"/>
  <c r="O63" i="42"/>
  <c r="N63" i="42"/>
  <c r="M63" i="42"/>
  <c r="L63" i="42"/>
  <c r="K63" i="42"/>
  <c r="J63" i="42"/>
  <c r="I63" i="42"/>
  <c r="H63" i="42"/>
  <c r="G63" i="42"/>
  <c r="F63" i="42"/>
  <c r="E63" i="42"/>
  <c r="D63" i="42"/>
  <c r="O62" i="42"/>
  <c r="N62" i="42"/>
  <c r="M62" i="42"/>
  <c r="L62" i="42"/>
  <c r="K62" i="42"/>
  <c r="J62" i="42"/>
  <c r="I62" i="42"/>
  <c r="H62" i="42"/>
  <c r="G62" i="42"/>
  <c r="F62" i="42"/>
  <c r="E62" i="42"/>
  <c r="D62" i="42"/>
  <c r="O61" i="42"/>
  <c r="N61" i="42"/>
  <c r="M61" i="42"/>
  <c r="L61" i="42"/>
  <c r="K61" i="42"/>
  <c r="J61" i="42"/>
  <c r="I61" i="42"/>
  <c r="H61" i="42"/>
  <c r="G61" i="42"/>
  <c r="F61" i="42"/>
  <c r="E61" i="42"/>
  <c r="D61" i="42"/>
  <c r="O60" i="42"/>
  <c r="N60" i="42"/>
  <c r="M60" i="42"/>
  <c r="L60" i="42"/>
  <c r="K60" i="42"/>
  <c r="J60" i="42"/>
  <c r="I60" i="42"/>
  <c r="H60" i="42"/>
  <c r="G60" i="42"/>
  <c r="F60" i="42"/>
  <c r="E60" i="42"/>
  <c r="D60" i="42"/>
  <c r="O59" i="42"/>
  <c r="N59" i="42"/>
  <c r="M59" i="42"/>
  <c r="L59" i="42"/>
  <c r="K59" i="42"/>
  <c r="J59" i="42"/>
  <c r="I59" i="42"/>
  <c r="H59" i="42"/>
  <c r="G59" i="42"/>
  <c r="F59" i="42"/>
  <c r="E59" i="42"/>
  <c r="D59" i="42"/>
  <c r="O58" i="42"/>
  <c r="N58" i="42"/>
  <c r="M58" i="42"/>
  <c r="L58" i="42"/>
  <c r="K58" i="42"/>
  <c r="J58" i="42"/>
  <c r="I58" i="42"/>
  <c r="H58" i="42"/>
  <c r="G58" i="42"/>
  <c r="F58" i="42"/>
  <c r="E58" i="42"/>
  <c r="D58" i="42"/>
  <c r="O57" i="42"/>
  <c r="N57" i="42"/>
  <c r="M57" i="42"/>
  <c r="L57" i="42"/>
  <c r="K57" i="42"/>
  <c r="J57" i="42"/>
  <c r="I57" i="42"/>
  <c r="H57" i="42"/>
  <c r="G57" i="42"/>
  <c r="F57" i="42"/>
  <c r="E57" i="42"/>
  <c r="D57" i="42"/>
  <c r="I69" i="46" l="1"/>
  <c r="N69" i="46"/>
  <c r="O69" i="46"/>
  <c r="D69" i="46"/>
  <c r="E69" i="46"/>
  <c r="F69" i="46"/>
  <c r="M69" i="46"/>
  <c r="G69" i="46"/>
  <c r="F35" i="46"/>
  <c r="K69" i="43"/>
  <c r="N69" i="43"/>
  <c r="O69" i="43"/>
  <c r="D69" i="43"/>
  <c r="E69" i="43"/>
  <c r="F69" i="43"/>
  <c r="J69" i="43"/>
  <c r="N69" i="45"/>
  <c r="N70" i="45" s="1"/>
  <c r="O69" i="45"/>
  <c r="O70" i="45" s="1"/>
  <c r="L69" i="46"/>
  <c r="J69" i="46"/>
  <c r="K69" i="46"/>
  <c r="D23" i="46"/>
  <c r="F17" i="45"/>
  <c r="D53" i="46"/>
  <c r="F6" i="46"/>
  <c r="F44" i="46"/>
  <c r="D7" i="46"/>
  <c r="D17" i="46" s="1"/>
  <c r="F5" i="46"/>
  <c r="F41" i="46"/>
  <c r="E8" i="46"/>
  <c r="E6" i="46"/>
  <c r="F42" i="46"/>
  <c r="E23" i="46"/>
  <c r="D27" i="46"/>
  <c r="D9" i="46"/>
  <c r="E7" i="46"/>
  <c r="F7" i="46"/>
  <c r="D26" i="46"/>
  <c r="D35" i="46" s="1"/>
  <c r="E28" i="46"/>
  <c r="E9" i="46"/>
  <c r="E69" i="45"/>
  <c r="E70" i="45" s="1"/>
  <c r="F69" i="45"/>
  <c r="F70" i="45" s="1"/>
  <c r="D69" i="45"/>
  <c r="D70" i="45" s="1"/>
  <c r="G69" i="45"/>
  <c r="G70" i="45" s="1"/>
  <c r="H69" i="45"/>
  <c r="H70" i="45" s="1"/>
  <c r="M69" i="45"/>
  <c r="M70" i="45" s="1"/>
  <c r="I69" i="45"/>
  <c r="I70" i="45" s="1"/>
  <c r="J69" i="45"/>
  <c r="J70" i="45" s="1"/>
  <c r="K69" i="45"/>
  <c r="K70" i="45" s="1"/>
  <c r="L69" i="45"/>
  <c r="L70" i="45" s="1"/>
  <c r="D27" i="45"/>
  <c r="D25" i="45"/>
  <c r="D43" i="45"/>
  <c r="D41" i="45"/>
  <c r="D5" i="45"/>
  <c r="D17" i="45" s="1"/>
  <c r="F41" i="45"/>
  <c r="F42" i="45"/>
  <c r="E17" i="45"/>
  <c r="D23" i="45"/>
  <c r="F24" i="45"/>
  <c r="F23" i="45"/>
  <c r="M69" i="43"/>
  <c r="G69" i="43"/>
  <c r="H69" i="43"/>
  <c r="I69" i="43"/>
  <c r="F42" i="43"/>
  <c r="F44" i="43"/>
  <c r="F53" i="43" s="1"/>
  <c r="E44" i="43"/>
  <c r="E42" i="43"/>
  <c r="E43" i="43"/>
  <c r="D53" i="43"/>
  <c r="D26" i="43"/>
  <c r="E26" i="43"/>
  <c r="E35" i="43" s="1"/>
  <c r="F35" i="43"/>
  <c r="D25" i="43"/>
  <c r="D35" i="43" s="1"/>
  <c r="D5" i="43"/>
  <c r="E17" i="43"/>
  <c r="D8" i="43"/>
  <c r="D7" i="43"/>
  <c r="F17" i="43"/>
  <c r="D69" i="42"/>
  <c r="D70" i="42" s="1"/>
  <c r="F69" i="42"/>
  <c r="F70" i="42" s="1"/>
  <c r="E69" i="42"/>
  <c r="E70" i="42" s="1"/>
  <c r="J69" i="42"/>
  <c r="J70" i="42" s="1"/>
  <c r="K69" i="42"/>
  <c r="K70" i="42" s="1"/>
  <c r="H69" i="42"/>
  <c r="H70" i="42" s="1"/>
  <c r="I69" i="42"/>
  <c r="I70" i="42" s="1"/>
  <c r="L69" i="42"/>
  <c r="L70" i="42" s="1"/>
  <c r="M69" i="42"/>
  <c r="M70" i="42" s="1"/>
  <c r="N69" i="42"/>
  <c r="N70" i="42" s="1"/>
  <c r="G69" i="42"/>
  <c r="G70" i="42" s="1"/>
  <c r="O69" i="42"/>
  <c r="O70" i="42" s="1"/>
  <c r="F57" i="39"/>
  <c r="E51" i="17"/>
  <c r="F51" i="17"/>
  <c r="G51" i="17"/>
  <c r="H51" i="17"/>
  <c r="I51" i="17"/>
  <c r="J51" i="17"/>
  <c r="K51" i="17"/>
  <c r="L51" i="17"/>
  <c r="M51" i="17"/>
  <c r="N51" i="17"/>
  <c r="O51" i="17"/>
  <c r="E52" i="17"/>
  <c r="F52" i="17"/>
  <c r="G52" i="17"/>
  <c r="H52" i="17"/>
  <c r="I52" i="17"/>
  <c r="J52" i="17"/>
  <c r="K52" i="17"/>
  <c r="L52" i="17"/>
  <c r="M52" i="17"/>
  <c r="N52" i="17"/>
  <c r="O52" i="17"/>
  <c r="E53" i="17"/>
  <c r="F53" i="17"/>
  <c r="G53" i="17"/>
  <c r="H53" i="17"/>
  <c r="I53" i="17"/>
  <c r="J53" i="17"/>
  <c r="K53" i="17"/>
  <c r="L53" i="17"/>
  <c r="M53" i="17"/>
  <c r="N53" i="17"/>
  <c r="O53" i="17"/>
  <c r="E54" i="17"/>
  <c r="F54" i="17"/>
  <c r="G54" i="17"/>
  <c r="H54" i="17"/>
  <c r="I54" i="17"/>
  <c r="J54" i="17"/>
  <c r="K54" i="17"/>
  <c r="L54" i="17"/>
  <c r="M54" i="17"/>
  <c r="N54" i="17"/>
  <c r="O54" i="17"/>
  <c r="E55" i="17"/>
  <c r="F55" i="17"/>
  <c r="G55" i="17"/>
  <c r="H55" i="17"/>
  <c r="I55" i="17"/>
  <c r="J55" i="17"/>
  <c r="K55" i="17"/>
  <c r="L55" i="17"/>
  <c r="M55" i="17"/>
  <c r="N55" i="17"/>
  <c r="O55" i="17"/>
  <c r="E56" i="17"/>
  <c r="F56" i="17"/>
  <c r="G56" i="17"/>
  <c r="H56" i="17"/>
  <c r="I56" i="17"/>
  <c r="J56" i="17"/>
  <c r="K56" i="17"/>
  <c r="L56" i="17"/>
  <c r="M56" i="17"/>
  <c r="N56" i="17"/>
  <c r="O56" i="17"/>
  <c r="E57" i="17"/>
  <c r="F57" i="17"/>
  <c r="G57" i="17"/>
  <c r="H57" i="17"/>
  <c r="I57" i="17"/>
  <c r="J57" i="17"/>
  <c r="K57" i="17"/>
  <c r="L57" i="17"/>
  <c r="M57" i="17"/>
  <c r="N57" i="17"/>
  <c r="O57" i="17"/>
  <c r="E58" i="17"/>
  <c r="F58" i="17"/>
  <c r="G58" i="17"/>
  <c r="H58" i="17"/>
  <c r="I58" i="17"/>
  <c r="J58" i="17"/>
  <c r="K58" i="17"/>
  <c r="L58" i="17"/>
  <c r="M58" i="17"/>
  <c r="N58" i="17"/>
  <c r="O58" i="17"/>
  <c r="E59" i="17"/>
  <c r="F59" i="17"/>
  <c r="G59" i="17"/>
  <c r="H59" i="17"/>
  <c r="I59" i="17"/>
  <c r="J59" i="17"/>
  <c r="K59" i="17"/>
  <c r="L59" i="17"/>
  <c r="M59" i="17"/>
  <c r="N59" i="17"/>
  <c r="O59" i="17"/>
  <c r="E60" i="17"/>
  <c r="F60" i="17"/>
  <c r="G60" i="17"/>
  <c r="H60" i="17"/>
  <c r="I60" i="17"/>
  <c r="J60" i="17"/>
  <c r="K60" i="17"/>
  <c r="L60" i="17"/>
  <c r="M60" i="17"/>
  <c r="N60" i="17"/>
  <c r="O60" i="17"/>
  <c r="E61" i="17"/>
  <c r="F61" i="17"/>
  <c r="G61" i="17"/>
  <c r="H61" i="17"/>
  <c r="I61" i="17"/>
  <c r="J61" i="17"/>
  <c r="K61" i="17"/>
  <c r="L61" i="17"/>
  <c r="M61" i="17"/>
  <c r="N61" i="17"/>
  <c r="O61" i="17"/>
  <c r="E62" i="17"/>
  <c r="F62" i="17"/>
  <c r="G62" i="17"/>
  <c r="H62" i="17"/>
  <c r="I62" i="17"/>
  <c r="J62" i="17"/>
  <c r="K62" i="17"/>
  <c r="L62" i="17"/>
  <c r="M62" i="17"/>
  <c r="N62" i="17"/>
  <c r="O62" i="17"/>
  <c r="D52" i="17"/>
  <c r="D53" i="17"/>
  <c r="D54" i="17"/>
  <c r="D55" i="17"/>
  <c r="D56" i="17"/>
  <c r="D57" i="17"/>
  <c r="D58" i="17"/>
  <c r="D59" i="17"/>
  <c r="D60" i="17"/>
  <c r="D61" i="17"/>
  <c r="D62" i="17"/>
  <c r="D51" i="17"/>
  <c r="G51" i="39"/>
  <c r="H51" i="39"/>
  <c r="I51" i="39"/>
  <c r="J51" i="39"/>
  <c r="K51" i="39"/>
  <c r="L51" i="39"/>
  <c r="M51" i="39"/>
  <c r="N51" i="39"/>
  <c r="O51" i="39"/>
  <c r="G52" i="39"/>
  <c r="H52" i="39"/>
  <c r="I52" i="39"/>
  <c r="J52" i="39"/>
  <c r="K52" i="39"/>
  <c r="L52" i="39"/>
  <c r="M52" i="39"/>
  <c r="N52" i="39"/>
  <c r="O52" i="39"/>
  <c r="G53" i="39"/>
  <c r="H53" i="39"/>
  <c r="I53" i="39"/>
  <c r="J53" i="39"/>
  <c r="K53" i="39"/>
  <c r="L53" i="39"/>
  <c r="M53" i="39"/>
  <c r="N53" i="39"/>
  <c r="O53" i="39"/>
  <c r="G54" i="39"/>
  <c r="H54" i="39"/>
  <c r="I54" i="39"/>
  <c r="J54" i="39"/>
  <c r="K54" i="39"/>
  <c r="L54" i="39"/>
  <c r="M54" i="39"/>
  <c r="N54" i="39"/>
  <c r="O54" i="39"/>
  <c r="G55" i="39"/>
  <c r="H55" i="39"/>
  <c r="I55" i="39"/>
  <c r="J55" i="39"/>
  <c r="K55" i="39"/>
  <c r="L55" i="39"/>
  <c r="M55" i="39"/>
  <c r="N55" i="39"/>
  <c r="O55" i="39"/>
  <c r="G56" i="39"/>
  <c r="H56" i="39"/>
  <c r="I56" i="39"/>
  <c r="J56" i="39"/>
  <c r="K56" i="39"/>
  <c r="L56" i="39"/>
  <c r="M56" i="39"/>
  <c r="N56" i="39"/>
  <c r="O56" i="39"/>
  <c r="G57" i="39"/>
  <c r="H57" i="39"/>
  <c r="I57" i="39"/>
  <c r="J57" i="39"/>
  <c r="K57" i="39"/>
  <c r="L57" i="39"/>
  <c r="M57" i="39"/>
  <c r="N57" i="39"/>
  <c r="O57" i="39"/>
  <c r="G58" i="39"/>
  <c r="H58" i="39"/>
  <c r="I58" i="39"/>
  <c r="J58" i="39"/>
  <c r="K58" i="39"/>
  <c r="L58" i="39"/>
  <c r="M58" i="39"/>
  <c r="N58" i="39"/>
  <c r="O58" i="39"/>
  <c r="G59" i="39"/>
  <c r="H59" i="39"/>
  <c r="I59" i="39"/>
  <c r="J59" i="39"/>
  <c r="K59" i="39"/>
  <c r="L59" i="39"/>
  <c r="M59" i="39"/>
  <c r="N59" i="39"/>
  <c r="O59" i="39"/>
  <c r="G60" i="39"/>
  <c r="H60" i="39"/>
  <c r="I60" i="39"/>
  <c r="J60" i="39"/>
  <c r="K60" i="39"/>
  <c r="L60" i="39"/>
  <c r="M60" i="39"/>
  <c r="N60" i="39"/>
  <c r="O60" i="39"/>
  <c r="G61" i="39"/>
  <c r="H61" i="39"/>
  <c r="I61" i="39"/>
  <c r="J61" i="39"/>
  <c r="K61" i="39"/>
  <c r="L61" i="39"/>
  <c r="M61" i="39"/>
  <c r="N61" i="39"/>
  <c r="O61" i="39"/>
  <c r="G62" i="39"/>
  <c r="H62" i="39"/>
  <c r="I62" i="39"/>
  <c r="J62" i="39"/>
  <c r="K62" i="39"/>
  <c r="L62" i="39"/>
  <c r="M62" i="39"/>
  <c r="N62" i="39"/>
  <c r="O62" i="39"/>
  <c r="D51" i="39"/>
  <c r="E51" i="39"/>
  <c r="D52" i="39"/>
  <c r="E52" i="39"/>
  <c r="D53" i="39"/>
  <c r="E53" i="39"/>
  <c r="D54" i="39"/>
  <c r="E54" i="39"/>
  <c r="D55" i="39"/>
  <c r="E55" i="39"/>
  <c r="D56" i="39"/>
  <c r="E56" i="39"/>
  <c r="D57" i="39"/>
  <c r="E57" i="39"/>
  <c r="D58" i="39"/>
  <c r="E58" i="39"/>
  <c r="D59" i="39"/>
  <c r="E59" i="39"/>
  <c r="D60" i="39"/>
  <c r="E60" i="39"/>
  <c r="D61" i="39"/>
  <c r="E61" i="39"/>
  <c r="D62" i="39"/>
  <c r="E62" i="39"/>
  <c r="F52" i="39"/>
  <c r="F53" i="39"/>
  <c r="F54" i="39"/>
  <c r="F55" i="39"/>
  <c r="F56" i="39"/>
  <c r="F58" i="39"/>
  <c r="F59" i="39"/>
  <c r="F60" i="39"/>
  <c r="F61" i="39"/>
  <c r="F62" i="39"/>
  <c r="F51" i="39"/>
  <c r="O63" i="17" l="1"/>
  <c r="N63" i="17"/>
  <c r="M63" i="17"/>
  <c r="L63" i="17"/>
  <c r="K63" i="17"/>
  <c r="J63" i="17"/>
  <c r="I63" i="17"/>
  <c r="H63" i="17"/>
  <c r="G63" i="17"/>
  <c r="F63" i="17"/>
  <c r="E63" i="17"/>
  <c r="D63" i="17"/>
  <c r="O64" i="17"/>
  <c r="N64" i="17"/>
  <c r="M64" i="17"/>
  <c r="L64" i="17"/>
  <c r="K64" i="17"/>
  <c r="J64" i="17"/>
  <c r="I64" i="17"/>
  <c r="H64" i="17"/>
  <c r="G64" i="17"/>
  <c r="F64" i="17"/>
  <c r="E64" i="17"/>
  <c r="D64" i="17"/>
  <c r="E35" i="46"/>
  <c r="E5" i="46"/>
  <c r="E17" i="46" s="1"/>
  <c r="E53" i="46"/>
  <c r="E53" i="45"/>
  <c r="D35" i="45"/>
  <c r="F53" i="46"/>
  <c r="F17" i="46"/>
  <c r="F35" i="45"/>
  <c r="E35" i="45"/>
  <c r="D53" i="45"/>
  <c r="F53" i="45"/>
  <c r="E53" i="43"/>
  <c r="D17" i="43"/>
  <c r="E35" i="42"/>
  <c r="F17" i="42"/>
  <c r="D53" i="42"/>
  <c r="F35" i="42"/>
  <c r="E17" i="42"/>
  <c r="F53" i="42"/>
  <c r="D17" i="42"/>
  <c r="D35" i="42"/>
  <c r="E53" i="42"/>
  <c r="O63" i="39" l="1"/>
  <c r="N63" i="39"/>
  <c r="M63" i="39"/>
  <c r="L63" i="39"/>
  <c r="K63" i="39"/>
  <c r="J63" i="39"/>
  <c r="I63" i="39"/>
  <c r="H63" i="39"/>
  <c r="G63" i="39"/>
  <c r="F63" i="39"/>
  <c r="D63" i="39"/>
  <c r="E31" i="18"/>
  <c r="F47" i="18" l="1"/>
  <c r="D47" i="39"/>
  <c r="D47" i="18"/>
  <c r="E47" i="18"/>
  <c r="F31" i="18"/>
  <c r="D31" i="18"/>
  <c r="F47" i="39" l="1"/>
  <c r="E15" i="39"/>
  <c r="E47" i="39"/>
  <c r="E31" i="39"/>
  <c r="D15" i="39"/>
  <c r="D31" i="39"/>
  <c r="E63" i="39"/>
  <c r="F15" i="39"/>
  <c r="F31" i="39"/>
  <c r="D15" i="18"/>
  <c r="F15" i="18"/>
  <c r="E15" i="18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<sst xmlns="http://schemas.openxmlformats.org/spreadsheetml/2006/main" count="12192" uniqueCount="237">
  <si>
    <t>R1</t>
  </si>
  <si>
    <t>R2</t>
  </si>
  <si>
    <t>R3</t>
  </si>
  <si>
    <t>R4</t>
  </si>
  <si>
    <t>R4</t>
    <phoneticPr fontId="1" type="noConversion"/>
  </si>
  <si>
    <t>2x</t>
    <phoneticPr fontId="1" type="noConversion"/>
  </si>
  <si>
    <t>5x</t>
    <phoneticPr fontId="1" type="noConversion"/>
  </si>
  <si>
    <t>respin</t>
    <phoneticPr fontId="1" type="noConversion"/>
  </si>
  <si>
    <t>E</t>
    <phoneticPr fontId="1" type="noConversion"/>
  </si>
  <si>
    <t>10x</t>
    <phoneticPr fontId="1" type="noConversion"/>
  </si>
  <si>
    <t>ID</t>
    <phoneticPr fontId="4" type="noConversion"/>
  </si>
  <si>
    <t>Symbol Name</t>
    <phoneticPr fontId="4" type="noConversion"/>
  </si>
  <si>
    <t>R1</t>
    <phoneticPr fontId="4" type="noConversion"/>
  </si>
  <si>
    <t>R2</t>
    <phoneticPr fontId="4" type="noConversion"/>
  </si>
  <si>
    <t>R3</t>
    <phoneticPr fontId="4" type="noConversion"/>
  </si>
  <si>
    <t>E</t>
    <phoneticPr fontId="4" type="noConversion"/>
  </si>
  <si>
    <t>Respin</t>
  </si>
  <si>
    <t>Line #</t>
  </si>
  <si>
    <t>D0</t>
    <phoneticPr fontId="1" type="noConversion"/>
  </si>
  <si>
    <t>E</t>
  </si>
  <si>
    <t>D0</t>
  </si>
  <si>
    <t>2x</t>
  </si>
  <si>
    <t>5x</t>
  </si>
  <si>
    <t>10x</t>
  </si>
  <si>
    <t>respin</t>
  </si>
  <si>
    <t>--</t>
  </si>
  <si>
    <t>X2</t>
  </si>
  <si>
    <t>X5</t>
  </si>
  <si>
    <t>X10</t>
  </si>
  <si>
    <t>Double 0</t>
  </si>
  <si>
    <t>ID</t>
    <phoneticPr fontId="1" type="noConversion"/>
  </si>
  <si>
    <t>R4_Symbol</t>
    <phoneticPr fontId="1" type="noConversion"/>
  </si>
  <si>
    <t>R4_ID</t>
    <phoneticPr fontId="1" type="noConversion"/>
  </si>
  <si>
    <t>R4_Weight</t>
    <phoneticPr fontId="1" type="noConversion"/>
  </si>
  <si>
    <t>scatter</t>
    <phoneticPr fontId="1" type="noConversion"/>
  </si>
  <si>
    <t>scatter_g</t>
  </si>
  <si>
    <t>scatter_g</t>
    <phoneticPr fontId="1" type="noConversion"/>
  </si>
  <si>
    <t>GREEN SCATTER</t>
  </si>
  <si>
    <t>RED SCATTER</t>
  </si>
  <si>
    <t>scatter_r</t>
  </si>
  <si>
    <t>scatter_r</t>
    <phoneticPr fontId="1" type="noConversion"/>
  </si>
  <si>
    <t>Symbol(first 3 reel)</t>
    <phoneticPr fontId="1" type="noConversion"/>
  </si>
  <si>
    <t>Symbol(Respin)</t>
  </si>
  <si>
    <t>Symbol(Respin)</t>
    <phoneticPr fontId="1" type="noConversion"/>
  </si>
  <si>
    <t>Weight(Respin)</t>
    <phoneticPr fontId="1" type="noConversion"/>
  </si>
  <si>
    <t>ID(Respin)</t>
    <phoneticPr fontId="1" type="noConversion"/>
  </si>
  <si>
    <t>Symbol(first 3 reel)</t>
  </si>
  <si>
    <t>Symbol(R4)</t>
    <phoneticPr fontId="1" type="noConversion"/>
  </si>
  <si>
    <t>(==1)</t>
  </si>
  <si>
    <t>(==5)</t>
  </si>
  <si>
    <t>(==10)</t>
  </si>
  <si>
    <t>(==11)</t>
  </si>
  <si>
    <t>(==15)</t>
  </si>
  <si>
    <t>(==50)</t>
  </si>
  <si>
    <t>(==51)</t>
  </si>
  <si>
    <t>(==55)</t>
  </si>
  <si>
    <t>(==0)</t>
    <phoneticPr fontId="1" type="noConversion"/>
  </si>
  <si>
    <t>multi</t>
    <phoneticPr fontId="1" type="noConversion"/>
  </si>
  <si>
    <t>weight 1</t>
    <phoneticPr fontId="1" type="noConversion"/>
  </si>
  <si>
    <t>2. 第四輪使用權重輪帶(R4)，並依照前三輪分數來判斷要用哪一組的R4權重</t>
    <phoneticPr fontId="1" type="noConversion"/>
  </si>
  <si>
    <t>(==0)</t>
  </si>
  <si>
    <t xml:space="preserve">5. bet100時 : </t>
    <phoneticPr fontId="1" type="noConversion"/>
  </si>
  <si>
    <t xml:space="preserve">3. 當R4轉到scatter時，使用權重輪帶(scatter) weight 1。 </t>
    <phoneticPr fontId="1" type="noConversion"/>
  </si>
  <si>
    <t>4. 當R4轉到respin時，使用權重輪帶(respin):</t>
    <phoneticPr fontId="1" type="noConversion"/>
  </si>
  <si>
    <t>b. 若respin後的分數小於respin前的分數，則互換，前三輪先表演分數小的</t>
    <phoneticPr fontId="1" type="noConversion"/>
  </si>
  <si>
    <t>c. 當respin R3轉到Symbol "10"、"00"，依照switch權重決定R2、R3的Symbol是否互換</t>
    <phoneticPr fontId="1" type="noConversion"/>
  </si>
  <si>
    <t>switch</t>
    <phoneticPr fontId="1" type="noConversion"/>
  </si>
  <si>
    <t>not switch</t>
    <phoneticPr fontId="1" type="noConversion"/>
  </si>
  <si>
    <t>EX : 共有12組權重輪帶，分別對應分數1、5、10、11、15、50、51、55、&gt;=100、&gt;=3001、&gt;= 6001，依照前三輪分數選擇對應的R4權重</t>
    <phoneticPr fontId="1" type="noConversion"/>
  </si>
  <si>
    <t>wheel</t>
    <phoneticPr fontId="1" type="noConversion"/>
  </si>
  <si>
    <t>Scatter(multiple)</t>
    <phoneticPr fontId="1" type="noConversion"/>
  </si>
  <si>
    <t>Weight(Scatter)</t>
    <phoneticPr fontId="1" type="noConversion"/>
  </si>
  <si>
    <t>R2</t>
    <phoneticPr fontId="1" type="noConversion"/>
  </si>
  <si>
    <t>R3</t>
    <phoneticPr fontId="1" type="noConversion"/>
  </si>
  <si>
    <t>&gt;=100</t>
  </si>
  <si>
    <t>&gt;=3001</t>
  </si>
  <si>
    <t>&gt;=6001</t>
  </si>
  <si>
    <r>
      <rPr>
        <b/>
        <sz val="12"/>
        <color theme="1"/>
        <rFont val="新細明體"/>
        <family val="3"/>
        <charset val="136"/>
      </rPr>
      <t>總分</t>
    </r>
    <r>
      <rPr>
        <b/>
        <sz val="12"/>
        <color theme="1"/>
        <rFont val="Courier New"/>
        <family val="3"/>
      </rPr>
      <t>&lt;1x</t>
    </r>
    <phoneticPr fontId="1" type="noConversion"/>
  </si>
  <si>
    <t>重轉位置</t>
    <phoneticPr fontId="1" type="noConversion"/>
  </si>
  <si>
    <t>狀況</t>
    <phoneticPr fontId="1" type="noConversion"/>
  </si>
  <si>
    <t>R1</t>
    <phoneticPr fontId="1" type="noConversion"/>
  </si>
  <si>
    <t>假表演</t>
    <phoneticPr fontId="1" type="noConversion"/>
  </si>
  <si>
    <t>上</t>
    <phoneticPr fontId="1" type="noConversion"/>
  </si>
  <si>
    <t>下</t>
    <phoneticPr fontId="1" type="noConversion"/>
  </si>
  <si>
    <r>
      <t>(</t>
    </r>
    <r>
      <rPr>
        <b/>
        <sz val="12"/>
        <color theme="1"/>
        <rFont val="細明體"/>
        <family val="3"/>
        <charset val="136"/>
      </rPr>
      <t>此處為RNG</t>
    </r>
    <r>
      <rPr>
        <b/>
        <sz val="12"/>
        <color theme="1"/>
        <rFont val="Courier New"/>
        <family val="3"/>
      </rPr>
      <t>)</t>
    </r>
    <phoneticPr fontId="1" type="noConversion"/>
  </si>
  <si>
    <t>7. R1、R4有機會觸發假表演，當有贏分且R1的Symbol不為0、E時，依照假表演權重表決定是否觸發，若觸發則依照假表演方向權重表來決定方向；當有贏分且R4的Symbol不為E時，依照假表演權重表決定是否觸發，若觸發則依照假表演方向權重表來決定方向</t>
    <phoneticPr fontId="1" type="noConversion"/>
  </si>
  <si>
    <t>ID</t>
  </si>
  <si>
    <t>(&gt;=100 and &lt;=3000)</t>
  </si>
  <si>
    <t>(&gt;3000 and &lt;= 6000)</t>
  </si>
  <si>
    <t>(&gt;6000)</t>
  </si>
  <si>
    <t>A</t>
    <phoneticPr fontId="1" type="noConversion"/>
  </si>
  <si>
    <t>B</t>
    <phoneticPr fontId="1" type="noConversion"/>
  </si>
  <si>
    <t>C</t>
    <phoneticPr fontId="1" type="noConversion"/>
  </si>
  <si>
    <t>Weight(A)</t>
    <phoneticPr fontId="1" type="noConversion"/>
  </si>
  <si>
    <t>Weight(B)</t>
    <phoneticPr fontId="1" type="noConversion"/>
  </si>
  <si>
    <t>Weight(C)</t>
    <phoneticPr fontId="1" type="noConversion"/>
  </si>
  <si>
    <t>多表權重</t>
    <phoneticPr fontId="1" type="noConversion"/>
  </si>
  <si>
    <t>1. 前三輪使用權重輪帶(first 3 reel)，共有A、B、C三張表，並依照多表權重選擇使用哪一張表</t>
    <phoneticPr fontId="1" type="noConversion"/>
  </si>
  <si>
    <t>Model:</t>
    <phoneticPr fontId="18" type="noConversion"/>
  </si>
  <si>
    <t xml:space="preserve">Coin  </t>
    <phoneticPr fontId="18" type="noConversion"/>
  </si>
  <si>
    <t>Reels</t>
    <phoneticPr fontId="18" type="noConversion"/>
  </si>
  <si>
    <t>Line</t>
    <phoneticPr fontId="18" type="noConversion"/>
  </si>
  <si>
    <t>Pay Back %</t>
    <phoneticPr fontId="18" type="noConversion"/>
  </si>
  <si>
    <t>Hit%</t>
    <phoneticPr fontId="18" type="noConversion"/>
  </si>
  <si>
    <t>Total payback percentage includes the following adjustments:</t>
  </si>
  <si>
    <t xml:space="preserve">Pay Back </t>
    <phoneticPr fontId="18" type="noConversion"/>
  </si>
  <si>
    <t xml:space="preserve">Hit Freq </t>
    <phoneticPr fontId="18" type="noConversion"/>
  </si>
  <si>
    <t>Pulls/Hit</t>
    <phoneticPr fontId="18" type="noConversion"/>
  </si>
  <si>
    <t>Respin</t>
    <phoneticPr fontId="4" type="noConversion"/>
  </si>
  <si>
    <t>Reel #</t>
    <phoneticPr fontId="18" type="noConversion"/>
  </si>
  <si>
    <t>Visible Window Size</t>
    <phoneticPr fontId="18" type="noConversion"/>
  </si>
  <si>
    <t>6. 重轉超過10次依照狀況使用固定組合[重轉超過]</t>
    <phoneticPr fontId="1" type="noConversion"/>
  </si>
  <si>
    <t>重轉超過</t>
    <phoneticPr fontId="1" type="noConversion"/>
  </si>
  <si>
    <t>未觸發</t>
  </si>
  <si>
    <t>Symbol Name</t>
  </si>
  <si>
    <t>Symbol(first 3 reel)A</t>
  </si>
  <si>
    <t>Symbol(first 3 reel)B</t>
    <phoneticPr fontId="4" type="noConversion"/>
  </si>
  <si>
    <t>Symbol(first 3 reel)C</t>
    <phoneticPr fontId="4" type="noConversion"/>
  </si>
  <si>
    <r>
      <t>0</t>
    </r>
    <r>
      <rPr>
        <b/>
        <sz val="12"/>
        <color theme="1"/>
        <rFont val="新細明體"/>
        <family val="2"/>
      </rPr>
      <t>換</t>
    </r>
    <r>
      <rPr>
        <b/>
        <sz val="12"/>
        <color theme="1"/>
        <rFont val="Courier New"/>
        <family val="3"/>
      </rPr>
      <t>E</t>
    </r>
    <phoneticPr fontId="1" type="noConversion"/>
  </si>
  <si>
    <r>
      <rPr>
        <b/>
        <sz val="12"/>
        <color theme="1"/>
        <rFont val="新細明體"/>
        <family val="2"/>
      </rPr>
      <t>不換</t>
    </r>
    <phoneticPr fontId="1" type="noConversion"/>
  </si>
  <si>
    <r>
      <rPr>
        <b/>
        <sz val="12"/>
        <color theme="1"/>
        <rFont val="新細明體"/>
        <family val="2"/>
      </rPr>
      <t>換</t>
    </r>
    <phoneticPr fontId="1" type="noConversion"/>
  </si>
  <si>
    <t>8. 若前三輪分數為0，第二、三輪轉到Symbol 0的RNG依照表格[0換E]有機率往下跳一個RNG</t>
    <phoneticPr fontId="1" type="noConversion"/>
  </si>
  <si>
    <t>EX：如果前三輪RNG為(1,0,1)，結果為EE0，0分，若第三輪觸發0換E，則RNG變為(1,0,2)</t>
    <phoneticPr fontId="1" type="noConversion"/>
  </si>
  <si>
    <t>a. 遇到Respin時，前三輪分數 + respin分數須大於等於一倍，respin分數重轉至符合條件</t>
    <phoneticPr fontId="1" type="noConversion"/>
  </si>
  <si>
    <t>c. 當respin分數為0時，respin分數重骰到大於0</t>
    <phoneticPr fontId="1" type="noConversion"/>
  </si>
  <si>
    <t>respin switch 00 10 weight</t>
    <phoneticPr fontId="1" type="noConversion"/>
  </si>
  <si>
    <t>9. 初始盤面使用選擇的RNG</t>
    <phoneticPr fontId="1" type="noConversion"/>
  </si>
  <si>
    <t>bet1起始盤面</t>
    <phoneticPr fontId="1" type="noConversion"/>
  </si>
  <si>
    <t>Bet1</t>
    <phoneticPr fontId="1" type="noConversion"/>
  </si>
  <si>
    <t>Bet5</t>
    <phoneticPr fontId="1" type="noConversion"/>
  </si>
  <si>
    <t>Bet10</t>
    <phoneticPr fontId="1" type="noConversion"/>
  </si>
  <si>
    <t>Bet50</t>
    <phoneticPr fontId="1" type="noConversion"/>
  </si>
  <si>
    <t>Bet100</t>
    <phoneticPr fontId="1" type="noConversion"/>
  </si>
  <si>
    <t>10. 任務系統第四輪使用FreeGameCard_R4輪帶</t>
    <phoneticPr fontId="1" type="noConversion"/>
  </si>
  <si>
    <t xml:space="preserve">Bet  </t>
    <phoneticPr fontId="18" type="noConversion"/>
  </si>
  <si>
    <t>Bet</t>
    <phoneticPr fontId="18" type="noConversion"/>
  </si>
  <si>
    <t>Feature or Adjustment</t>
    <phoneticPr fontId="4" type="noConversion"/>
  </si>
  <si>
    <t>Bonus</t>
    <phoneticPr fontId="4" type="noConversion"/>
  </si>
  <si>
    <t>--</t>
    <phoneticPr fontId="4" type="noConversion"/>
  </si>
  <si>
    <t>Weight(Scatter)</t>
  </si>
  <si>
    <t>weight 1</t>
  </si>
  <si>
    <t>R4_Weight</t>
  </si>
  <si>
    <t>Weight(Respin)</t>
  </si>
  <si>
    <t>ID(Respin)</t>
  </si>
  <si>
    <t>Parameter A</t>
    <phoneticPr fontId="4" type="noConversion"/>
  </si>
  <si>
    <t>Parameter B</t>
    <phoneticPr fontId="4" type="noConversion"/>
  </si>
  <si>
    <t>Parameter C</t>
    <phoneticPr fontId="4" type="noConversion"/>
  </si>
  <si>
    <t>BaseGame</t>
  </si>
  <si>
    <t>=</t>
  </si>
  <si>
    <t>Pay</t>
  </si>
  <si>
    <t>1C1</t>
  </si>
  <si>
    <t>null,</t>
  </si>
  <si>
    <t>2C1</t>
  </si>
  <si>
    <t>3C1</t>
  </si>
  <si>
    <t>4C1</t>
  </si>
  <si>
    <t>5C1</t>
  </si>
  <si>
    <t>null</t>
  </si>
  <si>
    <t>AVG Mul</t>
    <phoneticPr fontId="1" type="noConversion"/>
  </si>
  <si>
    <t>Hit%</t>
    <phoneticPr fontId="1" type="noConversion"/>
  </si>
  <si>
    <t>Mul</t>
    <phoneticPr fontId="1" type="noConversion"/>
  </si>
  <si>
    <t>Interval</t>
    <phoneticPr fontId="1" type="noConversion"/>
  </si>
  <si>
    <t>Sheet</t>
    <phoneticPr fontId="1" type="noConversion"/>
  </si>
  <si>
    <t>Avg Mul</t>
    <phoneticPr fontId="1" type="noConversion"/>
  </si>
  <si>
    <t>Index</t>
    <phoneticPr fontId="1" type="noConversion"/>
  </si>
  <si>
    <t>Jili Hit%</t>
    <phoneticPr fontId="1" type="noConversion"/>
  </si>
  <si>
    <t>Hit%_ori</t>
    <phoneticPr fontId="1" type="noConversion"/>
  </si>
  <si>
    <t>Hit%_Final</t>
    <phoneticPr fontId="1" type="noConversion"/>
  </si>
  <si>
    <t>RTP_Final</t>
    <phoneticPr fontId="1" type="noConversion"/>
  </si>
  <si>
    <t xml:space="preserve">Bet 1 </t>
    <phoneticPr fontId="1" type="noConversion"/>
  </si>
  <si>
    <t>Hit%_Weight_Final</t>
    <phoneticPr fontId="1" type="noConversion"/>
  </si>
  <si>
    <t>Bet 5</t>
    <phoneticPr fontId="1" type="noConversion"/>
  </si>
  <si>
    <t xml:space="preserve">Bet 10 </t>
    <phoneticPr fontId="1" type="noConversion"/>
  </si>
  <si>
    <t>Bet 50</t>
    <phoneticPr fontId="1" type="noConversion"/>
  </si>
  <si>
    <t>Bet 100</t>
    <phoneticPr fontId="1" type="noConversion"/>
  </si>
  <si>
    <t>Hit%_tune</t>
    <phoneticPr fontId="1" type="noConversion"/>
  </si>
  <si>
    <t>RTP_tune</t>
    <phoneticPr fontId="1" type="noConversion"/>
  </si>
  <si>
    <t>Weight</t>
    <phoneticPr fontId="1" type="noConversion"/>
  </si>
  <si>
    <t>卡片系統使用"Card_Info_NoExtra"</t>
    <phoneticPr fontId="1" type="noConversion"/>
  </si>
  <si>
    <t>Interval:倍率區間</t>
    <phoneticPr fontId="1" type="noConversion"/>
  </si>
  <si>
    <t>Weight:倍率區間權重</t>
    <phoneticPr fontId="1" type="noConversion"/>
  </si>
  <si>
    <t>Sheet:使用表</t>
    <phoneticPr fontId="1" type="noConversion"/>
  </si>
  <si>
    <t>OverAll</t>
    <phoneticPr fontId="4" type="noConversion"/>
  </si>
  <si>
    <r>
      <rPr>
        <sz val="12"/>
        <rFont val="細明體"/>
        <family val="3"/>
        <charset val="136"/>
      </rPr>
      <t>用模擬各張表的</t>
    </r>
    <r>
      <rPr>
        <sz val="12"/>
        <rFont val="Courier New"/>
        <family val="3"/>
      </rPr>
      <t>RTP+</t>
    </r>
    <r>
      <rPr>
        <sz val="12"/>
        <rFont val="細明體"/>
        <family val="3"/>
        <charset val="136"/>
      </rPr>
      <t>權重得出的理論</t>
    </r>
    <r>
      <rPr>
        <sz val="12"/>
        <rFont val="Courier New"/>
        <family val="3"/>
      </rPr>
      <t>RTP</t>
    </r>
    <phoneticPr fontId="4" type="noConversion"/>
  </si>
  <si>
    <t>Scatter+Respin</t>
    <phoneticPr fontId="1" type="noConversion"/>
  </si>
  <si>
    <t>Simulation</t>
    <phoneticPr fontId="1" type="noConversion"/>
  </si>
  <si>
    <t xml:space="preserve">Bet </t>
    <phoneticPr fontId="1" type="noConversion"/>
  </si>
  <si>
    <t xml:space="preserve">RTP </t>
    <phoneticPr fontId="1" type="noConversion"/>
  </si>
  <si>
    <t>Respin</t>
    <phoneticPr fontId="1" type="noConversion"/>
  </si>
  <si>
    <t>Scatter</t>
    <phoneticPr fontId="1" type="noConversion"/>
  </si>
  <si>
    <t>-</t>
    <phoneticPr fontId="1" type="noConversion"/>
  </si>
  <si>
    <t>0x</t>
  </si>
  <si>
    <t>1x</t>
  </si>
  <si>
    <t>4x</t>
  </si>
  <si>
    <t>9x</t>
  </si>
  <si>
    <t>15x</t>
  </si>
  <si>
    <t>20x</t>
  </si>
  <si>
    <t>25x</t>
  </si>
  <si>
    <t>45x</t>
  </si>
  <si>
    <t>50x</t>
  </si>
  <si>
    <t>90x</t>
  </si>
  <si>
    <t>100x</t>
  </si>
  <si>
    <t>140x</t>
  </si>
  <si>
    <t>450x</t>
  </si>
  <si>
    <t>500x</t>
  </si>
  <si>
    <t>30x</t>
  </si>
  <si>
    <t>180x</t>
  </si>
  <si>
    <t>200x</t>
  </si>
  <si>
    <t>250x</t>
  </si>
  <si>
    <t>300x</t>
  </si>
  <si>
    <t>6x</t>
  </si>
  <si>
    <t>rounds</t>
    <phoneticPr fontId="1" type="noConversion"/>
  </si>
  <si>
    <t>Scatter+Respin PROB.</t>
    <phoneticPr fontId="1" type="noConversion"/>
  </si>
  <si>
    <t>Bet</t>
    <phoneticPr fontId="1" type="noConversion"/>
  </si>
  <si>
    <t>Mul Prob.</t>
    <phoneticPr fontId="1" type="noConversion"/>
  </si>
  <si>
    <t>V2（3.0.0.0，2026-10-07；4.0.0.0，2026-10-12）：Normal Bet 全部押注改為對齊 JILI Money Coming 的調性。Bet1／Bet5／Bet10：bet{n}p_A 的子表、R4 分組、Respin、轉盤權重改為競品擬合值。Bet50／Bet100：以 Bet10 為範本外推（R4 分組與 Respin 同 Bet10，R2／R3 的 10／00 與 Respin 的 10／00 沿用 1.0.0.2 占比，紅轉盤依金額對應 Bet10 綠轉盤機率，500x／1000x 沿用 1.0.0.2 占比）。Card_Bet{n} 的 Hit%_Weight_Final 以多目標非負最小平方擬合（Bet50／Bet100 用 Bet10 的競品目標），RTP 固定 92%；≥200x 區間沿用 1.0.0.2 的權重與 B 表，A 表自然機率不足的區間改用 B 表。Card_Bet 的 Mul／Avg Mul／RTP 欄仍為 1.0.0.2 模擬值，V2 的 RTP 以 Simulator 驗證。Extra Bet 內容沿用 1.0.0.2。4.0.0.0（2026-10-12）：沒得分盤面演出調整——R1 幾乎全空白的子表調整 R2、R3 的空白／0 比例，讓 E 0 E、E E 0 各為 E E E 的 1.5 倍（E 0 0 為 2.25 倍；Bet1 為 E 0 _＝1.5 × E E _）；R4 數字分 0 分組（AX 欄）把空白權重移給 2X／5X／10X，沒得分時 R4 出現倍數的占比加 20 個百分點（倍數間比例、RESPIN／BONUS 權重不變）；派彩不變，Card_Bet 非零區間等比微調維持 RTP 92%。</t>
    <phoneticPr fontId="1" type="noConversion"/>
  </si>
  <si>
    <t>a. bet100時，前三輪分數不能大於500000分(5000倍)，若大於時重轉</t>
    <phoneticPr fontId="1" type="noConversion"/>
  </si>
  <si>
    <t>b. bet100時，respin後分數不能大於500000分(5000倍)，若大於時重轉</t>
    <phoneticPr fontId="1" type="noConversion"/>
  </si>
  <si>
    <t>4.0.0.0 補充（2026-10-12）：(1) 自然機率 ≥0.05%（數學模型規範 §1.5）但卡片 0 權重的區間補上權重，彼此比例依自然機率（各區間取自然機率最高的子表），最小者 1 ppm；其他區間以原目標重擬，RTP 92%。(2) Bet100 前三輪／respin 數字分上限 30000 分（300 倍）改為 500000 分（5000 倍）。</t>
  </si>
  <si>
    <t>4.0.0.0 精度（2026-10-12）：依數學模型規範 §1.4.7，各押注卡片微調 2～3 格整數權重，RTP 精確到 92.0000%。</t>
  </si>
  <si>
    <t>4.1.0.0（2026-10-13）：畫面組合可出現檢查——①自然機率 ≥0.05% 但卡片 0 權重的區間補權重（照自然機率，比例尺同 4.0.0.0 補區間）：Bet5 3x／120x、Bet10 7x／50x、Bet50 3x；②Bet100 (100,120] 子表 C→B（C 表缺 1100～11010 搭配空白／2X 的組合）；其餘區間等比微調，RTP 92.0000%。自然機率 &lt;0.05% 而無法給權重的組合列為已知例外（見數值報告）。</t>
  </si>
  <si>
    <t>5.0.0.0（2026-10-13）：依測試反饋只改 bet{n}p_A 權重——①R1 幾乎全空白的子表調 R2／R3 空白／0 比例，沒得分畫面 EEE／E0E／EE0／E00 取 4.1.0.0 與競品的中間值（00 放回空白）；②Bet10 該子表 R2 的 1／5 權重 ×2.94，E X 0／1／5／空 合計 2.43%→3.13%（同競品）；③R4：沒得分時出倍數（每局）約 30%→16%，有得分時 R4 是倍數 Bet1 15.3%→21.5%、Bet5 41.2%→42.1%、Bet10 22.9%→28.0%（同競品）。卡片等比調回 RTP 92.0000%。</t>
  </si>
  <si>
    <t>Threshold</t>
  </si>
  <si>
    <t>Bet Type</t>
  </si>
  <si>
    <t>SCR</t>
  </si>
  <si>
    <t>Source Report</t>
  </si>
  <si>
    <t>NB_Bet1</t>
  </si>
  <si>
    <t>使用者提供（SPS scatterComboRate 第 0 項）；Simulator 精算 117,608,967，差 +0.34%</t>
  </si>
  <si>
    <t>NB_Bet5</t>
  </si>
  <si>
    <t>使用者提供（SPS scatterComboRate 第 1 項）；Simulator 精算 201,483,770，差 -0.04%</t>
  </si>
  <si>
    <t>NB_Bet10</t>
  </si>
  <si>
    <t>使用者提供（SPS scatterComboRate 第 2 項）；Simulator 精算 206,140,833，差 -0.03%</t>
  </si>
  <si>
    <t>NB_Bet50</t>
  </si>
  <si>
    <t>使用者提供（SPS scatterComboRate 第 3 項）；Simulator 精算 260,404,988，差 -0.11%</t>
  </si>
  <si>
    <t>NB_Bet100</t>
  </si>
  <si>
    <t>使用者提供（SPS scatterComboRate 第 4 項）；Simulator 精算 292,112,560，差 +0.09%</t>
  </si>
  <si>
    <t>5.0.1.0</t>
    <phoneticPr fontId="4" type="noConversion"/>
  </si>
  <si>
    <t>5.0.1.0（2026-10-27）：新增 OP Jackpot 頁，填入 SCR（scatterComboRate；Oldhand／Newbie 共用同一套卡片故不分）；權重不變。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</si>
</sst>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-* #,##0.00_-;\-* #,##0.00_-;_-* &quot;-&quot;??_-;_-@_-"/>
    <numFmt numFmtId="176" formatCode="0.000%"/>
    <numFmt numFmtId="177" formatCode="0.0_ "/>
    <numFmt numFmtId="178" formatCode="0.00_);[Red]\(0.00\)"/>
    <numFmt numFmtId="179" formatCode="0.0%"/>
    <numFmt numFmtId="180" formatCode="0_);[Red]\(0\)"/>
    <numFmt numFmtId="181" formatCode="0.0000%"/>
    <numFmt numFmtId="182" formatCode="_-* #,##0_-;\-* #,##0_-;_-* &quot;-&quot;??_-;_-@_-"/>
  </numFmts>
  <fonts count="24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新細明體"/>
      <family val="2"/>
      <scheme val="minor"/>
    </font>
    <font>
      <b/>
      <sz val="12"/>
      <color theme="1"/>
      <name val="Courier New"/>
      <family val="3"/>
    </font>
    <font>
      <sz val="9"/>
      <name val="新細明體"/>
      <family val="3"/>
      <charset val="136"/>
      <scheme val="minor"/>
    </font>
    <font>
      <b/>
      <sz val="12"/>
      <name val="Courier New"/>
      <family val="3"/>
    </font>
    <font>
      <sz val="12"/>
      <color theme="1"/>
      <name val="Courier New"/>
      <family val="3"/>
    </font>
    <font>
      <sz val="12"/>
      <name val="新細明體"/>
      <family val="1"/>
      <charset val="136"/>
    </font>
    <font>
      <b/>
      <sz val="12"/>
      <color theme="1"/>
      <name val="新細明體"/>
      <family val="1"/>
      <charset val="136"/>
      <scheme val="minor"/>
    </font>
    <font>
      <sz val="12"/>
      <color theme="1"/>
      <name val="Arial Unicode MS"/>
      <family val="2"/>
      <charset val="136"/>
    </font>
    <font>
      <sz val="8"/>
      <color rgb="FF6A9955"/>
      <name val="Consolas"/>
      <family val="3"/>
    </font>
    <font>
      <b/>
      <sz val="12"/>
      <color theme="1"/>
      <name val="細明體"/>
      <family val="3"/>
      <charset val="136"/>
    </font>
    <font>
      <b/>
      <sz val="12"/>
      <color theme="1"/>
      <name val="Courier New"/>
      <family val="3"/>
      <charset val="136"/>
    </font>
    <font>
      <b/>
      <sz val="12"/>
      <color theme="1"/>
      <name val="Courier New"/>
      <family val="2"/>
      <charset val="136"/>
    </font>
    <font>
      <b/>
      <sz val="12"/>
      <color theme="1"/>
      <name val="新細明體"/>
      <family val="3"/>
      <charset val="136"/>
    </font>
    <font>
      <sz val="12"/>
      <name val="Arial Unicode MS"/>
      <family val="2"/>
      <charset val="136"/>
    </font>
    <font>
      <sz val="12"/>
      <name val="新細明體"/>
      <family val="2"/>
      <charset val="136"/>
      <scheme val="minor"/>
    </font>
    <font>
      <sz val="12"/>
      <name val="Courier New"/>
      <family val="3"/>
    </font>
    <font>
      <sz val="9"/>
      <name val="新細明體"/>
      <family val="1"/>
      <charset val="136"/>
    </font>
    <font>
      <sz val="12"/>
      <name val="細明體"/>
      <family val="3"/>
      <charset val="136"/>
    </font>
    <font>
      <sz val="10"/>
      <color rgb="FF000000"/>
      <name val="新細明體"/>
      <family val="2"/>
      <scheme val="minor"/>
    </font>
    <font>
      <b/>
      <sz val="12"/>
      <color theme="1"/>
      <name val="新細明體"/>
      <family val="2"/>
    </font>
    <font>
      <sz val="12"/>
      <color theme="1"/>
      <name val="新細明體"/>
      <family val="2"/>
      <charset val="136"/>
      <scheme val="minor"/>
    </font>
    <font>
      <sz val="12"/>
      <name val="Courier New"/>
      <family val="3"/>
      <charset val="136"/>
    </font>
  </fonts>
  <fills count="12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EAB0A4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34998626667073579"/>
        <bgColor indexed="64"/>
      </patternFill>
    </fill>
  </fills>
  <borders count="5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/>
      <bottom/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theme="5"/>
      </top>
      <bottom style="thin">
        <color indexed="64"/>
      </bottom>
      <diagonal/>
    </border>
    <border>
      <left/>
      <right/>
      <top style="medium">
        <color theme="5"/>
      </top>
      <bottom style="thin">
        <color indexed="64"/>
      </bottom>
      <diagonal/>
    </border>
    <border>
      <left/>
      <right style="medium">
        <color theme="5"/>
      </right>
      <top style="medium">
        <color theme="5"/>
      </top>
      <bottom style="thin">
        <color indexed="64"/>
      </bottom>
      <diagonal/>
    </border>
    <border>
      <left/>
      <right style="medium">
        <color theme="5"/>
      </right>
      <top style="thin">
        <color auto="1"/>
      </top>
      <bottom/>
      <diagonal/>
    </border>
    <border>
      <left/>
      <right style="medium">
        <color theme="5"/>
      </right>
      <top/>
      <bottom/>
      <diagonal/>
    </border>
    <border>
      <left style="thin">
        <color auto="1"/>
      </left>
      <right/>
      <top/>
      <bottom style="medium">
        <color theme="5"/>
      </bottom>
      <diagonal/>
    </border>
    <border>
      <left/>
      <right/>
      <top/>
      <bottom style="medium">
        <color theme="5"/>
      </bottom>
      <diagonal/>
    </border>
    <border>
      <left/>
      <right style="medium">
        <color theme="5"/>
      </right>
      <top/>
      <bottom style="medium">
        <color theme="5"/>
      </bottom>
      <diagonal/>
    </border>
    <border>
      <left style="medium">
        <color theme="5"/>
      </left>
      <right/>
      <top style="medium">
        <color theme="5"/>
      </top>
      <bottom/>
      <diagonal/>
    </border>
    <border>
      <left/>
      <right style="thin">
        <color indexed="64"/>
      </right>
      <top style="medium">
        <color theme="5"/>
      </top>
      <bottom/>
      <diagonal/>
    </border>
    <border>
      <left style="medium">
        <color theme="5"/>
      </left>
      <right/>
      <top style="thin">
        <color auto="1"/>
      </top>
      <bottom/>
      <diagonal/>
    </border>
    <border>
      <left style="medium">
        <color theme="5"/>
      </left>
      <right/>
      <top/>
      <bottom/>
      <diagonal/>
    </border>
    <border>
      <left style="medium">
        <color theme="5"/>
      </left>
      <right/>
      <top/>
      <bottom style="medium">
        <color theme="5"/>
      </bottom>
      <diagonal/>
    </border>
    <border>
      <left/>
      <right style="thin">
        <color indexed="64"/>
      </right>
      <top/>
      <bottom style="medium">
        <color theme="5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8">
    <xf numFmtId="0" fontId="0" fillId="0" borderId="0">
      <alignment vertical="center"/>
    </xf>
    <xf numFmtId="0" fontId="2" fillId="0" borderId="0"/>
    <xf numFmtId="0" fontId="7" fillId="0" borderId="0">
      <alignment vertical="center"/>
    </xf>
    <xf numFmtId="9" fontId="20" fillId="0" borderId="0" applyFont="0" applyFill="0" applyBorder="0" applyAlignment="0" applyProtection="0">
      <alignment vertical="center"/>
    </xf>
    <xf numFmtId="0" fontId="20" fillId="0" borderId="0"/>
    <xf numFmtId="0" fontId="20" fillId="0" borderId="0"/>
    <xf numFmtId="9" fontId="22" fillId="0" borderId="0" applyFont="0" applyFill="0" applyBorder="0" applyAlignment="0" applyProtection="0">
      <alignment vertical="center"/>
    </xf>
    <xf numFmtId="43" fontId="2" fillId="0" borderId="0">
      <alignment vertical="center"/>
    </xf>
  </cellStyleXfs>
  <cellXfs count="321">
    <xf numFmtId="0" fontId="0" fillId="0" borderId="0" xfId="0">
      <alignment vertical="center"/>
    </xf>
    <xf numFmtId="0" fontId="3" fillId="0" borderId="3" xfId="1" applyFont="1" applyBorder="1" applyAlignment="1">
      <alignment horizontal="center"/>
    </xf>
    <xf numFmtId="0" fontId="3" fillId="0" borderId="4" xfId="1" applyFont="1" applyBorder="1" applyAlignment="1">
      <alignment horizontal="center"/>
    </xf>
    <xf numFmtId="0" fontId="3" fillId="0" borderId="5" xfId="1" applyFont="1" applyBorder="1" applyAlignment="1">
      <alignment horizontal="center"/>
    </xf>
    <xf numFmtId="0" fontId="3" fillId="0" borderId="7" xfId="1" applyFont="1" applyBorder="1" applyAlignment="1">
      <alignment horizontal="center"/>
    </xf>
    <xf numFmtId="0" fontId="5" fillId="0" borderId="8" xfId="1" quotePrefix="1" applyFont="1" applyBorder="1" applyAlignment="1">
      <alignment horizontal="center" vertical="top" wrapText="1"/>
    </xf>
    <xf numFmtId="0" fontId="3" fillId="0" borderId="8" xfId="1" applyFont="1" applyBorder="1" applyAlignment="1">
      <alignment horizontal="center"/>
    </xf>
    <xf numFmtId="0" fontId="3" fillId="0" borderId="2" xfId="1" applyFont="1" applyBorder="1" applyAlignment="1">
      <alignment horizontal="center"/>
    </xf>
    <xf numFmtId="0" fontId="6" fillId="0" borderId="0" xfId="1" quotePrefix="1" applyFont="1" applyAlignment="1">
      <alignment horizontal="center"/>
    </xf>
    <xf numFmtId="0" fontId="5" fillId="0" borderId="0" xfId="2" applyFont="1">
      <alignment vertical="center"/>
    </xf>
    <xf numFmtId="0" fontId="5" fillId="0" borderId="0" xfId="2" applyFont="1" applyAlignment="1">
      <alignment horizontal="center" vertical="top"/>
    </xf>
    <xf numFmtId="0" fontId="5" fillId="0" borderId="4" xfId="2" applyFont="1" applyBorder="1" applyAlignment="1">
      <alignment vertical="top" wrapText="1"/>
    </xf>
    <xf numFmtId="0" fontId="5" fillId="0" borderId="4" xfId="2" applyFont="1" applyBorder="1" applyAlignment="1">
      <alignment horizontal="center" vertical="top" wrapText="1"/>
    </xf>
    <xf numFmtId="0" fontId="5" fillId="0" borderId="4" xfId="2" applyFont="1" applyBorder="1" applyAlignment="1">
      <alignment horizontal="center" vertical="top"/>
    </xf>
    <xf numFmtId="0" fontId="5" fillId="0" borderId="4" xfId="2" quotePrefix="1" applyFont="1" applyBorder="1" applyAlignment="1">
      <alignment horizontal="center" vertical="top" wrapText="1"/>
    </xf>
    <xf numFmtId="0" fontId="6" fillId="0" borderId="0" xfId="1" applyFont="1"/>
    <xf numFmtId="0" fontId="3" fillId="0" borderId="0" xfId="1" applyFont="1"/>
    <xf numFmtId="0" fontId="5" fillId="0" borderId="10" xfId="1" quotePrefix="1" applyFont="1" applyBorder="1" applyAlignment="1">
      <alignment horizontal="center" vertical="top" wrapText="1"/>
    </xf>
    <xf numFmtId="0" fontId="8" fillId="0" borderId="0" xfId="0" applyFont="1">
      <alignment vertical="center"/>
    </xf>
    <xf numFmtId="0" fontId="5" fillId="0" borderId="0" xfId="2" applyFont="1" applyAlignment="1">
      <alignment horizontal="left" vertical="top"/>
    </xf>
    <xf numFmtId="0" fontId="5" fillId="0" borderId="9" xfId="1" quotePrefix="1" applyFont="1" applyBorder="1" applyAlignment="1">
      <alignment horizontal="center" vertical="top" wrapText="1"/>
    </xf>
    <xf numFmtId="0" fontId="5" fillId="0" borderId="9" xfId="1" applyFont="1" applyBorder="1" applyAlignment="1">
      <alignment horizontal="center" vertical="top" wrapText="1"/>
    </xf>
    <xf numFmtId="0" fontId="5" fillId="0" borderId="11" xfId="1" applyFont="1" applyBorder="1" applyAlignment="1">
      <alignment horizontal="center" vertical="top" wrapText="1"/>
    </xf>
    <xf numFmtId="0" fontId="3" fillId="0" borderId="8" xfId="1" quotePrefix="1" applyFont="1" applyBorder="1" applyAlignment="1">
      <alignment horizontal="center"/>
    </xf>
    <xf numFmtId="0" fontId="5" fillId="0" borderId="13" xfId="2" applyFont="1" applyBorder="1" applyAlignment="1">
      <alignment horizontal="center" vertical="top" wrapText="1"/>
    </xf>
    <xf numFmtId="0" fontId="3" fillId="0" borderId="14" xfId="1" applyFont="1" applyBorder="1"/>
    <xf numFmtId="0" fontId="0" fillId="0" borderId="14" xfId="0" applyBorder="1">
      <alignment vertical="center"/>
    </xf>
    <xf numFmtId="10" fontId="0" fillId="0" borderId="0" xfId="0" applyNumberFormat="1">
      <alignment vertical="center"/>
    </xf>
    <xf numFmtId="0" fontId="9" fillId="0" borderId="0" xfId="0" applyFont="1">
      <alignment vertical="center"/>
    </xf>
    <xf numFmtId="0" fontId="5" fillId="0" borderId="15" xfId="2" applyFont="1" applyBorder="1" applyAlignment="1">
      <alignment horizontal="center" vertical="top" wrapText="1"/>
    </xf>
    <xf numFmtId="0" fontId="3" fillId="0" borderId="3" xfId="1" applyFont="1" applyBorder="1" applyAlignment="1">
      <alignment horizontal="left"/>
    </xf>
    <xf numFmtId="0" fontId="3" fillId="0" borderId="9" xfId="1" applyFont="1" applyBorder="1" applyAlignment="1">
      <alignment horizontal="left"/>
    </xf>
    <xf numFmtId="0" fontId="0" fillId="0" borderId="0" xfId="0" applyBorder="1">
      <alignment vertical="center"/>
    </xf>
    <xf numFmtId="0" fontId="0" fillId="0" borderId="4" xfId="0" applyBorder="1">
      <alignment vertical="center"/>
    </xf>
    <xf numFmtId="0" fontId="10" fillId="0" borderId="0" xfId="0" applyFont="1">
      <alignment vertical="center"/>
    </xf>
    <xf numFmtId="0" fontId="3" fillId="3" borderId="16" xfId="1" applyFont="1" applyFill="1" applyBorder="1" applyAlignment="1">
      <alignment horizontal="center"/>
    </xf>
    <xf numFmtId="0" fontId="3" fillId="3" borderId="17" xfId="1" applyFont="1" applyFill="1" applyBorder="1" applyAlignment="1">
      <alignment horizontal="center"/>
    </xf>
    <xf numFmtId="0" fontId="3" fillId="5" borderId="8" xfId="1" applyFont="1" applyFill="1" applyBorder="1" applyAlignment="1">
      <alignment horizontal="center"/>
    </xf>
    <xf numFmtId="0" fontId="3" fillId="5" borderId="2" xfId="1" applyFont="1" applyFill="1" applyBorder="1" applyAlignment="1">
      <alignment horizontal="center"/>
    </xf>
    <xf numFmtId="0" fontId="3" fillId="5" borderId="1" xfId="1" applyFont="1" applyFill="1" applyBorder="1" applyAlignment="1">
      <alignment horizontal="center"/>
    </xf>
    <xf numFmtId="0" fontId="3" fillId="5" borderId="12" xfId="1" applyFont="1" applyFill="1" applyBorder="1" applyAlignment="1">
      <alignment horizontal="center"/>
    </xf>
    <xf numFmtId="0" fontId="3" fillId="0" borderId="4" xfId="1" applyFont="1" applyBorder="1"/>
    <xf numFmtId="0" fontId="3" fillId="0" borderId="13" xfId="1" applyFont="1" applyBorder="1" applyAlignment="1">
      <alignment horizontal="center"/>
    </xf>
    <xf numFmtId="0" fontId="3" fillId="3" borderId="18" xfId="1" applyFont="1" applyFill="1" applyBorder="1" applyAlignment="1">
      <alignment horizontal="center"/>
    </xf>
    <xf numFmtId="0" fontId="3" fillId="3" borderId="19" xfId="1" applyFont="1" applyFill="1" applyBorder="1" applyAlignment="1">
      <alignment horizontal="center"/>
    </xf>
    <xf numFmtId="0" fontId="3" fillId="3" borderId="20" xfId="1" applyFont="1" applyFill="1" applyBorder="1" applyAlignment="1">
      <alignment horizontal="center"/>
    </xf>
    <xf numFmtId="0" fontId="3" fillId="0" borderId="21" xfId="1" applyFont="1" applyBorder="1" applyAlignment="1">
      <alignment horizontal="center"/>
    </xf>
    <xf numFmtId="0" fontId="3" fillId="5" borderId="22" xfId="1" applyFont="1" applyFill="1" applyBorder="1" applyAlignment="1">
      <alignment horizontal="center"/>
    </xf>
    <xf numFmtId="0" fontId="3" fillId="0" borderId="22" xfId="1" applyFont="1" applyBorder="1" applyAlignment="1">
      <alignment horizontal="center"/>
    </xf>
    <xf numFmtId="0" fontId="3" fillId="5" borderId="23" xfId="1" applyFont="1" applyFill="1" applyBorder="1" applyAlignment="1">
      <alignment horizontal="center"/>
    </xf>
    <xf numFmtId="0" fontId="3" fillId="5" borderId="24" xfId="1" applyFont="1" applyFill="1" applyBorder="1" applyAlignment="1">
      <alignment horizontal="center"/>
    </xf>
    <xf numFmtId="0" fontId="3" fillId="5" borderId="25" xfId="1" applyFont="1" applyFill="1" applyBorder="1" applyAlignment="1">
      <alignment horizontal="center"/>
    </xf>
    <xf numFmtId="0" fontId="3" fillId="4" borderId="27" xfId="1" applyFont="1" applyFill="1" applyBorder="1" applyAlignment="1">
      <alignment horizontal="center"/>
    </xf>
    <xf numFmtId="0" fontId="3" fillId="0" borderId="28" xfId="1" applyFont="1" applyBorder="1" applyAlignment="1">
      <alignment horizontal="center"/>
    </xf>
    <xf numFmtId="0" fontId="3" fillId="5" borderId="29" xfId="1" applyFont="1" applyFill="1" applyBorder="1" applyAlignment="1">
      <alignment horizontal="center"/>
    </xf>
    <xf numFmtId="0" fontId="3" fillId="0" borderId="29" xfId="1" applyFont="1" applyBorder="1" applyAlignment="1">
      <alignment horizontal="center"/>
    </xf>
    <xf numFmtId="0" fontId="3" fillId="5" borderId="30" xfId="1" applyFont="1" applyFill="1" applyBorder="1" applyAlignment="1">
      <alignment horizontal="center"/>
    </xf>
    <xf numFmtId="0" fontId="3" fillId="5" borderId="31" xfId="1" applyFont="1" applyFill="1" applyBorder="1" applyAlignment="1">
      <alignment horizontal="center"/>
    </xf>
    <xf numFmtId="0" fontId="3" fillId="0" borderId="17" xfId="1" applyFont="1" applyBorder="1" applyAlignment="1">
      <alignment horizontal="center"/>
    </xf>
    <xf numFmtId="0" fontId="3" fillId="5" borderId="0" xfId="1" applyFont="1" applyFill="1" applyAlignment="1">
      <alignment horizontal="center"/>
    </xf>
    <xf numFmtId="0" fontId="3" fillId="5" borderId="10" xfId="1" applyFont="1" applyFill="1" applyBorder="1" applyAlignment="1">
      <alignment horizontal="center"/>
    </xf>
    <xf numFmtId="0" fontId="12" fillId="0" borderId="4" xfId="1" applyFont="1" applyBorder="1" applyAlignment="1">
      <alignment horizontal="left"/>
    </xf>
    <xf numFmtId="0" fontId="15" fillId="0" borderId="0" xfId="0" applyFont="1">
      <alignment vertical="center"/>
    </xf>
    <xf numFmtId="0" fontId="16" fillId="0" borderId="0" xfId="0" applyFont="1">
      <alignment vertical="center"/>
    </xf>
    <xf numFmtId="0" fontId="11" fillId="0" borderId="4" xfId="1" applyFont="1" applyBorder="1" applyAlignment="1">
      <alignment horizontal="center"/>
    </xf>
    <xf numFmtId="0" fontId="0" fillId="0" borderId="11" xfId="0" applyBorder="1">
      <alignment vertical="center"/>
    </xf>
    <xf numFmtId="10" fontId="0" fillId="0" borderId="4" xfId="0" applyNumberFormat="1" applyBorder="1">
      <alignment vertical="center"/>
    </xf>
    <xf numFmtId="0" fontId="3" fillId="3" borderId="26" xfId="1" applyFont="1" applyFill="1" applyBorder="1" applyAlignment="1">
      <alignment horizontal="center"/>
    </xf>
    <xf numFmtId="11" fontId="0" fillId="0" borderId="0" xfId="0" applyNumberFormat="1">
      <alignment vertical="center"/>
    </xf>
    <xf numFmtId="0" fontId="5" fillId="2" borderId="4" xfId="2" applyFont="1" applyFill="1" applyBorder="1" applyAlignment="1">
      <alignment horizontal="center" vertical="top" wrapText="1"/>
    </xf>
    <xf numFmtId="0" fontId="17" fillId="0" borderId="0" xfId="2" applyFont="1">
      <alignment vertical="center"/>
    </xf>
    <xf numFmtId="176" fontId="17" fillId="0" borderId="0" xfId="2" applyNumberFormat="1" applyFont="1">
      <alignment vertical="center"/>
    </xf>
    <xf numFmtId="14" fontId="17" fillId="0" borderId="0" xfId="2" applyNumberFormat="1" applyFont="1">
      <alignment vertical="center"/>
    </xf>
    <xf numFmtId="14" fontId="17" fillId="0" borderId="0" xfId="2" applyNumberFormat="1" applyFont="1" applyAlignment="1">
      <alignment horizontal="center" vertical="center"/>
    </xf>
    <xf numFmtId="176" fontId="17" fillId="0" borderId="0" xfId="2" applyNumberFormat="1" applyFont="1" applyAlignment="1">
      <alignment horizontal="center" vertical="center"/>
    </xf>
    <xf numFmtId="3" fontId="17" fillId="0" borderId="0" xfId="2" applyNumberFormat="1" applyFont="1" applyAlignment="1">
      <alignment horizontal="center" vertical="center" wrapText="1"/>
    </xf>
    <xf numFmtId="0" fontId="17" fillId="0" borderId="0" xfId="2" applyFont="1" applyAlignment="1">
      <alignment horizontal="center" vertical="center"/>
    </xf>
    <xf numFmtId="0" fontId="19" fillId="0" borderId="0" xfId="2" applyFont="1">
      <alignment vertical="center"/>
    </xf>
    <xf numFmtId="10" fontId="17" fillId="0" borderId="0" xfId="3" applyNumberFormat="1" applyFont="1" applyBorder="1" applyAlignment="1">
      <alignment horizontal="center" vertical="center" wrapText="1"/>
    </xf>
    <xf numFmtId="10" fontId="17" fillId="0" borderId="0" xfId="2" applyNumberFormat="1" applyFont="1">
      <alignment vertical="center"/>
    </xf>
    <xf numFmtId="0" fontId="20" fillId="0" borderId="0" xfId="4"/>
    <xf numFmtId="10" fontId="17" fillId="0" borderId="0" xfId="3" applyNumberFormat="1" applyFont="1">
      <alignment vertical="center"/>
    </xf>
    <xf numFmtId="0" fontId="17" fillId="0" borderId="35" xfId="2" applyFont="1" applyBorder="1">
      <alignment vertical="center"/>
    </xf>
    <xf numFmtId="0" fontId="20" fillId="0" borderId="0" xfId="5"/>
    <xf numFmtId="177" fontId="17" fillId="0" borderId="0" xfId="2" applyNumberFormat="1" applyFont="1">
      <alignment vertical="center"/>
    </xf>
    <xf numFmtId="0" fontId="5" fillId="0" borderId="36" xfId="2" applyFont="1" applyBorder="1" applyAlignment="1">
      <alignment horizontal="center" vertical="center" wrapText="1"/>
    </xf>
    <xf numFmtId="0" fontId="5" fillId="0" borderId="37" xfId="2" applyFont="1" applyBorder="1" applyAlignment="1">
      <alignment horizontal="center" vertical="center" wrapText="1"/>
    </xf>
    <xf numFmtId="0" fontId="5" fillId="0" borderId="32" xfId="2" applyFont="1" applyBorder="1" applyAlignment="1">
      <alignment horizontal="center" vertical="center"/>
    </xf>
    <xf numFmtId="0" fontId="5" fillId="0" borderId="33" xfId="2" applyFont="1" applyBorder="1" applyAlignment="1">
      <alignment horizontal="center" vertical="center"/>
    </xf>
    <xf numFmtId="0" fontId="5" fillId="0" borderId="38" xfId="2" applyFont="1" applyBorder="1" applyAlignment="1">
      <alignment vertical="center" wrapText="1"/>
    </xf>
    <xf numFmtId="0" fontId="17" fillId="0" borderId="39" xfId="2" applyFont="1" applyBorder="1" applyAlignment="1">
      <alignment horizontal="center" vertical="center"/>
    </xf>
    <xf numFmtId="0" fontId="13" fillId="0" borderId="0" xfId="1" applyFont="1" applyAlignment="1">
      <alignment horizontal="left"/>
    </xf>
    <xf numFmtId="0" fontId="11" fillId="0" borderId="0" xfId="1" applyFont="1"/>
    <xf numFmtId="0" fontId="11" fillId="0" borderId="0" xfId="1" applyFont="1" applyAlignment="1">
      <alignment horizontal="center"/>
    </xf>
    <xf numFmtId="0" fontId="3" fillId="0" borderId="0" xfId="1" applyFont="1" applyAlignment="1">
      <alignment horizontal="left"/>
    </xf>
    <xf numFmtId="0" fontId="5" fillId="0" borderId="4" xfId="1" applyFont="1" applyBorder="1" applyAlignment="1">
      <alignment horizontal="center" vertical="top" wrapText="1"/>
    </xf>
    <xf numFmtId="0" fontId="3" fillId="0" borderId="11" xfId="1" applyFont="1" applyBorder="1" applyAlignment="1">
      <alignment horizontal="center"/>
    </xf>
    <xf numFmtId="0" fontId="3" fillId="0" borderId="6" xfId="1" applyFont="1" applyFill="1" applyBorder="1" applyAlignment="1">
      <alignment horizontal="center"/>
    </xf>
    <xf numFmtId="0" fontId="0" fillId="0" borderId="3" xfId="0" applyBorder="1">
      <alignment vertical="center"/>
    </xf>
    <xf numFmtId="0" fontId="3" fillId="0" borderId="6" xfId="1" applyFont="1" applyBorder="1" applyAlignment="1">
      <alignment horizontal="center"/>
    </xf>
    <xf numFmtId="0" fontId="3" fillId="0" borderId="0" xfId="1" applyFont="1" applyAlignment="1">
      <alignment horizontal="center"/>
    </xf>
    <xf numFmtId="0" fontId="3" fillId="0" borderId="0" xfId="1" applyFont="1" applyFill="1" applyAlignment="1">
      <alignment horizontal="center"/>
    </xf>
    <xf numFmtId="0" fontId="5" fillId="0" borderId="44" xfId="2" applyFont="1" applyBorder="1" applyAlignment="1">
      <alignment horizontal="center" vertical="center" wrapText="1"/>
    </xf>
    <xf numFmtId="0" fontId="0" fillId="0" borderId="0" xfId="0" applyAlignment="1"/>
    <xf numFmtId="9" fontId="17" fillId="0" borderId="0" xfId="6" applyNumberFormat="1" applyFont="1">
      <alignment vertical="center"/>
    </xf>
    <xf numFmtId="178" fontId="0" fillId="0" borderId="0" xfId="6" applyNumberFormat="1" applyFont="1" applyAlignment="1"/>
    <xf numFmtId="10" fontId="0" fillId="0" borderId="0" xfId="6" applyNumberFormat="1" applyFont="1" applyAlignment="1"/>
    <xf numFmtId="2" fontId="0" fillId="0" borderId="0" xfId="0" applyNumberFormat="1" applyAlignment="1"/>
    <xf numFmtId="10" fontId="17" fillId="0" borderId="0" xfId="2" applyNumberFormat="1" applyFont="1" applyBorder="1" applyAlignment="1">
      <alignment horizontal="center" vertical="center" wrapText="1"/>
    </xf>
    <xf numFmtId="0" fontId="5" fillId="0" borderId="45" xfId="2" applyFont="1" applyBorder="1" applyAlignment="1">
      <alignment horizontal="center" vertical="center" wrapText="1"/>
    </xf>
    <xf numFmtId="10" fontId="17" fillId="0" borderId="46" xfId="2" applyNumberFormat="1" applyFont="1" applyBorder="1" applyAlignment="1">
      <alignment horizontal="center" vertical="center" wrapText="1"/>
    </xf>
    <xf numFmtId="0" fontId="5" fillId="0" borderId="47" xfId="2" applyFont="1" applyBorder="1" applyAlignment="1">
      <alignment horizontal="center" vertical="center" wrapText="1"/>
    </xf>
    <xf numFmtId="10" fontId="17" fillId="0" borderId="35" xfId="2" applyNumberFormat="1" applyFont="1" applyBorder="1" applyAlignment="1">
      <alignment horizontal="center" vertical="center" wrapText="1"/>
    </xf>
    <xf numFmtId="10" fontId="17" fillId="0" borderId="48" xfId="2" applyNumberFormat="1" applyFont="1" applyBorder="1" applyAlignment="1">
      <alignment horizontal="center" vertical="center" wrapText="1"/>
    </xf>
    <xf numFmtId="10" fontId="17" fillId="0" borderId="0" xfId="2" applyNumberFormat="1" applyFont="1" applyBorder="1" applyAlignment="1">
      <alignment horizontal="center" vertical="center"/>
    </xf>
    <xf numFmtId="0" fontId="3" fillId="0" borderId="0" xfId="1" applyFont="1" applyAlignment="1">
      <alignment horizontal="center"/>
    </xf>
    <xf numFmtId="0" fontId="3" fillId="0" borderId="6" xfId="1" applyFont="1" applyBorder="1" applyAlignment="1">
      <alignment horizontal="center"/>
    </xf>
    <xf numFmtId="0" fontId="3" fillId="0" borderId="0" xfId="1" applyFont="1" applyAlignment="1">
      <alignment horizontal="center"/>
    </xf>
    <xf numFmtId="0" fontId="3" fillId="0" borderId="6" xfId="1" applyFont="1" applyBorder="1" applyAlignment="1">
      <alignment horizontal="center"/>
    </xf>
    <xf numFmtId="0" fontId="3" fillId="6" borderId="0" xfId="1" applyFont="1" applyFill="1" applyBorder="1" applyAlignment="1">
      <alignment horizontal="center"/>
    </xf>
    <xf numFmtId="0" fontId="5" fillId="0" borderId="4" xfId="2" applyFont="1" applyFill="1" applyBorder="1" applyAlignment="1">
      <alignment horizontal="center" vertical="top" wrapText="1"/>
    </xf>
    <xf numFmtId="0" fontId="3" fillId="0" borderId="0" xfId="1" applyFont="1" applyAlignment="1">
      <alignment horizontal="center"/>
    </xf>
    <xf numFmtId="0" fontId="3" fillId="0" borderId="6" xfId="1" applyFont="1" applyBorder="1" applyAlignment="1">
      <alignment horizontal="center"/>
    </xf>
    <xf numFmtId="0" fontId="3" fillId="6" borderId="0" xfId="1" applyFont="1" applyFill="1"/>
    <xf numFmtId="0" fontId="5" fillId="6" borderId="4" xfId="2" applyFont="1" applyFill="1" applyBorder="1" applyAlignment="1">
      <alignment horizontal="center" vertical="top" wrapText="1"/>
    </xf>
    <xf numFmtId="0" fontId="0" fillId="6" borderId="0" xfId="0" applyFill="1">
      <alignment vertical="center"/>
    </xf>
    <xf numFmtId="0" fontId="3" fillId="0" borderId="2" xfId="1" applyFont="1" applyFill="1" applyBorder="1" applyAlignment="1">
      <alignment horizontal="center"/>
    </xf>
    <xf numFmtId="0" fontId="3" fillId="6" borderId="0" xfId="1" quotePrefix="1" applyFont="1" applyFill="1" applyBorder="1" applyAlignment="1">
      <alignment horizontal="center"/>
    </xf>
    <xf numFmtId="0" fontId="3" fillId="0" borderId="0" xfId="1" applyFont="1" applyAlignment="1">
      <alignment horizontal="center"/>
    </xf>
    <xf numFmtId="0" fontId="3" fillId="0" borderId="6" xfId="1" applyFont="1" applyBorder="1" applyAlignment="1">
      <alignment horizontal="center"/>
    </xf>
    <xf numFmtId="0" fontId="5" fillId="0" borderId="40" xfId="2" applyFont="1" applyBorder="1" applyAlignment="1">
      <alignment horizontal="center" vertical="center" wrapText="1"/>
    </xf>
    <xf numFmtId="0" fontId="5" fillId="0" borderId="42" xfId="2" applyFont="1" applyBorder="1" applyAlignment="1">
      <alignment horizontal="center" vertical="center" wrapText="1"/>
    </xf>
    <xf numFmtId="0" fontId="5" fillId="0" borderId="41" xfId="2" applyFont="1" applyBorder="1" applyAlignment="1">
      <alignment horizontal="center" vertical="center" wrapText="1"/>
    </xf>
    <xf numFmtId="0" fontId="5" fillId="0" borderId="43" xfId="2" applyFont="1" applyBorder="1" applyAlignment="1">
      <alignment horizontal="center" vertical="center" wrapText="1"/>
    </xf>
    <xf numFmtId="0" fontId="5" fillId="0" borderId="34" xfId="2" applyFont="1" applyBorder="1" applyAlignment="1">
      <alignment horizontal="center" vertical="center"/>
    </xf>
    <xf numFmtId="0" fontId="17" fillId="0" borderId="51" xfId="2" applyFont="1" applyBorder="1" applyAlignment="1">
      <alignment horizontal="center" vertical="center"/>
    </xf>
    <xf numFmtId="0" fontId="5" fillId="6" borderId="0" xfId="2" applyFont="1" applyFill="1">
      <alignment vertical="center"/>
    </xf>
    <xf numFmtId="10" fontId="0" fillId="0" borderId="0" xfId="6" applyNumberFormat="1" applyFont="1">
      <alignment vertical="center"/>
    </xf>
    <xf numFmtId="0" fontId="0" fillId="3" borderId="0" xfId="0" applyFill="1">
      <alignment vertical="center"/>
    </xf>
    <xf numFmtId="0" fontId="0" fillId="7" borderId="0" xfId="0" applyFill="1">
      <alignment vertical="center"/>
    </xf>
    <xf numFmtId="0" fontId="0" fillId="7" borderId="41" xfId="0" applyFill="1" applyBorder="1">
      <alignment vertical="center"/>
    </xf>
    <xf numFmtId="0" fontId="0" fillId="0" borderId="52" xfId="0" applyBorder="1">
      <alignment vertical="center"/>
    </xf>
    <xf numFmtId="0" fontId="0" fillId="0" borderId="53" xfId="0" applyBorder="1">
      <alignment vertical="center"/>
    </xf>
    <xf numFmtId="0" fontId="0" fillId="0" borderId="54" xfId="0" applyBorder="1">
      <alignment vertical="center"/>
    </xf>
    <xf numFmtId="0" fontId="0" fillId="0" borderId="50" xfId="0" applyBorder="1">
      <alignment vertical="center"/>
    </xf>
    <xf numFmtId="178" fontId="0" fillId="7" borderId="56" xfId="6" applyNumberFormat="1" applyFont="1" applyFill="1" applyBorder="1">
      <alignment vertical="center"/>
    </xf>
    <xf numFmtId="178" fontId="0" fillId="7" borderId="0" xfId="6" applyNumberFormat="1" applyFont="1" applyFill="1" applyBorder="1">
      <alignment vertical="center"/>
    </xf>
    <xf numFmtId="178" fontId="0" fillId="7" borderId="46" xfId="6" applyNumberFormat="1" applyFont="1" applyFill="1" applyBorder="1">
      <alignment vertical="center"/>
    </xf>
    <xf numFmtId="178" fontId="0" fillId="7" borderId="35" xfId="6" applyNumberFormat="1" applyFont="1" applyFill="1" applyBorder="1">
      <alignment vertical="center"/>
    </xf>
    <xf numFmtId="178" fontId="0" fillId="7" borderId="48" xfId="6" applyNumberFormat="1" applyFont="1" applyFill="1" applyBorder="1">
      <alignment vertical="center"/>
    </xf>
    <xf numFmtId="178" fontId="0" fillId="7" borderId="45" xfId="6" applyNumberFormat="1" applyFont="1" applyFill="1" applyBorder="1">
      <alignment vertical="center"/>
    </xf>
    <xf numFmtId="178" fontId="0" fillId="7" borderId="47" xfId="6" applyNumberFormat="1" applyFont="1" applyFill="1" applyBorder="1">
      <alignment vertical="center"/>
    </xf>
    <xf numFmtId="0" fontId="0" fillId="6" borderId="52" xfId="0" applyFill="1" applyBorder="1">
      <alignment vertical="center"/>
    </xf>
    <xf numFmtId="0" fontId="0" fillId="0" borderId="0" xfId="0" applyFill="1" applyBorder="1">
      <alignment vertical="center"/>
    </xf>
    <xf numFmtId="10" fontId="0" fillId="3" borderId="56" xfId="6" applyNumberFormat="1" applyFont="1" applyFill="1" applyBorder="1">
      <alignment vertical="center"/>
    </xf>
    <xf numFmtId="10" fontId="0" fillId="3" borderId="45" xfId="6" applyNumberFormat="1" applyFont="1" applyFill="1" applyBorder="1">
      <alignment vertical="center"/>
    </xf>
    <xf numFmtId="10" fontId="0" fillId="3" borderId="0" xfId="6" applyNumberFormat="1" applyFont="1" applyFill="1" applyBorder="1">
      <alignment vertical="center"/>
    </xf>
    <xf numFmtId="10" fontId="0" fillId="3" borderId="47" xfId="6" applyNumberFormat="1" applyFont="1" applyFill="1" applyBorder="1">
      <alignment vertical="center"/>
    </xf>
    <xf numFmtId="10" fontId="0" fillId="3" borderId="35" xfId="6" applyNumberFormat="1" applyFont="1" applyFill="1" applyBorder="1">
      <alignment vertical="center"/>
    </xf>
    <xf numFmtId="2" fontId="0" fillId="0" borderId="52" xfId="0" applyNumberFormat="1" applyBorder="1">
      <alignment vertical="center"/>
    </xf>
    <xf numFmtId="2" fontId="0" fillId="0" borderId="53" xfId="0" applyNumberFormat="1" applyBorder="1">
      <alignment vertical="center"/>
    </xf>
    <xf numFmtId="2" fontId="0" fillId="0" borderId="54" xfId="0" applyNumberFormat="1" applyBorder="1">
      <alignment vertical="center"/>
    </xf>
    <xf numFmtId="0" fontId="0" fillId="0" borderId="49" xfId="0" applyFill="1" applyBorder="1">
      <alignment vertical="center"/>
    </xf>
    <xf numFmtId="10" fontId="0" fillId="4" borderId="52" xfId="6" applyNumberFormat="1" applyFont="1" applyFill="1" applyBorder="1" applyAlignment="1"/>
    <xf numFmtId="0" fontId="0" fillId="4" borderId="50" xfId="0" applyFill="1" applyBorder="1" applyAlignment="1">
      <alignment vertical="center"/>
    </xf>
    <xf numFmtId="10" fontId="0" fillId="4" borderId="53" xfId="6" applyNumberFormat="1" applyFont="1" applyFill="1" applyBorder="1" applyAlignment="1"/>
    <xf numFmtId="0" fontId="0" fillId="4" borderId="53" xfId="0" applyFill="1" applyBorder="1" applyAlignment="1"/>
    <xf numFmtId="2" fontId="0" fillId="0" borderId="0" xfId="0" applyNumberFormat="1">
      <alignment vertical="center"/>
    </xf>
    <xf numFmtId="0" fontId="23" fillId="0" borderId="0" xfId="2" applyFont="1">
      <alignment vertical="center"/>
    </xf>
    <xf numFmtId="178" fontId="0" fillId="0" borderId="0" xfId="0" applyNumberFormat="1">
      <alignment vertical="center"/>
    </xf>
    <xf numFmtId="0" fontId="0" fillId="0" borderId="50" xfId="0" applyFill="1" applyBorder="1">
      <alignment vertical="center"/>
    </xf>
    <xf numFmtId="0" fontId="0" fillId="8" borderId="50" xfId="0" applyFill="1" applyBorder="1">
      <alignment vertical="center"/>
    </xf>
    <xf numFmtId="0" fontId="0" fillId="8" borderId="0" xfId="0" applyFill="1">
      <alignment vertical="center"/>
    </xf>
    <xf numFmtId="176" fontId="0" fillId="8" borderId="52" xfId="6" applyNumberFormat="1" applyFont="1" applyFill="1" applyBorder="1" applyAlignment="1"/>
    <xf numFmtId="10" fontId="0" fillId="0" borderId="52" xfId="6" applyNumberFormat="1" applyFont="1" applyBorder="1">
      <alignment vertical="center"/>
    </xf>
    <xf numFmtId="10" fontId="0" fillId="0" borderId="53" xfId="6" applyNumberFormat="1" applyFont="1" applyBorder="1">
      <alignment vertical="center"/>
    </xf>
    <xf numFmtId="10" fontId="0" fillId="0" borderId="54" xfId="6" applyNumberFormat="1" applyFont="1" applyBorder="1">
      <alignment vertical="center"/>
    </xf>
    <xf numFmtId="0" fontId="0" fillId="0" borderId="41" xfId="0" applyBorder="1">
      <alignment vertical="center"/>
    </xf>
    <xf numFmtId="0" fontId="0" fillId="0" borderId="57" xfId="0" applyBorder="1">
      <alignment vertical="center"/>
    </xf>
    <xf numFmtId="0" fontId="0" fillId="0" borderId="46" xfId="0" applyBorder="1">
      <alignment vertical="center"/>
    </xf>
    <xf numFmtId="178" fontId="0" fillId="7" borderId="0" xfId="0" applyNumberFormat="1" applyFill="1">
      <alignment vertical="center"/>
    </xf>
    <xf numFmtId="10" fontId="0" fillId="3" borderId="46" xfId="6" applyNumberFormat="1" applyFont="1" applyFill="1" applyBorder="1">
      <alignment vertical="center"/>
    </xf>
    <xf numFmtId="10" fontId="0" fillId="3" borderId="48" xfId="6" applyNumberFormat="1" applyFont="1" applyFill="1" applyBorder="1">
      <alignment vertical="center"/>
    </xf>
    <xf numFmtId="180" fontId="0" fillId="0" borderId="52" xfId="6" applyNumberFormat="1" applyFont="1" applyBorder="1" applyAlignment="1"/>
    <xf numFmtId="180" fontId="0" fillId="0" borderId="53" xfId="6" applyNumberFormat="1" applyFont="1" applyBorder="1" applyAlignment="1"/>
    <xf numFmtId="180" fontId="0" fillId="0" borderId="54" xfId="6" applyNumberFormat="1" applyFont="1" applyBorder="1" applyAlignment="1"/>
    <xf numFmtId="179" fontId="3" fillId="0" borderId="0" xfId="6" applyNumberFormat="1" applyFont="1" applyFill="1" applyBorder="1" applyAlignment="1">
      <alignment horizontal="center"/>
    </xf>
    <xf numFmtId="0" fontId="0" fillId="7" borderId="50" xfId="0" applyFill="1" applyBorder="1">
      <alignment vertical="center"/>
    </xf>
    <xf numFmtId="0" fontId="0" fillId="7" borderId="52" xfId="0" applyFill="1" applyBorder="1">
      <alignment vertical="center"/>
    </xf>
    <xf numFmtId="0" fontId="0" fillId="7" borderId="53" xfId="0" applyFill="1" applyBorder="1">
      <alignment vertical="center"/>
    </xf>
    <xf numFmtId="0" fontId="0" fillId="7" borderId="54" xfId="0" applyFill="1" applyBorder="1">
      <alignment vertical="center"/>
    </xf>
    <xf numFmtId="179" fontId="0" fillId="0" borderId="0" xfId="6" applyNumberFormat="1" applyFont="1">
      <alignment vertical="center"/>
    </xf>
    <xf numFmtId="0" fontId="0" fillId="3" borderId="55" xfId="0" applyFill="1" applyBorder="1">
      <alignment vertical="center"/>
    </xf>
    <xf numFmtId="0" fontId="0" fillId="3" borderId="56" xfId="0" applyFill="1" applyBorder="1">
      <alignment vertical="center"/>
    </xf>
    <xf numFmtId="178" fontId="0" fillId="7" borderId="55" xfId="0" applyNumberFormat="1" applyFill="1" applyBorder="1">
      <alignment vertical="center"/>
    </xf>
    <xf numFmtId="178" fontId="0" fillId="7" borderId="56" xfId="0" applyNumberFormat="1" applyFill="1" applyBorder="1">
      <alignment vertical="center"/>
    </xf>
    <xf numFmtId="0" fontId="0" fillId="6" borderId="55" xfId="0" applyFill="1" applyBorder="1">
      <alignment vertical="center"/>
    </xf>
    <xf numFmtId="179" fontId="0" fillId="4" borderId="53" xfId="6" applyNumberFormat="1" applyFont="1" applyFill="1" applyBorder="1" applyAlignment="1"/>
    <xf numFmtId="10" fontId="0" fillId="0" borderId="55" xfId="0" applyNumberFormat="1" applyBorder="1">
      <alignment vertical="center"/>
    </xf>
    <xf numFmtId="10" fontId="0" fillId="0" borderId="45" xfId="0" applyNumberFormat="1" applyBorder="1">
      <alignment vertical="center"/>
    </xf>
    <xf numFmtId="10" fontId="0" fillId="0" borderId="47" xfId="0" applyNumberFormat="1" applyBorder="1">
      <alignment vertical="center"/>
    </xf>
    <xf numFmtId="10" fontId="0" fillId="8" borderId="52" xfId="6" applyNumberFormat="1" applyFont="1" applyFill="1" applyBorder="1" applyAlignment="1"/>
    <xf numFmtId="0" fontId="0" fillId="8" borderId="53" xfId="0" applyFill="1" applyBorder="1">
      <alignment vertical="center"/>
    </xf>
    <xf numFmtId="10" fontId="0" fillId="8" borderId="53" xfId="6" applyNumberFormat="1" applyFont="1" applyFill="1" applyBorder="1" applyAlignment="1"/>
    <xf numFmtId="10" fontId="0" fillId="8" borderId="54" xfId="6" applyNumberFormat="1" applyFont="1" applyFill="1" applyBorder="1" applyAlignment="1"/>
    <xf numFmtId="0" fontId="0" fillId="0" borderId="55" xfId="0" applyBorder="1">
      <alignment vertical="center"/>
    </xf>
    <xf numFmtId="0" fontId="0" fillId="0" borderId="45" xfId="0" applyBorder="1">
      <alignment vertical="center"/>
    </xf>
    <xf numFmtId="0" fontId="0" fillId="0" borderId="47" xfId="0" applyBorder="1">
      <alignment vertical="center"/>
    </xf>
    <xf numFmtId="0" fontId="0" fillId="3" borderId="57" xfId="0" applyFill="1" applyBorder="1">
      <alignment vertical="center"/>
    </xf>
    <xf numFmtId="178" fontId="0" fillId="7" borderId="57" xfId="0" applyNumberFormat="1" applyFill="1" applyBorder="1">
      <alignment vertical="center"/>
    </xf>
    <xf numFmtId="0" fontId="0" fillId="6" borderId="45" xfId="0" applyFill="1" applyBorder="1">
      <alignment vertical="center"/>
    </xf>
    <xf numFmtId="0" fontId="0" fillId="6" borderId="47" xfId="0" applyFill="1" applyBorder="1">
      <alignment vertical="center"/>
    </xf>
    <xf numFmtId="179" fontId="0" fillId="7" borderId="55" xfId="6" applyNumberFormat="1" applyFont="1" applyFill="1" applyBorder="1">
      <alignment vertical="center"/>
    </xf>
    <xf numFmtId="179" fontId="0" fillId="7" borderId="45" xfId="6" applyNumberFormat="1" applyFont="1" applyFill="1" applyBorder="1">
      <alignment vertical="center"/>
    </xf>
    <xf numFmtId="179" fontId="0" fillId="7" borderId="47" xfId="6" applyNumberFormat="1" applyFont="1" applyFill="1" applyBorder="1">
      <alignment vertical="center"/>
    </xf>
    <xf numFmtId="10" fontId="0" fillId="7" borderId="55" xfId="6" applyNumberFormat="1" applyFont="1" applyFill="1" applyBorder="1">
      <alignment vertical="center"/>
    </xf>
    <xf numFmtId="10" fontId="0" fillId="7" borderId="45" xfId="6" applyNumberFormat="1" applyFont="1" applyFill="1" applyBorder="1">
      <alignment vertical="center"/>
    </xf>
    <xf numFmtId="10" fontId="0" fillId="7" borderId="47" xfId="6" applyNumberFormat="1" applyFont="1" applyFill="1" applyBorder="1">
      <alignment vertical="center"/>
    </xf>
    <xf numFmtId="0" fontId="3" fillId="0" borderId="0" xfId="1" applyFont="1" applyAlignment="1">
      <alignment horizontal="center"/>
    </xf>
    <xf numFmtId="0" fontId="0" fillId="7" borderId="57" xfId="0" applyFill="1" applyBorder="1">
      <alignment vertical="center"/>
    </xf>
    <xf numFmtId="0" fontId="0" fillId="7" borderId="46" xfId="0" applyFill="1" applyBorder="1">
      <alignment vertical="center"/>
    </xf>
    <xf numFmtId="0" fontId="17" fillId="0" borderId="0" xfId="2" applyFont="1" applyBorder="1">
      <alignment vertical="center"/>
    </xf>
    <xf numFmtId="0" fontId="5" fillId="0" borderId="0" xfId="2" applyFont="1" applyBorder="1" applyAlignment="1">
      <alignment horizontal="center" vertical="center" wrapText="1"/>
    </xf>
    <xf numFmtId="0" fontId="17" fillId="0" borderId="0" xfId="2" applyFont="1" applyBorder="1" applyAlignment="1">
      <alignment horizontal="center" vertical="center"/>
    </xf>
    <xf numFmtId="10" fontId="17" fillId="0" borderId="0" xfId="2" quotePrefix="1" applyNumberFormat="1" applyFont="1" applyBorder="1" applyAlignment="1">
      <alignment horizontal="center" vertical="center" wrapText="1"/>
    </xf>
    <xf numFmtId="0" fontId="19" fillId="0" borderId="0" xfId="2" applyFont="1" applyBorder="1">
      <alignment vertical="center"/>
    </xf>
    <xf numFmtId="10" fontId="17" fillId="0" borderId="0" xfId="2" applyNumberFormat="1" applyFont="1" applyBorder="1">
      <alignment vertical="center"/>
    </xf>
    <xf numFmtId="0" fontId="5" fillId="0" borderId="36" xfId="2" applyFont="1" applyBorder="1" applyAlignment="1">
      <alignment horizontal="center" vertical="top" wrapText="1"/>
    </xf>
    <xf numFmtId="0" fontId="5" fillId="0" borderId="37" xfId="2" applyFont="1" applyBorder="1" applyAlignment="1">
      <alignment horizontal="center" vertical="top" wrapText="1"/>
    </xf>
    <xf numFmtId="0" fontId="5" fillId="0" borderId="44" xfId="2" applyFont="1" applyBorder="1" applyAlignment="1">
      <alignment horizontal="center" vertical="top" wrapText="1"/>
    </xf>
    <xf numFmtId="0" fontId="5" fillId="0" borderId="0" xfId="2" applyFont="1" applyBorder="1" applyAlignment="1">
      <alignment horizontal="center" vertical="top" wrapText="1"/>
    </xf>
    <xf numFmtId="0" fontId="5" fillId="0" borderId="52" xfId="2" applyFont="1" applyBorder="1" applyAlignment="1">
      <alignment horizontal="center" vertical="center" wrapText="1"/>
    </xf>
    <xf numFmtId="0" fontId="5" fillId="0" borderId="53" xfId="2" applyFont="1" applyBorder="1" applyAlignment="1">
      <alignment horizontal="center" vertical="center" wrapText="1"/>
    </xf>
    <xf numFmtId="0" fontId="5" fillId="0" borderId="54" xfId="2" applyFont="1" applyBorder="1" applyAlignment="1">
      <alignment horizontal="center" vertical="center" wrapText="1"/>
    </xf>
    <xf numFmtId="0" fontId="5" fillId="0" borderId="55" xfId="2" applyFont="1" applyBorder="1" applyAlignment="1">
      <alignment horizontal="center" vertical="center" wrapText="1"/>
    </xf>
    <xf numFmtId="0" fontId="5" fillId="0" borderId="56" xfId="2" applyFont="1" applyBorder="1" applyAlignment="1">
      <alignment horizontal="center" vertical="center" wrapText="1"/>
    </xf>
    <xf numFmtId="0" fontId="5" fillId="0" borderId="56" xfId="2" applyFont="1" applyBorder="1" applyAlignment="1">
      <alignment horizontal="center" vertical="top" wrapText="1"/>
    </xf>
    <xf numFmtId="10" fontId="17" fillId="0" borderId="56" xfId="2" applyNumberFormat="1" applyFont="1" applyBorder="1" applyAlignment="1">
      <alignment horizontal="center" vertical="center" wrapText="1"/>
    </xf>
    <xf numFmtId="10" fontId="17" fillId="0" borderId="57" xfId="2" applyNumberFormat="1" applyFont="1" applyBorder="1" applyAlignment="1">
      <alignment horizontal="center" vertical="center" wrapText="1"/>
    </xf>
    <xf numFmtId="0" fontId="5" fillId="0" borderId="35" xfId="2" applyFont="1" applyBorder="1" applyAlignment="1">
      <alignment horizontal="center" vertical="center" wrapText="1"/>
    </xf>
    <xf numFmtId="0" fontId="5" fillId="0" borderId="35" xfId="2" applyFont="1" applyBorder="1" applyAlignment="1">
      <alignment horizontal="center" vertical="top" wrapText="1"/>
    </xf>
    <xf numFmtId="178" fontId="17" fillId="0" borderId="0" xfId="2" applyNumberFormat="1" applyFont="1" applyBorder="1" applyAlignment="1">
      <alignment horizontal="center" vertical="center" wrapText="1"/>
    </xf>
    <xf numFmtId="178" fontId="17" fillId="0" borderId="56" xfId="2" applyNumberFormat="1" applyFont="1" applyBorder="1" applyAlignment="1">
      <alignment horizontal="center" vertical="center" wrapText="1"/>
    </xf>
    <xf numFmtId="10" fontId="17" fillId="0" borderId="56" xfId="2" quotePrefix="1" applyNumberFormat="1" applyFont="1" applyBorder="1" applyAlignment="1">
      <alignment horizontal="center" vertical="center" wrapText="1"/>
    </xf>
    <xf numFmtId="10" fontId="17" fillId="0" borderId="57" xfId="2" quotePrefix="1" applyNumberFormat="1" applyFont="1" applyBorder="1" applyAlignment="1">
      <alignment horizontal="center" vertical="center" wrapText="1"/>
    </xf>
    <xf numFmtId="178" fontId="17" fillId="0" borderId="46" xfId="2" applyNumberFormat="1" applyFont="1" applyBorder="1" applyAlignment="1">
      <alignment horizontal="center" vertical="center" wrapText="1"/>
    </xf>
    <xf numFmtId="178" fontId="17" fillId="0" borderId="35" xfId="2" applyNumberFormat="1" applyFont="1" applyBorder="1" applyAlignment="1">
      <alignment horizontal="center" vertical="center" wrapText="1"/>
    </xf>
    <xf numFmtId="178" fontId="17" fillId="0" borderId="48" xfId="2" applyNumberFormat="1" applyFont="1" applyBorder="1" applyAlignment="1">
      <alignment horizontal="center" vertical="center" wrapText="1"/>
    </xf>
    <xf numFmtId="10" fontId="17" fillId="0" borderId="0" xfId="2" applyNumberFormat="1" applyFont="1" applyFill="1" applyBorder="1" applyAlignment="1">
      <alignment horizontal="center" vertical="center" wrapText="1"/>
    </xf>
    <xf numFmtId="178" fontId="17" fillId="0" borderId="0" xfId="2" applyNumberFormat="1" applyFont="1" applyFill="1" applyBorder="1" applyAlignment="1">
      <alignment horizontal="center" vertical="center" wrapText="1"/>
    </xf>
    <xf numFmtId="10" fontId="17" fillId="0" borderId="57" xfId="2" applyNumberFormat="1" applyFont="1" applyFill="1" applyBorder="1" applyAlignment="1">
      <alignment horizontal="center" vertical="center" wrapText="1"/>
    </xf>
    <xf numFmtId="10" fontId="17" fillId="0" borderId="46" xfId="2" applyNumberFormat="1" applyFont="1" applyFill="1" applyBorder="1" applyAlignment="1">
      <alignment horizontal="center" vertical="center" wrapText="1"/>
    </xf>
    <xf numFmtId="10" fontId="23" fillId="0" borderId="0" xfId="2" applyNumberFormat="1" applyFont="1" applyBorder="1" applyAlignment="1">
      <alignment horizontal="center" vertical="center" wrapText="1"/>
    </xf>
    <xf numFmtId="0" fontId="0" fillId="0" borderId="49" xfId="0" applyBorder="1">
      <alignment vertical="center"/>
    </xf>
    <xf numFmtId="0" fontId="0" fillId="0" borderId="42" xfId="0" applyBorder="1">
      <alignment vertical="center"/>
    </xf>
    <xf numFmtId="10" fontId="0" fillId="0" borderId="56" xfId="6" applyNumberFormat="1" applyFont="1" applyBorder="1">
      <alignment vertical="center"/>
    </xf>
    <xf numFmtId="0" fontId="0" fillId="0" borderId="56" xfId="0" applyBorder="1">
      <alignment vertical="center"/>
    </xf>
    <xf numFmtId="10" fontId="0" fillId="0" borderId="57" xfId="6" applyNumberFormat="1" applyFont="1" applyBorder="1">
      <alignment vertical="center"/>
    </xf>
    <xf numFmtId="10" fontId="0" fillId="0" borderId="0" xfId="6" applyNumberFormat="1" applyFont="1" applyBorder="1">
      <alignment vertical="center"/>
    </xf>
    <xf numFmtId="10" fontId="0" fillId="0" borderId="46" xfId="6" applyNumberFormat="1" applyFont="1" applyBorder="1">
      <alignment vertical="center"/>
    </xf>
    <xf numFmtId="10" fontId="0" fillId="0" borderId="35" xfId="6" applyNumberFormat="1" applyFont="1" applyBorder="1">
      <alignment vertical="center"/>
    </xf>
    <xf numFmtId="0" fontId="0" fillId="0" borderId="35" xfId="0" applyBorder="1">
      <alignment vertical="center"/>
    </xf>
    <xf numFmtId="10" fontId="0" fillId="0" borderId="48" xfId="6" applyNumberFormat="1" applyFont="1" applyBorder="1">
      <alignment vertical="center"/>
    </xf>
    <xf numFmtId="10" fontId="0" fillId="0" borderId="56" xfId="6" applyNumberFormat="1" applyFont="1" applyBorder="1" applyAlignment="1">
      <alignment horizontal="center" vertical="center"/>
    </xf>
    <xf numFmtId="10" fontId="17" fillId="0" borderId="35" xfId="2" applyNumberFormat="1" applyFont="1" applyFill="1" applyBorder="1" applyAlignment="1">
      <alignment horizontal="center" vertical="center" wrapText="1"/>
    </xf>
    <xf numFmtId="178" fontId="0" fillId="0" borderId="0" xfId="6" applyNumberFormat="1" applyFont="1" applyBorder="1" applyAlignment="1"/>
    <xf numFmtId="9" fontId="17" fillId="0" borderId="0" xfId="6" applyNumberFormat="1" applyFont="1" applyBorder="1">
      <alignment vertical="center"/>
    </xf>
    <xf numFmtId="10" fontId="0" fillId="0" borderId="0" xfId="6" applyNumberFormat="1" applyFont="1" applyBorder="1" applyAlignment="1"/>
    <xf numFmtId="0" fontId="0" fillId="0" borderId="0" xfId="0" applyBorder="1" applyAlignment="1"/>
    <xf numFmtId="10" fontId="0" fillId="8" borderId="53" xfId="6" applyNumberFormat="1" applyFont="1" applyFill="1" applyBorder="1">
      <alignment vertical="center"/>
    </xf>
    <xf numFmtId="10" fontId="0" fillId="9" borderId="52" xfId="6" applyNumberFormat="1" applyFont="1" applyFill="1" applyBorder="1" applyAlignment="1"/>
    <xf numFmtId="0" fontId="0" fillId="9" borderId="50" xfId="0" applyFill="1" applyBorder="1" applyAlignment="1">
      <alignment vertical="center"/>
    </xf>
    <xf numFmtId="10" fontId="0" fillId="9" borderId="53" xfId="6" applyNumberFormat="1" applyFont="1" applyFill="1" applyBorder="1" applyAlignment="1"/>
    <xf numFmtId="0" fontId="0" fillId="9" borderId="53" xfId="0" applyFill="1" applyBorder="1" applyAlignment="1"/>
    <xf numFmtId="176" fontId="0" fillId="10" borderId="52" xfId="6" applyNumberFormat="1" applyFont="1" applyFill="1" applyBorder="1" applyAlignment="1"/>
    <xf numFmtId="0" fontId="0" fillId="10" borderId="50" xfId="0" applyFill="1" applyBorder="1">
      <alignment vertical="center"/>
    </xf>
    <xf numFmtId="10" fontId="0" fillId="10" borderId="52" xfId="6" applyNumberFormat="1" applyFont="1" applyFill="1" applyBorder="1" applyAlignment="1"/>
    <xf numFmtId="10" fontId="0" fillId="10" borderId="53" xfId="6" applyNumberFormat="1" applyFont="1" applyFill="1" applyBorder="1">
      <alignment vertical="center"/>
    </xf>
    <xf numFmtId="10" fontId="0" fillId="10" borderId="53" xfId="6" applyNumberFormat="1" applyFont="1" applyFill="1" applyBorder="1" applyAlignment="1"/>
    <xf numFmtId="10" fontId="0" fillId="10" borderId="54" xfId="6" applyNumberFormat="1" applyFont="1" applyFill="1" applyBorder="1" applyAlignment="1"/>
    <xf numFmtId="0" fontId="0" fillId="10" borderId="0" xfId="0" applyFill="1">
      <alignment vertical="center"/>
    </xf>
    <xf numFmtId="10" fontId="0" fillId="5" borderId="56" xfId="6" applyNumberFormat="1" applyFont="1" applyFill="1" applyBorder="1">
      <alignment vertical="center"/>
    </xf>
    <xf numFmtId="10" fontId="0" fillId="5" borderId="56" xfId="6" applyNumberFormat="1" applyFont="1" applyFill="1" applyBorder="1" applyAlignment="1">
      <alignment horizontal="center" vertical="center"/>
    </xf>
    <xf numFmtId="0" fontId="0" fillId="5" borderId="56" xfId="0" applyFill="1" applyBorder="1">
      <alignment vertical="center"/>
    </xf>
    <xf numFmtId="10" fontId="0" fillId="5" borderId="57" xfId="6" applyNumberFormat="1" applyFont="1" applyFill="1" applyBorder="1">
      <alignment vertical="center"/>
    </xf>
    <xf numFmtId="10" fontId="0" fillId="5" borderId="0" xfId="6" applyNumberFormat="1" applyFont="1" applyFill="1" applyBorder="1">
      <alignment vertical="center"/>
    </xf>
    <xf numFmtId="0" fontId="0" fillId="5" borderId="0" xfId="0" applyFill="1" applyBorder="1">
      <alignment vertical="center"/>
    </xf>
    <xf numFmtId="10" fontId="0" fillId="5" borderId="46" xfId="6" applyNumberFormat="1" applyFont="1" applyFill="1" applyBorder="1">
      <alignment vertical="center"/>
    </xf>
    <xf numFmtId="10" fontId="0" fillId="5" borderId="35" xfId="6" applyNumberFormat="1" applyFont="1" applyFill="1" applyBorder="1">
      <alignment vertical="center"/>
    </xf>
    <xf numFmtId="0" fontId="0" fillId="5" borderId="35" xfId="0" applyFill="1" applyBorder="1">
      <alignment vertical="center"/>
    </xf>
    <xf numFmtId="10" fontId="0" fillId="5" borderId="48" xfId="6" applyNumberFormat="1" applyFont="1" applyFill="1" applyBorder="1">
      <alignment vertical="center"/>
    </xf>
    <xf numFmtId="178" fontId="0" fillId="0" borderId="0" xfId="6" applyNumberFormat="1" applyFont="1">
      <alignment vertical="center"/>
    </xf>
    <xf numFmtId="10" fontId="17" fillId="0" borderId="48" xfId="2" applyNumberFormat="1" applyFont="1" applyFill="1" applyBorder="1" applyAlignment="1">
      <alignment horizontal="center" vertical="center" wrapText="1"/>
    </xf>
    <xf numFmtId="181" fontId="0" fillId="4" borderId="52" xfId="6" applyNumberFormat="1" applyFont="1" applyFill="1" applyBorder="1" applyAlignment="1"/>
    <xf numFmtId="0" fontId="17" fillId="0" borderId="4" xfId="1" applyFont="1" applyBorder="1"/>
    <xf numFmtId="182" fontId="6" fillId="9" borderId="4" xfId="7" applyNumberFormat="1" applyFont="1" applyFill="1" applyBorder="1" applyAlignment="1"/>
    <xf numFmtId="0" fontId="6" fillId="11" borderId="4" xfId="1" applyFont="1" applyFill="1" applyBorder="1" applyAlignment="1">
      <alignment horizontal="center" vertical="center"/>
    </xf>
    <xf numFmtId="0" fontId="17" fillId="0" borderId="0" xfId="1" applyFont="1"/>
    <xf numFmtId="0" fontId="17" fillId="0" borderId="4" xfId="0" applyFont="1" applyBorder="1" applyAlignment="1">
      <alignment horizontal="center" vertical="center"/>
    </xf>
    <xf numFmtId="3" fontId="6" fillId="9" borderId="4" xfId="0" applyNumberFormat="1" applyFont="1" applyFill="1" applyBorder="1" applyAlignment="1">
      <alignment horizontal="center"/>
    </xf>
    <xf numFmtId="0" fontId="17" fillId="0" borderId="0" xfId="2" applyFont="1" applyAlignment="1">
      <alignment horizontal="left" vertical="center"/>
    </xf>
    <xf numFmtId="0" fontId="11" fillId="0" borderId="13" xfId="1" applyFont="1" applyBorder="1" applyAlignment="1">
      <alignment horizontal="center"/>
    </xf>
    <xf numFmtId="0" fontId="11" fillId="0" borderId="16" xfId="1" applyFont="1" applyBorder="1" applyAlignment="1">
      <alignment horizontal="center"/>
    </xf>
    <xf numFmtId="0" fontId="11" fillId="0" borderId="17" xfId="1" applyFont="1" applyBorder="1" applyAlignment="1">
      <alignment horizontal="center"/>
    </xf>
    <xf numFmtId="10" fontId="0" fillId="0" borderId="49" xfId="6" applyNumberFormat="1" applyFont="1" applyBorder="1" applyAlignment="1">
      <alignment horizontal="center" vertical="center"/>
    </xf>
    <xf numFmtId="10" fontId="0" fillId="0" borderId="42" xfId="6" applyNumberFormat="1" applyFont="1" applyBorder="1" applyAlignment="1">
      <alignment horizontal="center" vertical="center"/>
    </xf>
    <xf numFmtId="10" fontId="0" fillId="0" borderId="41" xfId="6" applyNumberFormat="1" applyFont="1" applyBorder="1" applyAlignment="1">
      <alignment horizontal="center" vertical="center"/>
    </xf>
    <xf numFmtId="10" fontId="0" fillId="7" borderId="49" xfId="6" applyNumberFormat="1" applyFont="1" applyFill="1" applyBorder="1" applyAlignment="1">
      <alignment horizontal="center" vertical="center"/>
    </xf>
    <xf numFmtId="10" fontId="0" fillId="7" borderId="42" xfId="6" applyNumberFormat="1" applyFont="1" applyFill="1" applyBorder="1" applyAlignment="1">
      <alignment horizontal="center" vertical="center"/>
    </xf>
    <xf numFmtId="10" fontId="0" fillId="7" borderId="41" xfId="6" applyNumberFormat="1" applyFont="1" applyFill="1" applyBorder="1" applyAlignment="1">
      <alignment horizontal="center" vertical="center"/>
    </xf>
    <xf numFmtId="0" fontId="0" fillId="0" borderId="49" xfId="0" applyBorder="1" applyAlignment="1">
      <alignment horizontal="center" vertical="center"/>
    </xf>
    <xf numFmtId="0" fontId="0" fillId="0" borderId="42" xfId="0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0" fillId="7" borderId="49" xfId="0" applyFill="1" applyBorder="1" applyAlignment="1">
      <alignment horizontal="center" vertical="center"/>
    </xf>
    <xf numFmtId="0" fontId="0" fillId="7" borderId="42" xfId="0" applyFill="1" applyBorder="1" applyAlignment="1">
      <alignment horizontal="center" vertical="center"/>
    </xf>
    <xf numFmtId="0" fontId="0" fillId="7" borderId="41" xfId="0" applyFill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178" fontId="0" fillId="7" borderId="0" xfId="0" applyNumberFormat="1" applyFill="1" applyAlignment="1">
      <alignment horizontal="center" vertical="center"/>
    </xf>
    <xf numFmtId="0" fontId="12" fillId="0" borderId="16" xfId="1" applyFont="1" applyBorder="1" applyAlignment="1">
      <alignment horizontal="center"/>
    </xf>
    <xf numFmtId="0" fontId="12" fillId="0" borderId="17" xfId="1" applyFont="1" applyBorder="1" applyAlignment="1">
      <alignment horizontal="center"/>
    </xf>
    <xf numFmtId="0" fontId="3" fillId="0" borderId="0" xfId="1" applyFont="1" applyAlignment="1">
      <alignment horizontal="center"/>
    </xf>
  </cellXfs>
  <cellStyles count="8">
    <cellStyle name="一般" xfId="0" builtinId="0"/>
    <cellStyle name="一般 2" xfId="2" xr:uid="{8D5F4078-03F0-4801-95BD-44CEFD350DB3}"/>
    <cellStyle name="一般 3" xfId="1" xr:uid="{DF2FE50B-0FE2-4432-8A2E-FC10AD118808}"/>
    <cellStyle name="一般 4" xfId="5" xr:uid="{F4ECD2AB-E39B-4616-AFDD-3B68ADB8D63C}"/>
    <cellStyle name="一般 7" xfId="4" xr:uid="{FD8ABC86-4CDD-4E9B-8FEB-F03737C6ECDE}"/>
    <cellStyle name="千分位 2" xfId="7" xr:uid="{A4B213DA-11F2-4259-A5F5-01F01F20FF7F}"/>
    <cellStyle name="百分比" xfId="6" builtinId="5"/>
    <cellStyle name="百分比 3" xfId="3" xr:uid="{3B123FA6-A5E4-4D6E-A6B1-CC80F3E58697}"/>
  </cellStyles>
  <dxfs count="2093"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theme="9" tint="0.39994506668294322"/>
        </patternFill>
      </fill>
    </dxf>
    <dxf>
      <fill>
        <patternFill>
          <bgColor rgb="FFFFFF00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26"/>
        </patternFill>
      </fill>
    </dxf>
    <dxf>
      <fill>
        <patternFill>
          <bgColor theme="4" tint="0.39994506668294322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9" tint="-0.24994659260841701"/>
        </patternFill>
      </fill>
    </dxf>
    <dxf>
      <fill>
        <gradientFill>
          <stop position="0">
            <color rgb="FFFF0000"/>
          </stop>
          <stop position="0.5">
            <color rgb="FFFFC000"/>
          </stop>
          <stop position="1">
            <color rgb="FFFF0000"/>
          </stop>
        </gradientFill>
      </fill>
    </dxf>
    <dxf>
      <fill>
        <patternFill>
          <bgColor rgb="FF957FB3"/>
        </patternFill>
      </fill>
    </dxf>
    <dxf>
      <fill>
        <patternFill>
          <bgColor theme="3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0000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theme="9" tint="0.39994506668294322"/>
        </patternFill>
      </fill>
    </dxf>
    <dxf>
      <fill>
        <patternFill>
          <bgColor rgb="FFFFFF00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26"/>
        </patternFill>
      </fill>
    </dxf>
    <dxf>
      <fill>
        <patternFill>
          <bgColor theme="4" tint="0.39994506668294322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9" tint="-0.24994659260841701"/>
        </patternFill>
      </fill>
    </dxf>
    <dxf>
      <fill>
        <gradientFill>
          <stop position="0">
            <color rgb="FFFF0000"/>
          </stop>
          <stop position="0.5">
            <color rgb="FFFFC000"/>
          </stop>
          <stop position="1">
            <color rgb="FFFF0000"/>
          </stop>
        </gradientFill>
      </fill>
    </dxf>
    <dxf>
      <fill>
        <patternFill>
          <bgColor rgb="FF957FB3"/>
        </patternFill>
      </fill>
    </dxf>
    <dxf>
      <fill>
        <patternFill>
          <bgColor theme="3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0000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theme="4" tint="0.39994506668294322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theme="4" tint="0.39994506668294322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indexed="26"/>
        </patternFill>
      </fill>
    </dxf>
    <dxf>
      <fill>
        <patternFill>
          <bgColor theme="4" tint="0.39994506668294322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9" tint="-0.24994659260841701"/>
        </patternFill>
      </fill>
    </dxf>
    <dxf>
      <fill>
        <gradientFill>
          <stop position="0">
            <color rgb="FFFF0000"/>
          </stop>
          <stop position="0.5">
            <color rgb="FFFFC000"/>
          </stop>
          <stop position="1">
            <color rgb="FFFF0000"/>
          </stop>
        </gradientFill>
      </fill>
    </dxf>
    <dxf>
      <fill>
        <patternFill>
          <bgColor rgb="FF957FB3"/>
        </patternFill>
      </fill>
    </dxf>
    <dxf>
      <fill>
        <patternFill>
          <bgColor theme="3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0000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theme="4" tint="0.39994506668294322"/>
        </patternFill>
      </fill>
    </dxf>
    <dxf>
      <fill>
        <patternFill>
          <bgColor indexed="26"/>
        </patternFill>
      </fill>
    </dxf>
    <dxf>
      <fill>
        <patternFill>
          <bgColor theme="4" tint="0.39994506668294322"/>
        </patternFill>
      </fill>
    </dxf>
    <dxf>
      <fill>
        <patternFill>
          <bgColor indexed="26"/>
        </patternFill>
      </fill>
    </dxf>
    <dxf>
      <fill>
        <patternFill>
          <bgColor theme="4" tint="0.39994506668294322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9" tint="-0.24994659260841701"/>
        </patternFill>
      </fill>
    </dxf>
    <dxf>
      <fill>
        <gradientFill>
          <stop position="0">
            <color rgb="FFFF0000"/>
          </stop>
          <stop position="0.5">
            <color rgb="FFFFC000"/>
          </stop>
          <stop position="1">
            <color rgb="FFFF0000"/>
          </stop>
        </gradientFill>
      </fill>
    </dxf>
    <dxf>
      <fill>
        <patternFill>
          <bgColor rgb="FF957FB3"/>
        </patternFill>
      </fill>
    </dxf>
    <dxf>
      <fill>
        <patternFill>
          <bgColor theme="3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9" tint="-0.24994659260841701"/>
        </patternFill>
      </fill>
    </dxf>
    <dxf>
      <fill>
        <gradientFill>
          <stop position="0">
            <color rgb="FFFF0000"/>
          </stop>
          <stop position="0.5">
            <color rgb="FFFFC000"/>
          </stop>
          <stop position="1">
            <color rgb="FFFF0000"/>
          </stop>
        </gradientFill>
      </fill>
    </dxf>
    <dxf>
      <fill>
        <patternFill>
          <bgColor rgb="FF957FB3"/>
        </patternFill>
      </fill>
    </dxf>
    <dxf>
      <fill>
        <patternFill>
          <bgColor theme="3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9" tint="-0.24994659260841701"/>
        </patternFill>
      </fill>
    </dxf>
    <dxf>
      <fill>
        <gradientFill>
          <stop position="0">
            <color rgb="FFFF0000"/>
          </stop>
          <stop position="0.5">
            <color rgb="FFFFC000"/>
          </stop>
          <stop position="1">
            <color rgb="FFFF0000"/>
          </stop>
        </gradientFill>
      </fill>
    </dxf>
    <dxf>
      <fill>
        <patternFill>
          <bgColor rgb="FF957FB3"/>
        </patternFill>
      </fill>
    </dxf>
    <dxf>
      <fill>
        <patternFill>
          <bgColor theme="3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0000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9" tint="-0.24994659260841701"/>
        </patternFill>
      </fill>
    </dxf>
    <dxf>
      <fill>
        <gradientFill>
          <stop position="0">
            <color rgb="FFFF0000"/>
          </stop>
          <stop position="0.5">
            <color rgb="FFFFC000"/>
          </stop>
          <stop position="1">
            <color rgb="FFFF0000"/>
          </stop>
        </gradientFill>
      </fill>
    </dxf>
    <dxf>
      <fill>
        <patternFill>
          <bgColor rgb="FF957FB3"/>
        </patternFill>
      </fill>
    </dxf>
    <dxf>
      <fill>
        <patternFill>
          <bgColor theme="3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0000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9" tint="-0.24994659260841701"/>
        </patternFill>
      </fill>
    </dxf>
    <dxf>
      <fill>
        <gradientFill>
          <stop position="0">
            <color rgb="FFFF0000"/>
          </stop>
          <stop position="0.5">
            <color rgb="FFFFC000"/>
          </stop>
          <stop position="1">
            <color rgb="FFFF0000"/>
          </stop>
        </gradientFill>
      </fill>
    </dxf>
    <dxf>
      <fill>
        <patternFill>
          <bgColor rgb="FF957FB3"/>
        </patternFill>
      </fill>
    </dxf>
    <dxf>
      <fill>
        <patternFill>
          <bgColor theme="3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0000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9" tint="-0.24994659260841701"/>
        </patternFill>
      </fill>
    </dxf>
    <dxf>
      <fill>
        <gradientFill>
          <stop position="0">
            <color rgb="FFFF0000"/>
          </stop>
          <stop position="0.5">
            <color rgb="FFFFC000"/>
          </stop>
          <stop position="1">
            <color rgb="FFFF0000"/>
          </stop>
        </gradientFill>
      </fill>
    </dxf>
    <dxf>
      <fill>
        <patternFill>
          <bgColor rgb="FF957FB3"/>
        </patternFill>
      </fill>
    </dxf>
    <dxf>
      <fill>
        <patternFill>
          <bgColor theme="3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0000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9" tint="-0.24994659260841701"/>
        </patternFill>
      </fill>
    </dxf>
    <dxf>
      <fill>
        <gradientFill>
          <stop position="0">
            <color rgb="FFFF0000"/>
          </stop>
          <stop position="0.5">
            <color rgb="FFFFC000"/>
          </stop>
          <stop position="1">
            <color rgb="FFFF0000"/>
          </stop>
        </gradientFill>
      </fill>
    </dxf>
    <dxf>
      <fill>
        <patternFill>
          <bgColor rgb="FF957FB3"/>
        </patternFill>
      </fill>
    </dxf>
    <dxf>
      <fill>
        <patternFill>
          <bgColor theme="3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0000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9" tint="-0.24994659260841701"/>
        </patternFill>
      </fill>
    </dxf>
    <dxf>
      <fill>
        <gradientFill>
          <stop position="0">
            <color rgb="FFFF0000"/>
          </stop>
          <stop position="0.5">
            <color rgb="FFFFC000"/>
          </stop>
          <stop position="1">
            <color rgb="FFFF0000"/>
          </stop>
        </gradientFill>
      </fill>
    </dxf>
    <dxf>
      <fill>
        <patternFill>
          <bgColor rgb="FF957FB3"/>
        </patternFill>
      </fill>
    </dxf>
    <dxf>
      <fill>
        <patternFill>
          <bgColor theme="3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0000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</dxfs>
  <tableStyles count="0" defaultTableStyle="TableStyleMedium2" defaultPivotStyle="PivotStyleLight16"/>
  <colors>
    <mruColors>
      <color rgb="FFEAB0A4"/>
      <color rgb="FFF1C9C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1215390</xdr:colOff>
      <xdr:row>1</xdr:row>
      <xdr:rowOff>34290</xdr:rowOff>
    </xdr:to>
    <xdr:pic>
      <xdr:nvPicPr>
        <xdr:cNvPr id="2" name="圖片 2">
          <a:extLst>
            <a:ext uri="{FF2B5EF4-FFF2-40B4-BE49-F238E27FC236}">
              <a16:creationId xmlns:a16="http://schemas.microsoft.com/office/drawing/2014/main" id="{99AC7C34-F0FE-4F56-982D-F7610FD86F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4356735" cy="8972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2</xdr:col>
      <xdr:colOff>1215390</xdr:colOff>
      <xdr:row>1</xdr:row>
      <xdr:rowOff>34290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4CB50D07-0C67-4FB0-8BB5-CB881D1181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4356735" cy="8972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2</xdr:col>
      <xdr:colOff>1215390</xdr:colOff>
      <xdr:row>1</xdr:row>
      <xdr:rowOff>34290</xdr:rowOff>
    </xdr:to>
    <xdr:pic>
      <xdr:nvPicPr>
        <xdr:cNvPr id="4" name="圖片 2">
          <a:extLst>
            <a:ext uri="{FF2B5EF4-FFF2-40B4-BE49-F238E27FC236}">
              <a16:creationId xmlns:a16="http://schemas.microsoft.com/office/drawing/2014/main" id="{91E38C0E-5B0F-443A-BA67-9A00F93C56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4356735" cy="8972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2</xdr:col>
      <xdr:colOff>1215390</xdr:colOff>
      <xdr:row>1</xdr:row>
      <xdr:rowOff>34290</xdr:rowOff>
    </xdr:to>
    <xdr:pic>
      <xdr:nvPicPr>
        <xdr:cNvPr id="5" name="圖片 2">
          <a:extLst>
            <a:ext uri="{FF2B5EF4-FFF2-40B4-BE49-F238E27FC236}">
              <a16:creationId xmlns:a16="http://schemas.microsoft.com/office/drawing/2014/main" id="{BFBF4B0B-231C-453C-A779-687BB5F3AC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4356735" cy="8972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2</xdr:col>
      <xdr:colOff>1215390</xdr:colOff>
      <xdr:row>1</xdr:row>
      <xdr:rowOff>34290</xdr:rowOff>
    </xdr:to>
    <xdr:pic>
      <xdr:nvPicPr>
        <xdr:cNvPr id="6" name="圖片 2">
          <a:extLst>
            <a:ext uri="{FF2B5EF4-FFF2-40B4-BE49-F238E27FC236}">
              <a16:creationId xmlns:a16="http://schemas.microsoft.com/office/drawing/2014/main" id="{0762EA9A-00EC-4332-8E4B-58843F2124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4356735" cy="8972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2</xdr:col>
      <xdr:colOff>1215390</xdr:colOff>
      <xdr:row>1</xdr:row>
      <xdr:rowOff>34290</xdr:rowOff>
    </xdr:to>
    <xdr:pic>
      <xdr:nvPicPr>
        <xdr:cNvPr id="7" name="圖片 2">
          <a:extLst>
            <a:ext uri="{FF2B5EF4-FFF2-40B4-BE49-F238E27FC236}">
              <a16:creationId xmlns:a16="http://schemas.microsoft.com/office/drawing/2014/main" id="{B29D453F-2250-476B-90BD-E4733652DF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4356735" cy="8972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2</xdr:col>
      <xdr:colOff>1215390</xdr:colOff>
      <xdr:row>1</xdr:row>
      <xdr:rowOff>34290</xdr:rowOff>
    </xdr:to>
    <xdr:pic>
      <xdr:nvPicPr>
        <xdr:cNvPr id="8" name="圖片 2">
          <a:extLst>
            <a:ext uri="{FF2B5EF4-FFF2-40B4-BE49-F238E27FC236}">
              <a16:creationId xmlns:a16="http://schemas.microsoft.com/office/drawing/2014/main" id="{C5E76E2F-BA97-446E-8B9C-C97BA027CD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4356735" cy="8972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E70752-47D0-433B-B802-AB15891B4FB1}">
  <dimension ref="A1:S71"/>
  <sheetViews>
    <sheetView tabSelected="1" workbookViewId="0">
      <selection activeCell="B4" sqref="B4"/>
    </sheetView>
  </sheetViews>
  <sheetFormatPr defaultColWidth="10.109375" defaultRowHeight="15.6"/>
  <cols>
    <col min="1" max="1" width="27.33203125" style="70" customWidth="1"/>
    <col min="2" max="7" width="18.44140625" style="70" customWidth="1"/>
    <col min="8" max="8" width="10.44140625" style="70" bestFit="1" customWidth="1"/>
    <col min="9" max="9" width="15.77734375" style="70" customWidth="1"/>
    <col min="10" max="10" width="10.44140625" style="70" bestFit="1" customWidth="1"/>
    <col min="11" max="11" width="9.6640625" style="70" customWidth="1"/>
    <col min="12" max="13" width="12.21875" style="70" bestFit="1" customWidth="1"/>
    <col min="14" max="16384" width="10.109375" style="70"/>
  </cols>
  <sheetData>
    <row r="1" spans="1:19" ht="68.400000000000006" customHeight="1"/>
    <row r="2" spans="1:19" ht="16.2">
      <c r="A2" s="9"/>
      <c r="B2" s="71"/>
      <c r="F2" s="72"/>
      <c r="G2" s="72"/>
    </row>
    <row r="3" spans="1:19" ht="16.2">
      <c r="A3" s="9" t="s">
        <v>98</v>
      </c>
      <c r="B3" s="300" t="s">
        <v>235</v>
      </c>
      <c r="C3" s="300"/>
      <c r="F3" s="73"/>
      <c r="G3" s="73"/>
      <c r="H3" s="168"/>
    </row>
    <row r="4" spans="1:19" ht="16.2" thickBot="1">
      <c r="M4" s="221"/>
      <c r="N4" s="221"/>
      <c r="O4" s="221"/>
      <c r="P4" s="221"/>
      <c r="Q4" s="221"/>
      <c r="R4" s="221"/>
      <c r="S4" s="221"/>
    </row>
    <row r="5" spans="1:19" ht="16.8" thickBot="1">
      <c r="A5" s="87" t="s">
        <v>109</v>
      </c>
      <c r="B5" s="88">
        <v>1</v>
      </c>
      <c r="C5" s="88">
        <v>2</v>
      </c>
      <c r="D5" s="88">
        <v>3</v>
      </c>
      <c r="E5" s="134">
        <v>4</v>
      </c>
      <c r="L5" s="77"/>
      <c r="M5" s="221"/>
      <c r="N5" s="222"/>
      <c r="O5" s="223"/>
      <c r="P5" s="223"/>
      <c r="Q5" s="223"/>
      <c r="R5" s="223"/>
      <c r="S5" s="221"/>
    </row>
    <row r="6" spans="1:19" ht="16.8" thickBot="1">
      <c r="A6" s="89" t="s">
        <v>110</v>
      </c>
      <c r="B6" s="90">
        <v>3</v>
      </c>
      <c r="C6" s="90">
        <v>3</v>
      </c>
      <c r="D6" s="90">
        <v>3</v>
      </c>
      <c r="E6" s="135">
        <v>3</v>
      </c>
      <c r="I6" s="105"/>
      <c r="J6" s="104"/>
      <c r="K6" s="79"/>
      <c r="L6" s="80"/>
      <c r="M6" s="221"/>
      <c r="N6" s="222"/>
      <c r="O6" s="108"/>
      <c r="P6" s="114"/>
      <c r="Q6" s="108"/>
      <c r="R6" s="224"/>
      <c r="S6" s="221"/>
    </row>
    <row r="7" spans="1:19" ht="48.6">
      <c r="E7" s="252" t="s">
        <v>182</v>
      </c>
      <c r="I7" s="105"/>
      <c r="J7" s="104"/>
      <c r="K7" s="81"/>
      <c r="L7" s="84"/>
      <c r="M7" s="225"/>
      <c r="N7" s="222"/>
      <c r="O7" s="108"/>
      <c r="P7" s="114"/>
      <c r="Q7" s="108"/>
      <c r="R7" s="108"/>
      <c r="S7" s="221"/>
    </row>
    <row r="8" spans="1:19" ht="16.8" thickBot="1">
      <c r="A8" s="136" t="s">
        <v>181</v>
      </c>
      <c r="B8" s="74"/>
      <c r="F8" s="76"/>
      <c r="I8" s="105"/>
      <c r="J8" s="104"/>
      <c r="K8" s="81"/>
      <c r="L8" s="84"/>
      <c r="M8" s="225"/>
      <c r="N8" s="222"/>
      <c r="O8" s="108"/>
      <c r="P8" s="114"/>
      <c r="Q8" s="108"/>
      <c r="R8" s="108"/>
      <c r="S8" s="221"/>
    </row>
    <row r="9" spans="1:19" ht="16.8" thickBot="1">
      <c r="A9" s="227" t="s">
        <v>99</v>
      </c>
      <c r="B9" s="227" t="s">
        <v>134</v>
      </c>
      <c r="C9" s="228" t="s">
        <v>100</v>
      </c>
      <c r="D9" s="228" t="s">
        <v>101</v>
      </c>
      <c r="E9" s="229" t="s">
        <v>102</v>
      </c>
      <c r="I9" s="105"/>
      <c r="J9" s="104"/>
      <c r="K9" s="81"/>
      <c r="L9" s="84"/>
      <c r="M9" s="225"/>
      <c r="N9" s="222"/>
      <c r="O9" s="108"/>
      <c r="P9" s="114"/>
      <c r="Q9" s="108"/>
      <c r="R9" s="108"/>
      <c r="S9" s="221"/>
    </row>
    <row r="10" spans="1:19" ht="16.2">
      <c r="A10" s="231">
        <v>1</v>
      </c>
      <c r="B10" s="234">
        <v>1</v>
      </c>
      <c r="C10" s="235">
        <v>4</v>
      </c>
      <c r="D10" s="236">
        <v>1</v>
      </c>
      <c r="E10" s="250">
        <f>Card_Info_NoExtra_testA!A2</f>
        <v>0.42607907193681399</v>
      </c>
      <c r="I10" s="105"/>
      <c r="J10" s="104"/>
      <c r="K10" s="81"/>
      <c r="L10" s="84"/>
      <c r="M10" s="225"/>
      <c r="N10" s="222"/>
      <c r="O10" s="108"/>
      <c r="P10" s="114"/>
      <c r="Q10" s="108"/>
      <c r="R10" s="108"/>
      <c r="S10" s="221"/>
    </row>
    <row r="11" spans="1:19" ht="16.2">
      <c r="A11" s="232">
        <v>5</v>
      </c>
      <c r="B11" s="109">
        <v>5</v>
      </c>
      <c r="C11" s="222">
        <v>4</v>
      </c>
      <c r="D11" s="230">
        <v>1</v>
      </c>
      <c r="E11" s="251">
        <f>Card_Info_NoExtra_testA!D2</f>
        <v>0.71959919409037676</v>
      </c>
      <c r="F11" s="108"/>
      <c r="I11" s="105"/>
      <c r="J11" s="104"/>
      <c r="K11" s="81"/>
      <c r="L11" s="84"/>
      <c r="M11" s="225"/>
      <c r="N11" s="222"/>
      <c r="O11" s="108"/>
      <c r="P11" s="114"/>
      <c r="Q11" s="108"/>
      <c r="R11" s="108"/>
      <c r="S11" s="221"/>
    </row>
    <row r="12" spans="1:19" ht="16.2">
      <c r="A12" s="232">
        <v>10</v>
      </c>
      <c r="B12" s="109">
        <v>10</v>
      </c>
      <c r="C12" s="222">
        <v>4</v>
      </c>
      <c r="D12" s="230">
        <v>1</v>
      </c>
      <c r="E12" s="251">
        <f>Card_Info_NoExtra_testA!G2</f>
        <v>0.62352587479254495</v>
      </c>
      <c r="F12" s="108"/>
      <c r="I12" s="105"/>
      <c r="J12" s="104"/>
      <c r="K12" s="81"/>
      <c r="L12" s="84"/>
      <c r="M12" s="225"/>
      <c r="N12" s="222"/>
      <c r="O12" s="108"/>
      <c r="P12" s="114"/>
      <c r="Q12" s="108"/>
      <c r="R12" s="108"/>
      <c r="S12" s="221"/>
    </row>
    <row r="13" spans="1:19" ht="16.2">
      <c r="A13" s="232">
        <v>50</v>
      </c>
      <c r="B13" s="109">
        <v>50</v>
      </c>
      <c r="C13" s="222">
        <v>4</v>
      </c>
      <c r="D13" s="230">
        <v>1</v>
      </c>
      <c r="E13" s="251">
        <f>Card_Info_NoExtra_testA!J2</f>
        <v>0.80424060060136104</v>
      </c>
      <c r="F13" s="108"/>
      <c r="I13" s="105"/>
      <c r="J13" s="104"/>
      <c r="K13" s="81"/>
      <c r="L13" s="84"/>
      <c r="M13" s="225"/>
      <c r="N13" s="222"/>
      <c r="O13" s="108"/>
      <c r="P13" s="114"/>
      <c r="Q13" s="108"/>
      <c r="R13" s="108"/>
      <c r="S13" s="221"/>
    </row>
    <row r="14" spans="1:19" ht="16.8" thickBot="1">
      <c r="A14" s="233">
        <v>100</v>
      </c>
      <c r="B14" s="111">
        <v>100</v>
      </c>
      <c r="C14" s="239">
        <v>4</v>
      </c>
      <c r="D14" s="240">
        <v>1</v>
      </c>
      <c r="E14" s="292">
        <f>Card_Info_NoExtra_testA!M2</f>
        <v>0.71356017890458301</v>
      </c>
      <c r="F14" s="108"/>
      <c r="I14" s="105"/>
      <c r="J14" s="104"/>
      <c r="K14" s="81"/>
      <c r="L14" s="84"/>
      <c r="M14" s="225"/>
      <c r="N14" s="222"/>
      <c r="O14" s="108"/>
      <c r="P14" s="114"/>
      <c r="Q14" s="108"/>
      <c r="R14" s="108"/>
      <c r="S14" s="221"/>
    </row>
    <row r="15" spans="1:19" ht="16.2">
      <c r="I15" s="105"/>
      <c r="J15" s="104"/>
      <c r="K15" s="81"/>
      <c r="L15" s="84"/>
      <c r="M15" s="225"/>
      <c r="N15" s="222"/>
      <c r="O15" s="108"/>
      <c r="P15" s="114"/>
      <c r="Q15" s="108"/>
      <c r="R15" s="108"/>
      <c r="S15" s="221"/>
    </row>
    <row r="16" spans="1:19" ht="16.8" thickBot="1">
      <c r="A16" s="136" t="s">
        <v>144</v>
      </c>
      <c r="B16" s="74"/>
      <c r="E16" s="75"/>
      <c r="F16" s="76"/>
      <c r="G16" s="76"/>
      <c r="I16" s="105"/>
      <c r="J16" s="104"/>
      <c r="K16" s="81"/>
      <c r="L16" s="84"/>
      <c r="M16" s="225"/>
      <c r="N16" s="222"/>
      <c r="O16" s="108"/>
      <c r="P16" s="114"/>
      <c r="Q16" s="108"/>
      <c r="R16" s="108"/>
      <c r="S16" s="221"/>
    </row>
    <row r="17" spans="1:19" ht="16.8" thickBot="1">
      <c r="A17" s="227" t="s">
        <v>99</v>
      </c>
      <c r="B17" s="227" t="s">
        <v>134</v>
      </c>
      <c r="C17" s="228" t="s">
        <v>100</v>
      </c>
      <c r="D17" s="228" t="s">
        <v>101</v>
      </c>
      <c r="E17" s="228" t="s">
        <v>102</v>
      </c>
      <c r="F17" s="229" t="s">
        <v>103</v>
      </c>
      <c r="G17" s="75"/>
      <c r="H17" s="221"/>
      <c r="I17" s="265"/>
      <c r="J17" s="104"/>
      <c r="M17" s="221"/>
      <c r="N17" s="222"/>
      <c r="O17" s="108"/>
      <c r="P17" s="114"/>
      <c r="Q17" s="108"/>
      <c r="R17" s="108"/>
      <c r="S17" s="221"/>
    </row>
    <row r="18" spans="1:19" ht="16.2">
      <c r="A18" s="231">
        <v>1</v>
      </c>
      <c r="B18" s="234">
        <v>1</v>
      </c>
      <c r="C18" s="235">
        <v>4</v>
      </c>
      <c r="D18" s="236">
        <v>1</v>
      </c>
      <c r="E18" s="237">
        <v>0.96493764999999998</v>
      </c>
      <c r="F18" s="238"/>
      <c r="G18" s="78"/>
      <c r="H18" s="108"/>
      <c r="I18" s="265"/>
      <c r="J18" s="104"/>
      <c r="M18" s="221"/>
      <c r="N18" s="222"/>
      <c r="O18" s="108"/>
      <c r="P18" s="114"/>
      <c r="Q18" s="108"/>
      <c r="R18" s="108"/>
      <c r="S18" s="221"/>
    </row>
    <row r="19" spans="1:19" ht="16.2">
      <c r="A19" s="232">
        <v>5</v>
      </c>
      <c r="B19" s="109">
        <v>5</v>
      </c>
      <c r="C19" s="222">
        <v>4</v>
      </c>
      <c r="D19" s="230">
        <v>1</v>
      </c>
      <c r="E19" s="108">
        <v>0.96522031279999998</v>
      </c>
      <c r="F19" s="110"/>
      <c r="H19" s="108"/>
      <c r="I19" s="266"/>
      <c r="J19" s="104"/>
      <c r="M19" s="221"/>
      <c r="N19" s="221"/>
      <c r="O19" s="226"/>
      <c r="P19" s="221"/>
      <c r="Q19" s="221"/>
      <c r="R19" s="221"/>
      <c r="S19" s="221"/>
    </row>
    <row r="20" spans="1:19" ht="16.2">
      <c r="A20" s="232">
        <v>10</v>
      </c>
      <c r="B20" s="109">
        <v>10</v>
      </c>
      <c r="C20" s="222">
        <v>4</v>
      </c>
      <c r="D20" s="230">
        <v>1</v>
      </c>
      <c r="E20" s="248">
        <v>0.96503114229999998</v>
      </c>
      <c r="F20" s="110"/>
      <c r="H20" s="108"/>
      <c r="I20" s="266"/>
      <c r="J20" s="104"/>
    </row>
    <row r="21" spans="1:19" ht="29.4" customHeight="1">
      <c r="A21" s="232">
        <v>50</v>
      </c>
      <c r="B21" s="109">
        <v>50</v>
      </c>
      <c r="C21" s="222">
        <v>4</v>
      </c>
      <c r="D21" s="230">
        <v>1</v>
      </c>
      <c r="E21" s="248">
        <v>0.96509082278000002</v>
      </c>
      <c r="F21" s="110"/>
      <c r="H21" s="108"/>
      <c r="I21" s="266"/>
      <c r="J21" s="104"/>
    </row>
    <row r="22" spans="1:19" ht="16.8" thickBot="1">
      <c r="A22" s="233">
        <v>100</v>
      </c>
      <c r="B22" s="111">
        <v>100</v>
      </c>
      <c r="C22" s="239">
        <v>4</v>
      </c>
      <c r="D22" s="240">
        <v>1</v>
      </c>
      <c r="E22" s="264">
        <v>0.96593576250000002</v>
      </c>
      <c r="F22" s="113"/>
      <c r="G22" s="83"/>
      <c r="H22" s="108"/>
      <c r="I22" s="266"/>
      <c r="J22" s="104"/>
    </row>
    <row r="23" spans="1:19" ht="16.2">
      <c r="G23" s="83"/>
      <c r="I23" s="106"/>
      <c r="J23" s="106"/>
      <c r="L23" s="107"/>
      <c r="M23" s="107"/>
    </row>
    <row r="24" spans="1:19" ht="16.8" thickBot="1">
      <c r="A24" s="82" t="s">
        <v>104</v>
      </c>
      <c r="B24" s="82"/>
      <c r="C24" s="82"/>
      <c r="D24" s="82"/>
      <c r="E24" s="82"/>
      <c r="F24" s="82"/>
      <c r="I24" s="267"/>
      <c r="J24" s="267"/>
      <c r="K24" s="221"/>
      <c r="L24" s="107"/>
      <c r="M24" s="107"/>
    </row>
    <row r="25" spans="1:19" ht="33" thickBot="1">
      <c r="A25" s="85" t="s">
        <v>136</v>
      </c>
      <c r="B25" s="130" t="s">
        <v>108</v>
      </c>
      <c r="C25" s="131"/>
      <c r="D25" s="133"/>
      <c r="E25" s="130" t="s">
        <v>137</v>
      </c>
      <c r="F25" s="131"/>
      <c r="G25" s="132"/>
      <c r="I25" s="108"/>
      <c r="J25" s="224"/>
      <c r="K25" s="221"/>
      <c r="L25" s="107"/>
      <c r="M25" s="107"/>
    </row>
    <row r="26" spans="1:19" ht="16.8" thickBot="1">
      <c r="A26" s="85" t="s">
        <v>135</v>
      </c>
      <c r="B26" s="86" t="s">
        <v>105</v>
      </c>
      <c r="C26" s="86" t="s">
        <v>106</v>
      </c>
      <c r="D26" s="86" t="s">
        <v>107</v>
      </c>
      <c r="E26" s="86" t="s">
        <v>105</v>
      </c>
      <c r="F26" s="86" t="s">
        <v>106</v>
      </c>
      <c r="G26" s="102" t="s">
        <v>107</v>
      </c>
      <c r="I26" s="108"/>
      <c r="J26" s="108"/>
      <c r="K26" s="221"/>
      <c r="L26" s="107"/>
      <c r="M26" s="107"/>
    </row>
    <row r="27" spans="1:19" ht="16.2">
      <c r="A27" s="234">
        <v>1</v>
      </c>
      <c r="B27" s="237">
        <v>0.32865825999999998</v>
      </c>
      <c r="C27" s="237"/>
      <c r="D27" s="242"/>
      <c r="E27" s="243" t="s">
        <v>138</v>
      </c>
      <c r="F27" s="243"/>
      <c r="G27" s="244"/>
      <c r="I27" s="108"/>
      <c r="J27" s="108"/>
      <c r="K27" s="268"/>
      <c r="L27" s="107"/>
      <c r="M27" s="107"/>
    </row>
    <row r="28" spans="1:19" ht="16.2">
      <c r="A28" s="109">
        <v>5</v>
      </c>
      <c r="B28" s="248">
        <v>0.13083013399999899</v>
      </c>
      <c r="C28" s="248"/>
      <c r="D28" s="249"/>
      <c r="E28" s="248">
        <v>0.26798905499999898</v>
      </c>
      <c r="F28" s="108"/>
      <c r="G28" s="245"/>
      <c r="I28" s="108"/>
      <c r="J28" s="108"/>
      <c r="K28" s="221"/>
    </row>
    <row r="29" spans="1:19" ht="16.2">
      <c r="A29" s="109">
        <v>10</v>
      </c>
      <c r="B29" s="248">
        <v>0.1178694175</v>
      </c>
      <c r="C29" s="108"/>
      <c r="D29" s="241"/>
      <c r="E29" s="248">
        <v>0.26657934500000002</v>
      </c>
      <c r="F29" s="108"/>
      <c r="G29" s="245"/>
      <c r="I29" s="108"/>
      <c r="J29" s="108"/>
      <c r="K29" s="221"/>
    </row>
    <row r="30" spans="1:19" ht="16.2">
      <c r="A30" s="109">
        <v>50</v>
      </c>
      <c r="B30" s="248">
        <v>0.14234766503999999</v>
      </c>
      <c r="C30" s="108"/>
      <c r="D30" s="241"/>
      <c r="E30" s="248">
        <v>0.28961500000000001</v>
      </c>
      <c r="F30" s="108"/>
      <c r="G30" s="245"/>
      <c r="I30" s="221"/>
      <c r="J30" s="221"/>
      <c r="K30" s="221"/>
    </row>
    <row r="31" spans="1:19" ht="16.8" thickBot="1">
      <c r="A31" s="111">
        <v>100</v>
      </c>
      <c r="B31" s="264">
        <v>0.25152970547999998</v>
      </c>
      <c r="C31" s="112"/>
      <c r="D31" s="246"/>
      <c r="E31" s="264">
        <v>0.20275845000000001</v>
      </c>
      <c r="F31" s="112"/>
      <c r="G31" s="247"/>
    </row>
    <row r="34" spans="1:7" ht="16.8" thickBot="1">
      <c r="A34" s="136" t="s">
        <v>145</v>
      </c>
      <c r="B34" s="74"/>
      <c r="E34" s="75"/>
      <c r="F34" s="76"/>
      <c r="G34" s="76"/>
    </row>
    <row r="35" spans="1:7" ht="16.8" thickBot="1">
      <c r="A35" s="227" t="s">
        <v>99</v>
      </c>
      <c r="B35" s="227" t="s">
        <v>134</v>
      </c>
      <c r="C35" s="228" t="s">
        <v>100</v>
      </c>
      <c r="D35" s="228" t="s">
        <v>101</v>
      </c>
      <c r="E35" s="228" t="s">
        <v>102</v>
      </c>
      <c r="F35" s="229" t="s">
        <v>103</v>
      </c>
      <c r="G35" s="75"/>
    </row>
    <row r="36" spans="1:7" ht="16.2">
      <c r="A36" s="231">
        <v>1</v>
      </c>
      <c r="B36" s="234">
        <v>1</v>
      </c>
      <c r="C36" s="235">
        <v>4</v>
      </c>
      <c r="D36" s="236">
        <v>1</v>
      </c>
      <c r="E36" s="237">
        <v>32.640335688</v>
      </c>
      <c r="F36" s="238"/>
      <c r="G36" s="78"/>
    </row>
    <row r="37" spans="1:7" ht="16.2">
      <c r="A37" s="232">
        <v>5</v>
      </c>
      <c r="B37" s="109">
        <v>5</v>
      </c>
      <c r="C37" s="222">
        <v>4</v>
      </c>
      <c r="D37" s="230">
        <v>1</v>
      </c>
      <c r="E37" s="108">
        <v>38.068061187200001</v>
      </c>
      <c r="F37" s="110"/>
    </row>
    <row r="38" spans="1:7" ht="16.2">
      <c r="A38" s="232">
        <v>10</v>
      </c>
      <c r="B38" s="109">
        <v>10</v>
      </c>
      <c r="C38" s="222">
        <v>4</v>
      </c>
      <c r="D38" s="230">
        <v>1</v>
      </c>
      <c r="E38" s="108">
        <v>27.668223153500001</v>
      </c>
      <c r="F38" s="110"/>
    </row>
    <row r="39" spans="1:7" ht="16.2">
      <c r="A39" s="232">
        <v>50</v>
      </c>
      <c r="B39" s="109">
        <v>50</v>
      </c>
      <c r="C39" s="222">
        <v>4</v>
      </c>
      <c r="D39" s="230">
        <v>1</v>
      </c>
      <c r="E39" s="108">
        <v>42.487217000000001</v>
      </c>
      <c r="F39" s="110"/>
    </row>
    <row r="40" spans="1:7" ht="16.8" thickBot="1">
      <c r="A40" s="233">
        <v>100</v>
      </c>
      <c r="B40" s="111">
        <v>100</v>
      </c>
      <c r="C40" s="239">
        <v>4</v>
      </c>
      <c r="D40" s="240">
        <v>1</v>
      </c>
      <c r="E40" s="112">
        <v>37.440117000000001</v>
      </c>
      <c r="F40" s="113"/>
      <c r="G40" s="83"/>
    </row>
    <row r="41" spans="1:7">
      <c r="G41" s="83"/>
    </row>
    <row r="42" spans="1:7" ht="16.2" thickBot="1">
      <c r="A42" s="82" t="s">
        <v>104</v>
      </c>
      <c r="B42" s="82"/>
      <c r="C42" s="82"/>
      <c r="D42" s="82"/>
      <c r="E42" s="82"/>
      <c r="F42" s="82"/>
    </row>
    <row r="43" spans="1:7" ht="33" thickBot="1">
      <c r="A43" s="85" t="s">
        <v>136</v>
      </c>
      <c r="B43" s="130" t="s">
        <v>108</v>
      </c>
      <c r="C43" s="131"/>
      <c r="D43" s="133"/>
      <c r="E43" s="130" t="s">
        <v>137</v>
      </c>
      <c r="F43" s="131"/>
      <c r="G43" s="132"/>
    </row>
    <row r="44" spans="1:7" ht="16.8" thickBot="1">
      <c r="A44" s="85" t="s">
        <v>135</v>
      </c>
      <c r="B44" s="86" t="s">
        <v>105</v>
      </c>
      <c r="C44" s="86" t="s">
        <v>106</v>
      </c>
      <c r="D44" s="86" t="s">
        <v>107</v>
      </c>
      <c r="E44" s="86" t="s">
        <v>105</v>
      </c>
      <c r="F44" s="86" t="s">
        <v>106</v>
      </c>
      <c r="G44" s="102" t="s">
        <v>107</v>
      </c>
    </row>
    <row r="45" spans="1:7" ht="16.2">
      <c r="A45" s="234">
        <v>1</v>
      </c>
      <c r="B45" s="237">
        <v>3.9167466639999899</v>
      </c>
      <c r="C45" s="237"/>
      <c r="D45" s="242"/>
      <c r="E45" s="243" t="s">
        <v>138</v>
      </c>
      <c r="F45" s="243"/>
      <c r="G45" s="244"/>
    </row>
    <row r="46" spans="1:7" ht="16.2">
      <c r="A46" s="109">
        <v>5</v>
      </c>
      <c r="B46" s="248">
        <v>3.0193533561999999</v>
      </c>
      <c r="C46" s="248"/>
      <c r="D46" s="249"/>
      <c r="E46" s="248">
        <v>6.7185060500000002</v>
      </c>
      <c r="F46" s="108"/>
      <c r="G46" s="245"/>
    </row>
    <row r="47" spans="1:7" ht="16.2">
      <c r="A47" s="109">
        <v>10</v>
      </c>
      <c r="B47" s="248">
        <v>1.373007815</v>
      </c>
      <c r="C47" s="108"/>
      <c r="D47" s="241"/>
      <c r="E47" s="248">
        <v>5.3740768399999999</v>
      </c>
      <c r="F47" s="108"/>
      <c r="G47" s="245"/>
    </row>
    <row r="48" spans="1:7" ht="16.2">
      <c r="A48" s="109">
        <v>50</v>
      </c>
      <c r="B48" s="248">
        <v>1.5781948080599999</v>
      </c>
      <c r="C48" s="108"/>
      <c r="D48" s="241"/>
      <c r="E48" s="248">
        <v>23.879206</v>
      </c>
      <c r="F48" s="108"/>
      <c r="G48" s="245"/>
    </row>
    <row r="49" spans="1:13" ht="16.8" thickBot="1">
      <c r="A49" s="111">
        <v>100</v>
      </c>
      <c r="B49" s="264">
        <v>1.32079875745</v>
      </c>
      <c r="C49" s="112"/>
      <c r="D49" s="246"/>
      <c r="E49" s="264">
        <v>23.857378000000001</v>
      </c>
      <c r="F49" s="112"/>
      <c r="G49" s="247"/>
    </row>
    <row r="52" spans="1:13" ht="16.8" thickBot="1">
      <c r="A52" s="136" t="s">
        <v>146</v>
      </c>
      <c r="B52" s="74"/>
      <c r="E52" s="75"/>
      <c r="F52" s="76"/>
      <c r="G52" s="76"/>
    </row>
    <row r="53" spans="1:13" ht="16.8" thickBot="1">
      <c r="A53" s="227" t="s">
        <v>99</v>
      </c>
      <c r="B53" s="227" t="s">
        <v>134</v>
      </c>
      <c r="C53" s="228" t="s">
        <v>100</v>
      </c>
      <c r="D53" s="228" t="s">
        <v>101</v>
      </c>
      <c r="E53" s="228" t="s">
        <v>102</v>
      </c>
      <c r="F53" s="229" t="s">
        <v>103</v>
      </c>
      <c r="G53" s="75"/>
    </row>
    <row r="54" spans="1:13" ht="16.2">
      <c r="A54" s="231">
        <v>1</v>
      </c>
      <c r="B54" s="234">
        <v>1</v>
      </c>
      <c r="C54" s="235">
        <v>4</v>
      </c>
      <c r="D54" s="236">
        <v>1</v>
      </c>
      <c r="E54" s="237" t="s">
        <v>25</v>
      </c>
      <c r="F54" s="238"/>
      <c r="G54" s="78"/>
    </row>
    <row r="55" spans="1:13" ht="16.2">
      <c r="A55" s="232">
        <v>5</v>
      </c>
      <c r="B55" s="109">
        <v>5</v>
      </c>
      <c r="C55" s="222">
        <v>4</v>
      </c>
      <c r="D55" s="230">
        <v>1</v>
      </c>
      <c r="E55" s="108" t="s">
        <v>25</v>
      </c>
      <c r="F55" s="110"/>
    </row>
    <row r="56" spans="1:13" ht="16.2">
      <c r="A56" s="232">
        <v>10</v>
      </c>
      <c r="B56" s="109">
        <v>10</v>
      </c>
      <c r="C56" s="222">
        <v>4</v>
      </c>
      <c r="D56" s="230">
        <v>1</v>
      </c>
      <c r="E56" s="108" t="s">
        <v>25</v>
      </c>
      <c r="F56" s="110"/>
    </row>
    <row r="57" spans="1:13" ht="16.2">
      <c r="A57" s="232">
        <v>50</v>
      </c>
      <c r="B57" s="109">
        <v>50</v>
      </c>
      <c r="C57" s="222">
        <v>4</v>
      </c>
      <c r="D57" s="230">
        <v>1</v>
      </c>
      <c r="E57" s="108" t="s">
        <v>25</v>
      </c>
      <c r="F57" s="110"/>
    </row>
    <row r="58" spans="1:13" ht="16.8" thickBot="1">
      <c r="A58" s="233">
        <v>100</v>
      </c>
      <c r="B58" s="111">
        <v>100</v>
      </c>
      <c r="C58" s="239">
        <v>4</v>
      </c>
      <c r="D58" s="240">
        <v>1</v>
      </c>
      <c r="E58" s="264">
        <v>49.579838000000002</v>
      </c>
      <c r="F58" s="113"/>
      <c r="G58" s="83"/>
    </row>
    <row r="59" spans="1:13">
      <c r="G59" s="83"/>
    </row>
    <row r="60" spans="1:13" ht="16.2" thickBot="1">
      <c r="A60" s="82" t="s">
        <v>104</v>
      </c>
      <c r="B60" s="82"/>
      <c r="C60" s="82"/>
      <c r="D60" s="82"/>
      <c r="E60" s="82"/>
      <c r="F60" s="82"/>
    </row>
    <row r="61" spans="1:13" ht="33" thickBot="1">
      <c r="A61" s="85" t="s">
        <v>136</v>
      </c>
      <c r="B61" s="130" t="s">
        <v>108</v>
      </c>
      <c r="C61" s="131"/>
      <c r="D61" s="133"/>
      <c r="E61" s="130" t="s">
        <v>137</v>
      </c>
      <c r="F61" s="131"/>
      <c r="G61" s="132"/>
    </row>
    <row r="62" spans="1:13" ht="16.8" thickBot="1">
      <c r="A62" s="85" t="s">
        <v>135</v>
      </c>
      <c r="B62" s="86" t="s">
        <v>105</v>
      </c>
      <c r="C62" s="86" t="s">
        <v>106</v>
      </c>
      <c r="D62" s="86" t="s">
        <v>107</v>
      </c>
      <c r="E62" s="86" t="s">
        <v>105</v>
      </c>
      <c r="F62" s="86" t="s">
        <v>106</v>
      </c>
      <c r="G62" s="102" t="s">
        <v>107</v>
      </c>
    </row>
    <row r="63" spans="1:13" ht="16.2">
      <c r="A63" s="234">
        <v>1</v>
      </c>
      <c r="B63" s="237" t="s">
        <v>25</v>
      </c>
      <c r="C63" s="237"/>
      <c r="D63" s="242"/>
      <c r="E63" s="237" t="s">
        <v>25</v>
      </c>
      <c r="F63" s="243"/>
      <c r="G63" s="244"/>
    </row>
    <row r="64" spans="1:13" ht="16.2">
      <c r="A64" s="109">
        <v>5</v>
      </c>
      <c r="B64" s="108" t="s">
        <v>25</v>
      </c>
      <c r="C64" s="248"/>
      <c r="D64" s="249"/>
      <c r="E64" s="108" t="s">
        <v>25</v>
      </c>
      <c r="F64" s="108"/>
      <c r="G64" s="245"/>
      <c r="I64" s="83"/>
      <c r="J64" s="83"/>
      <c r="K64" s="83"/>
      <c r="L64" s="83"/>
      <c r="M64" s="83"/>
    </row>
    <row r="65" spans="1:13" ht="16.2">
      <c r="A65" s="109">
        <v>10</v>
      </c>
      <c r="B65" s="108" t="s">
        <v>25</v>
      </c>
      <c r="C65" s="108"/>
      <c r="D65" s="241"/>
      <c r="E65" s="108" t="s">
        <v>25</v>
      </c>
      <c r="F65" s="108"/>
      <c r="G65" s="245"/>
      <c r="I65" s="83"/>
      <c r="J65" s="83"/>
      <c r="K65" s="83"/>
      <c r="L65" s="83"/>
      <c r="M65" s="83"/>
    </row>
    <row r="66" spans="1:13" ht="16.2">
      <c r="A66" s="109">
        <v>50</v>
      </c>
      <c r="B66" s="108" t="s">
        <v>25</v>
      </c>
      <c r="C66" s="108"/>
      <c r="D66" s="241"/>
      <c r="E66" s="108" t="s">
        <v>25</v>
      </c>
      <c r="F66" s="108"/>
      <c r="G66" s="245"/>
      <c r="I66" s="83"/>
      <c r="J66" s="83"/>
      <c r="K66" s="83"/>
      <c r="L66" s="83"/>
      <c r="M66" s="83"/>
    </row>
    <row r="67" spans="1:13" ht="16.8" thickBot="1">
      <c r="A67" s="111">
        <v>100</v>
      </c>
      <c r="B67" s="264">
        <v>1.514637</v>
      </c>
      <c r="C67" s="112"/>
      <c r="D67" s="246"/>
      <c r="E67" s="264">
        <v>23.887053000000002</v>
      </c>
      <c r="F67" s="112"/>
      <c r="G67" s="247"/>
      <c r="I67" s="83"/>
      <c r="J67" s="83"/>
      <c r="K67" s="83"/>
      <c r="L67" s="83"/>
      <c r="M67" s="83"/>
    </row>
    <row r="68" spans="1:13">
      <c r="I68" s="83"/>
      <c r="J68" s="83"/>
      <c r="K68" s="83"/>
      <c r="L68" s="83"/>
      <c r="M68" s="83"/>
    </row>
    <row r="69" spans="1:13">
      <c r="I69" s="83"/>
      <c r="J69" s="83"/>
      <c r="K69" s="83"/>
      <c r="L69" s="83"/>
      <c r="M69" s="83"/>
    </row>
    <row r="70" spans="1:13">
      <c r="I70" s="83"/>
      <c r="J70" s="83"/>
      <c r="K70" s="83"/>
      <c r="L70" s="83"/>
      <c r="M70" s="83"/>
    </row>
    <row r="71" spans="1:13">
      <c r="I71" s="83"/>
      <c r="J71" s="83"/>
      <c r="K71" s="83"/>
      <c r="L71" s="83"/>
      <c r="M71" s="83"/>
    </row>
  </sheetData>
  <mergeCells count="1">
    <mergeCell ref="B3:C3"/>
  </mergeCells>
  <phoneticPr fontId="4" type="noConversion"/>
  <pageMargins left="0.75" right="0.75" top="1" bottom="1" header="0.5" footer="0.5"/>
  <pageSetup paperSize="9" orientation="portrait" horizontalDpi="300" verticalDpi="3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BEC1C0-6C0B-4FB2-BE90-2EBB9B48A1D7}">
  <dimension ref="B2:D4"/>
  <sheetViews>
    <sheetView workbookViewId="0"/>
  </sheetViews>
  <sheetFormatPr defaultRowHeight="16.2"/>
  <cols>
    <col min="3" max="3" width="36.88671875" customWidth="1"/>
    <col min="4" max="4" width="22.5546875" bestFit="1" customWidth="1"/>
  </cols>
  <sheetData>
    <row r="2" spans="2:4">
      <c r="B2">
        <v>1</v>
      </c>
      <c r="C2" t="s">
        <v>177</v>
      </c>
      <c r="D2" t="s">
        <v>178</v>
      </c>
    </row>
    <row r="3" spans="2:4">
      <c r="D3" t="s">
        <v>179</v>
      </c>
    </row>
    <row r="4" spans="2:4">
      <c r="D4" t="s">
        <v>180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D87E7F-4685-4545-8C35-8F4EC0DD16EF}">
  <dimension ref="B2:F44"/>
  <sheetViews>
    <sheetView workbookViewId="0"/>
  </sheetViews>
  <sheetFormatPr defaultRowHeight="16.2"/>
  <cols>
    <col min="3" max="3" width="13.33203125" bestFit="1" customWidth="1"/>
  </cols>
  <sheetData>
    <row r="2" spans="2:4" ht="16.8">
      <c r="B2" s="62" t="s">
        <v>97</v>
      </c>
      <c r="C2" s="63"/>
    </row>
    <row r="4" spans="2:4" ht="16.8">
      <c r="B4" s="62" t="s">
        <v>59</v>
      </c>
      <c r="C4" s="63"/>
    </row>
    <row r="5" spans="2:4" ht="16.8">
      <c r="B5" s="62" t="s">
        <v>68</v>
      </c>
      <c r="C5" s="63"/>
    </row>
    <row r="7" spans="2:4" ht="16.8">
      <c r="B7" s="62" t="s">
        <v>62</v>
      </c>
      <c r="C7" s="63"/>
    </row>
    <row r="8" spans="2:4" ht="16.8">
      <c r="B8" s="62"/>
      <c r="C8" s="63"/>
      <c r="D8" s="28"/>
    </row>
    <row r="9" spans="2:4" ht="16.8">
      <c r="B9" s="62" t="s">
        <v>63</v>
      </c>
      <c r="C9" s="63"/>
    </row>
    <row r="10" spans="2:4" ht="16.8">
      <c r="B10" s="63"/>
      <c r="C10" s="62" t="s">
        <v>123</v>
      </c>
    </row>
    <row r="11" spans="2:4" ht="16.8">
      <c r="B11" s="63"/>
      <c r="C11" s="62" t="s">
        <v>64</v>
      </c>
    </row>
    <row r="12" spans="2:4" ht="16.8">
      <c r="C12" s="62" t="s">
        <v>124</v>
      </c>
    </row>
    <row r="14" spans="2:4" ht="16.8">
      <c r="B14" s="62" t="s">
        <v>61</v>
      </c>
    </row>
    <row r="15" spans="2:4" ht="16.8">
      <c r="B15" s="63"/>
      <c r="C15" s="62" t="s">
        <v>215</v>
      </c>
    </row>
    <row r="16" spans="2:4" ht="16.8">
      <c r="B16" s="63"/>
      <c r="C16" s="62" t="s">
        <v>216</v>
      </c>
    </row>
    <row r="17" spans="2:6" ht="16.8">
      <c r="B17" s="63"/>
      <c r="C17" s="62" t="s">
        <v>65</v>
      </c>
    </row>
    <row r="19" spans="2:6" ht="16.8">
      <c r="B19" s="62" t="s">
        <v>111</v>
      </c>
    </row>
    <row r="21" spans="2:6" ht="16.8">
      <c r="B21" s="62" t="s">
        <v>85</v>
      </c>
      <c r="C21" s="68"/>
    </row>
    <row r="23" spans="2:6" ht="16.8">
      <c r="B23" s="62" t="s">
        <v>121</v>
      </c>
    </row>
    <row r="24" spans="2:6" ht="16.8">
      <c r="B24" s="62" t="s">
        <v>122</v>
      </c>
    </row>
    <row r="26" spans="2:6" ht="16.8">
      <c r="B26" s="62" t="s">
        <v>126</v>
      </c>
    </row>
    <row r="28" spans="2:6">
      <c r="B28" s="98"/>
      <c r="C28" s="301" t="s">
        <v>127</v>
      </c>
      <c r="D28" s="302"/>
      <c r="E28" s="302"/>
      <c r="F28" s="303"/>
    </row>
    <row r="29" spans="2:6">
      <c r="B29" s="65"/>
      <c r="C29" s="2" t="s">
        <v>80</v>
      </c>
      <c r="D29" s="2" t="s">
        <v>72</v>
      </c>
      <c r="E29" s="2" t="s">
        <v>73</v>
      </c>
      <c r="F29" s="2" t="s">
        <v>4</v>
      </c>
    </row>
    <row r="30" spans="2:6">
      <c r="B30" s="2" t="s">
        <v>128</v>
      </c>
      <c r="C30" s="2">
        <v>1</v>
      </c>
      <c r="D30" s="2">
        <v>0</v>
      </c>
      <c r="E30" s="2">
        <v>2</v>
      </c>
      <c r="F30" s="2">
        <v>3</v>
      </c>
    </row>
    <row r="31" spans="2:6">
      <c r="B31" s="2" t="s">
        <v>129</v>
      </c>
      <c r="C31" s="2">
        <v>3</v>
      </c>
      <c r="D31" s="2">
        <v>2</v>
      </c>
      <c r="E31" s="2">
        <v>4</v>
      </c>
      <c r="F31" s="2">
        <v>5</v>
      </c>
    </row>
    <row r="32" spans="2:6">
      <c r="B32" s="2" t="s">
        <v>130</v>
      </c>
      <c r="C32" s="2">
        <v>3</v>
      </c>
      <c r="D32" s="2">
        <v>4</v>
      </c>
      <c r="E32" s="2">
        <v>0</v>
      </c>
      <c r="F32" s="2">
        <v>7</v>
      </c>
    </row>
    <row r="33" spans="2:6">
      <c r="B33" s="2" t="s">
        <v>131</v>
      </c>
      <c r="C33" s="2">
        <v>3</v>
      </c>
      <c r="D33" s="2">
        <v>8</v>
      </c>
      <c r="E33" s="2">
        <v>0</v>
      </c>
      <c r="F33" s="2">
        <v>5</v>
      </c>
    </row>
    <row r="34" spans="2:6">
      <c r="B34" s="2" t="s">
        <v>132</v>
      </c>
      <c r="C34" s="2">
        <v>1</v>
      </c>
      <c r="D34" s="2">
        <v>8</v>
      </c>
      <c r="E34" s="2">
        <v>8</v>
      </c>
      <c r="F34" s="2">
        <v>7</v>
      </c>
    </row>
    <row r="35" spans="2:6" ht="16.8">
      <c r="E35" s="97" t="s">
        <v>84</v>
      </c>
    </row>
    <row r="37" spans="2:6" ht="16.8">
      <c r="B37" s="62" t="s">
        <v>133</v>
      </c>
    </row>
    <row r="39" spans="2:6">
      <c r="B39" t="s">
        <v>214</v>
      </c>
    </row>
    <row r="40" spans="2:6">
      <c r="B40" t="s">
        <v>217</v>
      </c>
    </row>
    <row r="41" spans="2:6">
      <c r="B41" t="s">
        <v>218</v>
      </c>
    </row>
    <row r="42" spans="2:6">
      <c r="B42" t="s">
        <v>219</v>
      </c>
    </row>
    <row r="43" spans="2:6">
      <c r="B43" t="s">
        <v>220</v>
      </c>
    </row>
    <row r="44" spans="2:6">
      <c r="B44" t="s">
        <v>236</v>
      </c>
    </row>
  </sheetData>
  <mergeCells count="1">
    <mergeCell ref="C28:F28"/>
  </mergeCells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D0AAA8-A0E7-4EDB-96A1-2F360945CAEB}">
  <dimension ref="A1:AM108"/>
  <sheetViews>
    <sheetView workbookViewId="0">
      <selection activeCell="T12" sqref="T12"/>
    </sheetView>
  </sheetViews>
  <sheetFormatPr defaultRowHeight="16.2"/>
  <cols>
    <col min="2" max="2" width="12.6640625" bestFit="1" customWidth="1"/>
    <col min="3" max="3" width="11" bestFit="1" customWidth="1"/>
    <col min="4" max="5" width="8.88671875" style="139"/>
    <col min="6" max="6" width="11" style="139" bestFit="1" customWidth="1"/>
    <col min="8" max="8" width="12.6640625" bestFit="1" customWidth="1"/>
    <col min="9" max="9" width="11" bestFit="1" customWidth="1"/>
    <col min="10" max="11" width="8.88671875" style="139"/>
    <col min="12" max="12" width="11" style="139" bestFit="1" customWidth="1"/>
    <col min="14" max="14" width="12.6640625" bestFit="1" customWidth="1"/>
    <col min="15" max="15" width="11" bestFit="1" customWidth="1"/>
    <col min="22" max="22" width="11.6640625" bestFit="1" customWidth="1"/>
    <col min="24" max="24" width="13" bestFit="1" customWidth="1"/>
  </cols>
  <sheetData>
    <row r="1" spans="1:39" ht="16.8" thickBot="1">
      <c r="A1" s="310" t="s">
        <v>168</v>
      </c>
      <c r="B1" s="311"/>
      <c r="C1" s="312"/>
      <c r="D1" s="313" t="s">
        <v>170</v>
      </c>
      <c r="E1" s="314"/>
      <c r="F1" s="315"/>
      <c r="G1" s="310" t="s">
        <v>171</v>
      </c>
      <c r="H1" s="311"/>
      <c r="I1" s="312"/>
      <c r="J1" s="313" t="s">
        <v>172</v>
      </c>
      <c r="K1" s="314"/>
      <c r="L1" s="315"/>
      <c r="M1" s="310" t="s">
        <v>173</v>
      </c>
      <c r="N1" s="311"/>
      <c r="O1" s="312"/>
      <c r="R1" t="s">
        <v>184</v>
      </c>
    </row>
    <row r="2" spans="1:39" ht="16.8" thickBot="1">
      <c r="A2" s="304">
        <f>Card_Bet1!$V$1</f>
        <v>0.42607907193681399</v>
      </c>
      <c r="B2" s="305"/>
      <c r="C2" s="306"/>
      <c r="D2" s="307">
        <f>Card_Bet5!$V$1</f>
        <v>0.71959919409037676</v>
      </c>
      <c r="E2" s="308"/>
      <c r="F2" s="309"/>
      <c r="G2" s="304">
        <f>Card_Bet10!$V$1</f>
        <v>0.62352587479254495</v>
      </c>
      <c r="H2" s="305"/>
      <c r="I2" s="306"/>
      <c r="J2" s="307">
        <f>Card_Bet50!$V$1</f>
        <v>0.80424060060136104</v>
      </c>
      <c r="K2" s="308"/>
      <c r="L2" s="309"/>
      <c r="M2" s="304">
        <f>Card_Bet100!$V$1</f>
        <v>0.71356017890458301</v>
      </c>
      <c r="N2" s="305"/>
      <c r="O2" s="306"/>
    </row>
    <row r="3" spans="1:39" ht="16.8" thickBot="1">
      <c r="A3" s="144" t="s">
        <v>160</v>
      </c>
      <c r="B3" s="144" t="s">
        <v>176</v>
      </c>
      <c r="C3" s="177" t="s">
        <v>161</v>
      </c>
      <c r="D3" s="187" t="s">
        <v>160</v>
      </c>
      <c r="E3" s="187" t="s">
        <v>176</v>
      </c>
      <c r="F3" s="140" t="s">
        <v>161</v>
      </c>
      <c r="G3" s="144" t="s">
        <v>160</v>
      </c>
      <c r="H3" s="144" t="s">
        <v>176</v>
      </c>
      <c r="I3" s="177" t="s">
        <v>161</v>
      </c>
      <c r="J3" s="187" t="s">
        <v>160</v>
      </c>
      <c r="K3" s="187" t="s">
        <v>176</v>
      </c>
      <c r="L3" s="140" t="s">
        <v>161</v>
      </c>
      <c r="M3" s="144" t="s">
        <v>160</v>
      </c>
      <c r="N3" s="144" t="s">
        <v>176</v>
      </c>
      <c r="O3" s="177" t="s">
        <v>161</v>
      </c>
      <c r="R3" s="253" t="s">
        <v>185</v>
      </c>
      <c r="S3" s="254" t="s">
        <v>186</v>
      </c>
      <c r="T3" s="254" t="s">
        <v>187</v>
      </c>
      <c r="U3" s="254" t="s">
        <v>188</v>
      </c>
      <c r="V3" s="254" t="s">
        <v>210</v>
      </c>
      <c r="W3" s="254" t="s">
        <v>183</v>
      </c>
      <c r="X3" s="177" t="s">
        <v>211</v>
      </c>
    </row>
    <row r="4" spans="1:39">
      <c r="A4" s="141" cm="1">
        <f t="array" ref="A4:A55">Card_Bet1!$K$3:$K$54</f>
        <v>-1</v>
      </c>
      <c r="B4" s="141" cm="1">
        <f t="array" ref="B4:B55">Card_Bet1!$T$3:$T$54</f>
        <v>856097</v>
      </c>
      <c r="C4" s="141" t="str" cm="1">
        <f t="array" ref="C4:C55">Card_Bet1!$L$3:$L$54</f>
        <v>A</v>
      </c>
      <c r="D4" s="219" cm="1">
        <f t="array" ref="D4:D55">Card_Bet5!$K$3:$K$54</f>
        <v>-1</v>
      </c>
      <c r="E4" s="188" cm="1">
        <f t="array" ref="E4:E55">Card_Bet5!$T$3:$T$54</f>
        <v>868433</v>
      </c>
      <c r="F4" s="219" t="str" cm="1">
        <f t="array" ref="F4:F55">Card_Bet5!$L$3:$L$54</f>
        <v>A</v>
      </c>
      <c r="G4" s="141" cm="1">
        <f t="array" ref="G4:G55">Card_Bet10!$K$3:$K$54</f>
        <v>-1</v>
      </c>
      <c r="H4" s="141" cm="1">
        <f t="array" ref="H4:H55">Card_Bet10!$T$3:$T$54</f>
        <v>876426</v>
      </c>
      <c r="I4" s="178" t="str" cm="1">
        <f t="array" ref="I4:I55">Card_Bet10!$L$3:$L$54</f>
        <v>A</v>
      </c>
      <c r="J4" s="188" cm="1">
        <f t="array" ref="J4:J55">Card_Bet50!$K$3:$K$54</f>
        <v>-1</v>
      </c>
      <c r="K4" s="188" cm="1">
        <f t="array" ref="K4:K55">Card_Bet50!$T$3:$T$54</f>
        <v>869589</v>
      </c>
      <c r="L4" s="219" t="str" cm="1">
        <f t="array" ref="L4:L55">Card_Bet50!$L$3:$L$54</f>
        <v>A</v>
      </c>
      <c r="M4" s="141" cm="1">
        <f t="array" ref="M4:M55">Card_Bet100!$K$3:$K$54</f>
        <v>-1</v>
      </c>
      <c r="N4" s="141" cm="1">
        <f t="array" ref="N4:N55">Card_Bet100!$T$3:$T$54</f>
        <v>868278</v>
      </c>
      <c r="O4" s="178" t="str" cm="1">
        <f t="array" ref="O4:O55">Card_Bet100!$L$3:$L$54</f>
        <v>A</v>
      </c>
      <c r="R4" s="205">
        <v>1</v>
      </c>
      <c r="S4" s="255">
        <v>0.92442100000000005</v>
      </c>
      <c r="T4" s="255">
        <v>0.122159</v>
      </c>
      <c r="U4" s="263" t="s">
        <v>189</v>
      </c>
      <c r="V4" s="256">
        <v>100000000</v>
      </c>
      <c r="W4" s="256">
        <f>SUM(AA13:AA28,AD13:AD28)</f>
        <v>2224546</v>
      </c>
      <c r="X4" s="257">
        <f>W4/V4</f>
        <v>2.2245460000000002E-2</v>
      </c>
    </row>
    <row r="5" spans="1:39">
      <c r="A5" s="142">
        <v>0</v>
      </c>
      <c r="B5" s="142">
        <v>87908</v>
      </c>
      <c r="C5" s="142" t="str">
        <v>A</v>
      </c>
      <c r="D5" s="220">
        <v>0</v>
      </c>
      <c r="E5" s="189">
        <v>73842</v>
      </c>
      <c r="F5" s="220" t="str">
        <v>A</v>
      </c>
      <c r="G5" s="142">
        <v>0</v>
      </c>
      <c r="H5" s="142">
        <v>16356</v>
      </c>
      <c r="I5" s="179" t="str">
        <v>A</v>
      </c>
      <c r="J5" s="189">
        <v>0</v>
      </c>
      <c r="K5" s="189">
        <v>21320</v>
      </c>
      <c r="L5" s="189" t="str">
        <v>A</v>
      </c>
      <c r="M5" s="142">
        <v>0</v>
      </c>
      <c r="N5" s="142">
        <v>22965</v>
      </c>
      <c r="O5" s="179" t="str">
        <v>A</v>
      </c>
      <c r="R5" s="206">
        <v>5</v>
      </c>
      <c r="S5" s="258">
        <v>0.92508199999999996</v>
      </c>
      <c r="T5" s="258">
        <v>6.123E-2</v>
      </c>
      <c r="U5" s="258">
        <v>0.224109</v>
      </c>
      <c r="V5" s="32">
        <v>100000000</v>
      </c>
      <c r="W5" s="32">
        <f>SUM(AA30:AA48,AD30:AD48)</f>
        <v>2214506</v>
      </c>
      <c r="X5" s="259">
        <f t="shared" ref="X5:X8" si="0">W5/V5</f>
        <v>2.2145060000000001E-2</v>
      </c>
    </row>
    <row r="6" spans="1:39">
      <c r="A6" s="142">
        <v>1</v>
      </c>
      <c r="B6" s="142">
        <v>1029</v>
      </c>
      <c r="C6" s="142" t="str">
        <v>B</v>
      </c>
      <c r="D6" s="220">
        <v>1</v>
      </c>
      <c r="E6" s="189">
        <v>1738</v>
      </c>
      <c r="F6" s="220" t="str">
        <v>A</v>
      </c>
      <c r="G6" s="142">
        <v>1</v>
      </c>
      <c r="H6" s="142">
        <v>51040</v>
      </c>
      <c r="I6" s="179" t="str">
        <v>A</v>
      </c>
      <c r="J6" s="189">
        <v>1</v>
      </c>
      <c r="K6" s="189">
        <v>51342</v>
      </c>
      <c r="L6" s="189" t="str">
        <v>A</v>
      </c>
      <c r="M6" s="142">
        <v>1</v>
      </c>
      <c r="N6" s="142">
        <v>38444</v>
      </c>
      <c r="O6" s="179" t="str">
        <v>A</v>
      </c>
      <c r="R6" s="206">
        <v>10</v>
      </c>
      <c r="S6" s="258">
        <v>0.92513199999999995</v>
      </c>
      <c r="T6" s="258">
        <v>8.1793000000000005E-2</v>
      </c>
      <c r="U6" s="258">
        <v>0.16206999999999999</v>
      </c>
      <c r="V6" s="32">
        <v>300000000</v>
      </c>
      <c r="W6" s="32">
        <f>SUM(AA50:AA67,AD50:AD67)</f>
        <v>9076233</v>
      </c>
      <c r="X6" s="259">
        <f t="shared" si="0"/>
        <v>3.0254110000000001E-2</v>
      </c>
      <c r="Y6">
        <f>W6/3</f>
        <v>3025411</v>
      </c>
    </row>
    <row r="7" spans="1:39">
      <c r="A7" s="142">
        <v>2</v>
      </c>
      <c r="B7" s="142">
        <v>0</v>
      </c>
      <c r="C7" s="142" t="str">
        <v>A</v>
      </c>
      <c r="D7" s="220">
        <v>2</v>
      </c>
      <c r="E7" s="189">
        <v>4558</v>
      </c>
      <c r="F7" s="220" t="str">
        <v>A</v>
      </c>
      <c r="G7" s="142">
        <v>2</v>
      </c>
      <c r="H7" s="142">
        <v>307</v>
      </c>
      <c r="I7" s="179" t="str">
        <v>B</v>
      </c>
      <c r="J7" s="189">
        <v>2</v>
      </c>
      <c r="K7" s="189">
        <v>345</v>
      </c>
      <c r="L7" s="189" t="str">
        <v>A</v>
      </c>
      <c r="M7" s="142">
        <v>2</v>
      </c>
      <c r="N7" s="142">
        <v>318</v>
      </c>
      <c r="O7" s="179" t="str">
        <v>A</v>
      </c>
      <c r="R7" s="206">
        <v>50</v>
      </c>
      <c r="S7" s="258">
        <v>0.92455600000000004</v>
      </c>
      <c r="T7" s="258">
        <v>4.9854999999999997E-2</v>
      </c>
      <c r="U7" s="258">
        <v>0.337065</v>
      </c>
      <c r="V7" s="32">
        <v>100000000</v>
      </c>
      <c r="W7" s="32">
        <f>SUM(AA69:AA84,AD69:AD84)</f>
        <v>2021182</v>
      </c>
      <c r="X7" s="259">
        <f t="shared" si="0"/>
        <v>2.0211819999999998E-2</v>
      </c>
    </row>
    <row r="8" spans="1:39" ht="16.8" thickBot="1">
      <c r="A8" s="142">
        <v>3</v>
      </c>
      <c r="B8" s="142">
        <v>0</v>
      </c>
      <c r="C8" s="142" t="str">
        <v>A</v>
      </c>
      <c r="D8" s="220">
        <v>3</v>
      </c>
      <c r="E8" s="189">
        <v>32</v>
      </c>
      <c r="F8" s="220" t="str">
        <v>B</v>
      </c>
      <c r="G8" s="142">
        <v>3</v>
      </c>
      <c r="H8" s="142">
        <v>0</v>
      </c>
      <c r="I8" s="179" t="str">
        <v>A</v>
      </c>
      <c r="J8" s="189">
        <v>3</v>
      </c>
      <c r="K8" s="189">
        <v>21</v>
      </c>
      <c r="L8" s="189" t="str">
        <v>B</v>
      </c>
      <c r="M8" s="142">
        <v>3</v>
      </c>
      <c r="N8" s="142">
        <v>0</v>
      </c>
      <c r="O8" s="179" t="str">
        <v>A</v>
      </c>
      <c r="R8" s="207">
        <v>100</v>
      </c>
      <c r="S8" s="260">
        <v>0.92488099999999995</v>
      </c>
      <c r="T8" s="260">
        <v>0.131463</v>
      </c>
      <c r="U8" s="260">
        <v>0.220799</v>
      </c>
      <c r="V8" s="261">
        <v>100000000</v>
      </c>
      <c r="W8" s="261">
        <f>SUM(AA86:AA108,AD86:AD108)</f>
        <v>3811545</v>
      </c>
      <c r="X8" s="262">
        <f t="shared" si="0"/>
        <v>3.8115450000000002E-2</v>
      </c>
    </row>
    <row r="9" spans="1:39">
      <c r="A9" s="142">
        <v>4</v>
      </c>
      <c r="B9" s="142">
        <v>25990</v>
      </c>
      <c r="C9" s="142" t="str">
        <v>A</v>
      </c>
      <c r="D9" s="220">
        <v>4</v>
      </c>
      <c r="E9" s="189">
        <v>22510</v>
      </c>
      <c r="F9" s="220" t="str">
        <v>A</v>
      </c>
      <c r="G9" s="142">
        <v>4</v>
      </c>
      <c r="H9" s="142">
        <v>11118</v>
      </c>
      <c r="I9" s="179" t="str">
        <v>A</v>
      </c>
      <c r="J9" s="189">
        <v>4</v>
      </c>
      <c r="K9" s="189">
        <v>10531</v>
      </c>
      <c r="L9" s="189" t="str">
        <v>A</v>
      </c>
      <c r="M9" s="142">
        <v>4</v>
      </c>
      <c r="N9" s="142">
        <v>15875</v>
      </c>
      <c r="O9" s="179" t="str">
        <v>A</v>
      </c>
    </row>
    <row r="10" spans="1:39">
      <c r="A10" s="142">
        <v>5</v>
      </c>
      <c r="B10" s="142">
        <v>196</v>
      </c>
      <c r="C10" s="142" t="str">
        <v>B</v>
      </c>
      <c r="D10" s="220">
        <v>5</v>
      </c>
      <c r="E10" s="189">
        <v>1062</v>
      </c>
      <c r="F10" s="220" t="str">
        <v>A</v>
      </c>
      <c r="G10" s="142">
        <v>5</v>
      </c>
      <c r="H10" s="142">
        <v>14768</v>
      </c>
      <c r="I10" s="179" t="str">
        <v>A</v>
      </c>
      <c r="J10" s="189">
        <v>5</v>
      </c>
      <c r="K10" s="189">
        <v>12823</v>
      </c>
      <c r="L10" s="189" t="str">
        <v>B</v>
      </c>
      <c r="M10" s="142">
        <v>5</v>
      </c>
      <c r="N10" s="142">
        <v>26258</v>
      </c>
      <c r="O10" s="179" t="str">
        <v>A</v>
      </c>
    </row>
    <row r="11" spans="1:39">
      <c r="A11" s="142">
        <v>6</v>
      </c>
      <c r="B11" s="142">
        <v>0</v>
      </c>
      <c r="C11" s="142" t="str">
        <v>A</v>
      </c>
      <c r="D11" s="220">
        <v>6</v>
      </c>
      <c r="E11" s="189">
        <v>2</v>
      </c>
      <c r="F11" s="220" t="str">
        <v>B</v>
      </c>
      <c r="G11" s="142">
        <v>6</v>
      </c>
      <c r="H11" s="142">
        <v>102</v>
      </c>
      <c r="I11" s="179" t="str">
        <v>B</v>
      </c>
      <c r="J11" s="189">
        <v>6</v>
      </c>
      <c r="K11" s="189">
        <v>1</v>
      </c>
      <c r="L11" s="189" t="str">
        <v>B</v>
      </c>
      <c r="M11" s="142">
        <v>6</v>
      </c>
      <c r="N11" s="142">
        <v>42</v>
      </c>
      <c r="O11" s="179" t="str">
        <v>B</v>
      </c>
    </row>
    <row r="12" spans="1:39">
      <c r="A12" s="142">
        <v>7</v>
      </c>
      <c r="B12" s="142">
        <v>0</v>
      </c>
      <c r="C12" s="142" t="str">
        <v>A</v>
      </c>
      <c r="D12" s="220">
        <v>7</v>
      </c>
      <c r="E12" s="189">
        <v>2</v>
      </c>
      <c r="F12" s="220" t="str">
        <v>B</v>
      </c>
      <c r="G12" s="142">
        <v>7</v>
      </c>
      <c r="H12" s="142">
        <v>5</v>
      </c>
      <c r="I12" s="179" t="str">
        <v>B</v>
      </c>
      <c r="J12" s="189">
        <v>7</v>
      </c>
      <c r="K12" s="189">
        <v>0</v>
      </c>
      <c r="L12" s="189" t="str">
        <v>A</v>
      </c>
      <c r="M12" s="142">
        <v>7</v>
      </c>
      <c r="N12" s="142">
        <v>1</v>
      </c>
      <c r="O12" s="179" t="str">
        <v>B</v>
      </c>
      <c r="Q12" t="s">
        <v>212</v>
      </c>
    </row>
    <row r="13" spans="1:39">
      <c r="A13" s="142">
        <v>8</v>
      </c>
      <c r="B13" s="142">
        <v>0</v>
      </c>
      <c r="C13" s="142" t="str">
        <v>A</v>
      </c>
      <c r="D13" s="220">
        <v>8</v>
      </c>
      <c r="E13" s="189">
        <v>0</v>
      </c>
      <c r="F13" s="220" t="str">
        <v>A</v>
      </c>
      <c r="G13" s="142">
        <v>8</v>
      </c>
      <c r="H13" s="142">
        <v>0</v>
      </c>
      <c r="I13" s="179" t="str">
        <v>A</v>
      </c>
      <c r="J13" s="189">
        <v>8</v>
      </c>
      <c r="K13" s="189">
        <v>0</v>
      </c>
      <c r="L13" s="189" t="str">
        <v>A</v>
      </c>
      <c r="M13" s="142">
        <v>8</v>
      </c>
      <c r="N13" s="142">
        <v>0</v>
      </c>
      <c r="O13" s="179" t="str">
        <v>A</v>
      </c>
      <c r="Q13">
        <v>1</v>
      </c>
      <c r="R13" t="s">
        <v>147</v>
      </c>
      <c r="S13" t="s">
        <v>190</v>
      </c>
      <c r="T13" t="s">
        <v>148</v>
      </c>
      <c r="U13">
        <v>6507225</v>
      </c>
      <c r="V13" t="s">
        <v>149</v>
      </c>
      <c r="W13" t="s">
        <v>148</v>
      </c>
      <c r="X13">
        <v>650722500</v>
      </c>
      <c r="Y13" t="s">
        <v>150</v>
      </c>
      <c r="Z13" t="s">
        <v>148</v>
      </c>
      <c r="AA13" t="s">
        <v>156</v>
      </c>
      <c r="AB13" t="s">
        <v>152</v>
      </c>
      <c r="AC13" t="s">
        <v>148</v>
      </c>
      <c r="AD13">
        <v>930217</v>
      </c>
      <c r="AE13" t="s">
        <v>153</v>
      </c>
      <c r="AF13" t="s">
        <v>148</v>
      </c>
      <c r="AG13" t="s">
        <v>156</v>
      </c>
      <c r="AH13" t="s">
        <v>154</v>
      </c>
      <c r="AI13" t="s">
        <v>148</v>
      </c>
      <c r="AJ13" t="s">
        <v>156</v>
      </c>
      <c r="AK13" t="s">
        <v>155</v>
      </c>
      <c r="AL13" t="s">
        <v>148</v>
      </c>
      <c r="AM13" t="s">
        <v>156</v>
      </c>
    </row>
    <row r="14" spans="1:39">
      <c r="A14" s="142">
        <v>9</v>
      </c>
      <c r="B14" s="142">
        <v>6515</v>
      </c>
      <c r="C14" s="142" t="str">
        <v>A</v>
      </c>
      <c r="D14" s="220">
        <v>9</v>
      </c>
      <c r="E14" s="189">
        <v>4499</v>
      </c>
      <c r="F14" s="220" t="str">
        <v>A</v>
      </c>
      <c r="G14" s="142">
        <v>9</v>
      </c>
      <c r="H14" s="142">
        <v>4597</v>
      </c>
      <c r="I14" s="179" t="str">
        <v>A</v>
      </c>
      <c r="J14" s="189">
        <v>9</v>
      </c>
      <c r="K14" s="189">
        <v>3918</v>
      </c>
      <c r="L14" s="189" t="str">
        <v>A</v>
      </c>
      <c r="M14" s="142">
        <v>9</v>
      </c>
      <c r="N14" s="142">
        <v>4632</v>
      </c>
      <c r="O14" s="179" t="str">
        <v>A</v>
      </c>
      <c r="Q14">
        <v>1</v>
      </c>
      <c r="R14" t="s">
        <v>147</v>
      </c>
      <c r="S14" t="s">
        <v>191</v>
      </c>
      <c r="T14" t="s">
        <v>148</v>
      </c>
      <c r="U14">
        <v>101518</v>
      </c>
      <c r="V14" t="s">
        <v>149</v>
      </c>
      <c r="W14" t="s">
        <v>148</v>
      </c>
      <c r="X14">
        <v>20303600</v>
      </c>
      <c r="Y14" t="s">
        <v>150</v>
      </c>
      <c r="Z14" t="s">
        <v>148</v>
      </c>
      <c r="AA14" t="s">
        <v>156</v>
      </c>
      <c r="AB14" t="s">
        <v>152</v>
      </c>
      <c r="AC14" t="s">
        <v>148</v>
      </c>
      <c r="AD14">
        <v>20601</v>
      </c>
      <c r="AE14" t="s">
        <v>153</v>
      </c>
      <c r="AF14" t="s">
        <v>148</v>
      </c>
      <c r="AG14" t="s">
        <v>156</v>
      </c>
      <c r="AH14" t="s">
        <v>154</v>
      </c>
      <c r="AI14" t="s">
        <v>148</v>
      </c>
      <c r="AJ14" t="s">
        <v>156</v>
      </c>
      <c r="AK14" t="s">
        <v>155</v>
      </c>
      <c r="AL14" t="s">
        <v>148</v>
      </c>
      <c r="AM14" t="s">
        <v>156</v>
      </c>
    </row>
    <row r="15" spans="1:39">
      <c r="A15" s="142">
        <v>10</v>
      </c>
      <c r="B15" s="142">
        <v>6207</v>
      </c>
      <c r="C15" s="142" t="str">
        <v>A</v>
      </c>
      <c r="D15" s="220">
        <v>10</v>
      </c>
      <c r="E15" s="189">
        <v>6243</v>
      </c>
      <c r="F15" s="220" t="str">
        <v>A</v>
      </c>
      <c r="G15" s="142">
        <v>10</v>
      </c>
      <c r="H15" s="142">
        <v>9440</v>
      </c>
      <c r="I15" s="179" t="str">
        <v>A</v>
      </c>
      <c r="J15" s="189">
        <v>10</v>
      </c>
      <c r="K15" s="189">
        <v>13948</v>
      </c>
      <c r="L15" s="189" t="str">
        <v>A</v>
      </c>
      <c r="M15" s="142">
        <v>10</v>
      </c>
      <c r="N15" s="142">
        <v>7501</v>
      </c>
      <c r="O15" s="179" t="str">
        <v>A</v>
      </c>
      <c r="Q15">
        <v>1</v>
      </c>
      <c r="R15" t="s">
        <v>147</v>
      </c>
      <c r="S15" t="s">
        <v>192</v>
      </c>
      <c r="T15" t="s">
        <v>148</v>
      </c>
      <c r="U15">
        <v>4280147</v>
      </c>
      <c r="V15" t="s">
        <v>149</v>
      </c>
      <c r="W15" t="s">
        <v>148</v>
      </c>
      <c r="X15">
        <v>2140073500</v>
      </c>
      <c r="Y15" t="s">
        <v>150</v>
      </c>
      <c r="Z15" t="s">
        <v>148</v>
      </c>
      <c r="AA15" t="s">
        <v>156</v>
      </c>
      <c r="AB15" t="s">
        <v>152</v>
      </c>
      <c r="AC15" t="s">
        <v>148</v>
      </c>
      <c r="AD15">
        <v>476797</v>
      </c>
      <c r="AE15" t="s">
        <v>153</v>
      </c>
      <c r="AF15" t="s">
        <v>148</v>
      </c>
      <c r="AG15" t="s">
        <v>156</v>
      </c>
      <c r="AH15" t="s">
        <v>154</v>
      </c>
      <c r="AI15" t="s">
        <v>148</v>
      </c>
      <c r="AJ15" t="s">
        <v>156</v>
      </c>
      <c r="AK15" t="s">
        <v>155</v>
      </c>
      <c r="AL15" t="s">
        <v>148</v>
      </c>
      <c r="AM15" t="s">
        <v>156</v>
      </c>
    </row>
    <row r="16" spans="1:39">
      <c r="A16" s="142">
        <v>15</v>
      </c>
      <c r="B16" s="142">
        <v>5365</v>
      </c>
      <c r="C16" s="142" t="str">
        <v>A</v>
      </c>
      <c r="D16" s="220">
        <v>15</v>
      </c>
      <c r="E16" s="189">
        <v>3093</v>
      </c>
      <c r="F16" s="220" t="str">
        <v>A</v>
      </c>
      <c r="G16" s="142">
        <v>15</v>
      </c>
      <c r="H16" s="142">
        <v>5477</v>
      </c>
      <c r="I16" s="179" t="str">
        <v>A</v>
      </c>
      <c r="J16" s="189">
        <v>15</v>
      </c>
      <c r="K16" s="189">
        <v>4075</v>
      </c>
      <c r="L16" s="189" t="str">
        <v>A</v>
      </c>
      <c r="M16" s="142">
        <v>15</v>
      </c>
      <c r="N16" s="142">
        <v>7188</v>
      </c>
      <c r="O16" s="179" t="str">
        <v>A</v>
      </c>
      <c r="Q16">
        <v>1</v>
      </c>
      <c r="R16" t="s">
        <v>147</v>
      </c>
      <c r="S16" t="s">
        <v>22</v>
      </c>
      <c r="T16" t="s">
        <v>148</v>
      </c>
      <c r="U16">
        <v>115234</v>
      </c>
      <c r="V16" t="s">
        <v>149</v>
      </c>
      <c r="W16" t="s">
        <v>148</v>
      </c>
      <c r="X16">
        <v>69140400</v>
      </c>
      <c r="Y16" t="s">
        <v>150</v>
      </c>
      <c r="Z16" t="s">
        <v>148</v>
      </c>
      <c r="AA16" t="s">
        <v>156</v>
      </c>
      <c r="AB16" t="s">
        <v>152</v>
      </c>
      <c r="AC16" t="s">
        <v>148</v>
      </c>
      <c r="AD16">
        <v>115234</v>
      </c>
      <c r="AE16" t="s">
        <v>153</v>
      </c>
      <c r="AF16" t="s">
        <v>148</v>
      </c>
      <c r="AG16" t="s">
        <v>156</v>
      </c>
      <c r="AH16" t="s">
        <v>154</v>
      </c>
      <c r="AI16" t="s">
        <v>148</v>
      </c>
      <c r="AJ16" t="s">
        <v>156</v>
      </c>
      <c r="AK16" t="s">
        <v>155</v>
      </c>
      <c r="AL16" t="s">
        <v>148</v>
      </c>
      <c r="AM16" t="s">
        <v>156</v>
      </c>
    </row>
    <row r="17" spans="1:39">
      <c r="A17" s="142">
        <v>20</v>
      </c>
      <c r="B17" s="142">
        <v>5135</v>
      </c>
      <c r="C17" s="142" t="str">
        <v>A</v>
      </c>
      <c r="D17" s="220">
        <v>20</v>
      </c>
      <c r="E17" s="189">
        <v>1940</v>
      </c>
      <c r="F17" s="220" t="str">
        <v>A</v>
      </c>
      <c r="G17" s="142">
        <v>20</v>
      </c>
      <c r="H17" s="142">
        <v>1493</v>
      </c>
      <c r="I17" s="179" t="str">
        <v>A</v>
      </c>
      <c r="J17" s="189">
        <v>20</v>
      </c>
      <c r="K17" s="189">
        <v>7763</v>
      </c>
      <c r="L17" s="189" t="str">
        <v>A</v>
      </c>
      <c r="M17" s="142">
        <v>20</v>
      </c>
      <c r="N17" s="142">
        <v>2650</v>
      </c>
      <c r="O17" s="179" t="str">
        <v>A</v>
      </c>
      <c r="Q17">
        <v>1</v>
      </c>
      <c r="R17" t="s">
        <v>147</v>
      </c>
      <c r="S17" t="s">
        <v>193</v>
      </c>
      <c r="T17" t="s">
        <v>148</v>
      </c>
      <c r="U17">
        <v>842034</v>
      </c>
      <c r="V17" t="s">
        <v>149</v>
      </c>
      <c r="W17" t="s">
        <v>148</v>
      </c>
      <c r="X17">
        <v>842034000</v>
      </c>
      <c r="Y17" t="s">
        <v>150</v>
      </c>
      <c r="Z17" t="s">
        <v>148</v>
      </c>
      <c r="AA17" t="s">
        <v>156</v>
      </c>
      <c r="AB17" t="s">
        <v>152</v>
      </c>
      <c r="AC17" t="s">
        <v>148</v>
      </c>
      <c r="AD17">
        <v>137814</v>
      </c>
      <c r="AE17" t="s">
        <v>153</v>
      </c>
      <c r="AF17" t="s">
        <v>148</v>
      </c>
      <c r="AG17" t="s">
        <v>156</v>
      </c>
      <c r="AH17" t="s">
        <v>154</v>
      </c>
      <c r="AI17" t="s">
        <v>148</v>
      </c>
      <c r="AJ17" t="s">
        <v>156</v>
      </c>
      <c r="AK17" t="s">
        <v>155</v>
      </c>
      <c r="AL17" t="s">
        <v>148</v>
      </c>
      <c r="AM17" t="s">
        <v>156</v>
      </c>
    </row>
    <row r="18" spans="1:39">
      <c r="A18" s="142">
        <v>25</v>
      </c>
      <c r="B18" s="142">
        <v>1</v>
      </c>
      <c r="C18" s="142" t="str">
        <v>B</v>
      </c>
      <c r="D18" s="220">
        <v>25</v>
      </c>
      <c r="E18" s="189">
        <v>201</v>
      </c>
      <c r="F18" s="220" t="str">
        <v>B</v>
      </c>
      <c r="G18" s="142">
        <v>25</v>
      </c>
      <c r="H18" s="142">
        <v>3904</v>
      </c>
      <c r="I18" s="179" t="str">
        <v>A</v>
      </c>
      <c r="J18" s="189">
        <v>25</v>
      </c>
      <c r="K18" s="189">
        <v>6</v>
      </c>
      <c r="L18" s="189" t="str">
        <v>B</v>
      </c>
      <c r="M18" s="142">
        <v>25</v>
      </c>
      <c r="N18" s="142">
        <v>934</v>
      </c>
      <c r="O18" s="179" t="str">
        <v>B</v>
      </c>
      <c r="Q18">
        <v>1</v>
      </c>
      <c r="R18" t="s">
        <v>147</v>
      </c>
      <c r="S18" t="s">
        <v>23</v>
      </c>
      <c r="T18" t="s">
        <v>148</v>
      </c>
      <c r="U18">
        <v>499261</v>
      </c>
      <c r="V18" t="s">
        <v>149</v>
      </c>
      <c r="W18" t="s">
        <v>148</v>
      </c>
      <c r="X18">
        <v>646741400</v>
      </c>
      <c r="Y18" t="s">
        <v>150</v>
      </c>
      <c r="Z18" t="s">
        <v>148</v>
      </c>
      <c r="AA18" t="s">
        <v>156</v>
      </c>
      <c r="AB18" t="s">
        <v>152</v>
      </c>
      <c r="AC18" t="s">
        <v>148</v>
      </c>
      <c r="AD18">
        <v>238575</v>
      </c>
      <c r="AE18" t="s">
        <v>153</v>
      </c>
      <c r="AF18" t="s">
        <v>148</v>
      </c>
      <c r="AG18" t="s">
        <v>156</v>
      </c>
      <c r="AH18" t="s">
        <v>154</v>
      </c>
      <c r="AI18" t="s">
        <v>148</v>
      </c>
      <c r="AJ18" t="s">
        <v>156</v>
      </c>
      <c r="AK18" t="s">
        <v>155</v>
      </c>
      <c r="AL18" t="s">
        <v>148</v>
      </c>
      <c r="AM18" t="s">
        <v>156</v>
      </c>
    </row>
    <row r="19" spans="1:39">
      <c r="A19" s="142">
        <v>30</v>
      </c>
      <c r="B19" s="142">
        <v>0</v>
      </c>
      <c r="C19" s="142" t="str">
        <v>A</v>
      </c>
      <c r="D19" s="220">
        <v>30</v>
      </c>
      <c r="E19" s="189">
        <v>7072</v>
      </c>
      <c r="F19" s="220" t="str">
        <v>A</v>
      </c>
      <c r="G19" s="142">
        <v>30</v>
      </c>
      <c r="H19" s="142">
        <v>9</v>
      </c>
      <c r="I19" s="179" t="str">
        <v>B</v>
      </c>
      <c r="J19" s="189">
        <v>30</v>
      </c>
      <c r="K19" s="189">
        <v>1514</v>
      </c>
      <c r="L19" s="189" t="str">
        <v>A</v>
      </c>
      <c r="M19" s="142">
        <v>30</v>
      </c>
      <c r="N19" s="142">
        <v>16</v>
      </c>
      <c r="O19" s="179" t="str">
        <v>B</v>
      </c>
      <c r="Q19">
        <v>1</v>
      </c>
      <c r="R19" t="s">
        <v>147</v>
      </c>
      <c r="S19" t="s">
        <v>194</v>
      </c>
      <c r="T19" t="s">
        <v>148</v>
      </c>
      <c r="U19">
        <v>499490</v>
      </c>
      <c r="V19" t="s">
        <v>149</v>
      </c>
      <c r="W19" t="s">
        <v>148</v>
      </c>
      <c r="X19">
        <v>966704800</v>
      </c>
      <c r="Y19" t="s">
        <v>150</v>
      </c>
      <c r="Z19" t="s">
        <v>148</v>
      </c>
      <c r="AA19" t="s">
        <v>156</v>
      </c>
      <c r="AB19" t="s">
        <v>152</v>
      </c>
      <c r="AC19" t="s">
        <v>148</v>
      </c>
      <c r="AD19">
        <v>175041</v>
      </c>
      <c r="AE19" t="s">
        <v>153</v>
      </c>
      <c r="AF19" t="s">
        <v>148</v>
      </c>
      <c r="AG19" t="s">
        <v>156</v>
      </c>
      <c r="AH19" t="s">
        <v>154</v>
      </c>
      <c r="AI19" t="s">
        <v>148</v>
      </c>
      <c r="AJ19" t="s">
        <v>156</v>
      </c>
      <c r="AK19" t="s">
        <v>155</v>
      </c>
      <c r="AL19" t="s">
        <v>148</v>
      </c>
      <c r="AM19" t="s">
        <v>156</v>
      </c>
    </row>
    <row r="20" spans="1:39">
      <c r="A20" s="142">
        <v>35</v>
      </c>
      <c r="B20" s="142">
        <v>0</v>
      </c>
      <c r="C20" s="142" t="str">
        <v>A</v>
      </c>
      <c r="D20" s="220">
        <v>35</v>
      </c>
      <c r="E20" s="189">
        <v>12</v>
      </c>
      <c r="F20" s="220" t="str">
        <v>B</v>
      </c>
      <c r="G20" s="142">
        <v>35</v>
      </c>
      <c r="H20" s="142">
        <v>2</v>
      </c>
      <c r="I20" s="179" t="str">
        <v>B</v>
      </c>
      <c r="J20" s="189">
        <v>35</v>
      </c>
      <c r="K20" s="189">
        <v>3</v>
      </c>
      <c r="L20" s="189" t="str">
        <v>B</v>
      </c>
      <c r="M20" s="142">
        <v>35</v>
      </c>
      <c r="N20" s="142">
        <v>17</v>
      </c>
      <c r="O20" s="179" t="str">
        <v>C</v>
      </c>
      <c r="Q20">
        <v>1</v>
      </c>
      <c r="R20" t="s">
        <v>147</v>
      </c>
      <c r="S20" t="s">
        <v>195</v>
      </c>
      <c r="T20" t="s">
        <v>148</v>
      </c>
      <c r="U20">
        <v>299500</v>
      </c>
      <c r="V20" t="s">
        <v>149</v>
      </c>
      <c r="W20" t="s">
        <v>148</v>
      </c>
      <c r="X20">
        <v>731488300</v>
      </c>
      <c r="Y20" t="s">
        <v>150</v>
      </c>
      <c r="Z20" t="s">
        <v>148</v>
      </c>
      <c r="AA20" t="s">
        <v>156</v>
      </c>
      <c r="AB20" t="s">
        <v>152</v>
      </c>
      <c r="AC20" t="s">
        <v>148</v>
      </c>
      <c r="AD20">
        <v>27310</v>
      </c>
      <c r="AE20" t="s">
        <v>153</v>
      </c>
      <c r="AF20" t="s">
        <v>148</v>
      </c>
      <c r="AG20" t="s">
        <v>156</v>
      </c>
      <c r="AH20" t="s">
        <v>154</v>
      </c>
      <c r="AI20" t="s">
        <v>148</v>
      </c>
      <c r="AJ20" t="s">
        <v>156</v>
      </c>
      <c r="AK20" t="s">
        <v>155</v>
      </c>
      <c r="AL20" t="s">
        <v>148</v>
      </c>
      <c r="AM20" t="s">
        <v>156</v>
      </c>
    </row>
    <row r="21" spans="1:39">
      <c r="A21" s="142">
        <v>40</v>
      </c>
      <c r="B21" s="142">
        <v>0</v>
      </c>
      <c r="C21" s="142" t="str">
        <v>A</v>
      </c>
      <c r="D21" s="220">
        <v>40</v>
      </c>
      <c r="E21" s="189">
        <v>25</v>
      </c>
      <c r="F21" s="220" t="str">
        <v>B</v>
      </c>
      <c r="G21" s="142">
        <v>40</v>
      </c>
      <c r="H21" s="142">
        <v>1</v>
      </c>
      <c r="I21" s="179" t="str">
        <v>B</v>
      </c>
      <c r="J21" s="189">
        <v>40</v>
      </c>
      <c r="K21" s="189">
        <v>318</v>
      </c>
      <c r="L21" s="189" t="str">
        <v>B</v>
      </c>
      <c r="M21" s="142">
        <v>40</v>
      </c>
      <c r="N21" s="142">
        <v>7</v>
      </c>
      <c r="O21" s="179" t="str">
        <v>C</v>
      </c>
      <c r="Q21">
        <v>1</v>
      </c>
      <c r="R21" t="s">
        <v>147</v>
      </c>
      <c r="S21" t="s">
        <v>196</v>
      </c>
      <c r="T21" t="s">
        <v>148</v>
      </c>
      <c r="U21">
        <v>119271</v>
      </c>
      <c r="V21" t="s">
        <v>149</v>
      </c>
      <c r="W21" t="s">
        <v>148</v>
      </c>
      <c r="X21">
        <v>354280200</v>
      </c>
      <c r="Y21" t="s">
        <v>150</v>
      </c>
      <c r="Z21" t="s">
        <v>148</v>
      </c>
      <c r="AA21" t="s">
        <v>156</v>
      </c>
      <c r="AB21" t="s">
        <v>152</v>
      </c>
      <c r="AC21" t="s">
        <v>148</v>
      </c>
      <c r="AD21">
        <v>13343</v>
      </c>
      <c r="AE21" t="s">
        <v>153</v>
      </c>
      <c r="AF21" t="s">
        <v>148</v>
      </c>
      <c r="AG21" t="s">
        <v>156</v>
      </c>
      <c r="AH21" t="s">
        <v>154</v>
      </c>
      <c r="AI21" t="s">
        <v>148</v>
      </c>
      <c r="AJ21" t="s">
        <v>156</v>
      </c>
      <c r="AK21" t="s">
        <v>155</v>
      </c>
      <c r="AL21" t="s">
        <v>148</v>
      </c>
      <c r="AM21" t="s">
        <v>156</v>
      </c>
    </row>
    <row r="22" spans="1:39">
      <c r="A22" s="142">
        <v>45</v>
      </c>
      <c r="B22" s="142">
        <v>2877</v>
      </c>
      <c r="C22" s="142" t="str">
        <v>A</v>
      </c>
      <c r="D22" s="220">
        <v>45</v>
      </c>
      <c r="E22" s="189">
        <v>4527</v>
      </c>
      <c r="F22" s="220" t="str">
        <v>A</v>
      </c>
      <c r="G22" s="142">
        <v>45</v>
      </c>
      <c r="H22" s="142">
        <v>2281</v>
      </c>
      <c r="I22" s="179" t="str">
        <v>A</v>
      </c>
      <c r="J22" s="189">
        <v>45</v>
      </c>
      <c r="K22" s="189">
        <v>2047</v>
      </c>
      <c r="L22" s="189" t="str">
        <v>B</v>
      </c>
      <c r="M22" s="142">
        <v>45</v>
      </c>
      <c r="N22" s="142">
        <v>1915</v>
      </c>
      <c r="O22" s="179" t="str">
        <v>B</v>
      </c>
      <c r="Q22">
        <v>1</v>
      </c>
      <c r="R22" t="s">
        <v>147</v>
      </c>
      <c r="S22" t="s">
        <v>197</v>
      </c>
      <c r="T22" t="s">
        <v>148</v>
      </c>
      <c r="U22">
        <v>350160</v>
      </c>
      <c r="V22" t="s">
        <v>149</v>
      </c>
      <c r="W22" t="s">
        <v>148</v>
      </c>
      <c r="X22">
        <v>1750800000</v>
      </c>
      <c r="Y22" t="s">
        <v>150</v>
      </c>
      <c r="Z22" t="s">
        <v>148</v>
      </c>
      <c r="AA22" t="s">
        <v>156</v>
      </c>
      <c r="AB22" t="s">
        <v>152</v>
      </c>
      <c r="AC22" t="s">
        <v>148</v>
      </c>
      <c r="AD22">
        <v>23402</v>
      </c>
      <c r="AE22" t="s">
        <v>153</v>
      </c>
      <c r="AF22" t="s">
        <v>148</v>
      </c>
      <c r="AG22" t="s">
        <v>156</v>
      </c>
      <c r="AH22" t="s">
        <v>154</v>
      </c>
      <c r="AI22" t="s">
        <v>148</v>
      </c>
      <c r="AJ22" t="s">
        <v>156</v>
      </c>
      <c r="AK22" t="s">
        <v>155</v>
      </c>
      <c r="AL22" t="s">
        <v>148</v>
      </c>
      <c r="AM22" t="s">
        <v>156</v>
      </c>
    </row>
    <row r="23" spans="1:39">
      <c r="A23" s="142">
        <v>50</v>
      </c>
      <c r="B23" s="142">
        <v>2327</v>
      </c>
      <c r="C23" s="142" t="str">
        <v>A</v>
      </c>
      <c r="D23" s="220">
        <v>50</v>
      </c>
      <c r="E23" s="189">
        <v>35</v>
      </c>
      <c r="F23" s="220" t="str">
        <v>B</v>
      </c>
      <c r="G23" s="142">
        <v>50</v>
      </c>
      <c r="H23" s="142">
        <v>55</v>
      </c>
      <c r="I23" s="179" t="str">
        <v>B</v>
      </c>
      <c r="J23" s="189">
        <v>50</v>
      </c>
      <c r="K23" s="189">
        <v>21</v>
      </c>
      <c r="L23" s="189" t="str">
        <v>B</v>
      </c>
      <c r="M23" s="142">
        <v>50</v>
      </c>
      <c r="N23" s="142">
        <v>2489</v>
      </c>
      <c r="O23" s="179" t="str">
        <v>A</v>
      </c>
      <c r="Q23">
        <v>1</v>
      </c>
      <c r="R23" t="s">
        <v>147</v>
      </c>
      <c r="S23" t="s">
        <v>198</v>
      </c>
      <c r="T23" t="s">
        <v>148</v>
      </c>
      <c r="U23">
        <v>160369</v>
      </c>
      <c r="V23" t="s">
        <v>149</v>
      </c>
      <c r="W23" t="s">
        <v>148</v>
      </c>
      <c r="X23">
        <v>864679400</v>
      </c>
      <c r="Y23" t="s">
        <v>150</v>
      </c>
      <c r="Z23" t="s">
        <v>148</v>
      </c>
      <c r="AA23" t="s">
        <v>156</v>
      </c>
      <c r="AB23" t="s">
        <v>152</v>
      </c>
      <c r="AC23" t="s">
        <v>148</v>
      </c>
      <c r="AD23">
        <v>61554</v>
      </c>
      <c r="AE23" t="s">
        <v>153</v>
      </c>
      <c r="AF23" t="s">
        <v>148</v>
      </c>
      <c r="AG23" t="s">
        <v>156</v>
      </c>
      <c r="AH23" t="s">
        <v>154</v>
      </c>
      <c r="AI23" t="s">
        <v>148</v>
      </c>
      <c r="AJ23" t="s">
        <v>156</v>
      </c>
      <c r="AK23" t="s">
        <v>155</v>
      </c>
      <c r="AL23" t="s">
        <v>148</v>
      </c>
      <c r="AM23" t="s">
        <v>156</v>
      </c>
    </row>
    <row r="24" spans="1:39">
      <c r="A24" s="142">
        <v>60</v>
      </c>
      <c r="B24" s="142">
        <v>1</v>
      </c>
      <c r="C24" s="142" t="str">
        <v>B</v>
      </c>
      <c r="D24" s="220">
        <v>60</v>
      </c>
      <c r="E24" s="189">
        <v>5</v>
      </c>
      <c r="F24" s="220" t="str">
        <v>B</v>
      </c>
      <c r="G24" s="142">
        <v>60</v>
      </c>
      <c r="H24" s="142">
        <v>1887</v>
      </c>
      <c r="I24" s="179" t="str">
        <v>A</v>
      </c>
      <c r="J24" s="189">
        <v>60</v>
      </c>
      <c r="K24" s="189">
        <v>1</v>
      </c>
      <c r="L24" s="189" t="str">
        <v>B</v>
      </c>
      <c r="M24" s="142">
        <v>60</v>
      </c>
      <c r="N24" s="142">
        <v>26</v>
      </c>
      <c r="O24" s="179" t="str">
        <v>C</v>
      </c>
      <c r="Q24">
        <v>1</v>
      </c>
      <c r="R24" t="s">
        <v>147</v>
      </c>
      <c r="S24" t="s">
        <v>199</v>
      </c>
      <c r="T24" t="s">
        <v>148</v>
      </c>
      <c r="U24">
        <v>6502</v>
      </c>
      <c r="V24" t="s">
        <v>149</v>
      </c>
      <c r="W24" t="s">
        <v>148</v>
      </c>
      <c r="X24">
        <v>65020000</v>
      </c>
      <c r="Y24" t="s">
        <v>150</v>
      </c>
      <c r="Z24" t="s">
        <v>148</v>
      </c>
      <c r="AA24" t="s">
        <v>156</v>
      </c>
      <c r="AB24" t="s">
        <v>152</v>
      </c>
      <c r="AC24" t="s">
        <v>148</v>
      </c>
      <c r="AD24">
        <v>759</v>
      </c>
      <c r="AE24" t="s">
        <v>153</v>
      </c>
      <c r="AF24" t="s">
        <v>148</v>
      </c>
      <c r="AG24" t="s">
        <v>156</v>
      </c>
      <c r="AH24" t="s">
        <v>154</v>
      </c>
      <c r="AI24" t="s">
        <v>148</v>
      </c>
      <c r="AJ24" t="s">
        <v>156</v>
      </c>
      <c r="AK24" t="s">
        <v>155</v>
      </c>
      <c r="AL24" t="s">
        <v>148</v>
      </c>
      <c r="AM24" t="s">
        <v>156</v>
      </c>
    </row>
    <row r="25" spans="1:39">
      <c r="A25" s="142">
        <v>70</v>
      </c>
      <c r="B25" s="142">
        <v>1</v>
      </c>
      <c r="C25" s="142" t="str">
        <v>B</v>
      </c>
      <c r="D25" s="220">
        <v>70</v>
      </c>
      <c r="E25" s="189">
        <v>2</v>
      </c>
      <c r="F25" s="220" t="str">
        <v>B</v>
      </c>
      <c r="G25" s="142">
        <v>70</v>
      </c>
      <c r="H25" s="142">
        <v>564</v>
      </c>
      <c r="I25" s="179" t="str">
        <v>B</v>
      </c>
      <c r="J25" s="189">
        <v>70</v>
      </c>
      <c r="K25" s="189">
        <v>1</v>
      </c>
      <c r="L25" s="189" t="str">
        <v>B</v>
      </c>
      <c r="M25" s="142">
        <v>70</v>
      </c>
      <c r="N25" s="142">
        <v>1</v>
      </c>
      <c r="O25" s="179" t="str">
        <v>B</v>
      </c>
      <c r="Q25">
        <v>1</v>
      </c>
      <c r="R25" t="s">
        <v>147</v>
      </c>
      <c r="S25" t="s">
        <v>200</v>
      </c>
      <c r="T25" t="s">
        <v>148</v>
      </c>
      <c r="U25">
        <v>8755</v>
      </c>
      <c r="V25" t="s">
        <v>149</v>
      </c>
      <c r="W25" t="s">
        <v>148</v>
      </c>
      <c r="X25">
        <v>91939000</v>
      </c>
      <c r="Y25" t="s">
        <v>150</v>
      </c>
      <c r="Z25" t="s">
        <v>148</v>
      </c>
      <c r="AA25" t="s">
        <v>156</v>
      </c>
      <c r="AB25" t="s">
        <v>152</v>
      </c>
      <c r="AC25" t="s">
        <v>148</v>
      </c>
      <c r="AD25">
        <v>3629</v>
      </c>
      <c r="AE25" t="s">
        <v>153</v>
      </c>
      <c r="AF25" t="s">
        <v>148</v>
      </c>
      <c r="AG25" t="s">
        <v>156</v>
      </c>
      <c r="AH25" t="s">
        <v>154</v>
      </c>
      <c r="AI25" t="s">
        <v>148</v>
      </c>
      <c r="AJ25" t="s">
        <v>156</v>
      </c>
      <c r="AK25" t="s">
        <v>155</v>
      </c>
      <c r="AL25" t="s">
        <v>148</v>
      </c>
      <c r="AM25" t="s">
        <v>156</v>
      </c>
    </row>
    <row r="26" spans="1:39">
      <c r="A26" s="142">
        <v>80</v>
      </c>
      <c r="B26" s="142">
        <v>0</v>
      </c>
      <c r="C26" s="142" t="str">
        <v>A</v>
      </c>
      <c r="D26" s="220">
        <v>80</v>
      </c>
      <c r="E26" s="189">
        <v>0</v>
      </c>
      <c r="F26" s="220" t="str">
        <v>A</v>
      </c>
      <c r="G26" s="142">
        <v>80</v>
      </c>
      <c r="H26" s="142">
        <v>0</v>
      </c>
      <c r="I26" s="179" t="str">
        <v>A</v>
      </c>
      <c r="J26" s="189">
        <v>80</v>
      </c>
      <c r="K26" s="189">
        <v>0</v>
      </c>
      <c r="L26" s="189" t="str">
        <v>A</v>
      </c>
      <c r="M26" s="142">
        <v>80</v>
      </c>
      <c r="N26" s="142">
        <v>0</v>
      </c>
      <c r="O26" s="179" t="str">
        <v>A</v>
      </c>
      <c r="Q26">
        <v>1</v>
      </c>
      <c r="R26" t="s">
        <v>147</v>
      </c>
      <c r="S26" t="s">
        <v>201</v>
      </c>
      <c r="T26" t="s">
        <v>148</v>
      </c>
      <c r="U26">
        <v>270</v>
      </c>
      <c r="V26" t="s">
        <v>149</v>
      </c>
      <c r="W26" t="s">
        <v>148</v>
      </c>
      <c r="X26">
        <v>4153200</v>
      </c>
      <c r="Y26" t="s">
        <v>150</v>
      </c>
      <c r="Z26" t="s">
        <v>148</v>
      </c>
      <c r="AA26" t="s">
        <v>156</v>
      </c>
      <c r="AB26" t="s">
        <v>152</v>
      </c>
      <c r="AC26" t="s">
        <v>148</v>
      </c>
      <c r="AD26">
        <v>270</v>
      </c>
      <c r="AE26" t="s">
        <v>153</v>
      </c>
      <c r="AF26" t="s">
        <v>148</v>
      </c>
      <c r="AG26" t="s">
        <v>156</v>
      </c>
      <c r="AH26" t="s">
        <v>154</v>
      </c>
      <c r="AI26" t="s">
        <v>148</v>
      </c>
      <c r="AJ26" t="s">
        <v>156</v>
      </c>
      <c r="AK26" t="s">
        <v>155</v>
      </c>
      <c r="AL26" t="s">
        <v>148</v>
      </c>
      <c r="AM26" t="s">
        <v>156</v>
      </c>
    </row>
    <row r="27" spans="1:39">
      <c r="A27" s="142">
        <v>90</v>
      </c>
      <c r="B27" s="142">
        <v>5</v>
      </c>
      <c r="C27" s="142" t="str">
        <v>B</v>
      </c>
      <c r="D27" s="220">
        <v>90</v>
      </c>
      <c r="E27" s="189">
        <v>17</v>
      </c>
      <c r="F27" s="220" t="str">
        <v>B</v>
      </c>
      <c r="G27" s="142">
        <v>90</v>
      </c>
      <c r="H27" s="142">
        <v>10</v>
      </c>
      <c r="I27" s="179" t="str">
        <v>B</v>
      </c>
      <c r="J27" s="189">
        <v>90</v>
      </c>
      <c r="K27" s="189">
        <v>13</v>
      </c>
      <c r="L27" s="189" t="str">
        <v>B</v>
      </c>
      <c r="M27" s="142">
        <v>90</v>
      </c>
      <c r="N27" s="142">
        <v>317</v>
      </c>
      <c r="O27" s="179" t="str">
        <v>B</v>
      </c>
      <c r="Q27">
        <v>1</v>
      </c>
      <c r="R27" t="s">
        <v>147</v>
      </c>
      <c r="S27" t="s">
        <v>202</v>
      </c>
      <c r="T27" t="s">
        <v>148</v>
      </c>
      <c r="U27">
        <v>504</v>
      </c>
      <c r="V27" t="s">
        <v>149</v>
      </c>
      <c r="W27" t="s">
        <v>148</v>
      </c>
      <c r="X27">
        <v>25200000</v>
      </c>
      <c r="Y27" t="s">
        <v>150</v>
      </c>
      <c r="Z27" t="s">
        <v>148</v>
      </c>
      <c r="AA27" t="s">
        <v>156</v>
      </c>
      <c r="AB27" t="s">
        <v>152</v>
      </c>
      <c r="AC27" t="s">
        <v>148</v>
      </c>
      <c r="AD27" t="s">
        <v>156</v>
      </c>
      <c r="AE27" t="s">
        <v>153</v>
      </c>
      <c r="AF27" t="s">
        <v>148</v>
      </c>
      <c r="AG27" t="s">
        <v>156</v>
      </c>
      <c r="AH27" t="s">
        <v>154</v>
      </c>
      <c r="AI27" t="s">
        <v>148</v>
      </c>
      <c r="AJ27" t="s">
        <v>156</v>
      </c>
      <c r="AK27" t="s">
        <v>155</v>
      </c>
      <c r="AL27" t="s">
        <v>148</v>
      </c>
      <c r="AM27" t="s">
        <v>156</v>
      </c>
    </row>
    <row r="28" spans="1:39">
      <c r="A28" s="142">
        <v>100</v>
      </c>
      <c r="B28" s="142">
        <v>87</v>
      </c>
      <c r="C28" s="142" t="str">
        <v>B</v>
      </c>
      <c r="D28" s="220">
        <v>100</v>
      </c>
      <c r="E28" s="189">
        <v>84</v>
      </c>
      <c r="F28" s="220" t="str">
        <v>B</v>
      </c>
      <c r="G28" s="142">
        <v>100</v>
      </c>
      <c r="H28" s="142">
        <v>55</v>
      </c>
      <c r="I28" s="179" t="str">
        <v>B</v>
      </c>
      <c r="J28" s="189">
        <v>100</v>
      </c>
      <c r="K28" s="189">
        <v>51</v>
      </c>
      <c r="L28" s="189" t="str">
        <v>B</v>
      </c>
      <c r="M28" s="142">
        <v>100</v>
      </c>
      <c r="N28" s="142">
        <v>83</v>
      </c>
      <c r="O28" s="179" t="str">
        <v>B</v>
      </c>
      <c r="Q28">
        <v>1</v>
      </c>
      <c r="R28" t="s">
        <v>147</v>
      </c>
      <c r="S28" t="s">
        <v>203</v>
      </c>
      <c r="T28" t="s">
        <v>148</v>
      </c>
      <c r="U28">
        <v>406</v>
      </c>
      <c r="V28" t="s">
        <v>149</v>
      </c>
      <c r="W28" t="s">
        <v>148</v>
      </c>
      <c r="X28">
        <v>20929000</v>
      </c>
      <c r="Y28" t="s">
        <v>150</v>
      </c>
      <c r="Z28" t="s">
        <v>148</v>
      </c>
      <c r="AA28" t="s">
        <v>156</v>
      </c>
      <c r="AB28" t="s">
        <v>152</v>
      </c>
      <c r="AC28" t="s">
        <v>148</v>
      </c>
      <c r="AD28" t="s">
        <v>156</v>
      </c>
      <c r="AE28" t="s">
        <v>153</v>
      </c>
      <c r="AF28" t="s">
        <v>148</v>
      </c>
      <c r="AG28" t="s">
        <v>156</v>
      </c>
      <c r="AH28" t="s">
        <v>154</v>
      </c>
      <c r="AI28" t="s">
        <v>148</v>
      </c>
      <c r="AJ28" t="s">
        <v>156</v>
      </c>
      <c r="AK28" t="s">
        <v>155</v>
      </c>
      <c r="AL28" t="s">
        <v>148</v>
      </c>
      <c r="AM28" t="s">
        <v>156</v>
      </c>
    </row>
    <row r="29" spans="1:39">
      <c r="A29" s="142">
        <v>120</v>
      </c>
      <c r="B29" s="142">
        <v>0</v>
      </c>
      <c r="C29" s="142" t="str">
        <v>A</v>
      </c>
      <c r="D29" s="220">
        <v>120</v>
      </c>
      <c r="E29" s="189">
        <v>8</v>
      </c>
      <c r="F29" s="220" t="str">
        <v>B</v>
      </c>
      <c r="G29" s="142">
        <v>120</v>
      </c>
      <c r="H29" s="142">
        <v>1</v>
      </c>
      <c r="I29" s="179" t="str">
        <v>B</v>
      </c>
      <c r="J29" s="189">
        <v>120</v>
      </c>
      <c r="K29" s="189">
        <v>260</v>
      </c>
      <c r="L29" s="189" t="str">
        <v>B</v>
      </c>
      <c r="M29" s="142">
        <v>120</v>
      </c>
      <c r="N29" s="142">
        <v>1</v>
      </c>
      <c r="O29" s="179" t="str">
        <v>B</v>
      </c>
    </row>
    <row r="30" spans="1:39">
      <c r="A30" s="142">
        <v>140</v>
      </c>
      <c r="B30" s="142">
        <v>244</v>
      </c>
      <c r="C30" s="142" t="str">
        <v>B</v>
      </c>
      <c r="D30" s="220">
        <v>140</v>
      </c>
      <c r="E30" s="189">
        <v>4</v>
      </c>
      <c r="F30" s="220" t="str">
        <v>B</v>
      </c>
      <c r="G30" s="142">
        <v>140</v>
      </c>
      <c r="H30" s="142">
        <v>83</v>
      </c>
      <c r="I30" s="179" t="str">
        <v>B</v>
      </c>
      <c r="J30" s="189">
        <v>140</v>
      </c>
      <c r="K30" s="189">
        <v>0</v>
      </c>
      <c r="L30" s="189" t="str">
        <v>A</v>
      </c>
      <c r="M30" s="142">
        <v>140</v>
      </c>
      <c r="N30" s="142">
        <v>2</v>
      </c>
      <c r="O30" s="179" t="str">
        <v>B</v>
      </c>
      <c r="Q30">
        <v>5</v>
      </c>
      <c r="R30" t="s">
        <v>147</v>
      </c>
      <c r="S30" t="s">
        <v>190</v>
      </c>
      <c r="T30" t="s">
        <v>148</v>
      </c>
      <c r="U30">
        <v>6522384</v>
      </c>
      <c r="V30" t="s">
        <v>149</v>
      </c>
      <c r="W30" t="s">
        <v>148</v>
      </c>
      <c r="X30">
        <v>2063871100</v>
      </c>
      <c r="Y30" t="s">
        <v>150</v>
      </c>
      <c r="Z30" t="s">
        <v>148</v>
      </c>
      <c r="AA30" t="s">
        <v>156</v>
      </c>
      <c r="AB30" t="s">
        <v>152</v>
      </c>
      <c r="AC30" t="s">
        <v>148</v>
      </c>
      <c r="AD30">
        <v>219258</v>
      </c>
      <c r="AE30" t="s">
        <v>153</v>
      </c>
      <c r="AF30" t="s">
        <v>148</v>
      </c>
      <c r="AG30" t="s">
        <v>156</v>
      </c>
      <c r="AH30" t="s">
        <v>154</v>
      </c>
      <c r="AI30" t="s">
        <v>148</v>
      </c>
      <c r="AJ30" t="s">
        <v>156</v>
      </c>
      <c r="AK30" t="s">
        <v>155</v>
      </c>
      <c r="AL30" t="s">
        <v>148</v>
      </c>
      <c r="AM30" t="s">
        <v>156</v>
      </c>
    </row>
    <row r="31" spans="1:39">
      <c r="A31" s="142">
        <v>160</v>
      </c>
      <c r="B31" s="142">
        <v>0</v>
      </c>
      <c r="C31" s="142" t="str">
        <v>A</v>
      </c>
      <c r="D31" s="220">
        <v>160</v>
      </c>
      <c r="E31" s="189">
        <v>0</v>
      </c>
      <c r="F31" s="220" t="str">
        <v>A</v>
      </c>
      <c r="G31" s="142">
        <v>160</v>
      </c>
      <c r="H31" s="142">
        <v>0</v>
      </c>
      <c r="I31" s="179" t="str">
        <v>A</v>
      </c>
      <c r="J31" s="189">
        <v>160</v>
      </c>
      <c r="K31" s="189">
        <v>0</v>
      </c>
      <c r="L31" s="189" t="str">
        <v>A</v>
      </c>
      <c r="M31" s="142">
        <v>160</v>
      </c>
      <c r="N31" s="142">
        <v>0</v>
      </c>
      <c r="O31" s="179" t="str">
        <v>A</v>
      </c>
      <c r="Q31">
        <v>5</v>
      </c>
      <c r="R31" t="s">
        <v>147</v>
      </c>
      <c r="S31" t="s">
        <v>191</v>
      </c>
      <c r="T31" t="s">
        <v>148</v>
      </c>
      <c r="U31">
        <v>206419</v>
      </c>
      <c r="V31" t="s">
        <v>149</v>
      </c>
      <c r="W31" t="s">
        <v>148</v>
      </c>
      <c r="X31">
        <v>198670600</v>
      </c>
      <c r="Y31" t="s">
        <v>150</v>
      </c>
      <c r="Z31" t="s">
        <v>148</v>
      </c>
      <c r="AA31" t="s">
        <v>156</v>
      </c>
      <c r="AB31" t="s">
        <v>152</v>
      </c>
      <c r="AC31" t="s">
        <v>148</v>
      </c>
      <c r="AD31">
        <v>38321</v>
      </c>
      <c r="AE31" t="s">
        <v>153</v>
      </c>
      <c r="AF31" t="s">
        <v>148</v>
      </c>
      <c r="AG31" t="s">
        <v>156</v>
      </c>
      <c r="AH31" t="s">
        <v>154</v>
      </c>
      <c r="AI31" t="s">
        <v>148</v>
      </c>
      <c r="AJ31" t="s">
        <v>156</v>
      </c>
      <c r="AK31" t="s">
        <v>155</v>
      </c>
      <c r="AL31" t="s">
        <v>148</v>
      </c>
      <c r="AM31" t="s">
        <v>156</v>
      </c>
    </row>
    <row r="32" spans="1:39">
      <c r="A32" s="142">
        <v>180</v>
      </c>
      <c r="B32" s="142">
        <v>1</v>
      </c>
      <c r="C32" s="142" t="str">
        <v>B</v>
      </c>
      <c r="D32" s="220">
        <v>180</v>
      </c>
      <c r="E32" s="189">
        <v>11</v>
      </c>
      <c r="F32" s="220" t="str">
        <v>B</v>
      </c>
      <c r="G32" s="142">
        <v>180</v>
      </c>
      <c r="H32" s="142">
        <v>4</v>
      </c>
      <c r="I32" s="179" t="str">
        <v>B</v>
      </c>
      <c r="J32" s="189">
        <v>180</v>
      </c>
      <c r="K32" s="189">
        <v>11</v>
      </c>
      <c r="L32" s="189" t="str">
        <v>B</v>
      </c>
      <c r="M32" s="142">
        <v>180</v>
      </c>
      <c r="N32" s="142">
        <v>7</v>
      </c>
      <c r="O32" s="179" t="str">
        <v>B</v>
      </c>
      <c r="Q32">
        <v>5</v>
      </c>
      <c r="R32" t="s">
        <v>147</v>
      </c>
      <c r="S32" t="s">
        <v>21</v>
      </c>
      <c r="T32" t="s">
        <v>148</v>
      </c>
      <c r="U32">
        <v>407222</v>
      </c>
      <c r="V32" t="s">
        <v>149</v>
      </c>
      <c r="W32" t="s">
        <v>148</v>
      </c>
      <c r="X32">
        <v>527238000</v>
      </c>
      <c r="Y32" t="s">
        <v>150</v>
      </c>
      <c r="Z32" t="s">
        <v>148</v>
      </c>
      <c r="AA32" t="s">
        <v>156</v>
      </c>
      <c r="AB32" t="s">
        <v>152</v>
      </c>
      <c r="AC32" t="s">
        <v>148</v>
      </c>
      <c r="AD32">
        <v>99848</v>
      </c>
      <c r="AE32" t="s">
        <v>153</v>
      </c>
      <c r="AF32" t="s">
        <v>148</v>
      </c>
      <c r="AG32" t="s">
        <v>156</v>
      </c>
      <c r="AH32" t="s">
        <v>154</v>
      </c>
      <c r="AI32" t="s">
        <v>148</v>
      </c>
      <c r="AJ32" t="s">
        <v>156</v>
      </c>
      <c r="AK32" t="s">
        <v>155</v>
      </c>
      <c r="AL32" t="s">
        <v>148</v>
      </c>
      <c r="AM32" t="s">
        <v>156</v>
      </c>
    </row>
    <row r="33" spans="1:39">
      <c r="A33" s="142">
        <v>200</v>
      </c>
      <c r="B33" s="142">
        <v>3</v>
      </c>
      <c r="C33" s="142" t="str">
        <v>B</v>
      </c>
      <c r="D33" s="220">
        <v>200</v>
      </c>
      <c r="E33" s="189">
        <v>12</v>
      </c>
      <c r="F33" s="220" t="str">
        <v>B</v>
      </c>
      <c r="G33" s="142">
        <v>200</v>
      </c>
      <c r="H33" s="142">
        <v>3</v>
      </c>
      <c r="I33" s="179" t="str">
        <v>B</v>
      </c>
      <c r="J33" s="189">
        <v>200</v>
      </c>
      <c r="K33" s="189">
        <v>29</v>
      </c>
      <c r="L33" s="189" t="str">
        <v>B</v>
      </c>
      <c r="M33" s="142">
        <v>200</v>
      </c>
      <c r="N33" s="142">
        <v>16</v>
      </c>
      <c r="O33" s="179" t="str">
        <v>B</v>
      </c>
      <c r="Q33">
        <v>5</v>
      </c>
      <c r="R33" t="s">
        <v>147</v>
      </c>
      <c r="S33" t="s">
        <v>192</v>
      </c>
      <c r="T33" t="s">
        <v>148</v>
      </c>
      <c r="U33">
        <v>2985734</v>
      </c>
      <c r="V33" t="s">
        <v>149</v>
      </c>
      <c r="W33" t="s">
        <v>148</v>
      </c>
      <c r="X33">
        <v>7245865400</v>
      </c>
      <c r="Y33" t="s">
        <v>150</v>
      </c>
      <c r="Z33" t="s">
        <v>148</v>
      </c>
      <c r="AA33">
        <v>363205</v>
      </c>
      <c r="AB33" t="s">
        <v>152</v>
      </c>
      <c r="AC33" t="s">
        <v>148</v>
      </c>
      <c r="AD33">
        <v>263153</v>
      </c>
      <c r="AE33" t="s">
        <v>153</v>
      </c>
      <c r="AF33" t="s">
        <v>148</v>
      </c>
      <c r="AG33" t="s">
        <v>156</v>
      </c>
      <c r="AH33" t="s">
        <v>154</v>
      </c>
      <c r="AI33" t="s">
        <v>148</v>
      </c>
      <c r="AJ33" t="s">
        <v>156</v>
      </c>
      <c r="AK33" t="s">
        <v>155</v>
      </c>
      <c r="AL33" t="s">
        <v>148</v>
      </c>
      <c r="AM33" t="s">
        <v>156</v>
      </c>
    </row>
    <row r="34" spans="1:39">
      <c r="A34" s="142">
        <v>250</v>
      </c>
      <c r="B34" s="142">
        <v>2</v>
      </c>
      <c r="C34" s="142" t="str">
        <v>B</v>
      </c>
      <c r="D34" s="220">
        <v>250</v>
      </c>
      <c r="E34" s="189">
        <v>3</v>
      </c>
      <c r="F34" s="220" t="str">
        <v>B</v>
      </c>
      <c r="G34" s="142">
        <v>250</v>
      </c>
      <c r="H34" s="142">
        <v>5</v>
      </c>
      <c r="I34" s="179" t="str">
        <v>B</v>
      </c>
      <c r="J34" s="189">
        <v>250</v>
      </c>
      <c r="K34" s="189">
        <v>0</v>
      </c>
      <c r="L34" s="189" t="str">
        <v>A</v>
      </c>
      <c r="M34" s="142">
        <v>250</v>
      </c>
      <c r="N34" s="142">
        <v>4</v>
      </c>
      <c r="O34" s="179" t="str">
        <v>B</v>
      </c>
      <c r="Q34">
        <v>5</v>
      </c>
      <c r="R34" t="s">
        <v>147</v>
      </c>
      <c r="S34" t="s">
        <v>22</v>
      </c>
      <c r="T34" t="s">
        <v>148</v>
      </c>
      <c r="U34">
        <v>103219</v>
      </c>
      <c r="V34" t="s">
        <v>149</v>
      </c>
      <c r="W34" t="s">
        <v>148</v>
      </c>
      <c r="X34">
        <v>298722600</v>
      </c>
      <c r="Y34" t="s">
        <v>150</v>
      </c>
      <c r="Z34" t="s">
        <v>148</v>
      </c>
      <c r="AA34">
        <v>43356</v>
      </c>
      <c r="AB34" t="s">
        <v>152</v>
      </c>
      <c r="AC34" t="s">
        <v>148</v>
      </c>
      <c r="AD34">
        <v>8339</v>
      </c>
      <c r="AE34" t="s">
        <v>153</v>
      </c>
      <c r="AF34" t="s">
        <v>148</v>
      </c>
      <c r="AG34" t="s">
        <v>156</v>
      </c>
      <c r="AH34" t="s">
        <v>154</v>
      </c>
      <c r="AI34" t="s">
        <v>148</v>
      </c>
      <c r="AJ34" t="s">
        <v>156</v>
      </c>
      <c r="AK34" t="s">
        <v>155</v>
      </c>
      <c r="AL34" t="s">
        <v>148</v>
      </c>
      <c r="AM34" t="s">
        <v>156</v>
      </c>
    </row>
    <row r="35" spans="1:39">
      <c r="A35" s="142">
        <v>300</v>
      </c>
      <c r="B35" s="142">
        <v>0</v>
      </c>
      <c r="C35" s="142" t="str">
        <v>A</v>
      </c>
      <c r="D35" s="220">
        <v>300</v>
      </c>
      <c r="E35" s="189">
        <v>3</v>
      </c>
      <c r="F35" s="220" t="str">
        <v>B</v>
      </c>
      <c r="G35" s="142">
        <v>300</v>
      </c>
      <c r="H35" s="142">
        <v>0</v>
      </c>
      <c r="I35" s="179" t="str">
        <v>A</v>
      </c>
      <c r="J35" s="189">
        <v>300</v>
      </c>
      <c r="K35" s="189">
        <v>0</v>
      </c>
      <c r="L35" s="189" t="str">
        <v>A</v>
      </c>
      <c r="M35" s="142">
        <v>300</v>
      </c>
      <c r="N35" s="142">
        <v>0</v>
      </c>
      <c r="O35" s="179" t="str">
        <v>A</v>
      </c>
      <c r="Q35">
        <v>5</v>
      </c>
      <c r="R35" t="s">
        <v>147</v>
      </c>
      <c r="S35" t="s">
        <v>193</v>
      </c>
      <c r="T35" t="s">
        <v>148</v>
      </c>
      <c r="U35">
        <v>501004</v>
      </c>
      <c r="V35" t="s">
        <v>149</v>
      </c>
      <c r="W35" t="s">
        <v>148</v>
      </c>
      <c r="X35">
        <v>2505020000</v>
      </c>
      <c r="Y35" t="s">
        <v>150</v>
      </c>
      <c r="Z35" t="s">
        <v>148</v>
      </c>
      <c r="AA35">
        <v>47452</v>
      </c>
      <c r="AB35" t="s">
        <v>152</v>
      </c>
      <c r="AC35" t="s">
        <v>148</v>
      </c>
      <c r="AD35">
        <v>24574</v>
      </c>
      <c r="AE35" t="s">
        <v>153</v>
      </c>
      <c r="AF35" t="s">
        <v>148</v>
      </c>
      <c r="AG35" t="s">
        <v>156</v>
      </c>
      <c r="AH35" t="s">
        <v>154</v>
      </c>
      <c r="AI35" t="s">
        <v>148</v>
      </c>
      <c r="AJ35" t="s">
        <v>156</v>
      </c>
      <c r="AK35" t="s">
        <v>155</v>
      </c>
      <c r="AL35" t="s">
        <v>148</v>
      </c>
      <c r="AM35" t="s">
        <v>156</v>
      </c>
    </row>
    <row r="36" spans="1:39">
      <c r="A36" s="142">
        <v>350</v>
      </c>
      <c r="B36" s="142">
        <v>0</v>
      </c>
      <c r="C36" s="142" t="str">
        <v>A</v>
      </c>
      <c r="D36" s="220">
        <v>350</v>
      </c>
      <c r="E36" s="189">
        <v>1</v>
      </c>
      <c r="F36" s="220" t="str">
        <v>B</v>
      </c>
      <c r="G36" s="142">
        <v>350</v>
      </c>
      <c r="H36" s="142">
        <v>0</v>
      </c>
      <c r="I36" s="179" t="str">
        <v>A</v>
      </c>
      <c r="J36" s="189">
        <v>350</v>
      </c>
      <c r="K36" s="189">
        <v>0</v>
      </c>
      <c r="L36" s="189" t="str">
        <v>A</v>
      </c>
      <c r="M36" s="142">
        <v>350</v>
      </c>
      <c r="N36" s="142">
        <v>0</v>
      </c>
      <c r="O36" s="179" t="str">
        <v>A</v>
      </c>
      <c r="Q36">
        <v>5</v>
      </c>
      <c r="R36" t="s">
        <v>147</v>
      </c>
      <c r="S36" t="s">
        <v>23</v>
      </c>
      <c r="T36" t="s">
        <v>148</v>
      </c>
      <c r="U36">
        <v>587768</v>
      </c>
      <c r="V36" t="s">
        <v>149</v>
      </c>
      <c r="W36" t="s">
        <v>148</v>
      </c>
      <c r="X36">
        <v>3342746500</v>
      </c>
      <c r="Y36" t="s">
        <v>150</v>
      </c>
      <c r="Z36" t="s">
        <v>148</v>
      </c>
      <c r="AA36">
        <v>76349</v>
      </c>
      <c r="AB36" t="s">
        <v>152</v>
      </c>
      <c r="AC36" t="s">
        <v>148</v>
      </c>
      <c r="AD36">
        <v>152306</v>
      </c>
      <c r="AE36" t="s">
        <v>153</v>
      </c>
      <c r="AF36" t="s">
        <v>148</v>
      </c>
      <c r="AG36" t="s">
        <v>156</v>
      </c>
      <c r="AH36" t="s">
        <v>154</v>
      </c>
      <c r="AI36" t="s">
        <v>148</v>
      </c>
      <c r="AJ36" t="s">
        <v>156</v>
      </c>
      <c r="AK36" t="s">
        <v>155</v>
      </c>
      <c r="AL36" t="s">
        <v>148</v>
      </c>
      <c r="AM36" t="s">
        <v>156</v>
      </c>
    </row>
    <row r="37" spans="1:39">
      <c r="A37" s="142">
        <v>400</v>
      </c>
      <c r="B37" s="142">
        <v>0</v>
      </c>
      <c r="C37" s="142" t="str">
        <v>A</v>
      </c>
      <c r="D37" s="220">
        <v>400</v>
      </c>
      <c r="E37" s="189">
        <v>9</v>
      </c>
      <c r="F37" s="220" t="str">
        <v>B</v>
      </c>
      <c r="G37" s="142">
        <v>400</v>
      </c>
      <c r="H37" s="142">
        <v>0</v>
      </c>
      <c r="I37" s="179" t="str">
        <v>A</v>
      </c>
      <c r="J37" s="189">
        <v>400</v>
      </c>
      <c r="K37" s="189">
        <v>3</v>
      </c>
      <c r="L37" s="189" t="str">
        <v>B</v>
      </c>
      <c r="M37" s="142">
        <v>400</v>
      </c>
      <c r="N37" s="142">
        <v>0</v>
      </c>
      <c r="O37" s="179" t="str">
        <v>A</v>
      </c>
      <c r="Q37">
        <v>5</v>
      </c>
      <c r="R37" t="s">
        <v>147</v>
      </c>
      <c r="S37" t="s">
        <v>194</v>
      </c>
      <c r="T37" t="s">
        <v>148</v>
      </c>
      <c r="U37">
        <v>287784</v>
      </c>
      <c r="V37" t="s">
        <v>149</v>
      </c>
      <c r="W37" t="s">
        <v>148</v>
      </c>
      <c r="X37">
        <v>2749054600</v>
      </c>
      <c r="Y37" t="s">
        <v>150</v>
      </c>
      <c r="Z37" t="s">
        <v>148</v>
      </c>
      <c r="AA37">
        <v>99877</v>
      </c>
      <c r="AB37" t="s">
        <v>152</v>
      </c>
      <c r="AC37" t="s">
        <v>148</v>
      </c>
      <c r="AD37">
        <v>13608</v>
      </c>
      <c r="AE37" t="s">
        <v>153</v>
      </c>
      <c r="AF37" t="s">
        <v>148</v>
      </c>
      <c r="AG37" t="s">
        <v>156</v>
      </c>
      <c r="AH37" t="s">
        <v>154</v>
      </c>
      <c r="AI37" t="s">
        <v>148</v>
      </c>
      <c r="AJ37" t="s">
        <v>156</v>
      </c>
      <c r="AK37" t="s">
        <v>155</v>
      </c>
      <c r="AL37" t="s">
        <v>148</v>
      </c>
      <c r="AM37" t="s">
        <v>156</v>
      </c>
    </row>
    <row r="38" spans="1:39">
      <c r="A38" s="142">
        <v>450</v>
      </c>
      <c r="B38" s="142">
        <v>5</v>
      </c>
      <c r="C38" s="142" t="str">
        <v>B</v>
      </c>
      <c r="D38" s="220">
        <v>450</v>
      </c>
      <c r="E38" s="189">
        <v>1</v>
      </c>
      <c r="F38" s="220" t="str">
        <v>B</v>
      </c>
      <c r="G38" s="142">
        <v>450</v>
      </c>
      <c r="H38" s="142">
        <v>1</v>
      </c>
      <c r="I38" s="179" t="str">
        <v>B</v>
      </c>
      <c r="J38" s="189">
        <v>450</v>
      </c>
      <c r="K38" s="189">
        <v>6</v>
      </c>
      <c r="L38" s="189" t="str">
        <v>B</v>
      </c>
      <c r="M38" s="142">
        <v>450</v>
      </c>
      <c r="N38" s="142">
        <v>2</v>
      </c>
      <c r="O38" s="179" t="str">
        <v>B</v>
      </c>
      <c r="Q38">
        <v>5</v>
      </c>
      <c r="R38" t="s">
        <v>147</v>
      </c>
      <c r="S38" t="s">
        <v>195</v>
      </c>
      <c r="T38" t="s">
        <v>148</v>
      </c>
      <c r="U38">
        <v>630529</v>
      </c>
      <c r="V38" t="s">
        <v>149</v>
      </c>
      <c r="W38" t="s">
        <v>148</v>
      </c>
      <c r="X38">
        <v>6688011700</v>
      </c>
      <c r="Y38" t="s">
        <v>150</v>
      </c>
      <c r="Z38" t="s">
        <v>148</v>
      </c>
      <c r="AA38">
        <v>73280</v>
      </c>
      <c r="AB38" t="s">
        <v>152</v>
      </c>
      <c r="AC38" t="s">
        <v>148</v>
      </c>
      <c r="AD38">
        <v>170391</v>
      </c>
      <c r="AE38" t="s">
        <v>153</v>
      </c>
      <c r="AF38" t="s">
        <v>148</v>
      </c>
      <c r="AG38" t="s">
        <v>156</v>
      </c>
      <c r="AH38" t="s">
        <v>154</v>
      </c>
      <c r="AI38" t="s">
        <v>148</v>
      </c>
      <c r="AJ38" t="s">
        <v>156</v>
      </c>
      <c r="AK38" t="s">
        <v>155</v>
      </c>
      <c r="AL38" t="s">
        <v>148</v>
      </c>
      <c r="AM38" t="s">
        <v>156</v>
      </c>
    </row>
    <row r="39" spans="1:39">
      <c r="A39" s="142">
        <v>500</v>
      </c>
      <c r="B39" s="142">
        <v>4</v>
      </c>
      <c r="C39" s="142" t="str">
        <v>B</v>
      </c>
      <c r="D39" s="220">
        <v>500</v>
      </c>
      <c r="E39" s="189">
        <v>3</v>
      </c>
      <c r="F39" s="220" t="str">
        <v>B</v>
      </c>
      <c r="G39" s="142">
        <v>500</v>
      </c>
      <c r="H39" s="142">
        <v>1</v>
      </c>
      <c r="I39" s="179" t="str">
        <v>B</v>
      </c>
      <c r="J39" s="189">
        <v>500</v>
      </c>
      <c r="K39" s="189">
        <v>5</v>
      </c>
      <c r="L39" s="189" t="str">
        <v>B</v>
      </c>
      <c r="M39" s="142">
        <v>500</v>
      </c>
      <c r="N39" s="142">
        <v>3</v>
      </c>
      <c r="O39" s="179" t="str">
        <v>B</v>
      </c>
      <c r="Q39">
        <v>5</v>
      </c>
      <c r="R39" t="s">
        <v>147</v>
      </c>
      <c r="S39" t="s">
        <v>196</v>
      </c>
      <c r="T39" t="s">
        <v>148</v>
      </c>
      <c r="U39">
        <v>169605</v>
      </c>
      <c r="V39" t="s">
        <v>149</v>
      </c>
      <c r="W39" t="s">
        <v>148</v>
      </c>
      <c r="X39">
        <v>2448682500</v>
      </c>
      <c r="Y39" t="s">
        <v>150</v>
      </c>
      <c r="Z39" t="s">
        <v>148</v>
      </c>
      <c r="AA39">
        <v>117947</v>
      </c>
      <c r="AB39" t="s">
        <v>152</v>
      </c>
      <c r="AC39" t="s">
        <v>148</v>
      </c>
      <c r="AD39">
        <v>13619</v>
      </c>
      <c r="AE39" t="s">
        <v>153</v>
      </c>
      <c r="AF39" t="s">
        <v>148</v>
      </c>
      <c r="AG39" t="s">
        <v>156</v>
      </c>
      <c r="AH39" t="s">
        <v>154</v>
      </c>
      <c r="AI39" t="s">
        <v>148</v>
      </c>
      <c r="AJ39" t="s">
        <v>156</v>
      </c>
      <c r="AK39" t="s">
        <v>155</v>
      </c>
      <c r="AL39" t="s">
        <v>148</v>
      </c>
      <c r="AM39" t="s">
        <v>156</v>
      </c>
    </row>
    <row r="40" spans="1:39">
      <c r="A40" s="142">
        <v>550</v>
      </c>
      <c r="B40" s="142">
        <v>0</v>
      </c>
      <c r="C40" s="142" t="str">
        <v>A</v>
      </c>
      <c r="D40" s="220">
        <v>550</v>
      </c>
      <c r="E40" s="189">
        <v>2</v>
      </c>
      <c r="F40" s="220" t="str">
        <v>B</v>
      </c>
      <c r="G40" s="142">
        <v>550</v>
      </c>
      <c r="H40" s="142">
        <v>1</v>
      </c>
      <c r="I40" s="179" t="str">
        <v>B</v>
      </c>
      <c r="J40" s="189">
        <v>550</v>
      </c>
      <c r="K40" s="189">
        <v>0</v>
      </c>
      <c r="L40" s="189" t="str">
        <v>A</v>
      </c>
      <c r="M40" s="142">
        <v>550</v>
      </c>
      <c r="N40" s="142">
        <v>1</v>
      </c>
      <c r="O40" s="179" t="str">
        <v>B</v>
      </c>
      <c r="Q40">
        <v>5</v>
      </c>
      <c r="R40" t="s">
        <v>147</v>
      </c>
      <c r="S40" t="s">
        <v>204</v>
      </c>
      <c r="T40" t="s">
        <v>148</v>
      </c>
      <c r="U40">
        <v>180614</v>
      </c>
      <c r="V40" t="s">
        <v>149</v>
      </c>
      <c r="W40" t="s">
        <v>148</v>
      </c>
      <c r="X40">
        <v>2813035200</v>
      </c>
      <c r="Y40" t="s">
        <v>150</v>
      </c>
      <c r="Z40" t="s">
        <v>148</v>
      </c>
      <c r="AA40">
        <v>85597</v>
      </c>
      <c r="AB40" t="s">
        <v>152</v>
      </c>
      <c r="AC40" t="s">
        <v>148</v>
      </c>
      <c r="AD40">
        <v>55187</v>
      </c>
      <c r="AE40" t="s">
        <v>153</v>
      </c>
      <c r="AF40" t="s">
        <v>148</v>
      </c>
      <c r="AG40" t="s">
        <v>156</v>
      </c>
      <c r="AH40" t="s">
        <v>154</v>
      </c>
      <c r="AI40" t="s">
        <v>148</v>
      </c>
      <c r="AJ40" t="s">
        <v>156</v>
      </c>
      <c r="AK40" t="s">
        <v>155</v>
      </c>
      <c r="AL40" t="s">
        <v>148</v>
      </c>
      <c r="AM40" t="s">
        <v>156</v>
      </c>
    </row>
    <row r="41" spans="1:39">
      <c r="A41" s="142">
        <v>600</v>
      </c>
      <c r="B41" s="142">
        <v>0</v>
      </c>
      <c r="C41" s="142" t="str">
        <v>A</v>
      </c>
      <c r="D41" s="220">
        <v>600</v>
      </c>
      <c r="E41" s="189">
        <v>0</v>
      </c>
      <c r="F41" s="220" t="str">
        <v>A</v>
      </c>
      <c r="G41" s="142">
        <v>600</v>
      </c>
      <c r="H41" s="142">
        <v>0</v>
      </c>
      <c r="I41" s="179" t="str">
        <v>A</v>
      </c>
      <c r="J41" s="189">
        <v>600</v>
      </c>
      <c r="K41" s="189">
        <v>0</v>
      </c>
      <c r="L41" s="189" t="str">
        <v>A</v>
      </c>
      <c r="M41" s="142">
        <v>600</v>
      </c>
      <c r="N41" s="142">
        <v>0</v>
      </c>
      <c r="O41" s="179" t="str">
        <v>A</v>
      </c>
      <c r="Q41">
        <v>5</v>
      </c>
      <c r="R41" t="s">
        <v>147</v>
      </c>
      <c r="S41" t="s">
        <v>197</v>
      </c>
      <c r="T41" t="s">
        <v>148</v>
      </c>
      <c r="U41">
        <v>569828</v>
      </c>
      <c r="V41" t="s">
        <v>149</v>
      </c>
      <c r="W41" t="s">
        <v>148</v>
      </c>
      <c r="X41">
        <v>14160106800</v>
      </c>
      <c r="Y41" t="s">
        <v>150</v>
      </c>
      <c r="Z41" t="s">
        <v>148</v>
      </c>
      <c r="AA41">
        <v>237721</v>
      </c>
      <c r="AB41" t="s">
        <v>152</v>
      </c>
      <c r="AC41" t="s">
        <v>148</v>
      </c>
      <c r="AD41">
        <v>3328</v>
      </c>
      <c r="AE41" t="s">
        <v>153</v>
      </c>
      <c r="AF41" t="s">
        <v>148</v>
      </c>
      <c r="AG41" t="s">
        <v>156</v>
      </c>
      <c r="AH41" t="s">
        <v>154</v>
      </c>
      <c r="AI41" t="s">
        <v>148</v>
      </c>
      <c r="AJ41" t="s">
        <v>156</v>
      </c>
      <c r="AK41" t="s">
        <v>155</v>
      </c>
      <c r="AL41" t="s">
        <v>148</v>
      </c>
      <c r="AM41" t="s">
        <v>156</v>
      </c>
    </row>
    <row r="42" spans="1:39">
      <c r="A42" s="142">
        <v>650</v>
      </c>
      <c r="B42" s="142">
        <v>0</v>
      </c>
      <c r="C42" s="142" t="str">
        <v>A</v>
      </c>
      <c r="D42" s="220">
        <v>650</v>
      </c>
      <c r="E42" s="189">
        <v>0</v>
      </c>
      <c r="F42" s="220" t="str">
        <v>A</v>
      </c>
      <c r="G42" s="142">
        <v>650</v>
      </c>
      <c r="H42" s="142">
        <v>0</v>
      </c>
      <c r="I42" s="179" t="str">
        <v>A</v>
      </c>
      <c r="J42" s="189">
        <v>650</v>
      </c>
      <c r="K42" s="189">
        <v>0</v>
      </c>
      <c r="L42" s="189" t="str">
        <v>A</v>
      </c>
      <c r="M42" s="142">
        <v>650</v>
      </c>
      <c r="N42" s="142">
        <v>0</v>
      </c>
      <c r="O42" s="179" t="str">
        <v>A</v>
      </c>
      <c r="Q42">
        <v>5</v>
      </c>
      <c r="R42" t="s">
        <v>147</v>
      </c>
      <c r="S42" t="s">
        <v>199</v>
      </c>
      <c r="T42" t="s">
        <v>148</v>
      </c>
      <c r="U42">
        <v>9204</v>
      </c>
      <c r="V42" t="s">
        <v>149</v>
      </c>
      <c r="W42" t="s">
        <v>148</v>
      </c>
      <c r="X42">
        <v>460200000</v>
      </c>
      <c r="Y42" t="s">
        <v>150</v>
      </c>
      <c r="Z42" t="s">
        <v>148</v>
      </c>
      <c r="AA42">
        <v>3190</v>
      </c>
      <c r="AB42" t="s">
        <v>152</v>
      </c>
      <c r="AC42" t="s">
        <v>148</v>
      </c>
      <c r="AD42">
        <v>177</v>
      </c>
      <c r="AE42" t="s">
        <v>153</v>
      </c>
      <c r="AF42" t="s">
        <v>148</v>
      </c>
      <c r="AG42" t="s">
        <v>156</v>
      </c>
      <c r="AH42" t="s">
        <v>154</v>
      </c>
      <c r="AI42" t="s">
        <v>148</v>
      </c>
      <c r="AJ42" t="s">
        <v>156</v>
      </c>
      <c r="AK42" t="s">
        <v>155</v>
      </c>
      <c r="AL42" t="s">
        <v>148</v>
      </c>
      <c r="AM42" t="s">
        <v>156</v>
      </c>
    </row>
    <row r="43" spans="1:39">
      <c r="A43" s="142">
        <v>700</v>
      </c>
      <c r="B43" s="142">
        <v>0</v>
      </c>
      <c r="C43" s="142" t="str">
        <v>A</v>
      </c>
      <c r="D43" s="220">
        <v>700</v>
      </c>
      <c r="E43" s="189">
        <v>0</v>
      </c>
      <c r="F43" s="220" t="str">
        <v>A</v>
      </c>
      <c r="G43" s="142">
        <v>700</v>
      </c>
      <c r="H43" s="142">
        <v>0</v>
      </c>
      <c r="I43" s="179" t="str">
        <v>A</v>
      </c>
      <c r="J43" s="189">
        <v>700</v>
      </c>
      <c r="K43" s="189">
        <v>0</v>
      </c>
      <c r="L43" s="189" t="str">
        <v>A</v>
      </c>
      <c r="M43" s="142">
        <v>700</v>
      </c>
      <c r="N43" s="142">
        <v>0</v>
      </c>
      <c r="O43" s="179" t="str">
        <v>A</v>
      </c>
      <c r="Q43">
        <v>5</v>
      </c>
      <c r="R43" t="s">
        <v>147</v>
      </c>
      <c r="S43" t="s">
        <v>200</v>
      </c>
      <c r="T43" t="s">
        <v>148</v>
      </c>
      <c r="U43">
        <v>4416</v>
      </c>
      <c r="V43" t="s">
        <v>149</v>
      </c>
      <c r="W43" t="s">
        <v>148</v>
      </c>
      <c r="X43">
        <v>232401600</v>
      </c>
      <c r="Y43" t="s">
        <v>150</v>
      </c>
      <c r="Z43" t="s">
        <v>148</v>
      </c>
      <c r="AA43">
        <v>1006</v>
      </c>
      <c r="AB43" t="s">
        <v>152</v>
      </c>
      <c r="AC43" t="s">
        <v>148</v>
      </c>
      <c r="AD43">
        <v>821</v>
      </c>
      <c r="AE43" t="s">
        <v>153</v>
      </c>
      <c r="AF43" t="s">
        <v>148</v>
      </c>
      <c r="AG43" t="s">
        <v>156</v>
      </c>
      <c r="AH43" t="s">
        <v>154</v>
      </c>
      <c r="AI43" t="s">
        <v>148</v>
      </c>
      <c r="AJ43" t="s">
        <v>156</v>
      </c>
      <c r="AK43" t="s">
        <v>155</v>
      </c>
      <c r="AL43" t="s">
        <v>148</v>
      </c>
      <c r="AM43" t="s">
        <v>156</v>
      </c>
    </row>
    <row r="44" spans="1:39">
      <c r="A44" s="142">
        <v>750</v>
      </c>
      <c r="B44" s="142">
        <v>0</v>
      </c>
      <c r="C44" s="142" t="str">
        <v>A</v>
      </c>
      <c r="D44" s="220">
        <v>750</v>
      </c>
      <c r="E44" s="189">
        <v>0</v>
      </c>
      <c r="F44" s="220" t="str">
        <v>A</v>
      </c>
      <c r="G44" s="142">
        <v>750</v>
      </c>
      <c r="H44" s="142">
        <v>0</v>
      </c>
      <c r="I44" s="179" t="str">
        <v>A</v>
      </c>
      <c r="J44" s="189">
        <v>750</v>
      </c>
      <c r="K44" s="189">
        <v>0</v>
      </c>
      <c r="L44" s="189" t="str">
        <v>A</v>
      </c>
      <c r="M44" s="142">
        <v>750</v>
      </c>
      <c r="N44" s="142">
        <v>0</v>
      </c>
      <c r="O44" s="179" t="str">
        <v>A</v>
      </c>
      <c r="Q44">
        <v>5</v>
      </c>
      <c r="R44" t="s">
        <v>147</v>
      </c>
      <c r="S44" t="s">
        <v>205</v>
      </c>
      <c r="T44" t="s">
        <v>148</v>
      </c>
      <c r="U44">
        <v>2265</v>
      </c>
      <c r="V44" t="s">
        <v>149</v>
      </c>
      <c r="W44" t="s">
        <v>148</v>
      </c>
      <c r="X44">
        <v>226500000</v>
      </c>
      <c r="Y44" t="s">
        <v>150</v>
      </c>
      <c r="Z44" t="s">
        <v>148</v>
      </c>
      <c r="AA44">
        <v>1222</v>
      </c>
      <c r="AB44" t="s">
        <v>152</v>
      </c>
      <c r="AC44" t="s">
        <v>148</v>
      </c>
      <c r="AD44">
        <v>68</v>
      </c>
      <c r="AE44" t="s">
        <v>153</v>
      </c>
      <c r="AF44" t="s">
        <v>148</v>
      </c>
      <c r="AG44" t="s">
        <v>156</v>
      </c>
      <c r="AH44" t="s">
        <v>154</v>
      </c>
      <c r="AI44" t="s">
        <v>148</v>
      </c>
      <c r="AJ44" t="s">
        <v>156</v>
      </c>
      <c r="AK44" t="s">
        <v>155</v>
      </c>
      <c r="AL44" t="s">
        <v>148</v>
      </c>
      <c r="AM44" t="s">
        <v>156</v>
      </c>
    </row>
    <row r="45" spans="1:39">
      <c r="A45" s="142">
        <v>800</v>
      </c>
      <c r="B45" s="142">
        <v>0</v>
      </c>
      <c r="C45" s="142" t="str">
        <v>A</v>
      </c>
      <c r="D45" s="220">
        <v>800</v>
      </c>
      <c r="E45" s="189">
        <v>0</v>
      </c>
      <c r="F45" s="220" t="str">
        <v>A</v>
      </c>
      <c r="G45" s="142">
        <v>800</v>
      </c>
      <c r="H45" s="142">
        <v>0</v>
      </c>
      <c r="I45" s="179" t="str">
        <v>A</v>
      </c>
      <c r="J45" s="189">
        <v>800</v>
      </c>
      <c r="K45" s="189">
        <v>0</v>
      </c>
      <c r="L45" s="189" t="str">
        <v>A</v>
      </c>
      <c r="M45" s="142">
        <v>800</v>
      </c>
      <c r="N45" s="142">
        <v>0</v>
      </c>
      <c r="O45" s="179" t="str">
        <v>A</v>
      </c>
      <c r="Q45">
        <v>5</v>
      </c>
      <c r="R45" t="s">
        <v>147</v>
      </c>
      <c r="S45" t="s">
        <v>206</v>
      </c>
      <c r="T45" t="s">
        <v>148</v>
      </c>
      <c r="U45">
        <v>1313</v>
      </c>
      <c r="V45" t="s">
        <v>149</v>
      </c>
      <c r="W45" t="s">
        <v>148</v>
      </c>
      <c r="X45">
        <v>136633500</v>
      </c>
      <c r="Y45" t="s">
        <v>150</v>
      </c>
      <c r="Z45" t="s">
        <v>148</v>
      </c>
      <c r="AA45">
        <v>403</v>
      </c>
      <c r="AB45" t="s">
        <v>152</v>
      </c>
      <c r="AC45" t="s">
        <v>148</v>
      </c>
      <c r="AD45">
        <v>319</v>
      </c>
      <c r="AE45" t="s">
        <v>153</v>
      </c>
      <c r="AF45" t="s">
        <v>148</v>
      </c>
      <c r="AG45" t="s">
        <v>156</v>
      </c>
      <c r="AH45" t="s">
        <v>154</v>
      </c>
      <c r="AI45" t="s">
        <v>148</v>
      </c>
      <c r="AJ45" t="s">
        <v>156</v>
      </c>
      <c r="AK45" t="s">
        <v>155</v>
      </c>
      <c r="AL45" t="s">
        <v>148</v>
      </c>
      <c r="AM45" t="s">
        <v>156</v>
      </c>
    </row>
    <row r="46" spans="1:39">
      <c r="A46" s="142">
        <v>850</v>
      </c>
      <c r="B46" s="142">
        <v>0</v>
      </c>
      <c r="C46" s="142" t="str">
        <v>A</v>
      </c>
      <c r="D46" s="220">
        <v>850</v>
      </c>
      <c r="E46" s="189">
        <v>0</v>
      </c>
      <c r="F46" s="220" t="str">
        <v>A</v>
      </c>
      <c r="G46" s="142">
        <v>850</v>
      </c>
      <c r="H46" s="142">
        <v>0</v>
      </c>
      <c r="I46" s="179" t="str">
        <v>A</v>
      </c>
      <c r="J46" s="189">
        <v>850</v>
      </c>
      <c r="K46" s="189">
        <v>0</v>
      </c>
      <c r="L46" s="189" t="str">
        <v>A</v>
      </c>
      <c r="M46" s="142">
        <v>850</v>
      </c>
      <c r="N46" s="142">
        <v>0</v>
      </c>
      <c r="O46" s="179" t="str">
        <v>A</v>
      </c>
      <c r="Q46">
        <v>5</v>
      </c>
      <c r="R46" t="s">
        <v>147</v>
      </c>
      <c r="S46" t="s">
        <v>207</v>
      </c>
      <c r="T46" t="s">
        <v>148</v>
      </c>
      <c r="U46">
        <v>313</v>
      </c>
      <c r="V46" t="s">
        <v>149</v>
      </c>
      <c r="W46" t="s">
        <v>148</v>
      </c>
      <c r="X46">
        <v>41704800</v>
      </c>
      <c r="Y46" t="s">
        <v>150</v>
      </c>
      <c r="Z46" t="s">
        <v>148</v>
      </c>
      <c r="AA46">
        <v>307</v>
      </c>
      <c r="AB46" t="s">
        <v>152</v>
      </c>
      <c r="AC46" t="s">
        <v>148</v>
      </c>
      <c r="AD46">
        <v>6</v>
      </c>
      <c r="AE46" t="s">
        <v>153</v>
      </c>
      <c r="AF46" t="s">
        <v>148</v>
      </c>
      <c r="AG46" t="s">
        <v>156</v>
      </c>
      <c r="AH46" t="s">
        <v>154</v>
      </c>
      <c r="AI46" t="s">
        <v>148</v>
      </c>
      <c r="AJ46" t="s">
        <v>156</v>
      </c>
      <c r="AK46" t="s">
        <v>155</v>
      </c>
      <c r="AL46" t="s">
        <v>148</v>
      </c>
      <c r="AM46" t="s">
        <v>156</v>
      </c>
    </row>
    <row r="47" spans="1:39">
      <c r="A47" s="142">
        <v>900</v>
      </c>
      <c r="B47" s="142">
        <v>0</v>
      </c>
      <c r="C47" s="142" t="str">
        <v>A</v>
      </c>
      <c r="D47" s="220">
        <v>900</v>
      </c>
      <c r="E47" s="189">
        <v>0</v>
      </c>
      <c r="F47" s="220" t="str">
        <v>A</v>
      </c>
      <c r="G47" s="142">
        <v>900</v>
      </c>
      <c r="H47" s="142">
        <v>0</v>
      </c>
      <c r="I47" s="179" t="str">
        <v>A</v>
      </c>
      <c r="J47" s="189">
        <v>900</v>
      </c>
      <c r="K47" s="189">
        <v>0</v>
      </c>
      <c r="L47" s="189" t="str">
        <v>A</v>
      </c>
      <c r="M47" s="142">
        <v>900</v>
      </c>
      <c r="N47" s="142">
        <v>0</v>
      </c>
      <c r="O47" s="179" t="str">
        <v>A</v>
      </c>
      <c r="Q47">
        <v>5</v>
      </c>
      <c r="R47" t="s">
        <v>147</v>
      </c>
      <c r="S47" t="s">
        <v>208</v>
      </c>
      <c r="T47" t="s">
        <v>148</v>
      </c>
      <c r="U47">
        <v>271</v>
      </c>
      <c r="V47" t="s">
        <v>149</v>
      </c>
      <c r="W47" t="s">
        <v>148</v>
      </c>
      <c r="X47">
        <v>41509100</v>
      </c>
      <c r="Y47" t="s">
        <v>150</v>
      </c>
      <c r="Z47" t="s">
        <v>148</v>
      </c>
      <c r="AA47">
        <v>185</v>
      </c>
      <c r="AB47" t="s">
        <v>152</v>
      </c>
      <c r="AC47" t="s">
        <v>148</v>
      </c>
      <c r="AD47">
        <v>86</v>
      </c>
      <c r="AE47" t="s">
        <v>153</v>
      </c>
      <c r="AF47" t="s">
        <v>148</v>
      </c>
      <c r="AG47" t="s">
        <v>156</v>
      </c>
      <c r="AH47" t="s">
        <v>154</v>
      </c>
      <c r="AI47" t="s">
        <v>148</v>
      </c>
      <c r="AJ47" t="s">
        <v>156</v>
      </c>
      <c r="AK47" t="s">
        <v>155</v>
      </c>
      <c r="AL47" t="s">
        <v>148</v>
      </c>
      <c r="AM47" t="s">
        <v>156</v>
      </c>
    </row>
    <row r="48" spans="1:39">
      <c r="A48" s="142">
        <v>950</v>
      </c>
      <c r="B48" s="142">
        <v>0</v>
      </c>
      <c r="C48" s="142" t="str">
        <v>A</v>
      </c>
      <c r="D48" s="220">
        <v>950</v>
      </c>
      <c r="E48" s="189">
        <v>1</v>
      </c>
      <c r="F48" s="220" t="str">
        <v>B</v>
      </c>
      <c r="G48" s="142">
        <v>950</v>
      </c>
      <c r="H48" s="142">
        <v>0</v>
      </c>
      <c r="I48" s="179" t="str">
        <v>A</v>
      </c>
      <c r="J48" s="189">
        <v>950</v>
      </c>
      <c r="K48" s="189">
        <v>3</v>
      </c>
      <c r="L48" s="189" t="str">
        <v>B</v>
      </c>
      <c r="M48" s="142">
        <v>950</v>
      </c>
      <c r="N48" s="142">
        <v>1</v>
      </c>
      <c r="O48" s="179" t="str">
        <v>B</v>
      </c>
      <c r="Q48">
        <v>5</v>
      </c>
      <c r="R48" t="s">
        <v>147</v>
      </c>
      <c r="S48" t="s">
        <v>203</v>
      </c>
      <c r="T48" t="s">
        <v>148</v>
      </c>
      <c r="U48">
        <v>287</v>
      </c>
      <c r="V48" t="s">
        <v>149</v>
      </c>
      <c r="W48" t="s">
        <v>148</v>
      </c>
      <c r="X48">
        <v>74146000</v>
      </c>
      <c r="Y48" t="s">
        <v>150</v>
      </c>
      <c r="Z48" t="s">
        <v>148</v>
      </c>
      <c r="AA48" t="s">
        <v>156</v>
      </c>
      <c r="AB48" t="s">
        <v>152</v>
      </c>
      <c r="AC48" t="s">
        <v>148</v>
      </c>
      <c r="AD48" t="s">
        <v>156</v>
      </c>
      <c r="AE48" t="s">
        <v>153</v>
      </c>
      <c r="AF48" t="s">
        <v>148</v>
      </c>
      <c r="AG48" t="s">
        <v>156</v>
      </c>
      <c r="AH48" t="s">
        <v>154</v>
      </c>
      <c r="AI48" t="s">
        <v>148</v>
      </c>
      <c r="AJ48" t="s">
        <v>156</v>
      </c>
      <c r="AK48" t="s">
        <v>155</v>
      </c>
      <c r="AL48" t="s">
        <v>148</v>
      </c>
      <c r="AM48" t="s">
        <v>156</v>
      </c>
    </row>
    <row r="49" spans="1:39">
      <c r="A49" s="142">
        <v>1000</v>
      </c>
      <c r="B49" s="142">
        <v>0</v>
      </c>
      <c r="C49" s="142" t="str">
        <v>A</v>
      </c>
      <c r="D49" s="220">
        <v>1000</v>
      </c>
      <c r="E49" s="189">
        <v>8</v>
      </c>
      <c r="F49" s="220" t="str">
        <v>B</v>
      </c>
      <c r="G49" s="142">
        <v>1000</v>
      </c>
      <c r="H49" s="142">
        <v>4</v>
      </c>
      <c r="I49" s="179" t="str">
        <v>B</v>
      </c>
      <c r="J49" s="189">
        <v>1000</v>
      </c>
      <c r="K49" s="189">
        <v>1</v>
      </c>
      <c r="L49" s="189" t="str">
        <v>B</v>
      </c>
      <c r="M49" s="142">
        <v>1000</v>
      </c>
      <c r="N49" s="142">
        <v>1</v>
      </c>
      <c r="O49" s="179" t="str">
        <v>B</v>
      </c>
    </row>
    <row r="50" spans="1:39">
      <c r="A50" s="142">
        <v>2000</v>
      </c>
      <c r="B50" s="142">
        <v>0</v>
      </c>
      <c r="C50" s="142" t="str">
        <v>A</v>
      </c>
      <c r="D50" s="220">
        <v>2000</v>
      </c>
      <c r="E50" s="189">
        <v>0</v>
      </c>
      <c r="F50" s="220" t="str">
        <v>A</v>
      </c>
      <c r="G50" s="142">
        <v>2000</v>
      </c>
      <c r="H50" s="142">
        <v>0</v>
      </c>
      <c r="I50" s="179" t="str">
        <v>A</v>
      </c>
      <c r="J50" s="189">
        <v>2000</v>
      </c>
      <c r="K50" s="189">
        <v>31</v>
      </c>
      <c r="L50" s="189" t="str">
        <v>B</v>
      </c>
      <c r="M50" s="142">
        <v>2000</v>
      </c>
      <c r="N50" s="142">
        <v>2</v>
      </c>
      <c r="O50" s="179" t="str">
        <v>B</v>
      </c>
      <c r="Q50">
        <v>10</v>
      </c>
      <c r="R50" t="s">
        <v>147</v>
      </c>
      <c r="S50" t="s">
        <v>190</v>
      </c>
      <c r="T50" t="s">
        <v>148</v>
      </c>
      <c r="U50">
        <v>7415128</v>
      </c>
      <c r="V50" t="s">
        <v>149</v>
      </c>
      <c r="W50" t="s">
        <v>148</v>
      </c>
      <c r="X50">
        <v>3896003900</v>
      </c>
      <c r="Y50" t="s">
        <v>150</v>
      </c>
      <c r="Z50" t="s">
        <v>148</v>
      </c>
      <c r="AA50" t="s">
        <v>156</v>
      </c>
      <c r="AB50" t="s">
        <v>152</v>
      </c>
      <c r="AC50" t="s">
        <v>148</v>
      </c>
      <c r="AD50">
        <v>205116</v>
      </c>
      <c r="AE50" t="s">
        <v>153</v>
      </c>
      <c r="AF50" t="s">
        <v>148</v>
      </c>
      <c r="AG50" t="s">
        <v>156</v>
      </c>
      <c r="AH50" t="s">
        <v>154</v>
      </c>
      <c r="AI50" t="s">
        <v>148</v>
      </c>
      <c r="AJ50" t="s">
        <v>156</v>
      </c>
      <c r="AK50" t="s">
        <v>155</v>
      </c>
      <c r="AL50" t="s">
        <v>148</v>
      </c>
      <c r="AM50" t="s">
        <v>156</v>
      </c>
    </row>
    <row r="51" spans="1:39">
      <c r="A51" s="142">
        <v>3000</v>
      </c>
      <c r="B51" s="142">
        <v>0</v>
      </c>
      <c r="C51" s="142" t="str">
        <v>A</v>
      </c>
      <c r="D51" s="220">
        <v>3000</v>
      </c>
      <c r="E51" s="189">
        <v>0</v>
      </c>
      <c r="F51" s="220" t="str">
        <v>A</v>
      </c>
      <c r="G51" s="142">
        <v>3000</v>
      </c>
      <c r="H51" s="142">
        <v>0</v>
      </c>
      <c r="I51" s="179" t="str">
        <v>A</v>
      </c>
      <c r="J51" s="189">
        <v>3000</v>
      </c>
      <c r="K51" s="189">
        <v>0</v>
      </c>
      <c r="L51" s="189" t="str">
        <v>A</v>
      </c>
      <c r="M51" s="142">
        <v>3000</v>
      </c>
      <c r="N51" s="142">
        <v>0</v>
      </c>
      <c r="O51" s="179" t="str">
        <v>A</v>
      </c>
      <c r="Q51">
        <v>10</v>
      </c>
      <c r="R51" t="s">
        <v>147</v>
      </c>
      <c r="S51" t="s">
        <v>191</v>
      </c>
      <c r="T51" t="s">
        <v>148</v>
      </c>
      <c r="U51">
        <v>11788841</v>
      </c>
      <c r="V51" t="s">
        <v>149</v>
      </c>
      <c r="W51" t="s">
        <v>148</v>
      </c>
      <c r="X51">
        <v>16762301100</v>
      </c>
      <c r="Y51" t="s">
        <v>150</v>
      </c>
      <c r="Z51" t="s">
        <v>148</v>
      </c>
      <c r="AA51" t="s">
        <v>156</v>
      </c>
      <c r="AB51" t="s">
        <v>152</v>
      </c>
      <c r="AC51" t="s">
        <v>148</v>
      </c>
      <c r="AD51">
        <v>3221652</v>
      </c>
      <c r="AE51" t="s">
        <v>153</v>
      </c>
      <c r="AF51" t="s">
        <v>148</v>
      </c>
      <c r="AG51" t="s">
        <v>156</v>
      </c>
      <c r="AH51" t="s">
        <v>154</v>
      </c>
      <c r="AI51" t="s">
        <v>148</v>
      </c>
      <c r="AJ51" t="s">
        <v>156</v>
      </c>
      <c r="AK51" t="s">
        <v>155</v>
      </c>
      <c r="AL51" t="s">
        <v>148</v>
      </c>
      <c r="AM51" t="s">
        <v>156</v>
      </c>
    </row>
    <row r="52" spans="1:39">
      <c r="A52" s="142">
        <v>4000</v>
      </c>
      <c r="B52" s="142">
        <v>0</v>
      </c>
      <c r="C52" s="142" t="str">
        <v>A</v>
      </c>
      <c r="D52" s="220">
        <v>4000</v>
      </c>
      <c r="E52" s="189">
        <v>0</v>
      </c>
      <c r="F52" s="220" t="str">
        <v>A</v>
      </c>
      <c r="G52" s="142">
        <v>4000</v>
      </c>
      <c r="H52" s="142">
        <v>0</v>
      </c>
      <c r="I52" s="179" t="str">
        <v>A</v>
      </c>
      <c r="J52" s="189">
        <v>4000</v>
      </c>
      <c r="K52" s="189">
        <v>0</v>
      </c>
      <c r="L52" s="189" t="str">
        <v>A</v>
      </c>
      <c r="M52" s="142">
        <v>4000</v>
      </c>
      <c r="N52" s="142">
        <v>0</v>
      </c>
      <c r="O52" s="179" t="str">
        <v>A</v>
      </c>
      <c r="Q52">
        <v>10</v>
      </c>
      <c r="R52" t="s">
        <v>147</v>
      </c>
      <c r="S52" t="s">
        <v>21</v>
      </c>
      <c r="T52" t="s">
        <v>148</v>
      </c>
      <c r="U52">
        <v>100648</v>
      </c>
      <c r="V52" t="s">
        <v>149</v>
      </c>
      <c r="W52" t="s">
        <v>148</v>
      </c>
      <c r="X52">
        <v>253953400</v>
      </c>
      <c r="Y52" t="s">
        <v>150</v>
      </c>
      <c r="Z52" t="s">
        <v>148</v>
      </c>
      <c r="AA52" t="s">
        <v>156</v>
      </c>
      <c r="AB52" t="s">
        <v>152</v>
      </c>
      <c r="AC52" t="s">
        <v>148</v>
      </c>
      <c r="AD52">
        <v>10984</v>
      </c>
      <c r="AE52" t="s">
        <v>153</v>
      </c>
      <c r="AF52" t="s">
        <v>148</v>
      </c>
      <c r="AG52" t="s">
        <v>156</v>
      </c>
      <c r="AH52" t="s">
        <v>154</v>
      </c>
      <c r="AI52" t="s">
        <v>148</v>
      </c>
      <c r="AJ52" t="s">
        <v>156</v>
      </c>
      <c r="AK52" t="s">
        <v>155</v>
      </c>
      <c r="AL52" t="s">
        <v>148</v>
      </c>
      <c r="AM52" t="s">
        <v>156</v>
      </c>
    </row>
    <row r="53" spans="1:39">
      <c r="A53" s="142">
        <v>5000</v>
      </c>
      <c r="B53" s="142">
        <v>0</v>
      </c>
      <c r="C53" s="142" t="str">
        <v>A</v>
      </c>
      <c r="D53" s="220">
        <v>5000</v>
      </c>
      <c r="E53" s="189">
        <v>0</v>
      </c>
      <c r="F53" s="220" t="str">
        <v>A</v>
      </c>
      <c r="G53" s="142">
        <v>5000</v>
      </c>
      <c r="H53" s="142">
        <v>0</v>
      </c>
      <c r="I53" s="179" t="str">
        <v>A</v>
      </c>
      <c r="J53" s="189">
        <v>5000</v>
      </c>
      <c r="K53" s="189">
        <v>0</v>
      </c>
      <c r="L53" s="189" t="str">
        <v>A</v>
      </c>
      <c r="M53" s="142">
        <v>5000</v>
      </c>
      <c r="N53" s="142">
        <v>2</v>
      </c>
      <c r="O53" s="179" t="str">
        <v>B</v>
      </c>
      <c r="Q53">
        <v>10</v>
      </c>
      <c r="R53" t="s">
        <v>147</v>
      </c>
      <c r="S53" t="s">
        <v>192</v>
      </c>
      <c r="T53" t="s">
        <v>148</v>
      </c>
      <c r="U53">
        <v>4612010</v>
      </c>
      <c r="V53" t="s">
        <v>149</v>
      </c>
      <c r="W53" t="s">
        <v>148</v>
      </c>
      <c r="X53">
        <v>23060050000</v>
      </c>
      <c r="Y53" t="s">
        <v>150</v>
      </c>
      <c r="Z53" t="s">
        <v>148</v>
      </c>
      <c r="AA53">
        <v>268981</v>
      </c>
      <c r="AB53" t="s">
        <v>152</v>
      </c>
      <c r="AC53" t="s">
        <v>148</v>
      </c>
      <c r="AD53">
        <v>178899</v>
      </c>
      <c r="AE53" t="s">
        <v>153</v>
      </c>
      <c r="AF53" t="s">
        <v>148</v>
      </c>
      <c r="AG53" t="s">
        <v>156</v>
      </c>
      <c r="AH53" t="s">
        <v>154</v>
      </c>
      <c r="AI53" t="s">
        <v>148</v>
      </c>
      <c r="AJ53" t="s">
        <v>156</v>
      </c>
      <c r="AK53" t="s">
        <v>155</v>
      </c>
      <c r="AL53" t="s">
        <v>148</v>
      </c>
      <c r="AM53" t="s">
        <v>156</v>
      </c>
    </row>
    <row r="54" spans="1:39">
      <c r="A54" s="142">
        <v>6000</v>
      </c>
      <c r="B54" s="142">
        <v>0</v>
      </c>
      <c r="C54" s="142" t="str">
        <v>A</v>
      </c>
      <c r="D54" s="189">
        <v>6000</v>
      </c>
      <c r="E54" s="189">
        <v>0</v>
      </c>
      <c r="F54" s="189" t="str">
        <v>A</v>
      </c>
      <c r="G54" s="142">
        <v>6000</v>
      </c>
      <c r="H54" s="142">
        <v>0</v>
      </c>
      <c r="I54" s="142" t="str">
        <v>A</v>
      </c>
      <c r="J54" s="189">
        <v>6000</v>
      </c>
      <c r="K54" s="189">
        <v>0</v>
      </c>
      <c r="L54" s="189" t="str">
        <v>A</v>
      </c>
      <c r="M54" s="142">
        <v>6000</v>
      </c>
      <c r="N54" s="142">
        <v>0</v>
      </c>
      <c r="O54" s="142" t="str">
        <v>A</v>
      </c>
      <c r="Q54">
        <v>10</v>
      </c>
      <c r="R54" t="s">
        <v>147</v>
      </c>
      <c r="S54" t="s">
        <v>22</v>
      </c>
      <c r="T54" t="s">
        <v>148</v>
      </c>
      <c r="U54">
        <v>5499076</v>
      </c>
      <c r="V54" t="s">
        <v>149</v>
      </c>
      <c r="W54" t="s">
        <v>148</v>
      </c>
      <c r="X54">
        <v>29494145200</v>
      </c>
      <c r="Y54" t="s">
        <v>150</v>
      </c>
      <c r="Z54" t="s">
        <v>148</v>
      </c>
      <c r="AA54">
        <v>378680</v>
      </c>
      <c r="AB54" t="s">
        <v>152</v>
      </c>
      <c r="AC54" t="s">
        <v>148</v>
      </c>
      <c r="AD54">
        <v>1277601</v>
      </c>
      <c r="AE54" t="s">
        <v>153</v>
      </c>
      <c r="AF54" t="s">
        <v>148</v>
      </c>
      <c r="AG54" t="s">
        <v>156</v>
      </c>
      <c r="AH54" t="s">
        <v>154</v>
      </c>
      <c r="AI54" t="s">
        <v>148</v>
      </c>
      <c r="AJ54" t="s">
        <v>156</v>
      </c>
      <c r="AK54" t="s">
        <v>155</v>
      </c>
      <c r="AL54" t="s">
        <v>148</v>
      </c>
      <c r="AM54" t="s">
        <v>156</v>
      </c>
    </row>
    <row r="55" spans="1:39" ht="16.8" thickBot="1">
      <c r="A55" s="143">
        <v>7000</v>
      </c>
      <c r="B55" s="143">
        <v>0</v>
      </c>
      <c r="C55" s="143" t="str">
        <v>A</v>
      </c>
      <c r="D55" s="190">
        <v>7000</v>
      </c>
      <c r="E55" s="190">
        <v>0</v>
      </c>
      <c r="F55" s="190" t="str">
        <v>A</v>
      </c>
      <c r="G55" s="143">
        <v>7000</v>
      </c>
      <c r="H55" s="143">
        <v>0</v>
      </c>
      <c r="I55" s="143" t="str">
        <v>A</v>
      </c>
      <c r="J55" s="190">
        <v>7000</v>
      </c>
      <c r="K55" s="190">
        <v>0</v>
      </c>
      <c r="L55" s="190" t="str">
        <v>A</v>
      </c>
      <c r="M55" s="143">
        <v>7000</v>
      </c>
      <c r="N55" s="143">
        <v>1</v>
      </c>
      <c r="O55" s="143" t="str">
        <v>B</v>
      </c>
      <c r="Q55">
        <v>10</v>
      </c>
      <c r="R55" t="s">
        <v>147</v>
      </c>
      <c r="S55" t="s">
        <v>209</v>
      </c>
      <c r="T55" t="s">
        <v>148</v>
      </c>
      <c r="U55">
        <v>20968</v>
      </c>
      <c r="V55" t="s">
        <v>149</v>
      </c>
      <c r="W55" t="s">
        <v>148</v>
      </c>
      <c r="X55">
        <v>134158000</v>
      </c>
      <c r="Y55" t="s">
        <v>150</v>
      </c>
      <c r="Z55" t="s">
        <v>148</v>
      </c>
      <c r="AA55">
        <v>3923</v>
      </c>
      <c r="AB55" t="s">
        <v>152</v>
      </c>
      <c r="AC55" t="s">
        <v>148</v>
      </c>
      <c r="AD55">
        <v>17045</v>
      </c>
      <c r="AE55" t="s">
        <v>153</v>
      </c>
      <c r="AF55" t="s">
        <v>148</v>
      </c>
      <c r="AG55" t="s">
        <v>156</v>
      </c>
      <c r="AH55" t="s">
        <v>154</v>
      </c>
      <c r="AI55" t="s">
        <v>148</v>
      </c>
      <c r="AJ55" t="s">
        <v>156</v>
      </c>
      <c r="AK55" t="s">
        <v>155</v>
      </c>
      <c r="AL55" t="s">
        <v>148</v>
      </c>
      <c r="AM55" t="s">
        <v>156</v>
      </c>
    </row>
    <row r="56" spans="1:39">
      <c r="Q56">
        <v>10</v>
      </c>
      <c r="R56" t="s">
        <v>147</v>
      </c>
      <c r="S56" t="s">
        <v>193</v>
      </c>
      <c r="T56" t="s">
        <v>148</v>
      </c>
      <c r="U56">
        <v>1355325</v>
      </c>
      <c r="V56" t="s">
        <v>149</v>
      </c>
      <c r="W56" t="s">
        <v>148</v>
      </c>
      <c r="X56">
        <v>13553250000</v>
      </c>
      <c r="Y56" t="s">
        <v>150</v>
      </c>
      <c r="Z56" t="s">
        <v>148</v>
      </c>
      <c r="AA56">
        <v>131795</v>
      </c>
      <c r="AB56" t="s">
        <v>152</v>
      </c>
      <c r="AC56" t="s">
        <v>148</v>
      </c>
      <c r="AD56">
        <v>67752</v>
      </c>
      <c r="AE56" t="s">
        <v>153</v>
      </c>
      <c r="AF56" t="s">
        <v>148</v>
      </c>
      <c r="AG56" t="s">
        <v>156</v>
      </c>
      <c r="AH56" t="s">
        <v>154</v>
      </c>
      <c r="AI56" t="s">
        <v>148</v>
      </c>
      <c r="AJ56" t="s">
        <v>156</v>
      </c>
      <c r="AK56" t="s">
        <v>155</v>
      </c>
      <c r="AL56" t="s">
        <v>148</v>
      </c>
      <c r="AM56" t="s">
        <v>156</v>
      </c>
    </row>
    <row r="57" spans="1:39">
      <c r="Q57">
        <v>10</v>
      </c>
      <c r="R57" t="s">
        <v>147</v>
      </c>
      <c r="S57" t="s">
        <v>23</v>
      </c>
      <c r="T57" t="s">
        <v>148</v>
      </c>
      <c r="U57">
        <v>2855420</v>
      </c>
      <c r="V57" t="s">
        <v>149</v>
      </c>
      <c r="W57" t="s">
        <v>148</v>
      </c>
      <c r="X57">
        <v>31772202800</v>
      </c>
      <c r="Y57" t="s">
        <v>150</v>
      </c>
      <c r="Z57" t="s">
        <v>148</v>
      </c>
      <c r="AA57">
        <v>331940</v>
      </c>
      <c r="AB57" t="s">
        <v>152</v>
      </c>
      <c r="AC57" t="s">
        <v>148</v>
      </c>
      <c r="AD57">
        <v>646601</v>
      </c>
      <c r="AE57" t="s">
        <v>153</v>
      </c>
      <c r="AF57" t="s">
        <v>148</v>
      </c>
      <c r="AG57" t="s">
        <v>156</v>
      </c>
      <c r="AH57" t="s">
        <v>154</v>
      </c>
      <c r="AI57" t="s">
        <v>148</v>
      </c>
      <c r="AJ57" t="s">
        <v>156</v>
      </c>
      <c r="AK57" t="s">
        <v>155</v>
      </c>
      <c r="AL57" t="s">
        <v>148</v>
      </c>
      <c r="AM57" t="s">
        <v>156</v>
      </c>
    </row>
    <row r="58" spans="1:39">
      <c r="Q58">
        <v>10</v>
      </c>
      <c r="R58" t="s">
        <v>147</v>
      </c>
      <c r="S58" t="s">
        <v>194</v>
      </c>
      <c r="T58" t="s">
        <v>148</v>
      </c>
      <c r="U58">
        <v>1474212</v>
      </c>
      <c r="V58" t="s">
        <v>149</v>
      </c>
      <c r="W58" t="s">
        <v>148</v>
      </c>
      <c r="X58">
        <v>24782784000</v>
      </c>
      <c r="Y58" t="s">
        <v>150</v>
      </c>
      <c r="Z58" t="s">
        <v>148</v>
      </c>
      <c r="AA58">
        <v>673381</v>
      </c>
      <c r="AB58" t="s">
        <v>152</v>
      </c>
      <c r="AC58" t="s">
        <v>148</v>
      </c>
      <c r="AD58">
        <v>332679</v>
      </c>
      <c r="AE58" t="s">
        <v>153</v>
      </c>
      <c r="AF58" t="s">
        <v>148</v>
      </c>
      <c r="AG58" t="s">
        <v>156</v>
      </c>
      <c r="AH58" t="s">
        <v>154</v>
      </c>
      <c r="AI58" t="s">
        <v>148</v>
      </c>
      <c r="AJ58" t="s">
        <v>156</v>
      </c>
      <c r="AK58" t="s">
        <v>155</v>
      </c>
      <c r="AL58" t="s">
        <v>148</v>
      </c>
      <c r="AM58" t="s">
        <v>156</v>
      </c>
    </row>
    <row r="59" spans="1:39">
      <c r="Q59">
        <v>10</v>
      </c>
      <c r="R59" t="s">
        <v>147</v>
      </c>
      <c r="S59" t="s">
        <v>195</v>
      </c>
      <c r="T59" t="s">
        <v>148</v>
      </c>
      <c r="U59">
        <v>1320667</v>
      </c>
      <c r="V59" t="s">
        <v>149</v>
      </c>
      <c r="W59" t="s">
        <v>148</v>
      </c>
      <c r="X59">
        <v>28668130700</v>
      </c>
      <c r="Y59" t="s">
        <v>150</v>
      </c>
      <c r="Z59" t="s">
        <v>148</v>
      </c>
      <c r="AA59">
        <v>507153</v>
      </c>
      <c r="AB59" t="s">
        <v>152</v>
      </c>
      <c r="AC59" t="s">
        <v>148</v>
      </c>
      <c r="AD59">
        <v>110533</v>
      </c>
      <c r="AE59" t="s">
        <v>153</v>
      </c>
      <c r="AF59" t="s">
        <v>148</v>
      </c>
      <c r="AG59" t="s">
        <v>156</v>
      </c>
      <c r="AH59" t="s">
        <v>154</v>
      </c>
      <c r="AI59" t="s">
        <v>148</v>
      </c>
      <c r="AJ59" t="s">
        <v>156</v>
      </c>
      <c r="AK59" t="s">
        <v>155</v>
      </c>
      <c r="AL59" t="s">
        <v>148</v>
      </c>
      <c r="AM59" t="s">
        <v>156</v>
      </c>
    </row>
    <row r="60" spans="1:39">
      <c r="Q60">
        <v>10</v>
      </c>
      <c r="R60" t="s">
        <v>147</v>
      </c>
      <c r="S60" t="s">
        <v>196</v>
      </c>
      <c r="T60" t="s">
        <v>148</v>
      </c>
      <c r="U60">
        <v>550778</v>
      </c>
      <c r="V60" t="s">
        <v>149</v>
      </c>
      <c r="W60" t="s">
        <v>148</v>
      </c>
      <c r="X60">
        <v>14981174800</v>
      </c>
      <c r="Y60" t="s">
        <v>150</v>
      </c>
      <c r="Z60" t="s">
        <v>148</v>
      </c>
      <c r="AA60">
        <v>204062</v>
      </c>
      <c r="AB60" t="s">
        <v>152</v>
      </c>
      <c r="AC60" t="s">
        <v>148</v>
      </c>
      <c r="AD60">
        <v>13523</v>
      </c>
      <c r="AE60" t="s">
        <v>153</v>
      </c>
      <c r="AF60" t="s">
        <v>148</v>
      </c>
      <c r="AG60" t="s">
        <v>156</v>
      </c>
      <c r="AH60" t="s">
        <v>154</v>
      </c>
      <c r="AI60" t="s">
        <v>148</v>
      </c>
      <c r="AJ60" t="s">
        <v>156</v>
      </c>
      <c r="AK60" t="s">
        <v>155</v>
      </c>
      <c r="AL60" t="s">
        <v>148</v>
      </c>
      <c r="AM60" t="s">
        <v>156</v>
      </c>
    </row>
    <row r="61" spans="1:39">
      <c r="Q61">
        <v>10</v>
      </c>
      <c r="R61" t="s">
        <v>147</v>
      </c>
      <c r="S61" t="s">
        <v>197</v>
      </c>
      <c r="T61" t="s">
        <v>148</v>
      </c>
      <c r="U61">
        <v>522663</v>
      </c>
      <c r="V61" t="s">
        <v>149</v>
      </c>
      <c r="W61" t="s">
        <v>148</v>
      </c>
      <c r="X61">
        <v>26110436600</v>
      </c>
      <c r="Y61" t="s">
        <v>150</v>
      </c>
      <c r="Z61" t="s">
        <v>148</v>
      </c>
      <c r="AA61">
        <v>118414</v>
      </c>
      <c r="AB61" t="s">
        <v>152</v>
      </c>
      <c r="AC61" t="s">
        <v>148</v>
      </c>
      <c r="AD61">
        <v>8360</v>
      </c>
      <c r="AE61" t="s">
        <v>153</v>
      </c>
      <c r="AF61" t="s">
        <v>148</v>
      </c>
      <c r="AG61" t="s">
        <v>156</v>
      </c>
      <c r="AH61" t="s">
        <v>154</v>
      </c>
      <c r="AI61" t="s">
        <v>148</v>
      </c>
      <c r="AJ61" t="s">
        <v>156</v>
      </c>
      <c r="AK61" t="s">
        <v>155</v>
      </c>
      <c r="AL61" t="s">
        <v>148</v>
      </c>
      <c r="AM61" t="s">
        <v>156</v>
      </c>
    </row>
    <row r="62" spans="1:39">
      <c r="Q62">
        <v>10</v>
      </c>
      <c r="R62" t="s">
        <v>147</v>
      </c>
      <c r="S62" t="s">
        <v>198</v>
      </c>
      <c r="T62" t="s">
        <v>148</v>
      </c>
      <c r="U62">
        <v>1074406</v>
      </c>
      <c r="V62" t="s">
        <v>149</v>
      </c>
      <c r="W62" t="s">
        <v>148</v>
      </c>
      <c r="X62">
        <v>56526294400</v>
      </c>
      <c r="Y62" t="s">
        <v>150</v>
      </c>
      <c r="Z62" t="s">
        <v>148</v>
      </c>
      <c r="AA62">
        <v>169653</v>
      </c>
      <c r="AB62" t="s">
        <v>152</v>
      </c>
      <c r="AC62" t="s">
        <v>148</v>
      </c>
      <c r="AD62">
        <v>169125</v>
      </c>
      <c r="AE62" t="s">
        <v>153</v>
      </c>
      <c r="AF62" t="s">
        <v>148</v>
      </c>
      <c r="AG62" t="s">
        <v>156</v>
      </c>
      <c r="AH62" t="s">
        <v>154</v>
      </c>
      <c r="AI62" t="s">
        <v>148</v>
      </c>
      <c r="AJ62" t="s">
        <v>156</v>
      </c>
      <c r="AK62" t="s">
        <v>155</v>
      </c>
      <c r="AL62" t="s">
        <v>148</v>
      </c>
      <c r="AM62" t="s">
        <v>156</v>
      </c>
    </row>
    <row r="63" spans="1:39">
      <c r="Q63">
        <v>10</v>
      </c>
      <c r="R63" t="s">
        <v>147</v>
      </c>
      <c r="S63" t="s">
        <v>199</v>
      </c>
      <c r="T63" t="s">
        <v>148</v>
      </c>
      <c r="U63">
        <v>21938</v>
      </c>
      <c r="V63" t="s">
        <v>149</v>
      </c>
      <c r="W63" t="s">
        <v>148</v>
      </c>
      <c r="X63">
        <v>2193800000</v>
      </c>
      <c r="Y63" t="s">
        <v>150</v>
      </c>
      <c r="Z63" t="s">
        <v>148</v>
      </c>
      <c r="AA63">
        <v>6856</v>
      </c>
      <c r="AB63" t="s">
        <v>152</v>
      </c>
      <c r="AC63" t="s">
        <v>148</v>
      </c>
      <c r="AD63">
        <v>520</v>
      </c>
      <c r="AE63" t="s">
        <v>153</v>
      </c>
      <c r="AF63" t="s">
        <v>148</v>
      </c>
      <c r="AG63" t="s">
        <v>156</v>
      </c>
      <c r="AH63" t="s">
        <v>154</v>
      </c>
      <c r="AI63" t="s">
        <v>148</v>
      </c>
      <c r="AJ63" t="s">
        <v>156</v>
      </c>
      <c r="AK63" t="s">
        <v>155</v>
      </c>
      <c r="AL63" t="s">
        <v>148</v>
      </c>
      <c r="AM63" t="s">
        <v>156</v>
      </c>
    </row>
    <row r="64" spans="1:39">
      <c r="Q64">
        <v>10</v>
      </c>
      <c r="R64" t="s">
        <v>147</v>
      </c>
      <c r="S64" t="s">
        <v>200</v>
      </c>
      <c r="T64" t="s">
        <v>148</v>
      </c>
      <c r="U64">
        <v>30001</v>
      </c>
      <c r="V64" t="s">
        <v>149</v>
      </c>
      <c r="W64" t="s">
        <v>148</v>
      </c>
      <c r="X64">
        <v>3114223100</v>
      </c>
      <c r="Y64" t="s">
        <v>150</v>
      </c>
      <c r="Z64" t="s">
        <v>148</v>
      </c>
      <c r="AA64">
        <v>6447</v>
      </c>
      <c r="AB64" t="s">
        <v>152</v>
      </c>
      <c r="AC64" t="s">
        <v>148</v>
      </c>
      <c r="AD64">
        <v>5712</v>
      </c>
      <c r="AE64" t="s">
        <v>153</v>
      </c>
      <c r="AF64" t="s">
        <v>148</v>
      </c>
      <c r="AG64" t="s">
        <v>156</v>
      </c>
      <c r="AH64" t="s">
        <v>154</v>
      </c>
      <c r="AI64" t="s">
        <v>148</v>
      </c>
      <c r="AJ64" t="s">
        <v>156</v>
      </c>
      <c r="AK64" t="s">
        <v>155</v>
      </c>
      <c r="AL64" t="s">
        <v>148</v>
      </c>
      <c r="AM64" t="s">
        <v>156</v>
      </c>
    </row>
    <row r="65" spans="17:39">
      <c r="Q65">
        <v>10</v>
      </c>
      <c r="R65" t="s">
        <v>147</v>
      </c>
      <c r="S65" t="s">
        <v>201</v>
      </c>
      <c r="T65" t="s">
        <v>148</v>
      </c>
      <c r="U65">
        <v>310</v>
      </c>
      <c r="V65" t="s">
        <v>149</v>
      </c>
      <c r="W65" t="s">
        <v>148</v>
      </c>
      <c r="X65">
        <v>47209000</v>
      </c>
      <c r="Y65" t="s">
        <v>150</v>
      </c>
      <c r="Z65" t="s">
        <v>148</v>
      </c>
      <c r="AA65">
        <v>106</v>
      </c>
      <c r="AB65" t="s">
        <v>152</v>
      </c>
      <c r="AC65" t="s">
        <v>148</v>
      </c>
      <c r="AD65">
        <v>48</v>
      </c>
      <c r="AE65" t="s">
        <v>153</v>
      </c>
      <c r="AF65" t="s">
        <v>148</v>
      </c>
      <c r="AG65" t="s">
        <v>156</v>
      </c>
      <c r="AH65" t="s">
        <v>154</v>
      </c>
      <c r="AI65" t="s">
        <v>148</v>
      </c>
      <c r="AJ65" t="s">
        <v>156</v>
      </c>
      <c r="AK65" t="s">
        <v>155</v>
      </c>
      <c r="AL65" t="s">
        <v>148</v>
      </c>
      <c r="AM65" t="s">
        <v>156</v>
      </c>
    </row>
    <row r="66" spans="17:39">
      <c r="Q66">
        <v>10</v>
      </c>
      <c r="R66" t="s">
        <v>147</v>
      </c>
      <c r="S66" t="s">
        <v>205</v>
      </c>
      <c r="T66" t="s">
        <v>148</v>
      </c>
      <c r="U66">
        <v>10082</v>
      </c>
      <c r="V66" t="s">
        <v>149</v>
      </c>
      <c r="W66" t="s">
        <v>148</v>
      </c>
      <c r="X66">
        <v>2016400000</v>
      </c>
      <c r="Y66" t="s">
        <v>150</v>
      </c>
      <c r="Z66" t="s">
        <v>148</v>
      </c>
      <c r="AA66">
        <v>8679</v>
      </c>
      <c r="AB66" t="s">
        <v>152</v>
      </c>
      <c r="AC66" t="s">
        <v>148</v>
      </c>
      <c r="AD66">
        <v>13</v>
      </c>
      <c r="AE66" t="s">
        <v>153</v>
      </c>
      <c r="AF66" t="s">
        <v>148</v>
      </c>
      <c r="AG66" t="s">
        <v>156</v>
      </c>
      <c r="AH66" t="s">
        <v>154</v>
      </c>
      <c r="AI66" t="s">
        <v>148</v>
      </c>
      <c r="AJ66" t="s">
        <v>156</v>
      </c>
      <c r="AK66" t="s">
        <v>155</v>
      </c>
      <c r="AL66" t="s">
        <v>148</v>
      </c>
      <c r="AM66" t="s">
        <v>156</v>
      </c>
    </row>
    <row r="67" spans="17:39">
      <c r="Q67">
        <v>10</v>
      </c>
      <c r="R67" t="s">
        <v>147</v>
      </c>
      <c r="S67" t="s">
        <v>203</v>
      </c>
      <c r="T67" t="s">
        <v>148</v>
      </c>
      <c r="U67">
        <v>337</v>
      </c>
      <c r="V67" t="s">
        <v>149</v>
      </c>
      <c r="W67" t="s">
        <v>148</v>
      </c>
      <c r="X67">
        <v>173072000</v>
      </c>
      <c r="Y67" t="s">
        <v>150</v>
      </c>
      <c r="Z67" t="s">
        <v>148</v>
      </c>
      <c r="AA67" t="s">
        <v>156</v>
      </c>
      <c r="AB67" t="s">
        <v>152</v>
      </c>
      <c r="AC67" t="s">
        <v>148</v>
      </c>
      <c r="AD67" t="s">
        <v>156</v>
      </c>
      <c r="AE67" t="s">
        <v>153</v>
      </c>
      <c r="AF67" t="s">
        <v>148</v>
      </c>
      <c r="AG67" t="s">
        <v>156</v>
      </c>
      <c r="AH67" t="s">
        <v>154</v>
      </c>
      <c r="AI67" t="s">
        <v>148</v>
      </c>
      <c r="AJ67" t="s">
        <v>156</v>
      </c>
      <c r="AK67" t="s">
        <v>155</v>
      </c>
      <c r="AL67" t="s">
        <v>148</v>
      </c>
      <c r="AM67" t="s">
        <v>156</v>
      </c>
    </row>
    <row r="69" spans="17:39">
      <c r="Q69">
        <v>50</v>
      </c>
      <c r="R69" t="s">
        <v>147</v>
      </c>
      <c r="S69">
        <v>0</v>
      </c>
      <c r="T69" t="s">
        <v>148</v>
      </c>
      <c r="U69">
        <v>6506044</v>
      </c>
      <c r="V69" t="s">
        <v>149</v>
      </c>
      <c r="W69" t="s">
        <v>148</v>
      </c>
      <c r="X69">
        <v>42781394500</v>
      </c>
      <c r="Y69" t="s">
        <v>150</v>
      </c>
      <c r="Z69" t="s">
        <v>148</v>
      </c>
      <c r="AA69" t="s">
        <v>156</v>
      </c>
      <c r="AB69" t="s">
        <v>152</v>
      </c>
      <c r="AC69" t="s">
        <v>148</v>
      </c>
      <c r="AD69">
        <v>39838</v>
      </c>
      <c r="AE69" t="s">
        <v>153</v>
      </c>
      <c r="AF69" t="s">
        <v>148</v>
      </c>
      <c r="AG69" t="s">
        <v>156</v>
      </c>
      <c r="AH69" t="s">
        <v>154</v>
      </c>
      <c r="AI69" t="s">
        <v>148</v>
      </c>
      <c r="AJ69" t="s">
        <v>156</v>
      </c>
      <c r="AK69" t="s">
        <v>155</v>
      </c>
      <c r="AL69" t="s">
        <v>148</v>
      </c>
      <c r="AM69" t="s">
        <v>156</v>
      </c>
    </row>
    <row r="70" spans="17:39">
      <c r="Q70">
        <v>50</v>
      </c>
      <c r="R70" t="s">
        <v>147</v>
      </c>
      <c r="S70">
        <v>1</v>
      </c>
      <c r="T70" t="s">
        <v>148</v>
      </c>
      <c r="U70">
        <v>100165</v>
      </c>
      <c r="V70" t="s">
        <v>149</v>
      </c>
      <c r="W70" t="s">
        <v>148</v>
      </c>
      <c r="X70">
        <v>3671532000</v>
      </c>
      <c r="Y70" t="s">
        <v>150</v>
      </c>
      <c r="Z70" t="s">
        <v>148</v>
      </c>
      <c r="AA70" t="s">
        <v>156</v>
      </c>
      <c r="AB70" t="s">
        <v>152</v>
      </c>
      <c r="AC70" t="s">
        <v>148</v>
      </c>
      <c r="AD70">
        <v>24021</v>
      </c>
      <c r="AE70" t="s">
        <v>153</v>
      </c>
      <c r="AF70" t="s">
        <v>148</v>
      </c>
      <c r="AG70" t="s">
        <v>156</v>
      </c>
      <c r="AH70" t="s">
        <v>154</v>
      </c>
      <c r="AI70" t="s">
        <v>148</v>
      </c>
      <c r="AJ70" t="s">
        <v>156</v>
      </c>
      <c r="AK70" t="s">
        <v>155</v>
      </c>
      <c r="AL70" t="s">
        <v>148</v>
      </c>
      <c r="AM70" t="s">
        <v>156</v>
      </c>
    </row>
    <row r="71" spans="17:39">
      <c r="Q71">
        <v>50</v>
      </c>
      <c r="R71" t="s">
        <v>147</v>
      </c>
      <c r="S71">
        <v>4</v>
      </c>
      <c r="T71" t="s">
        <v>148</v>
      </c>
      <c r="U71">
        <v>4408787</v>
      </c>
      <c r="V71" t="s">
        <v>149</v>
      </c>
      <c r="W71" t="s">
        <v>148</v>
      </c>
      <c r="X71">
        <v>481053078500</v>
      </c>
      <c r="Y71" t="s">
        <v>150</v>
      </c>
      <c r="Z71" t="s">
        <v>148</v>
      </c>
      <c r="AA71" t="s">
        <v>156</v>
      </c>
      <c r="AB71" t="s">
        <v>152</v>
      </c>
      <c r="AC71" t="s">
        <v>148</v>
      </c>
      <c r="AD71">
        <v>664077</v>
      </c>
      <c r="AE71" t="s">
        <v>153</v>
      </c>
      <c r="AF71" t="s">
        <v>148</v>
      </c>
      <c r="AG71" t="s">
        <v>156</v>
      </c>
      <c r="AH71" t="s">
        <v>154</v>
      </c>
      <c r="AI71" t="s">
        <v>148</v>
      </c>
      <c r="AJ71" t="s">
        <v>156</v>
      </c>
      <c r="AK71" t="s">
        <v>155</v>
      </c>
      <c r="AL71" t="s">
        <v>148</v>
      </c>
      <c r="AM71" t="s">
        <v>156</v>
      </c>
    </row>
    <row r="72" spans="17:39">
      <c r="Q72">
        <v>50</v>
      </c>
      <c r="R72" t="s">
        <v>147</v>
      </c>
      <c r="S72">
        <v>5</v>
      </c>
      <c r="T72" t="s">
        <v>148</v>
      </c>
      <c r="U72">
        <v>199778</v>
      </c>
      <c r="V72" t="s">
        <v>149</v>
      </c>
      <c r="W72" t="s">
        <v>148</v>
      </c>
      <c r="X72">
        <v>26586832500</v>
      </c>
      <c r="Y72" t="s">
        <v>150</v>
      </c>
      <c r="Z72" t="s">
        <v>148</v>
      </c>
      <c r="AA72" t="s">
        <v>156</v>
      </c>
      <c r="AB72" t="s">
        <v>152</v>
      </c>
      <c r="AC72" t="s">
        <v>148</v>
      </c>
      <c r="AD72">
        <v>7208</v>
      </c>
      <c r="AE72" t="s">
        <v>153</v>
      </c>
      <c r="AF72" t="s">
        <v>148</v>
      </c>
      <c r="AG72" t="s">
        <v>156</v>
      </c>
      <c r="AH72" t="s">
        <v>154</v>
      </c>
      <c r="AI72" t="s">
        <v>148</v>
      </c>
      <c r="AJ72" t="s">
        <v>156</v>
      </c>
      <c r="AK72" t="s">
        <v>155</v>
      </c>
      <c r="AL72" t="s">
        <v>148</v>
      </c>
      <c r="AM72" t="s">
        <v>156</v>
      </c>
    </row>
    <row r="73" spans="17:39">
      <c r="Q73">
        <v>50</v>
      </c>
      <c r="R73" t="s">
        <v>147</v>
      </c>
      <c r="S73">
        <v>9</v>
      </c>
      <c r="T73" t="s">
        <v>148</v>
      </c>
      <c r="U73">
        <v>899364</v>
      </c>
      <c r="V73" t="s">
        <v>149</v>
      </c>
      <c r="W73" t="s">
        <v>148</v>
      </c>
      <c r="X73">
        <v>224841000000</v>
      </c>
      <c r="Y73" t="s">
        <v>150</v>
      </c>
      <c r="Z73" t="s">
        <v>148</v>
      </c>
      <c r="AA73">
        <v>160103</v>
      </c>
      <c r="AB73" t="s">
        <v>152</v>
      </c>
      <c r="AC73" t="s">
        <v>148</v>
      </c>
      <c r="AD73">
        <v>39370</v>
      </c>
      <c r="AE73" t="s">
        <v>153</v>
      </c>
      <c r="AF73" t="s">
        <v>148</v>
      </c>
      <c r="AG73" t="s">
        <v>156</v>
      </c>
      <c r="AH73" t="s">
        <v>154</v>
      </c>
      <c r="AI73" t="s">
        <v>148</v>
      </c>
      <c r="AJ73" t="s">
        <v>156</v>
      </c>
      <c r="AK73" t="s">
        <v>155</v>
      </c>
      <c r="AL73" t="s">
        <v>148</v>
      </c>
      <c r="AM73" t="s">
        <v>156</v>
      </c>
    </row>
    <row r="74" spans="17:39">
      <c r="Q74">
        <v>50</v>
      </c>
      <c r="R74" t="s">
        <v>147</v>
      </c>
      <c r="S74">
        <v>10</v>
      </c>
      <c r="T74" t="s">
        <v>148</v>
      </c>
      <c r="U74">
        <v>628933</v>
      </c>
      <c r="V74" t="s">
        <v>149</v>
      </c>
      <c r="W74" t="s">
        <v>148</v>
      </c>
      <c r="X74">
        <v>166558437500</v>
      </c>
      <c r="Y74" t="s">
        <v>150</v>
      </c>
      <c r="Z74" t="s">
        <v>148</v>
      </c>
      <c r="AA74">
        <v>101154</v>
      </c>
      <c r="AB74" t="s">
        <v>152</v>
      </c>
      <c r="AC74" t="s">
        <v>148</v>
      </c>
      <c r="AD74">
        <v>144415</v>
      </c>
      <c r="AE74" t="s">
        <v>153</v>
      </c>
      <c r="AF74" t="s">
        <v>148</v>
      </c>
      <c r="AG74" t="s">
        <v>156</v>
      </c>
      <c r="AH74" t="s">
        <v>154</v>
      </c>
      <c r="AI74" t="s">
        <v>148</v>
      </c>
      <c r="AJ74" t="s">
        <v>156</v>
      </c>
      <c r="AK74" t="s">
        <v>155</v>
      </c>
      <c r="AL74" t="s">
        <v>148</v>
      </c>
      <c r="AM74" t="s">
        <v>156</v>
      </c>
    </row>
    <row r="75" spans="17:39">
      <c r="Q75">
        <v>50</v>
      </c>
      <c r="R75" t="s">
        <v>147</v>
      </c>
      <c r="S75">
        <v>15</v>
      </c>
      <c r="T75" t="s">
        <v>148</v>
      </c>
      <c r="U75">
        <v>599905</v>
      </c>
      <c r="V75" t="s">
        <v>149</v>
      </c>
      <c r="W75" t="s">
        <v>148</v>
      </c>
      <c r="X75">
        <v>297626927500</v>
      </c>
      <c r="Y75" t="s">
        <v>150</v>
      </c>
      <c r="Z75" t="s">
        <v>148</v>
      </c>
      <c r="AA75">
        <v>108888</v>
      </c>
      <c r="AB75" t="s">
        <v>152</v>
      </c>
      <c r="AC75" t="s">
        <v>148</v>
      </c>
      <c r="AD75">
        <v>32608</v>
      </c>
      <c r="AE75" t="s">
        <v>153</v>
      </c>
      <c r="AF75" t="s">
        <v>148</v>
      </c>
      <c r="AG75" t="s">
        <v>156</v>
      </c>
      <c r="AH75" t="s">
        <v>154</v>
      </c>
      <c r="AI75" t="s">
        <v>148</v>
      </c>
      <c r="AJ75" t="s">
        <v>156</v>
      </c>
      <c r="AK75" t="s">
        <v>155</v>
      </c>
      <c r="AL75" t="s">
        <v>148</v>
      </c>
      <c r="AM75" t="s">
        <v>156</v>
      </c>
    </row>
    <row r="76" spans="17:39">
      <c r="Q76">
        <v>50</v>
      </c>
      <c r="R76" t="s">
        <v>147</v>
      </c>
      <c r="S76">
        <v>20</v>
      </c>
      <c r="T76" t="s">
        <v>148</v>
      </c>
      <c r="U76">
        <v>359511</v>
      </c>
      <c r="V76" t="s">
        <v>149</v>
      </c>
      <c r="W76" t="s">
        <v>148</v>
      </c>
      <c r="X76">
        <v>186911532000</v>
      </c>
      <c r="Y76" t="s">
        <v>150</v>
      </c>
      <c r="Z76" t="s">
        <v>148</v>
      </c>
      <c r="AA76">
        <v>51362</v>
      </c>
      <c r="AB76" t="s">
        <v>152</v>
      </c>
      <c r="AC76" t="s">
        <v>148</v>
      </c>
      <c r="AD76">
        <v>99823</v>
      </c>
      <c r="AE76" t="s">
        <v>153</v>
      </c>
      <c r="AF76" t="s">
        <v>148</v>
      </c>
      <c r="AG76" t="s">
        <v>156</v>
      </c>
      <c r="AH76" t="s">
        <v>154</v>
      </c>
      <c r="AI76" t="s">
        <v>148</v>
      </c>
      <c r="AJ76" t="s">
        <v>156</v>
      </c>
      <c r="AK76" t="s">
        <v>155</v>
      </c>
      <c r="AL76" t="s">
        <v>148</v>
      </c>
      <c r="AM76" t="s">
        <v>156</v>
      </c>
    </row>
    <row r="77" spans="17:39">
      <c r="Q77">
        <v>50</v>
      </c>
      <c r="R77" t="s">
        <v>147</v>
      </c>
      <c r="S77">
        <v>25</v>
      </c>
      <c r="T77" t="s">
        <v>148</v>
      </c>
      <c r="U77">
        <v>122810</v>
      </c>
      <c r="V77" t="s">
        <v>149</v>
      </c>
      <c r="W77" t="s">
        <v>148</v>
      </c>
      <c r="X77">
        <v>92041948500</v>
      </c>
      <c r="Y77" t="s">
        <v>150</v>
      </c>
      <c r="Z77" t="s">
        <v>148</v>
      </c>
      <c r="AA77">
        <v>111373</v>
      </c>
      <c r="AB77" t="s">
        <v>152</v>
      </c>
      <c r="AC77" t="s">
        <v>148</v>
      </c>
      <c r="AD77">
        <v>1910</v>
      </c>
      <c r="AE77" t="s">
        <v>153</v>
      </c>
      <c r="AF77" t="s">
        <v>148</v>
      </c>
      <c r="AG77" t="s">
        <v>156</v>
      </c>
      <c r="AH77" t="s">
        <v>154</v>
      </c>
      <c r="AI77" t="s">
        <v>148</v>
      </c>
      <c r="AJ77" t="s">
        <v>156</v>
      </c>
      <c r="AK77" t="s">
        <v>155</v>
      </c>
      <c r="AL77" t="s">
        <v>148</v>
      </c>
      <c r="AM77" t="s">
        <v>156</v>
      </c>
    </row>
    <row r="78" spans="17:39">
      <c r="Q78">
        <v>50</v>
      </c>
      <c r="R78" t="s">
        <v>147</v>
      </c>
      <c r="S78">
        <v>45</v>
      </c>
      <c r="T78" t="s">
        <v>148</v>
      </c>
      <c r="U78">
        <v>399542</v>
      </c>
      <c r="V78" t="s">
        <v>149</v>
      </c>
      <c r="W78" t="s">
        <v>148</v>
      </c>
      <c r="X78">
        <v>499427500000</v>
      </c>
      <c r="Y78" t="s">
        <v>150</v>
      </c>
      <c r="Z78" t="s">
        <v>148</v>
      </c>
      <c r="AA78">
        <v>293586</v>
      </c>
      <c r="AB78" t="s">
        <v>152</v>
      </c>
      <c r="AC78" t="s">
        <v>148</v>
      </c>
      <c r="AD78" t="s">
        <v>156</v>
      </c>
      <c r="AE78" t="s">
        <v>153</v>
      </c>
      <c r="AF78" t="s">
        <v>148</v>
      </c>
      <c r="AG78" t="s">
        <v>156</v>
      </c>
      <c r="AH78" t="s">
        <v>154</v>
      </c>
      <c r="AI78" t="s">
        <v>148</v>
      </c>
      <c r="AJ78" t="s">
        <v>156</v>
      </c>
      <c r="AK78" t="s">
        <v>155</v>
      </c>
      <c r="AL78" t="s">
        <v>148</v>
      </c>
      <c r="AM78" t="s">
        <v>156</v>
      </c>
    </row>
    <row r="79" spans="17:39">
      <c r="Q79">
        <v>50</v>
      </c>
      <c r="R79" t="s">
        <v>147</v>
      </c>
      <c r="S79">
        <v>50</v>
      </c>
      <c r="T79" t="s">
        <v>148</v>
      </c>
      <c r="U79">
        <v>180023</v>
      </c>
      <c r="V79" t="s">
        <v>149</v>
      </c>
      <c r="W79" t="s">
        <v>148</v>
      </c>
      <c r="X79">
        <v>230259435500</v>
      </c>
      <c r="Y79" t="s">
        <v>150</v>
      </c>
      <c r="Z79" t="s">
        <v>148</v>
      </c>
      <c r="AA79">
        <v>132592</v>
      </c>
      <c r="AB79" t="s">
        <v>152</v>
      </c>
      <c r="AC79" t="s">
        <v>148</v>
      </c>
      <c r="AD79" t="s">
        <v>156</v>
      </c>
      <c r="AE79" t="s">
        <v>153</v>
      </c>
      <c r="AF79" t="s">
        <v>148</v>
      </c>
      <c r="AG79" t="s">
        <v>156</v>
      </c>
      <c r="AH79" t="s">
        <v>154</v>
      </c>
      <c r="AI79" t="s">
        <v>148</v>
      </c>
      <c r="AJ79" t="s">
        <v>156</v>
      </c>
      <c r="AK79" t="s">
        <v>155</v>
      </c>
      <c r="AL79" t="s">
        <v>148</v>
      </c>
      <c r="AM79" t="s">
        <v>156</v>
      </c>
    </row>
    <row r="80" spans="17:39">
      <c r="Q80">
        <v>50</v>
      </c>
      <c r="R80" t="s">
        <v>147</v>
      </c>
      <c r="S80">
        <v>90</v>
      </c>
      <c r="T80" t="s">
        <v>148</v>
      </c>
      <c r="U80">
        <v>6821</v>
      </c>
      <c r="V80" t="s">
        <v>149</v>
      </c>
      <c r="W80" t="s">
        <v>148</v>
      </c>
      <c r="X80">
        <v>17052500000</v>
      </c>
      <c r="Y80" t="s">
        <v>150</v>
      </c>
      <c r="Z80" t="s">
        <v>148</v>
      </c>
      <c r="AA80">
        <v>2902</v>
      </c>
      <c r="AB80" t="s">
        <v>152</v>
      </c>
      <c r="AC80" t="s">
        <v>148</v>
      </c>
      <c r="AD80">
        <v>184</v>
      </c>
      <c r="AE80" t="s">
        <v>153</v>
      </c>
      <c r="AF80" t="s">
        <v>148</v>
      </c>
      <c r="AG80" t="s">
        <v>156</v>
      </c>
      <c r="AH80" t="s">
        <v>154</v>
      </c>
      <c r="AI80" t="s">
        <v>148</v>
      </c>
      <c r="AJ80" t="s">
        <v>156</v>
      </c>
      <c r="AK80" t="s">
        <v>155</v>
      </c>
      <c r="AL80" t="s">
        <v>148</v>
      </c>
      <c r="AM80" t="s">
        <v>156</v>
      </c>
    </row>
    <row r="81" spans="17:39">
      <c r="Q81">
        <v>50</v>
      </c>
      <c r="R81" t="s">
        <v>147</v>
      </c>
      <c r="S81">
        <v>100</v>
      </c>
      <c r="T81" t="s">
        <v>148</v>
      </c>
      <c r="U81">
        <v>10136</v>
      </c>
      <c r="V81" t="s">
        <v>149</v>
      </c>
      <c r="W81" t="s">
        <v>148</v>
      </c>
      <c r="X81">
        <v>25921454500</v>
      </c>
      <c r="Y81" t="s">
        <v>150</v>
      </c>
      <c r="Z81" t="s">
        <v>148</v>
      </c>
      <c r="AA81">
        <v>3181</v>
      </c>
      <c r="AB81" t="s">
        <v>152</v>
      </c>
      <c r="AC81" t="s">
        <v>148</v>
      </c>
      <c r="AD81">
        <v>1835</v>
      </c>
      <c r="AE81" t="s">
        <v>153</v>
      </c>
      <c r="AF81" t="s">
        <v>148</v>
      </c>
      <c r="AG81" t="s">
        <v>156</v>
      </c>
      <c r="AH81" t="s">
        <v>154</v>
      </c>
      <c r="AI81" t="s">
        <v>148</v>
      </c>
      <c r="AJ81" t="s">
        <v>156</v>
      </c>
      <c r="AK81" t="s">
        <v>155</v>
      </c>
      <c r="AL81" t="s">
        <v>148</v>
      </c>
      <c r="AM81" t="s">
        <v>156</v>
      </c>
    </row>
    <row r="82" spans="17:39">
      <c r="Q82">
        <v>50</v>
      </c>
      <c r="R82" t="s">
        <v>147</v>
      </c>
      <c r="S82">
        <v>500</v>
      </c>
      <c r="T82" t="s">
        <v>148</v>
      </c>
      <c r="U82">
        <v>489</v>
      </c>
      <c r="V82" t="s">
        <v>149</v>
      </c>
      <c r="W82" t="s">
        <v>148</v>
      </c>
      <c r="X82">
        <v>6155783000</v>
      </c>
      <c r="Y82" t="s">
        <v>150</v>
      </c>
      <c r="Z82" t="s">
        <v>148</v>
      </c>
      <c r="AA82">
        <v>411</v>
      </c>
      <c r="AB82" t="s">
        <v>152</v>
      </c>
      <c r="AC82" t="s">
        <v>148</v>
      </c>
      <c r="AD82" t="s">
        <v>156</v>
      </c>
      <c r="AE82" t="s">
        <v>153</v>
      </c>
      <c r="AF82" t="s">
        <v>148</v>
      </c>
      <c r="AG82" t="s">
        <v>156</v>
      </c>
      <c r="AH82" t="s">
        <v>154</v>
      </c>
      <c r="AI82" t="s">
        <v>148</v>
      </c>
      <c r="AJ82" t="s">
        <v>156</v>
      </c>
      <c r="AK82" t="s">
        <v>155</v>
      </c>
      <c r="AL82" t="s">
        <v>148</v>
      </c>
      <c r="AM82" t="s">
        <v>156</v>
      </c>
    </row>
    <row r="83" spans="17:39">
      <c r="Q83">
        <v>50</v>
      </c>
      <c r="R83" t="s">
        <v>147</v>
      </c>
      <c r="S83">
        <v>950</v>
      </c>
      <c r="T83" t="s">
        <v>148</v>
      </c>
      <c r="U83">
        <v>312</v>
      </c>
      <c r="V83" t="s">
        <v>149</v>
      </c>
      <c r="W83" t="s">
        <v>148</v>
      </c>
      <c r="X83">
        <v>7800000000</v>
      </c>
      <c r="Y83" t="s">
        <v>150</v>
      </c>
      <c r="Z83" t="s">
        <v>148</v>
      </c>
      <c r="AA83">
        <v>269</v>
      </c>
      <c r="AB83" t="s">
        <v>152</v>
      </c>
      <c r="AC83" t="s">
        <v>148</v>
      </c>
      <c r="AD83" t="s">
        <v>156</v>
      </c>
      <c r="AE83" t="s">
        <v>153</v>
      </c>
      <c r="AF83" t="s">
        <v>148</v>
      </c>
      <c r="AG83" t="s">
        <v>156</v>
      </c>
      <c r="AH83" t="s">
        <v>154</v>
      </c>
      <c r="AI83" t="s">
        <v>148</v>
      </c>
      <c r="AJ83" t="s">
        <v>156</v>
      </c>
      <c r="AK83" t="s">
        <v>155</v>
      </c>
      <c r="AL83" t="s">
        <v>148</v>
      </c>
      <c r="AM83" t="s">
        <v>156</v>
      </c>
    </row>
    <row r="84" spans="17:39">
      <c r="Q84">
        <v>50</v>
      </c>
      <c r="R84" t="s">
        <v>147</v>
      </c>
      <c r="S84">
        <v>1000</v>
      </c>
      <c r="T84" t="s">
        <v>148</v>
      </c>
      <c r="U84">
        <v>104</v>
      </c>
      <c r="V84" t="s">
        <v>149</v>
      </c>
      <c r="W84" t="s">
        <v>148</v>
      </c>
      <c r="X84">
        <v>2701698000</v>
      </c>
      <c r="Y84" t="s">
        <v>150</v>
      </c>
      <c r="Z84" t="s">
        <v>148</v>
      </c>
      <c r="AA84">
        <v>72</v>
      </c>
      <c r="AB84" t="s">
        <v>152</v>
      </c>
      <c r="AC84" t="s">
        <v>148</v>
      </c>
      <c r="AD84" t="s">
        <v>156</v>
      </c>
      <c r="AE84" t="s">
        <v>153</v>
      </c>
      <c r="AF84" t="s">
        <v>148</v>
      </c>
      <c r="AG84" t="s">
        <v>156</v>
      </c>
      <c r="AH84" t="s">
        <v>154</v>
      </c>
      <c r="AI84" t="s">
        <v>148</v>
      </c>
      <c r="AJ84" t="s">
        <v>156</v>
      </c>
      <c r="AK84" t="s">
        <v>155</v>
      </c>
      <c r="AL84" t="s">
        <v>148</v>
      </c>
      <c r="AM84" t="s">
        <v>156</v>
      </c>
    </row>
    <row r="86" spans="17:39">
      <c r="Q86">
        <v>100</v>
      </c>
      <c r="R86" t="s">
        <v>147</v>
      </c>
      <c r="S86">
        <v>0</v>
      </c>
      <c r="T86" t="s">
        <v>148</v>
      </c>
      <c r="U86">
        <v>747160</v>
      </c>
      <c r="V86" t="s">
        <v>149</v>
      </c>
      <c r="W86" t="s">
        <v>148</v>
      </c>
      <c r="X86">
        <v>9797977000</v>
      </c>
      <c r="Y86" t="s">
        <v>150</v>
      </c>
      <c r="Z86" t="s">
        <v>148</v>
      </c>
      <c r="AA86" t="s">
        <v>156</v>
      </c>
      <c r="AB86" t="s">
        <v>152</v>
      </c>
      <c r="AC86" t="s">
        <v>148</v>
      </c>
      <c r="AD86">
        <v>7718</v>
      </c>
      <c r="AE86" t="s">
        <v>153</v>
      </c>
      <c r="AF86" t="s">
        <v>148</v>
      </c>
      <c r="AG86" t="s">
        <v>156</v>
      </c>
      <c r="AH86" t="s">
        <v>154</v>
      </c>
      <c r="AI86" t="s">
        <v>148</v>
      </c>
      <c r="AJ86" t="s">
        <v>156</v>
      </c>
      <c r="AK86" t="s">
        <v>155</v>
      </c>
      <c r="AL86" t="s">
        <v>148</v>
      </c>
      <c r="AM86" t="s">
        <v>156</v>
      </c>
    </row>
    <row r="87" spans="17:39">
      <c r="Q87">
        <v>100</v>
      </c>
      <c r="R87" t="s">
        <v>147</v>
      </c>
      <c r="S87">
        <v>1</v>
      </c>
      <c r="T87" t="s">
        <v>148</v>
      </c>
      <c r="U87">
        <v>2647709</v>
      </c>
      <c r="V87" t="s">
        <v>149</v>
      </c>
      <c r="W87" t="s">
        <v>148</v>
      </c>
      <c r="X87">
        <v>155390675500</v>
      </c>
      <c r="Y87" t="s">
        <v>150</v>
      </c>
      <c r="Z87" t="s">
        <v>148</v>
      </c>
      <c r="AA87" t="s">
        <v>156</v>
      </c>
      <c r="AB87" t="s">
        <v>152</v>
      </c>
      <c r="AC87" t="s">
        <v>148</v>
      </c>
      <c r="AD87">
        <v>987487</v>
      </c>
      <c r="AE87" t="s">
        <v>153</v>
      </c>
      <c r="AF87" t="s">
        <v>148</v>
      </c>
      <c r="AG87" t="s">
        <v>156</v>
      </c>
      <c r="AH87" t="s">
        <v>154</v>
      </c>
      <c r="AI87" t="s">
        <v>148</v>
      </c>
      <c r="AJ87" t="s">
        <v>156</v>
      </c>
      <c r="AK87" t="s">
        <v>155</v>
      </c>
      <c r="AL87" t="s">
        <v>148</v>
      </c>
      <c r="AM87" t="s">
        <v>156</v>
      </c>
    </row>
    <row r="88" spans="17:39">
      <c r="Q88">
        <v>100</v>
      </c>
      <c r="R88" t="s">
        <v>147</v>
      </c>
      <c r="S88">
        <v>2</v>
      </c>
      <c r="T88" t="s">
        <v>148</v>
      </c>
      <c r="U88">
        <v>62708</v>
      </c>
      <c r="V88" t="s">
        <v>149</v>
      </c>
      <c r="W88" t="s">
        <v>148</v>
      </c>
      <c r="X88">
        <v>7283411000</v>
      </c>
      <c r="Y88" t="s">
        <v>150</v>
      </c>
      <c r="Z88" t="s">
        <v>148</v>
      </c>
      <c r="AA88" t="s">
        <v>156</v>
      </c>
      <c r="AB88" t="s">
        <v>152</v>
      </c>
      <c r="AC88" t="s">
        <v>148</v>
      </c>
      <c r="AD88">
        <v>7393</v>
      </c>
      <c r="AE88" t="s">
        <v>153</v>
      </c>
      <c r="AF88" t="s">
        <v>148</v>
      </c>
      <c r="AG88" t="s">
        <v>156</v>
      </c>
      <c r="AH88" t="s">
        <v>154</v>
      </c>
      <c r="AI88" t="s">
        <v>148</v>
      </c>
      <c r="AJ88" t="s">
        <v>156</v>
      </c>
      <c r="AK88" t="s">
        <v>155</v>
      </c>
      <c r="AL88" t="s">
        <v>148</v>
      </c>
      <c r="AM88" t="s">
        <v>156</v>
      </c>
    </row>
    <row r="89" spans="17:39">
      <c r="Q89">
        <v>100</v>
      </c>
      <c r="R89" t="s">
        <v>147</v>
      </c>
      <c r="S89">
        <v>4</v>
      </c>
      <c r="T89" t="s">
        <v>148</v>
      </c>
      <c r="U89">
        <v>1996754</v>
      </c>
      <c r="V89" t="s">
        <v>149</v>
      </c>
      <c r="W89" t="s">
        <v>148</v>
      </c>
      <c r="X89">
        <v>499188500000</v>
      </c>
      <c r="Y89" t="s">
        <v>150</v>
      </c>
      <c r="Z89" t="s">
        <v>148</v>
      </c>
      <c r="AA89" t="s">
        <v>156</v>
      </c>
      <c r="AB89" t="s">
        <v>152</v>
      </c>
      <c r="AC89" t="s">
        <v>148</v>
      </c>
      <c r="AD89">
        <v>235244</v>
      </c>
      <c r="AE89" t="s">
        <v>153</v>
      </c>
      <c r="AF89" t="s">
        <v>148</v>
      </c>
      <c r="AG89" t="s">
        <v>156</v>
      </c>
      <c r="AH89" t="s">
        <v>154</v>
      </c>
      <c r="AI89" t="s">
        <v>148</v>
      </c>
      <c r="AJ89" t="s">
        <v>156</v>
      </c>
      <c r="AK89" t="s">
        <v>155</v>
      </c>
      <c r="AL89" t="s">
        <v>148</v>
      </c>
      <c r="AM89" t="s">
        <v>156</v>
      </c>
    </row>
    <row r="90" spans="17:39">
      <c r="Q90">
        <v>100</v>
      </c>
      <c r="R90" t="s">
        <v>147</v>
      </c>
      <c r="S90">
        <v>5</v>
      </c>
      <c r="T90" t="s">
        <v>148</v>
      </c>
      <c r="U90">
        <v>3346771</v>
      </c>
      <c r="V90" t="s">
        <v>149</v>
      </c>
      <c r="W90" t="s">
        <v>148</v>
      </c>
      <c r="X90">
        <v>871706442000</v>
      </c>
      <c r="Y90" t="s">
        <v>150</v>
      </c>
      <c r="Z90" t="s">
        <v>148</v>
      </c>
      <c r="AA90" t="s">
        <v>156</v>
      </c>
      <c r="AB90" t="s">
        <v>152</v>
      </c>
      <c r="AC90" t="s">
        <v>148</v>
      </c>
      <c r="AD90">
        <v>1145598</v>
      </c>
      <c r="AE90" t="s">
        <v>153</v>
      </c>
      <c r="AF90" t="s">
        <v>148</v>
      </c>
      <c r="AG90" t="s">
        <v>156</v>
      </c>
      <c r="AH90" t="s">
        <v>154</v>
      </c>
      <c r="AI90" t="s">
        <v>148</v>
      </c>
      <c r="AJ90" t="s">
        <v>156</v>
      </c>
      <c r="AK90" t="s">
        <v>155</v>
      </c>
      <c r="AL90" t="s">
        <v>148</v>
      </c>
      <c r="AM90" t="s">
        <v>156</v>
      </c>
    </row>
    <row r="91" spans="17:39">
      <c r="Q91">
        <v>100</v>
      </c>
      <c r="R91" t="s">
        <v>147</v>
      </c>
      <c r="S91">
        <v>6</v>
      </c>
      <c r="T91" t="s">
        <v>148</v>
      </c>
      <c r="U91">
        <v>3692</v>
      </c>
      <c r="V91" t="s">
        <v>149</v>
      </c>
      <c r="W91" t="s">
        <v>148</v>
      </c>
      <c r="X91">
        <v>1138548000</v>
      </c>
      <c r="Y91" t="s">
        <v>150</v>
      </c>
      <c r="Z91" t="s">
        <v>148</v>
      </c>
      <c r="AA91" t="s">
        <v>156</v>
      </c>
      <c r="AB91" t="s">
        <v>152</v>
      </c>
      <c r="AC91" t="s">
        <v>148</v>
      </c>
      <c r="AD91">
        <v>3692</v>
      </c>
      <c r="AE91" t="s">
        <v>153</v>
      </c>
      <c r="AF91" t="s">
        <v>148</v>
      </c>
      <c r="AG91" t="s">
        <v>156</v>
      </c>
      <c r="AH91" t="s">
        <v>154</v>
      </c>
      <c r="AI91" t="s">
        <v>148</v>
      </c>
      <c r="AJ91" t="s">
        <v>156</v>
      </c>
      <c r="AK91" t="s">
        <v>155</v>
      </c>
      <c r="AL91" t="s">
        <v>148</v>
      </c>
      <c r="AM91" t="s">
        <v>156</v>
      </c>
    </row>
    <row r="92" spans="17:39">
      <c r="Q92">
        <v>100</v>
      </c>
      <c r="R92" t="s">
        <v>147</v>
      </c>
      <c r="S92">
        <v>9</v>
      </c>
      <c r="T92" t="s">
        <v>148</v>
      </c>
      <c r="U92">
        <v>540528</v>
      </c>
      <c r="V92" t="s">
        <v>149</v>
      </c>
      <c r="W92" t="s">
        <v>148</v>
      </c>
      <c r="X92">
        <v>270264000000</v>
      </c>
      <c r="Y92" t="s">
        <v>150</v>
      </c>
      <c r="Z92" t="s">
        <v>148</v>
      </c>
      <c r="AA92">
        <v>65333</v>
      </c>
      <c r="AB92" t="s">
        <v>152</v>
      </c>
      <c r="AC92" t="s">
        <v>148</v>
      </c>
      <c r="AD92">
        <v>45732</v>
      </c>
      <c r="AE92" t="s">
        <v>153</v>
      </c>
      <c r="AF92" t="s">
        <v>148</v>
      </c>
      <c r="AG92" t="s">
        <v>156</v>
      </c>
      <c r="AH92" t="s">
        <v>154</v>
      </c>
      <c r="AI92" t="s">
        <v>148</v>
      </c>
      <c r="AJ92" t="s">
        <v>156</v>
      </c>
      <c r="AK92" t="s">
        <v>155</v>
      </c>
      <c r="AL92" t="s">
        <v>148</v>
      </c>
      <c r="AM92" t="s">
        <v>156</v>
      </c>
    </row>
    <row r="93" spans="17:39">
      <c r="Q93">
        <v>100</v>
      </c>
      <c r="R93" t="s">
        <v>147</v>
      </c>
      <c r="S93">
        <v>10</v>
      </c>
      <c r="T93" t="s">
        <v>148</v>
      </c>
      <c r="U93">
        <v>1000899</v>
      </c>
      <c r="V93" t="s">
        <v>149</v>
      </c>
      <c r="W93" t="s">
        <v>148</v>
      </c>
      <c r="X93">
        <v>524870336500</v>
      </c>
      <c r="Y93" t="s">
        <v>150</v>
      </c>
      <c r="Z93" t="s">
        <v>148</v>
      </c>
      <c r="AA93">
        <v>112404</v>
      </c>
      <c r="AB93" t="s">
        <v>152</v>
      </c>
      <c r="AC93" t="s">
        <v>148</v>
      </c>
      <c r="AD93">
        <v>330991</v>
      </c>
      <c r="AE93" t="s">
        <v>153</v>
      </c>
      <c r="AF93" t="s">
        <v>148</v>
      </c>
      <c r="AG93" t="s">
        <v>156</v>
      </c>
      <c r="AH93" t="s">
        <v>154</v>
      </c>
      <c r="AI93" t="s">
        <v>148</v>
      </c>
      <c r="AJ93" t="s">
        <v>156</v>
      </c>
      <c r="AK93" t="s">
        <v>155</v>
      </c>
      <c r="AL93" t="s">
        <v>148</v>
      </c>
      <c r="AM93" t="s">
        <v>156</v>
      </c>
    </row>
    <row r="94" spans="17:39">
      <c r="Q94">
        <v>100</v>
      </c>
      <c r="R94" t="s">
        <v>147</v>
      </c>
      <c r="S94">
        <v>15</v>
      </c>
      <c r="T94" t="s">
        <v>148</v>
      </c>
      <c r="U94">
        <v>789824</v>
      </c>
      <c r="V94" t="s">
        <v>149</v>
      </c>
      <c r="W94" t="s">
        <v>148</v>
      </c>
      <c r="X94">
        <v>721636844000</v>
      </c>
      <c r="Y94" t="s">
        <v>150</v>
      </c>
      <c r="Z94" t="s">
        <v>148</v>
      </c>
      <c r="AA94">
        <v>312854</v>
      </c>
      <c r="AB94" t="s">
        <v>152</v>
      </c>
      <c r="AC94" t="s">
        <v>148</v>
      </c>
      <c r="AD94">
        <v>163398</v>
      </c>
      <c r="AE94" t="s">
        <v>153</v>
      </c>
      <c r="AF94" t="s">
        <v>148</v>
      </c>
      <c r="AG94" t="s">
        <v>156</v>
      </c>
      <c r="AH94" t="s">
        <v>154</v>
      </c>
      <c r="AI94" t="s">
        <v>148</v>
      </c>
      <c r="AJ94" t="s">
        <v>156</v>
      </c>
      <c r="AK94" t="s">
        <v>155</v>
      </c>
      <c r="AL94" t="s">
        <v>148</v>
      </c>
      <c r="AM94" t="s">
        <v>156</v>
      </c>
    </row>
    <row r="95" spans="17:39">
      <c r="Q95">
        <v>100</v>
      </c>
      <c r="R95" t="s">
        <v>147</v>
      </c>
      <c r="S95">
        <v>20</v>
      </c>
      <c r="T95" t="s">
        <v>148</v>
      </c>
      <c r="U95">
        <v>172061</v>
      </c>
      <c r="V95" t="s">
        <v>149</v>
      </c>
      <c r="W95" t="s">
        <v>148</v>
      </c>
      <c r="X95">
        <v>182414478000</v>
      </c>
      <c r="Y95" t="s">
        <v>150</v>
      </c>
      <c r="Z95" t="s">
        <v>148</v>
      </c>
      <c r="AA95">
        <v>85996</v>
      </c>
      <c r="AB95" t="s">
        <v>152</v>
      </c>
      <c r="AC95" t="s">
        <v>148</v>
      </c>
      <c r="AD95">
        <v>7864</v>
      </c>
      <c r="AE95" t="s">
        <v>153</v>
      </c>
      <c r="AF95" t="s">
        <v>148</v>
      </c>
      <c r="AG95" t="s">
        <v>156</v>
      </c>
      <c r="AH95" t="s">
        <v>154</v>
      </c>
      <c r="AI95" t="s">
        <v>148</v>
      </c>
      <c r="AJ95" t="s">
        <v>156</v>
      </c>
      <c r="AK95" t="s">
        <v>155</v>
      </c>
      <c r="AL95" t="s">
        <v>148</v>
      </c>
      <c r="AM95" t="s">
        <v>156</v>
      </c>
    </row>
    <row r="96" spans="17:39">
      <c r="Q96">
        <v>100</v>
      </c>
      <c r="R96" t="s">
        <v>147</v>
      </c>
      <c r="S96">
        <v>25</v>
      </c>
      <c r="T96" t="s">
        <v>148</v>
      </c>
      <c r="U96">
        <v>49893</v>
      </c>
      <c r="V96" t="s">
        <v>149</v>
      </c>
      <c r="W96" t="s">
        <v>148</v>
      </c>
      <c r="X96">
        <v>69156556500</v>
      </c>
      <c r="Y96" t="s">
        <v>150</v>
      </c>
      <c r="Z96" t="s">
        <v>148</v>
      </c>
      <c r="AA96">
        <v>25501</v>
      </c>
      <c r="AB96" t="s">
        <v>152</v>
      </c>
      <c r="AC96" t="s">
        <v>148</v>
      </c>
      <c r="AD96">
        <v>388</v>
      </c>
      <c r="AE96" t="s">
        <v>153</v>
      </c>
      <c r="AF96" t="s">
        <v>148</v>
      </c>
      <c r="AG96" t="s">
        <v>156</v>
      </c>
      <c r="AH96" t="s">
        <v>154</v>
      </c>
      <c r="AI96" t="s">
        <v>148</v>
      </c>
      <c r="AJ96" t="s">
        <v>156</v>
      </c>
      <c r="AK96" t="s">
        <v>155</v>
      </c>
      <c r="AL96" t="s">
        <v>148</v>
      </c>
      <c r="AM96" t="s">
        <v>156</v>
      </c>
    </row>
    <row r="97" spans="17:39">
      <c r="Q97">
        <v>100</v>
      </c>
      <c r="R97" t="s">
        <v>147</v>
      </c>
      <c r="S97">
        <v>30</v>
      </c>
      <c r="T97" t="s">
        <v>148</v>
      </c>
      <c r="U97">
        <v>25481</v>
      </c>
      <c r="V97" t="s">
        <v>149</v>
      </c>
      <c r="W97" t="s">
        <v>148</v>
      </c>
      <c r="X97">
        <v>38869927500</v>
      </c>
      <c r="Y97" t="s">
        <v>150</v>
      </c>
      <c r="Z97" t="s">
        <v>148</v>
      </c>
      <c r="AA97">
        <v>24965</v>
      </c>
      <c r="AB97" t="s">
        <v>152</v>
      </c>
      <c r="AC97" t="s">
        <v>148</v>
      </c>
      <c r="AD97" t="s">
        <v>156</v>
      </c>
      <c r="AE97" t="s">
        <v>153</v>
      </c>
      <c r="AF97" t="s">
        <v>148</v>
      </c>
      <c r="AG97" t="s">
        <v>156</v>
      </c>
      <c r="AH97" t="s">
        <v>154</v>
      </c>
      <c r="AI97" t="s">
        <v>148</v>
      </c>
      <c r="AJ97" t="s">
        <v>156</v>
      </c>
      <c r="AK97" t="s">
        <v>155</v>
      </c>
      <c r="AL97" t="s">
        <v>148</v>
      </c>
      <c r="AM97" t="s">
        <v>156</v>
      </c>
    </row>
    <row r="98" spans="17:39">
      <c r="Q98">
        <v>100</v>
      </c>
      <c r="R98" t="s">
        <v>147</v>
      </c>
      <c r="S98">
        <v>35</v>
      </c>
      <c r="T98" t="s">
        <v>148</v>
      </c>
      <c r="U98">
        <v>18499</v>
      </c>
      <c r="V98" t="s">
        <v>149</v>
      </c>
      <c r="W98" t="s">
        <v>148</v>
      </c>
      <c r="X98">
        <v>36998000000</v>
      </c>
      <c r="Y98" t="s">
        <v>150</v>
      </c>
      <c r="Z98" t="s">
        <v>148</v>
      </c>
      <c r="AA98">
        <v>18499</v>
      </c>
      <c r="AB98" t="s">
        <v>152</v>
      </c>
      <c r="AC98" t="s">
        <v>148</v>
      </c>
      <c r="AD98" t="s">
        <v>156</v>
      </c>
      <c r="AE98" t="s">
        <v>153</v>
      </c>
      <c r="AF98" t="s">
        <v>148</v>
      </c>
      <c r="AG98" t="s">
        <v>156</v>
      </c>
      <c r="AH98" t="s">
        <v>154</v>
      </c>
      <c r="AI98" t="s">
        <v>148</v>
      </c>
      <c r="AJ98" t="s">
        <v>156</v>
      </c>
      <c r="AK98" t="s">
        <v>155</v>
      </c>
      <c r="AL98" t="s">
        <v>148</v>
      </c>
      <c r="AM98" t="s">
        <v>156</v>
      </c>
    </row>
    <row r="99" spans="17:39">
      <c r="Q99">
        <v>100</v>
      </c>
      <c r="R99" t="s">
        <v>147</v>
      </c>
      <c r="S99">
        <v>40</v>
      </c>
      <c r="T99" t="s">
        <v>148</v>
      </c>
      <c r="U99">
        <v>51351</v>
      </c>
      <c r="V99" t="s">
        <v>149</v>
      </c>
      <c r="W99" t="s">
        <v>148</v>
      </c>
      <c r="X99">
        <v>103342104000</v>
      </c>
      <c r="Y99" t="s">
        <v>150</v>
      </c>
      <c r="Z99" t="s">
        <v>148</v>
      </c>
      <c r="AA99">
        <v>51351</v>
      </c>
      <c r="AB99" t="s">
        <v>152</v>
      </c>
      <c r="AC99" t="s">
        <v>148</v>
      </c>
      <c r="AD99" t="s">
        <v>156</v>
      </c>
      <c r="AE99" t="s">
        <v>153</v>
      </c>
      <c r="AF99" t="s">
        <v>148</v>
      </c>
      <c r="AG99" t="s">
        <v>156</v>
      </c>
      <c r="AH99" t="s">
        <v>154</v>
      </c>
      <c r="AI99" t="s">
        <v>148</v>
      </c>
      <c r="AJ99" t="s">
        <v>156</v>
      </c>
      <c r="AK99" t="s">
        <v>155</v>
      </c>
      <c r="AL99" t="s">
        <v>148</v>
      </c>
      <c r="AM99" t="s">
        <v>156</v>
      </c>
    </row>
    <row r="100" spans="17:39">
      <c r="Q100">
        <v>100</v>
      </c>
      <c r="R100" t="s">
        <v>147</v>
      </c>
      <c r="S100">
        <v>45</v>
      </c>
      <c r="T100" t="s">
        <v>148</v>
      </c>
      <c r="U100">
        <v>92799</v>
      </c>
      <c r="V100" t="s">
        <v>149</v>
      </c>
      <c r="W100" t="s">
        <v>148</v>
      </c>
      <c r="X100">
        <v>231948990000</v>
      </c>
      <c r="Y100" t="s">
        <v>150</v>
      </c>
      <c r="Z100" t="s">
        <v>148</v>
      </c>
      <c r="AA100">
        <v>28712</v>
      </c>
      <c r="AB100" t="s">
        <v>152</v>
      </c>
      <c r="AC100" t="s">
        <v>148</v>
      </c>
      <c r="AD100">
        <v>2459</v>
      </c>
      <c r="AE100" t="s">
        <v>153</v>
      </c>
      <c r="AF100" t="s">
        <v>148</v>
      </c>
      <c r="AG100" t="s">
        <v>156</v>
      </c>
      <c r="AH100" t="s">
        <v>154</v>
      </c>
      <c r="AI100" t="s">
        <v>148</v>
      </c>
      <c r="AJ100" t="s">
        <v>156</v>
      </c>
      <c r="AK100" t="s">
        <v>155</v>
      </c>
      <c r="AL100" t="s">
        <v>148</v>
      </c>
      <c r="AM100" t="s">
        <v>156</v>
      </c>
    </row>
    <row r="101" spans="17:39">
      <c r="Q101">
        <v>100</v>
      </c>
      <c r="R101" t="s">
        <v>147</v>
      </c>
      <c r="S101">
        <v>50</v>
      </c>
      <c r="T101" t="s">
        <v>148</v>
      </c>
      <c r="U101">
        <v>306035</v>
      </c>
      <c r="V101" t="s">
        <v>149</v>
      </c>
      <c r="W101" t="s">
        <v>148</v>
      </c>
      <c r="X101">
        <v>787973078000</v>
      </c>
      <c r="Y101" t="s">
        <v>150</v>
      </c>
      <c r="Z101" t="s">
        <v>148</v>
      </c>
      <c r="AA101">
        <v>79989</v>
      </c>
      <c r="AB101" t="s">
        <v>152</v>
      </c>
      <c r="AC101" t="s">
        <v>148</v>
      </c>
      <c r="AD101">
        <v>60738</v>
      </c>
      <c r="AE101" t="s">
        <v>153</v>
      </c>
      <c r="AF101" t="s">
        <v>148</v>
      </c>
      <c r="AG101" t="s">
        <v>156</v>
      </c>
      <c r="AH101" t="s">
        <v>154</v>
      </c>
      <c r="AI101" t="s">
        <v>148</v>
      </c>
      <c r="AJ101" t="s">
        <v>156</v>
      </c>
      <c r="AK101" t="s">
        <v>155</v>
      </c>
      <c r="AL101" t="s">
        <v>148</v>
      </c>
      <c r="AM101" t="s">
        <v>156</v>
      </c>
    </row>
    <row r="102" spans="17:39">
      <c r="Q102">
        <v>100</v>
      </c>
      <c r="R102" t="s">
        <v>147</v>
      </c>
      <c r="S102">
        <v>90</v>
      </c>
      <c r="T102" t="s">
        <v>148</v>
      </c>
      <c r="U102">
        <v>3556</v>
      </c>
      <c r="V102" t="s">
        <v>149</v>
      </c>
      <c r="W102" t="s">
        <v>148</v>
      </c>
      <c r="X102">
        <v>17780000000</v>
      </c>
      <c r="Y102" t="s">
        <v>150</v>
      </c>
      <c r="Z102" t="s">
        <v>148</v>
      </c>
      <c r="AA102" t="s">
        <v>156</v>
      </c>
      <c r="AB102" t="s">
        <v>152</v>
      </c>
      <c r="AC102" t="s">
        <v>148</v>
      </c>
      <c r="AD102" t="s">
        <v>156</v>
      </c>
      <c r="AE102" t="s">
        <v>153</v>
      </c>
      <c r="AF102" t="s">
        <v>148</v>
      </c>
      <c r="AG102" t="s">
        <v>156</v>
      </c>
      <c r="AH102" t="s">
        <v>154</v>
      </c>
      <c r="AI102" t="s">
        <v>148</v>
      </c>
      <c r="AJ102" t="s">
        <v>156</v>
      </c>
      <c r="AK102" t="s">
        <v>155</v>
      </c>
      <c r="AL102" t="s">
        <v>148</v>
      </c>
      <c r="AM102" t="s">
        <v>156</v>
      </c>
    </row>
    <row r="103" spans="17:39">
      <c r="Q103">
        <v>100</v>
      </c>
      <c r="R103" t="s">
        <v>147</v>
      </c>
      <c r="S103">
        <v>100</v>
      </c>
      <c r="T103" t="s">
        <v>148</v>
      </c>
      <c r="U103">
        <v>7051</v>
      </c>
      <c r="V103" t="s">
        <v>149</v>
      </c>
      <c r="W103" t="s">
        <v>148</v>
      </c>
      <c r="X103">
        <v>36264114500</v>
      </c>
      <c r="Y103" t="s">
        <v>150</v>
      </c>
      <c r="Z103" t="s">
        <v>148</v>
      </c>
      <c r="AA103">
        <v>1846</v>
      </c>
      <c r="AB103" t="s">
        <v>152</v>
      </c>
      <c r="AC103" t="s">
        <v>148</v>
      </c>
      <c r="AD103">
        <v>1781</v>
      </c>
      <c r="AE103" t="s">
        <v>153</v>
      </c>
      <c r="AF103" t="s">
        <v>148</v>
      </c>
      <c r="AG103" t="s">
        <v>156</v>
      </c>
      <c r="AH103" t="s">
        <v>154</v>
      </c>
      <c r="AI103" t="s">
        <v>148</v>
      </c>
      <c r="AJ103" t="s">
        <v>156</v>
      </c>
      <c r="AK103" t="s">
        <v>155</v>
      </c>
      <c r="AL103" t="s">
        <v>148</v>
      </c>
      <c r="AM103" t="s">
        <v>156</v>
      </c>
    </row>
    <row r="104" spans="17:39">
      <c r="Q104">
        <v>100</v>
      </c>
      <c r="R104" t="s">
        <v>147</v>
      </c>
      <c r="S104">
        <v>180</v>
      </c>
      <c r="T104" t="s">
        <v>148</v>
      </c>
      <c r="U104">
        <v>3543</v>
      </c>
      <c r="V104" t="s">
        <v>149</v>
      </c>
      <c r="W104" t="s">
        <v>148</v>
      </c>
      <c r="X104">
        <v>35430000000</v>
      </c>
      <c r="Y104" t="s">
        <v>150</v>
      </c>
      <c r="Z104" t="s">
        <v>148</v>
      </c>
      <c r="AA104">
        <v>3072</v>
      </c>
      <c r="AB104" t="s">
        <v>152</v>
      </c>
      <c r="AC104" t="s">
        <v>148</v>
      </c>
      <c r="AD104">
        <v>4</v>
      </c>
      <c r="AE104" t="s">
        <v>153</v>
      </c>
      <c r="AF104" t="s">
        <v>148</v>
      </c>
      <c r="AG104" t="s">
        <v>156</v>
      </c>
      <c r="AH104" t="s">
        <v>154</v>
      </c>
      <c r="AI104" t="s">
        <v>148</v>
      </c>
      <c r="AJ104" t="s">
        <v>156</v>
      </c>
      <c r="AK104" t="s">
        <v>155</v>
      </c>
      <c r="AL104" t="s">
        <v>148</v>
      </c>
      <c r="AM104" t="s">
        <v>156</v>
      </c>
    </row>
    <row r="105" spans="17:39">
      <c r="Q105">
        <v>100</v>
      </c>
      <c r="R105" t="s">
        <v>147</v>
      </c>
      <c r="S105">
        <v>450</v>
      </c>
      <c r="T105" t="s">
        <v>148</v>
      </c>
      <c r="U105">
        <v>195</v>
      </c>
      <c r="V105" t="s">
        <v>149</v>
      </c>
      <c r="W105" t="s">
        <v>148</v>
      </c>
      <c r="X105">
        <v>4875000000</v>
      </c>
      <c r="Y105" t="s">
        <v>150</v>
      </c>
      <c r="Z105" t="s">
        <v>148</v>
      </c>
      <c r="AA105">
        <v>154</v>
      </c>
      <c r="AB105" t="s">
        <v>152</v>
      </c>
      <c r="AC105" t="s">
        <v>148</v>
      </c>
      <c r="AD105" t="s">
        <v>156</v>
      </c>
      <c r="AE105" t="s">
        <v>153</v>
      </c>
      <c r="AF105" t="s">
        <v>148</v>
      </c>
      <c r="AG105" t="s">
        <v>156</v>
      </c>
      <c r="AH105" t="s">
        <v>154</v>
      </c>
      <c r="AI105" t="s">
        <v>148</v>
      </c>
      <c r="AJ105" t="s">
        <v>156</v>
      </c>
      <c r="AK105" t="s">
        <v>155</v>
      </c>
      <c r="AL105" t="s">
        <v>148</v>
      </c>
      <c r="AM105" t="s">
        <v>156</v>
      </c>
    </row>
    <row r="106" spans="17:39">
      <c r="Q106">
        <v>100</v>
      </c>
      <c r="R106" t="s">
        <v>147</v>
      </c>
      <c r="S106">
        <v>500</v>
      </c>
      <c r="T106" t="s">
        <v>148</v>
      </c>
      <c r="U106">
        <v>314</v>
      </c>
      <c r="V106" t="s">
        <v>149</v>
      </c>
      <c r="W106" t="s">
        <v>148</v>
      </c>
      <c r="X106">
        <v>7936497500</v>
      </c>
      <c r="Y106" t="s">
        <v>150</v>
      </c>
      <c r="Z106" t="s">
        <v>148</v>
      </c>
      <c r="AA106">
        <v>210</v>
      </c>
      <c r="AB106" t="s">
        <v>152</v>
      </c>
      <c r="AC106" t="s">
        <v>148</v>
      </c>
      <c r="AD106" t="s">
        <v>156</v>
      </c>
      <c r="AE106" t="s">
        <v>153</v>
      </c>
      <c r="AF106" t="s">
        <v>148</v>
      </c>
      <c r="AG106" t="s">
        <v>156</v>
      </c>
      <c r="AH106" t="s">
        <v>154</v>
      </c>
      <c r="AI106" t="s">
        <v>148</v>
      </c>
      <c r="AJ106" t="s">
        <v>156</v>
      </c>
      <c r="AK106" t="s">
        <v>155</v>
      </c>
      <c r="AL106" t="s">
        <v>148</v>
      </c>
      <c r="AM106" t="s">
        <v>156</v>
      </c>
    </row>
    <row r="107" spans="17:39">
      <c r="Q107">
        <v>100</v>
      </c>
      <c r="R107" t="s">
        <v>147</v>
      </c>
      <c r="S107">
        <v>950</v>
      </c>
      <c r="T107" t="s">
        <v>148</v>
      </c>
      <c r="U107">
        <v>111</v>
      </c>
      <c r="V107" t="s">
        <v>149</v>
      </c>
      <c r="W107" t="s">
        <v>148</v>
      </c>
      <c r="X107">
        <v>5550000000</v>
      </c>
      <c r="Y107" t="s">
        <v>150</v>
      </c>
      <c r="Z107" t="s">
        <v>148</v>
      </c>
      <c r="AA107">
        <v>100</v>
      </c>
      <c r="AB107" t="s">
        <v>152</v>
      </c>
      <c r="AC107" t="s">
        <v>148</v>
      </c>
      <c r="AD107" t="s">
        <v>156</v>
      </c>
      <c r="AE107" t="s">
        <v>153</v>
      </c>
      <c r="AF107" t="s">
        <v>148</v>
      </c>
      <c r="AG107" t="s">
        <v>156</v>
      </c>
      <c r="AH107" t="s">
        <v>154</v>
      </c>
      <c r="AI107" t="s">
        <v>148</v>
      </c>
      <c r="AJ107" t="s">
        <v>156</v>
      </c>
      <c r="AK107" t="s">
        <v>155</v>
      </c>
      <c r="AL107" t="s">
        <v>148</v>
      </c>
      <c r="AM107" t="s">
        <v>156</v>
      </c>
    </row>
    <row r="108" spans="17:39">
      <c r="Q108">
        <v>100</v>
      </c>
      <c r="R108" t="s">
        <v>147</v>
      </c>
      <c r="S108">
        <v>1000</v>
      </c>
      <c r="T108" t="s">
        <v>148</v>
      </c>
      <c r="U108">
        <v>91</v>
      </c>
      <c r="V108" t="s">
        <v>149</v>
      </c>
      <c r="W108" t="s">
        <v>148</v>
      </c>
      <c r="X108">
        <v>4588492000</v>
      </c>
      <c r="Y108" t="s">
        <v>150</v>
      </c>
      <c r="Z108" t="s">
        <v>148</v>
      </c>
      <c r="AA108">
        <v>72</v>
      </c>
      <c r="AB108" t="s">
        <v>152</v>
      </c>
      <c r="AC108" t="s">
        <v>148</v>
      </c>
      <c r="AD108" t="s">
        <v>156</v>
      </c>
      <c r="AE108" t="s">
        <v>153</v>
      </c>
      <c r="AF108" t="s">
        <v>148</v>
      </c>
      <c r="AG108" t="s">
        <v>156</v>
      </c>
      <c r="AH108" t="s">
        <v>154</v>
      </c>
      <c r="AI108" t="s">
        <v>148</v>
      </c>
      <c r="AJ108" t="s">
        <v>156</v>
      </c>
      <c r="AK108" t="s">
        <v>155</v>
      </c>
      <c r="AL108" t="s">
        <v>148</v>
      </c>
      <c r="AM108" t="s">
        <v>156</v>
      </c>
    </row>
  </sheetData>
  <mergeCells count="10">
    <mergeCell ref="A1:C1"/>
    <mergeCell ref="D1:F1"/>
    <mergeCell ref="G1:I1"/>
    <mergeCell ref="J1:L1"/>
    <mergeCell ref="M1:O1"/>
    <mergeCell ref="A2:C2"/>
    <mergeCell ref="D2:F2"/>
    <mergeCell ref="G2:I2"/>
    <mergeCell ref="J2:L2"/>
    <mergeCell ref="M2:O2"/>
  </mergeCells>
  <phoneticPr fontId="1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BC996B-B2A8-40C7-8AA2-828C17A37E9C}">
  <sheetPr>
    <tabColor theme="0" tint="-0.499984740745262"/>
  </sheetPr>
  <dimension ref="A1:X55"/>
  <sheetViews>
    <sheetView workbookViewId="0">
      <selection sqref="A1:C1"/>
    </sheetView>
  </sheetViews>
  <sheetFormatPr defaultRowHeight="16.2"/>
  <cols>
    <col min="2" max="2" width="12.6640625" bestFit="1" customWidth="1"/>
    <col min="3" max="3" width="11" bestFit="1" customWidth="1"/>
    <col min="4" max="5" width="8.88671875" style="139"/>
    <col min="6" max="6" width="11" style="139" bestFit="1" customWidth="1"/>
    <col min="8" max="8" width="12.6640625" bestFit="1" customWidth="1"/>
    <col min="9" max="9" width="11" bestFit="1" customWidth="1"/>
    <col min="10" max="11" width="8.88671875" style="139"/>
    <col min="12" max="12" width="11" style="139" bestFit="1" customWidth="1"/>
    <col min="14" max="14" width="12.6640625" bestFit="1" customWidth="1"/>
    <col min="15" max="15" width="11" bestFit="1" customWidth="1"/>
    <col min="22" max="22" width="11.6640625" bestFit="1" customWidth="1"/>
  </cols>
  <sheetData>
    <row r="1" spans="1:24" ht="16.8" thickBot="1">
      <c r="A1" s="310" t="s">
        <v>168</v>
      </c>
      <c r="B1" s="311"/>
      <c r="C1" s="312"/>
      <c r="D1" s="313" t="s">
        <v>170</v>
      </c>
      <c r="E1" s="314"/>
      <c r="F1" s="315"/>
      <c r="G1" s="310" t="s">
        <v>171</v>
      </c>
      <c r="H1" s="311"/>
      <c r="I1" s="312"/>
      <c r="J1" s="313" t="s">
        <v>172</v>
      </c>
      <c r="K1" s="314"/>
      <c r="L1" s="315"/>
      <c r="M1" s="310" t="s">
        <v>173</v>
      </c>
      <c r="N1" s="311"/>
      <c r="O1" s="312"/>
      <c r="R1" t="s">
        <v>184</v>
      </c>
    </row>
    <row r="2" spans="1:24" ht="16.8" thickBot="1">
      <c r="A2" s="304">
        <f>Card_Bet1!$AF$1</f>
        <v>0.28665381877914048</v>
      </c>
      <c r="B2" s="305"/>
      <c r="C2" s="306"/>
      <c r="D2" s="307">
        <f>Card_Bet5!$AF$1</f>
        <v>0.68318487004018902</v>
      </c>
      <c r="E2" s="308"/>
      <c r="F2" s="309"/>
      <c r="G2" s="304">
        <f>Card_Bet10!$AF$1</f>
        <v>0.65349895293104077</v>
      </c>
      <c r="H2" s="305"/>
      <c r="I2" s="306"/>
      <c r="J2" s="307">
        <f>Card_Bet50!$AF$1</f>
        <v>0.75172061173453342</v>
      </c>
      <c r="K2" s="308"/>
      <c r="L2" s="309"/>
      <c r="M2" s="304">
        <f>Card_Bet100!$AF$1</f>
        <v>0.52646065016033594</v>
      </c>
      <c r="N2" s="305"/>
      <c r="O2" s="306"/>
    </row>
    <row r="3" spans="1:24" ht="16.8" thickBot="1">
      <c r="A3" s="144" t="s">
        <v>160</v>
      </c>
      <c r="B3" s="144" t="s">
        <v>176</v>
      </c>
      <c r="C3" s="177" t="s">
        <v>161</v>
      </c>
      <c r="D3" s="187" t="s">
        <v>160</v>
      </c>
      <c r="E3" s="187" t="s">
        <v>176</v>
      </c>
      <c r="F3" s="140" t="s">
        <v>161</v>
      </c>
      <c r="G3" s="144" t="s">
        <v>160</v>
      </c>
      <c r="H3" s="144" t="s">
        <v>176</v>
      </c>
      <c r="I3" s="177" t="s">
        <v>161</v>
      </c>
      <c r="J3" s="187" t="s">
        <v>160</v>
      </c>
      <c r="K3" s="187" t="s">
        <v>176</v>
      </c>
      <c r="L3" s="140" t="s">
        <v>161</v>
      </c>
      <c r="M3" s="144" t="s">
        <v>160</v>
      </c>
      <c r="N3" s="144" t="s">
        <v>176</v>
      </c>
      <c r="O3" s="177" t="s">
        <v>161</v>
      </c>
      <c r="R3" s="253" t="s">
        <v>185</v>
      </c>
      <c r="S3" s="254" t="s">
        <v>186</v>
      </c>
      <c r="T3" s="254" t="s">
        <v>187</v>
      </c>
      <c r="U3" s="254" t="s">
        <v>188</v>
      </c>
      <c r="V3" s="254" t="s">
        <v>210</v>
      </c>
      <c r="W3" s="254" t="s">
        <v>183</v>
      </c>
      <c r="X3" s="177" t="s">
        <v>211</v>
      </c>
    </row>
    <row r="4" spans="1:24">
      <c r="A4" s="141" cm="1">
        <f t="array" ref="A4:A55">Card_Bet1!$K$3:$K$54</f>
        <v>-1</v>
      </c>
      <c r="B4" s="141" cm="1">
        <f t="array" ref="B4:B55">Card_Bet1!$AD$3:$AD$54</f>
        <v>870432</v>
      </c>
      <c r="C4" s="141" t="str" cm="1">
        <f t="array" ref="C4:C55">Card_Bet1!$L$3:$L$54</f>
        <v>A</v>
      </c>
      <c r="D4" s="219" cm="1">
        <f t="array" ref="D4:D55">Card_Bet5!$K$3:$K$54</f>
        <v>-1</v>
      </c>
      <c r="E4" s="188" cm="1">
        <f t="array" ref="E4:E55">Card_Bet5!$AD$3:$AD$54</f>
        <v>871198</v>
      </c>
      <c r="F4" s="219" t="str" cm="1">
        <f t="array" ref="F4:F55">Card_Bet5!$L$3:$L$54</f>
        <v>A</v>
      </c>
      <c r="G4" s="141" cm="1">
        <f t="array" ref="G4:G55">Card_Bet10!$K$3:$K$54</f>
        <v>-1</v>
      </c>
      <c r="H4" s="141" cm="1">
        <f t="array" ref="H4:H55">Card_Bet10!$AD$3:$AD$54</f>
        <v>871188</v>
      </c>
      <c r="I4" s="178" t="str" cm="1">
        <f t="array" ref="I4:I55">Card_Bet10!$L$3:$L$54</f>
        <v>A</v>
      </c>
      <c r="J4" s="188" cm="1">
        <f t="array" ref="J4:J55">Card_Bet50!$K$3:$K$54</f>
        <v>-1</v>
      </c>
      <c r="K4" s="188" cm="1">
        <f t="array" ref="K4:K55">Card_Bet50!$AD$3:$AD$54</f>
        <v>863135</v>
      </c>
      <c r="L4" s="219" t="str" cm="1">
        <f t="array" ref="L4:L55">Card_Bet50!$L$3:$L$54</f>
        <v>A</v>
      </c>
      <c r="M4" s="141" cm="1">
        <f t="array" ref="M4:M55">Card_Bet100!$K$3:$K$54</f>
        <v>-1</v>
      </c>
      <c r="N4" s="141" cm="1">
        <f t="array" ref="N4:N55">Card_Bet100!$AD$3:$AD$54</f>
        <v>892770</v>
      </c>
      <c r="O4" s="178" t="str" cm="1">
        <f t="array" ref="O4:O55">Card_Bet100!$L$3:$L$54</f>
        <v>A</v>
      </c>
      <c r="R4" s="205">
        <v>1</v>
      </c>
      <c r="S4" s="281">
        <v>0.92442100000000005</v>
      </c>
      <c r="T4" s="281">
        <v>0.122159</v>
      </c>
      <c r="U4" s="282" t="s">
        <v>189</v>
      </c>
      <c r="V4" s="283">
        <v>100000000</v>
      </c>
      <c r="W4" s="283">
        <f>SUM(AA13:AA28,AD13:AD28)</f>
        <v>0</v>
      </c>
      <c r="X4" s="284">
        <f>W4/V4</f>
        <v>0</v>
      </c>
    </row>
    <row r="5" spans="1:24">
      <c r="A5" s="142">
        <v>0</v>
      </c>
      <c r="B5" s="142">
        <v>65000</v>
      </c>
      <c r="C5" s="142" t="str">
        <v>A</v>
      </c>
      <c r="D5" s="220">
        <v>0</v>
      </c>
      <c r="E5" s="189">
        <v>65255</v>
      </c>
      <c r="F5" s="220" t="str">
        <v>A</v>
      </c>
      <c r="G5" s="142">
        <v>0</v>
      </c>
      <c r="H5" s="142">
        <v>24707</v>
      </c>
      <c r="I5" s="179" t="str">
        <v>A</v>
      </c>
      <c r="J5" s="189">
        <v>0</v>
      </c>
      <c r="K5" s="189">
        <v>49753</v>
      </c>
      <c r="L5" s="189" t="str">
        <v>A</v>
      </c>
      <c r="M5" s="142">
        <v>0</v>
      </c>
      <c r="N5" s="142">
        <v>300</v>
      </c>
      <c r="O5" s="179" t="str">
        <v>A</v>
      </c>
      <c r="R5" s="206">
        <v>5</v>
      </c>
      <c r="S5" s="285">
        <v>0.92508199999999996</v>
      </c>
      <c r="T5" s="285">
        <v>6.123E-2</v>
      </c>
      <c r="U5" s="285">
        <v>0.224109</v>
      </c>
      <c r="V5" s="286">
        <v>100000000</v>
      </c>
      <c r="W5" s="286">
        <f>SUM(AA30:AA48,AD30:AD48)</f>
        <v>0</v>
      </c>
      <c r="X5" s="287">
        <f t="shared" ref="X5:X8" si="0">W5/V5</f>
        <v>0</v>
      </c>
    </row>
    <row r="6" spans="1:24">
      <c r="A6" s="142">
        <v>1</v>
      </c>
      <c r="B6" s="142">
        <v>1000</v>
      </c>
      <c r="C6" s="142" t="str">
        <v>B</v>
      </c>
      <c r="D6" s="220">
        <v>1</v>
      </c>
      <c r="E6" s="189">
        <v>2054</v>
      </c>
      <c r="F6" s="220" t="str">
        <v>A</v>
      </c>
      <c r="G6" s="142">
        <v>1</v>
      </c>
      <c r="H6" s="142">
        <v>39300</v>
      </c>
      <c r="I6" s="179" t="str">
        <v>A</v>
      </c>
      <c r="J6" s="189">
        <v>1</v>
      </c>
      <c r="K6" s="189">
        <v>15839</v>
      </c>
      <c r="L6" s="189" t="str">
        <v>A</v>
      </c>
      <c r="M6" s="142">
        <v>1</v>
      </c>
      <c r="N6" s="142">
        <v>26494</v>
      </c>
      <c r="O6" s="179" t="str">
        <v>A</v>
      </c>
      <c r="R6" s="206">
        <v>10</v>
      </c>
      <c r="S6" s="285">
        <v>0.92513199999999995</v>
      </c>
      <c r="T6" s="285">
        <v>8.1793000000000005E-2</v>
      </c>
      <c r="U6" s="285">
        <v>0.16206999999999999</v>
      </c>
      <c r="V6" s="286">
        <v>300000000</v>
      </c>
      <c r="W6" s="286">
        <f>SUM(AA50:AA67,AD50:AD67)</f>
        <v>0</v>
      </c>
      <c r="X6" s="287">
        <f t="shared" si="0"/>
        <v>0</v>
      </c>
    </row>
    <row r="7" spans="1:24">
      <c r="A7" s="142">
        <v>2</v>
      </c>
      <c r="B7" s="142">
        <v>0</v>
      </c>
      <c r="C7" s="142" t="str">
        <v>A</v>
      </c>
      <c r="D7" s="220">
        <v>2</v>
      </c>
      <c r="E7" s="189">
        <v>300</v>
      </c>
      <c r="F7" s="220" t="str">
        <v>A</v>
      </c>
      <c r="G7" s="142">
        <v>2</v>
      </c>
      <c r="H7" s="142">
        <v>333</v>
      </c>
      <c r="I7" s="179" t="str">
        <v>B</v>
      </c>
      <c r="J7" s="189">
        <v>2</v>
      </c>
      <c r="K7" s="189">
        <v>2988</v>
      </c>
      <c r="L7" s="189" t="str">
        <v>A</v>
      </c>
      <c r="M7" s="142">
        <v>2</v>
      </c>
      <c r="N7" s="142">
        <v>629</v>
      </c>
      <c r="O7" s="179" t="str">
        <v>A</v>
      </c>
      <c r="R7" s="206">
        <v>50</v>
      </c>
      <c r="S7" s="285">
        <v>0.92536099999999999</v>
      </c>
      <c r="T7" s="285">
        <v>4.9854999999999997E-2</v>
      </c>
      <c r="U7" s="285">
        <v>0.337065</v>
      </c>
      <c r="V7" s="286">
        <v>100000000</v>
      </c>
      <c r="W7" s="286">
        <f>SUM(AA50:AA67,AD50:AD67)</f>
        <v>0</v>
      </c>
      <c r="X7" s="287">
        <f t="shared" si="0"/>
        <v>0</v>
      </c>
    </row>
    <row r="8" spans="1:24" ht="16.8" thickBot="1">
      <c r="A8" s="142">
        <v>3</v>
      </c>
      <c r="B8" s="142">
        <v>0</v>
      </c>
      <c r="C8" s="142" t="str">
        <v>A</v>
      </c>
      <c r="D8" s="220">
        <v>3</v>
      </c>
      <c r="E8" s="189">
        <v>0</v>
      </c>
      <c r="F8" s="220" t="str">
        <v>B</v>
      </c>
      <c r="G8" s="142">
        <v>3</v>
      </c>
      <c r="H8" s="142">
        <v>0</v>
      </c>
      <c r="I8" s="179" t="str">
        <v>A</v>
      </c>
      <c r="J8" s="189">
        <v>3</v>
      </c>
      <c r="K8" s="189">
        <v>812</v>
      </c>
      <c r="L8" s="189" t="str">
        <v>B</v>
      </c>
      <c r="M8" s="142">
        <v>3</v>
      </c>
      <c r="N8" s="142">
        <v>0</v>
      </c>
      <c r="O8" s="179" t="str">
        <v>A</v>
      </c>
      <c r="R8" s="207">
        <v>100</v>
      </c>
      <c r="S8" s="288">
        <v>0.92468700000000004</v>
      </c>
      <c r="T8" s="288">
        <v>0.131463</v>
      </c>
      <c r="U8" s="288">
        <v>0.220799</v>
      </c>
      <c r="V8" s="289">
        <v>100000000</v>
      </c>
      <c r="W8" s="289">
        <f>SUM(AA84:AA102,AD84:AD102)</f>
        <v>0</v>
      </c>
      <c r="X8" s="290">
        <f t="shared" si="0"/>
        <v>0</v>
      </c>
    </row>
    <row r="9" spans="1:24">
      <c r="A9" s="142">
        <v>4</v>
      </c>
      <c r="B9" s="142">
        <v>32000</v>
      </c>
      <c r="C9" s="142" t="str">
        <v>A</v>
      </c>
      <c r="D9" s="220">
        <v>4</v>
      </c>
      <c r="E9" s="189">
        <v>31700</v>
      </c>
      <c r="F9" s="220" t="str">
        <v>A</v>
      </c>
      <c r="G9" s="142">
        <v>4</v>
      </c>
      <c r="H9" s="142">
        <v>15365</v>
      </c>
      <c r="I9" s="179" t="str">
        <v>A</v>
      </c>
      <c r="J9" s="189">
        <v>4</v>
      </c>
      <c r="K9" s="189">
        <v>30000</v>
      </c>
      <c r="L9" s="189" t="str">
        <v>A</v>
      </c>
      <c r="M9" s="142">
        <v>4</v>
      </c>
      <c r="N9" s="142">
        <v>50000</v>
      </c>
      <c r="O9" s="179" t="str">
        <v>A</v>
      </c>
    </row>
    <row r="10" spans="1:24">
      <c r="A10" s="142">
        <v>5</v>
      </c>
      <c r="B10" s="142">
        <v>0</v>
      </c>
      <c r="C10" s="142" t="str">
        <v>B</v>
      </c>
      <c r="D10" s="220">
        <v>5</v>
      </c>
      <c r="E10" s="189">
        <v>0</v>
      </c>
      <c r="F10" s="220" t="str">
        <v>A</v>
      </c>
      <c r="G10" s="142">
        <v>5</v>
      </c>
      <c r="H10" s="142">
        <v>18320</v>
      </c>
      <c r="I10" s="179" t="str">
        <v>A</v>
      </c>
      <c r="J10" s="189">
        <v>5</v>
      </c>
      <c r="K10" s="189">
        <v>993</v>
      </c>
      <c r="L10" s="189" t="str">
        <v>B</v>
      </c>
      <c r="M10" s="142">
        <v>5</v>
      </c>
      <c r="N10" s="142">
        <v>500</v>
      </c>
      <c r="O10" s="179" t="str">
        <v>A</v>
      </c>
    </row>
    <row r="11" spans="1:24">
      <c r="A11" s="142">
        <v>6</v>
      </c>
      <c r="B11" s="142">
        <v>0</v>
      </c>
      <c r="C11" s="142" t="str">
        <v>A</v>
      </c>
      <c r="D11" s="220">
        <v>6</v>
      </c>
      <c r="E11" s="189">
        <v>0</v>
      </c>
      <c r="F11" s="220" t="str">
        <v>B</v>
      </c>
      <c r="G11" s="142">
        <v>6</v>
      </c>
      <c r="H11" s="142">
        <v>70</v>
      </c>
      <c r="I11" s="179" t="str">
        <v>B</v>
      </c>
      <c r="J11" s="189">
        <v>6</v>
      </c>
      <c r="K11" s="189">
        <v>0</v>
      </c>
      <c r="L11" s="189" t="str">
        <v>B</v>
      </c>
      <c r="M11" s="142">
        <v>6</v>
      </c>
      <c r="N11" s="142">
        <v>30</v>
      </c>
      <c r="O11" s="179" t="str">
        <v>B</v>
      </c>
    </row>
    <row r="12" spans="1:24">
      <c r="A12" s="142">
        <v>7</v>
      </c>
      <c r="B12" s="142">
        <v>0</v>
      </c>
      <c r="C12" s="142" t="str">
        <v>A</v>
      </c>
      <c r="D12" s="220">
        <v>7</v>
      </c>
      <c r="E12" s="189">
        <v>0</v>
      </c>
      <c r="F12" s="220" t="str">
        <v>B</v>
      </c>
      <c r="G12" s="142">
        <v>7</v>
      </c>
      <c r="H12" s="142">
        <v>0</v>
      </c>
      <c r="I12" s="179" t="str">
        <v>B</v>
      </c>
      <c r="J12" s="189">
        <v>7</v>
      </c>
      <c r="K12" s="189">
        <v>0</v>
      </c>
      <c r="L12" s="189" t="str">
        <v>A</v>
      </c>
      <c r="M12" s="142">
        <v>7</v>
      </c>
      <c r="N12" s="142">
        <v>0</v>
      </c>
      <c r="O12" s="179" t="str">
        <v>B</v>
      </c>
    </row>
    <row r="13" spans="1:24">
      <c r="A13" s="142">
        <v>8</v>
      </c>
      <c r="B13" s="142">
        <v>0</v>
      </c>
      <c r="C13" s="142" t="str">
        <v>A</v>
      </c>
      <c r="D13" s="220">
        <v>8</v>
      </c>
      <c r="E13" s="189">
        <v>0</v>
      </c>
      <c r="F13" s="220" t="str">
        <v>A</v>
      </c>
      <c r="G13" s="142">
        <v>8</v>
      </c>
      <c r="H13" s="142">
        <v>0</v>
      </c>
      <c r="I13" s="179" t="str">
        <v>A</v>
      </c>
      <c r="J13" s="189">
        <v>8</v>
      </c>
      <c r="K13" s="189">
        <v>0</v>
      </c>
      <c r="L13" s="189" t="str">
        <v>A</v>
      </c>
      <c r="M13" s="142">
        <v>8</v>
      </c>
      <c r="N13" s="142">
        <v>0</v>
      </c>
      <c r="O13" s="179" t="str">
        <v>A</v>
      </c>
    </row>
    <row r="14" spans="1:24">
      <c r="A14" s="142">
        <v>9</v>
      </c>
      <c r="B14" s="142">
        <v>10000</v>
      </c>
      <c r="C14" s="142" t="str">
        <v>A</v>
      </c>
      <c r="D14" s="220">
        <v>9</v>
      </c>
      <c r="E14" s="189">
        <v>10000</v>
      </c>
      <c r="F14" s="220" t="str">
        <v>A</v>
      </c>
      <c r="G14" s="142">
        <v>9</v>
      </c>
      <c r="H14" s="142">
        <v>4515</v>
      </c>
      <c r="I14" s="179" t="str">
        <v>A</v>
      </c>
      <c r="J14" s="189">
        <v>9</v>
      </c>
      <c r="K14" s="189">
        <v>10000</v>
      </c>
      <c r="L14" s="189" t="str">
        <v>A</v>
      </c>
      <c r="M14" s="142">
        <v>9</v>
      </c>
      <c r="N14" s="142">
        <v>10630</v>
      </c>
      <c r="O14" s="179" t="str">
        <v>A</v>
      </c>
    </row>
    <row r="15" spans="1:24">
      <c r="A15" s="142">
        <v>10</v>
      </c>
      <c r="B15" s="142">
        <v>3000</v>
      </c>
      <c r="C15" s="142" t="str">
        <v>A</v>
      </c>
      <c r="D15" s="220">
        <v>10</v>
      </c>
      <c r="E15" s="189">
        <v>300</v>
      </c>
      <c r="F15" s="220" t="str">
        <v>A</v>
      </c>
      <c r="G15" s="142">
        <v>10</v>
      </c>
      <c r="H15" s="142">
        <v>9523</v>
      </c>
      <c r="I15" s="179" t="str">
        <v>A</v>
      </c>
      <c r="J15" s="189">
        <v>10</v>
      </c>
      <c r="K15" s="189">
        <v>6500</v>
      </c>
      <c r="L15" s="189" t="str">
        <v>A</v>
      </c>
      <c r="M15" s="142">
        <v>10</v>
      </c>
      <c r="N15" s="142">
        <v>300</v>
      </c>
      <c r="O15" s="179" t="str">
        <v>A</v>
      </c>
    </row>
    <row r="16" spans="1:24">
      <c r="A16" s="142">
        <v>15</v>
      </c>
      <c r="B16" s="142">
        <v>10000</v>
      </c>
      <c r="C16" s="142" t="str">
        <v>A</v>
      </c>
      <c r="D16" s="220">
        <v>15</v>
      </c>
      <c r="E16" s="189">
        <v>10000</v>
      </c>
      <c r="F16" s="220" t="str">
        <v>A</v>
      </c>
      <c r="G16" s="142">
        <v>15</v>
      </c>
      <c r="H16" s="142">
        <v>4912</v>
      </c>
      <c r="I16" s="179" t="str">
        <v>A</v>
      </c>
      <c r="J16" s="189">
        <v>15</v>
      </c>
      <c r="K16" s="189">
        <v>7400</v>
      </c>
      <c r="L16" s="189" t="str">
        <v>A</v>
      </c>
      <c r="M16" s="142">
        <v>15</v>
      </c>
      <c r="N16" s="142">
        <v>10000</v>
      </c>
      <c r="O16" s="179" t="str">
        <v>A</v>
      </c>
    </row>
    <row r="17" spans="1:15">
      <c r="A17" s="142">
        <v>20</v>
      </c>
      <c r="B17" s="142">
        <v>3000</v>
      </c>
      <c r="C17" s="142" t="str">
        <v>A</v>
      </c>
      <c r="D17" s="220">
        <v>20</v>
      </c>
      <c r="E17" s="189">
        <v>300</v>
      </c>
      <c r="F17" s="220" t="str">
        <v>A</v>
      </c>
      <c r="G17" s="142">
        <v>20</v>
      </c>
      <c r="H17" s="142">
        <v>4400</v>
      </c>
      <c r="I17" s="179" t="str">
        <v>A</v>
      </c>
      <c r="J17" s="189">
        <v>20</v>
      </c>
      <c r="K17" s="189">
        <v>5000</v>
      </c>
      <c r="L17" s="189" t="str">
        <v>A</v>
      </c>
      <c r="M17" s="142">
        <v>20</v>
      </c>
      <c r="N17" s="142">
        <v>3000</v>
      </c>
      <c r="O17" s="179" t="str">
        <v>A</v>
      </c>
    </row>
    <row r="18" spans="1:15">
      <c r="A18" s="142">
        <v>25</v>
      </c>
      <c r="B18" s="142">
        <v>100</v>
      </c>
      <c r="C18" s="142" t="str">
        <v>B</v>
      </c>
      <c r="D18" s="220">
        <v>25</v>
      </c>
      <c r="E18" s="189">
        <v>1600</v>
      </c>
      <c r="F18" s="220" t="str">
        <v>B</v>
      </c>
      <c r="G18" s="142">
        <v>25</v>
      </c>
      <c r="H18" s="142">
        <v>1838</v>
      </c>
      <c r="I18" s="179" t="str">
        <v>A</v>
      </c>
      <c r="J18" s="189">
        <v>25</v>
      </c>
      <c r="K18" s="189">
        <v>3000</v>
      </c>
      <c r="L18" s="189" t="str">
        <v>B</v>
      </c>
      <c r="M18" s="142">
        <v>25</v>
      </c>
      <c r="N18" s="142">
        <v>100</v>
      </c>
      <c r="O18" s="179" t="str">
        <v>B</v>
      </c>
    </row>
    <row r="19" spans="1:15">
      <c r="A19" s="142">
        <v>30</v>
      </c>
      <c r="B19" s="142">
        <v>0</v>
      </c>
      <c r="C19" s="142" t="str">
        <v>A</v>
      </c>
      <c r="D19" s="220">
        <v>30</v>
      </c>
      <c r="E19" s="189">
        <v>100</v>
      </c>
      <c r="F19" s="220" t="str">
        <v>A</v>
      </c>
      <c r="G19" s="142">
        <v>30</v>
      </c>
      <c r="H19" s="142">
        <v>0</v>
      </c>
      <c r="I19" s="179" t="str">
        <v>B</v>
      </c>
      <c r="J19" s="189">
        <v>30</v>
      </c>
      <c r="K19" s="189">
        <v>100</v>
      </c>
      <c r="L19" s="189" t="str">
        <v>A</v>
      </c>
      <c r="M19" s="142">
        <v>30</v>
      </c>
      <c r="N19" s="142">
        <v>250</v>
      </c>
      <c r="O19" s="179" t="str">
        <v>B</v>
      </c>
    </row>
    <row r="20" spans="1:15">
      <c r="A20" s="142">
        <v>35</v>
      </c>
      <c r="B20" s="142">
        <v>0</v>
      </c>
      <c r="C20" s="142" t="str">
        <v>A</v>
      </c>
      <c r="D20" s="220">
        <v>35</v>
      </c>
      <c r="E20" s="189">
        <v>0</v>
      </c>
      <c r="F20" s="220" t="str">
        <v>B</v>
      </c>
      <c r="G20" s="142">
        <v>35</v>
      </c>
      <c r="H20" s="142">
        <v>0</v>
      </c>
      <c r="I20" s="179" t="str">
        <v>B</v>
      </c>
      <c r="J20" s="189">
        <v>35</v>
      </c>
      <c r="K20" s="189">
        <v>300</v>
      </c>
      <c r="L20" s="189" t="str">
        <v>B</v>
      </c>
      <c r="M20" s="142">
        <v>35</v>
      </c>
      <c r="N20" s="142">
        <v>180</v>
      </c>
      <c r="O20" s="179" t="str">
        <v>C</v>
      </c>
    </row>
    <row r="21" spans="1:15">
      <c r="A21" s="142">
        <v>40</v>
      </c>
      <c r="B21" s="142">
        <v>0</v>
      </c>
      <c r="C21" s="142" t="str">
        <v>A</v>
      </c>
      <c r="D21" s="220">
        <v>40</v>
      </c>
      <c r="E21" s="189">
        <v>0</v>
      </c>
      <c r="F21" s="220" t="str">
        <v>B</v>
      </c>
      <c r="G21" s="142">
        <v>40</v>
      </c>
      <c r="H21" s="142">
        <v>0</v>
      </c>
      <c r="I21" s="179" t="str">
        <v>B</v>
      </c>
      <c r="J21" s="189">
        <v>40</v>
      </c>
      <c r="K21" s="189">
        <v>1000</v>
      </c>
      <c r="L21" s="189" t="str">
        <v>B</v>
      </c>
      <c r="M21" s="142">
        <v>40</v>
      </c>
      <c r="N21" s="142">
        <v>500</v>
      </c>
      <c r="O21" s="179" t="str">
        <v>C</v>
      </c>
    </row>
    <row r="22" spans="1:15">
      <c r="A22" s="142">
        <v>45</v>
      </c>
      <c r="B22" s="142">
        <v>5000</v>
      </c>
      <c r="C22" s="142" t="str">
        <v>A</v>
      </c>
      <c r="D22" s="220">
        <v>45</v>
      </c>
      <c r="E22" s="189">
        <v>7000</v>
      </c>
      <c r="F22" s="220" t="str">
        <v>A</v>
      </c>
      <c r="G22" s="142">
        <v>45</v>
      </c>
      <c r="H22" s="142">
        <v>1740</v>
      </c>
      <c r="I22" s="179" t="str">
        <v>A</v>
      </c>
      <c r="J22" s="189">
        <v>45</v>
      </c>
      <c r="K22" s="189">
        <v>3000</v>
      </c>
      <c r="L22" s="189" t="str">
        <v>B</v>
      </c>
      <c r="M22" s="142">
        <v>45</v>
      </c>
      <c r="N22" s="142">
        <v>1000</v>
      </c>
      <c r="O22" s="179" t="str">
        <v>B</v>
      </c>
    </row>
    <row r="23" spans="1:15">
      <c r="A23" s="142">
        <v>50</v>
      </c>
      <c r="B23" s="142">
        <v>300</v>
      </c>
      <c r="C23" s="142" t="str">
        <v>A</v>
      </c>
      <c r="D23" s="220">
        <v>50</v>
      </c>
      <c r="E23" s="189">
        <v>0</v>
      </c>
      <c r="F23" s="220" t="str">
        <v>B</v>
      </c>
      <c r="G23" s="142">
        <v>50</v>
      </c>
      <c r="H23" s="142">
        <v>3580</v>
      </c>
      <c r="I23" s="179" t="str">
        <v>B</v>
      </c>
      <c r="J23" s="189">
        <v>50</v>
      </c>
      <c r="K23" s="189">
        <v>0</v>
      </c>
      <c r="L23" s="189" t="str">
        <v>B</v>
      </c>
      <c r="M23" s="142">
        <v>50</v>
      </c>
      <c r="N23" s="142">
        <v>3070</v>
      </c>
      <c r="O23" s="179" t="str">
        <v>A</v>
      </c>
    </row>
    <row r="24" spans="1:15">
      <c r="A24" s="142">
        <v>60</v>
      </c>
      <c r="B24" s="142">
        <v>0</v>
      </c>
      <c r="C24" s="142" t="str">
        <v>B</v>
      </c>
      <c r="D24" s="220">
        <v>60</v>
      </c>
      <c r="E24" s="189">
        <v>0</v>
      </c>
      <c r="F24" s="220" t="str">
        <v>B</v>
      </c>
      <c r="G24" s="142">
        <v>60</v>
      </c>
      <c r="H24" s="142">
        <v>0</v>
      </c>
      <c r="I24" s="179" t="str">
        <v>A</v>
      </c>
      <c r="J24" s="189">
        <v>60</v>
      </c>
      <c r="K24" s="189">
        <v>0</v>
      </c>
      <c r="L24" s="189" t="str">
        <v>B</v>
      </c>
      <c r="M24" s="142">
        <v>60</v>
      </c>
      <c r="N24" s="142">
        <v>0</v>
      </c>
      <c r="O24" s="179" t="str">
        <v>C</v>
      </c>
    </row>
    <row r="25" spans="1:15">
      <c r="A25" s="142">
        <v>70</v>
      </c>
      <c r="B25" s="142">
        <v>0</v>
      </c>
      <c r="C25" s="142" t="str">
        <v>B</v>
      </c>
      <c r="D25" s="220">
        <v>70</v>
      </c>
      <c r="E25" s="189">
        <v>0</v>
      </c>
      <c r="F25" s="220" t="str">
        <v>B</v>
      </c>
      <c r="G25" s="142">
        <v>70</v>
      </c>
      <c r="H25" s="142">
        <v>0</v>
      </c>
      <c r="I25" s="179" t="str">
        <v>B</v>
      </c>
      <c r="J25" s="189">
        <v>70</v>
      </c>
      <c r="K25" s="189">
        <v>0</v>
      </c>
      <c r="L25" s="189" t="str">
        <v>B</v>
      </c>
      <c r="M25" s="142">
        <v>70</v>
      </c>
      <c r="N25" s="142">
        <v>0</v>
      </c>
      <c r="O25" s="179" t="str">
        <v>B</v>
      </c>
    </row>
    <row r="26" spans="1:15">
      <c r="A26" s="142">
        <v>80</v>
      </c>
      <c r="B26" s="142">
        <v>0</v>
      </c>
      <c r="C26" s="142" t="str">
        <v>A</v>
      </c>
      <c r="D26" s="220">
        <v>80</v>
      </c>
      <c r="E26" s="189">
        <v>0</v>
      </c>
      <c r="F26" s="220" t="str">
        <v>A</v>
      </c>
      <c r="G26" s="142">
        <v>80</v>
      </c>
      <c r="H26" s="142">
        <v>0</v>
      </c>
      <c r="I26" s="179" t="str">
        <v>A</v>
      </c>
      <c r="J26" s="189">
        <v>80</v>
      </c>
      <c r="K26" s="189">
        <v>0</v>
      </c>
      <c r="L26" s="189" t="str">
        <v>A</v>
      </c>
      <c r="M26" s="142">
        <v>80</v>
      </c>
      <c r="N26" s="142">
        <v>0</v>
      </c>
      <c r="O26" s="179" t="str">
        <v>A</v>
      </c>
    </row>
    <row r="27" spans="1:15">
      <c r="A27" s="142">
        <v>90</v>
      </c>
      <c r="B27" s="142">
        <v>100</v>
      </c>
      <c r="C27" s="142" t="str">
        <v>B</v>
      </c>
      <c r="D27" s="220">
        <v>90</v>
      </c>
      <c r="E27" s="189">
        <v>100</v>
      </c>
      <c r="F27" s="220" t="str">
        <v>B</v>
      </c>
      <c r="G27" s="142">
        <v>90</v>
      </c>
      <c r="H27" s="142">
        <v>73</v>
      </c>
      <c r="I27" s="179" t="str">
        <v>B</v>
      </c>
      <c r="J27" s="189">
        <v>90</v>
      </c>
      <c r="K27" s="189">
        <v>70</v>
      </c>
      <c r="L27" s="189" t="str">
        <v>B</v>
      </c>
      <c r="M27" s="142">
        <v>90</v>
      </c>
      <c r="N27" s="142">
        <v>100</v>
      </c>
      <c r="O27" s="179" t="str">
        <v>B</v>
      </c>
    </row>
    <row r="28" spans="1:15">
      <c r="A28" s="142">
        <v>100</v>
      </c>
      <c r="B28" s="142">
        <v>50</v>
      </c>
      <c r="C28" s="142" t="str">
        <v>B</v>
      </c>
      <c r="D28" s="220">
        <v>100</v>
      </c>
      <c r="E28" s="189">
        <v>50</v>
      </c>
      <c r="F28" s="220" t="str">
        <v>B</v>
      </c>
      <c r="G28" s="142">
        <v>100</v>
      </c>
      <c r="H28" s="142">
        <v>100</v>
      </c>
      <c r="I28" s="179" t="str">
        <v>B</v>
      </c>
      <c r="J28" s="189">
        <v>100</v>
      </c>
      <c r="K28" s="189">
        <v>50</v>
      </c>
      <c r="L28" s="189" t="str">
        <v>B</v>
      </c>
      <c r="M28" s="142">
        <v>100</v>
      </c>
      <c r="N28" s="142">
        <v>80</v>
      </c>
      <c r="O28" s="179" t="str">
        <v>B</v>
      </c>
    </row>
    <row r="29" spans="1:15">
      <c r="A29" s="142">
        <v>120</v>
      </c>
      <c r="B29" s="142">
        <v>0</v>
      </c>
      <c r="C29" s="142" t="str">
        <v>A</v>
      </c>
      <c r="D29" s="220">
        <v>120</v>
      </c>
      <c r="E29" s="189">
        <v>0</v>
      </c>
      <c r="F29" s="220" t="str">
        <v>B</v>
      </c>
      <c r="G29" s="142">
        <v>120</v>
      </c>
      <c r="H29" s="142">
        <v>0</v>
      </c>
      <c r="I29" s="179" t="str">
        <v>B</v>
      </c>
      <c r="J29" s="189">
        <v>120</v>
      </c>
      <c r="K29" s="189">
        <v>0</v>
      </c>
      <c r="L29" s="189" t="str">
        <v>B</v>
      </c>
      <c r="M29" s="142">
        <v>120</v>
      </c>
      <c r="N29" s="142">
        <v>0</v>
      </c>
      <c r="O29" s="179" t="str">
        <v>B</v>
      </c>
    </row>
    <row r="30" spans="1:15">
      <c r="A30" s="142">
        <v>140</v>
      </c>
      <c r="B30" s="142">
        <v>3</v>
      </c>
      <c r="C30" s="142" t="str">
        <v>B</v>
      </c>
      <c r="D30" s="220">
        <v>140</v>
      </c>
      <c r="E30" s="189">
        <v>0</v>
      </c>
      <c r="F30" s="220" t="str">
        <v>B</v>
      </c>
      <c r="G30" s="142">
        <v>140</v>
      </c>
      <c r="H30" s="142">
        <v>1</v>
      </c>
      <c r="I30" s="179" t="str">
        <v>B</v>
      </c>
      <c r="J30" s="189">
        <v>140</v>
      </c>
      <c r="K30" s="189">
        <v>0</v>
      </c>
      <c r="L30" s="189" t="str">
        <v>A</v>
      </c>
      <c r="M30" s="142">
        <v>140</v>
      </c>
      <c r="N30" s="142">
        <v>0</v>
      </c>
      <c r="O30" s="179" t="str">
        <v>B</v>
      </c>
    </row>
    <row r="31" spans="1:15">
      <c r="A31" s="142">
        <v>160</v>
      </c>
      <c r="B31" s="142">
        <v>0</v>
      </c>
      <c r="C31" s="142" t="str">
        <v>A</v>
      </c>
      <c r="D31" s="220">
        <v>160</v>
      </c>
      <c r="E31" s="189">
        <v>0</v>
      </c>
      <c r="F31" s="220" t="str">
        <v>A</v>
      </c>
      <c r="G31" s="142">
        <v>160</v>
      </c>
      <c r="H31" s="142">
        <v>0</v>
      </c>
      <c r="I31" s="179" t="str">
        <v>A</v>
      </c>
      <c r="J31" s="189">
        <v>160</v>
      </c>
      <c r="K31" s="189">
        <v>0</v>
      </c>
      <c r="L31" s="189" t="str">
        <v>A</v>
      </c>
      <c r="M31" s="142">
        <v>160</v>
      </c>
      <c r="N31" s="142">
        <v>0</v>
      </c>
      <c r="O31" s="179" t="str">
        <v>A</v>
      </c>
    </row>
    <row r="32" spans="1:15">
      <c r="A32" s="142">
        <v>180</v>
      </c>
      <c r="B32" s="142">
        <v>0</v>
      </c>
      <c r="C32" s="142" t="str">
        <v>B</v>
      </c>
      <c r="D32" s="220">
        <v>180</v>
      </c>
      <c r="E32" s="189">
        <v>25</v>
      </c>
      <c r="F32" s="220" t="str">
        <v>B</v>
      </c>
      <c r="G32" s="142">
        <v>180</v>
      </c>
      <c r="H32" s="142">
        <v>34</v>
      </c>
      <c r="I32" s="179" t="str">
        <v>B</v>
      </c>
      <c r="J32" s="189">
        <v>180</v>
      </c>
      <c r="K32" s="189">
        <v>50</v>
      </c>
      <c r="L32" s="189" t="str">
        <v>B</v>
      </c>
      <c r="M32" s="142">
        <v>180</v>
      </c>
      <c r="N32" s="142">
        <v>50</v>
      </c>
      <c r="O32" s="179" t="str">
        <v>B</v>
      </c>
    </row>
    <row r="33" spans="1:15">
      <c r="A33" s="142">
        <v>200</v>
      </c>
      <c r="B33" s="142">
        <v>0</v>
      </c>
      <c r="C33" s="142" t="str">
        <v>B</v>
      </c>
      <c r="D33" s="220">
        <v>200</v>
      </c>
      <c r="E33" s="189">
        <v>5</v>
      </c>
      <c r="F33" s="220" t="str">
        <v>B</v>
      </c>
      <c r="G33" s="142">
        <v>200</v>
      </c>
      <c r="H33" s="142">
        <v>0</v>
      </c>
      <c r="I33" s="179" t="str">
        <v>B</v>
      </c>
      <c r="J33" s="189">
        <v>200</v>
      </c>
      <c r="K33" s="189">
        <v>0</v>
      </c>
      <c r="L33" s="189" t="str">
        <v>B</v>
      </c>
      <c r="M33" s="142">
        <v>200</v>
      </c>
      <c r="N33" s="142">
        <v>0</v>
      </c>
      <c r="O33" s="179" t="str">
        <v>B</v>
      </c>
    </row>
    <row r="34" spans="1:15">
      <c r="A34" s="142">
        <v>250</v>
      </c>
      <c r="B34" s="142">
        <v>0</v>
      </c>
      <c r="C34" s="142" t="str">
        <v>B</v>
      </c>
      <c r="D34" s="220">
        <v>250</v>
      </c>
      <c r="E34" s="189">
        <v>2</v>
      </c>
      <c r="F34" s="220" t="str">
        <v>B</v>
      </c>
      <c r="G34" s="142">
        <v>250</v>
      </c>
      <c r="H34" s="142">
        <v>0</v>
      </c>
      <c r="I34" s="179" t="str">
        <v>B</v>
      </c>
      <c r="J34" s="189">
        <v>250</v>
      </c>
      <c r="K34" s="189">
        <v>0</v>
      </c>
      <c r="L34" s="189" t="str">
        <v>A</v>
      </c>
      <c r="M34" s="142">
        <v>250</v>
      </c>
      <c r="N34" s="142">
        <v>0</v>
      </c>
      <c r="O34" s="179" t="str">
        <v>B</v>
      </c>
    </row>
    <row r="35" spans="1:15">
      <c r="A35" s="142">
        <v>300</v>
      </c>
      <c r="B35" s="142">
        <v>0</v>
      </c>
      <c r="C35" s="142" t="str">
        <v>A</v>
      </c>
      <c r="D35" s="220">
        <v>300</v>
      </c>
      <c r="E35" s="189">
        <v>2</v>
      </c>
      <c r="F35" s="220" t="str">
        <v>B</v>
      </c>
      <c r="G35" s="142">
        <v>300</v>
      </c>
      <c r="H35" s="142">
        <v>0</v>
      </c>
      <c r="I35" s="179" t="str">
        <v>A</v>
      </c>
      <c r="J35" s="189">
        <v>300</v>
      </c>
      <c r="K35" s="189">
        <v>0</v>
      </c>
      <c r="L35" s="189" t="str">
        <v>A</v>
      </c>
      <c r="M35" s="142">
        <v>300</v>
      </c>
      <c r="N35" s="142">
        <v>0</v>
      </c>
      <c r="O35" s="179" t="str">
        <v>A</v>
      </c>
    </row>
    <row r="36" spans="1:15">
      <c r="A36" s="142">
        <v>350</v>
      </c>
      <c r="B36" s="142">
        <v>0</v>
      </c>
      <c r="C36" s="142" t="str">
        <v>A</v>
      </c>
      <c r="D36" s="220">
        <v>350</v>
      </c>
      <c r="E36" s="189">
        <v>0</v>
      </c>
      <c r="F36" s="220" t="str">
        <v>B</v>
      </c>
      <c r="G36" s="142">
        <v>350</v>
      </c>
      <c r="H36" s="142">
        <v>0</v>
      </c>
      <c r="I36" s="179" t="str">
        <v>A</v>
      </c>
      <c r="J36" s="189">
        <v>350</v>
      </c>
      <c r="K36" s="189">
        <v>0</v>
      </c>
      <c r="L36" s="189" t="str">
        <v>A</v>
      </c>
      <c r="M36" s="142">
        <v>350</v>
      </c>
      <c r="N36" s="142">
        <v>0</v>
      </c>
      <c r="O36" s="179" t="str">
        <v>A</v>
      </c>
    </row>
    <row r="37" spans="1:15">
      <c r="A37" s="142">
        <v>400</v>
      </c>
      <c r="B37" s="142">
        <v>0</v>
      </c>
      <c r="C37" s="142" t="str">
        <v>A</v>
      </c>
      <c r="D37" s="220">
        <v>400</v>
      </c>
      <c r="E37" s="189">
        <v>0</v>
      </c>
      <c r="F37" s="220" t="str">
        <v>B</v>
      </c>
      <c r="G37" s="142">
        <v>400</v>
      </c>
      <c r="H37" s="142">
        <v>0</v>
      </c>
      <c r="I37" s="179" t="str">
        <v>A</v>
      </c>
      <c r="J37" s="189">
        <v>400</v>
      </c>
      <c r="K37" s="189">
        <v>0</v>
      </c>
      <c r="L37" s="189" t="str">
        <v>B</v>
      </c>
      <c r="M37" s="142">
        <v>400</v>
      </c>
      <c r="N37" s="142">
        <v>0</v>
      </c>
      <c r="O37" s="179" t="str">
        <v>A</v>
      </c>
    </row>
    <row r="38" spans="1:15">
      <c r="A38" s="142">
        <v>450</v>
      </c>
      <c r="B38" s="142">
        <v>15</v>
      </c>
      <c r="C38" s="142" t="str">
        <v>B</v>
      </c>
      <c r="D38" s="220">
        <v>450</v>
      </c>
      <c r="E38" s="189">
        <v>0</v>
      </c>
      <c r="F38" s="220" t="str">
        <v>B</v>
      </c>
      <c r="G38" s="142">
        <v>450</v>
      </c>
      <c r="H38" s="142">
        <v>0</v>
      </c>
      <c r="I38" s="179" t="str">
        <v>B</v>
      </c>
      <c r="J38" s="189">
        <v>450</v>
      </c>
      <c r="K38" s="189">
        <v>10</v>
      </c>
      <c r="L38" s="189" t="str">
        <v>B</v>
      </c>
      <c r="M38" s="142">
        <v>450</v>
      </c>
      <c r="N38" s="142">
        <v>10</v>
      </c>
      <c r="O38" s="179" t="str">
        <v>B</v>
      </c>
    </row>
    <row r="39" spans="1:15">
      <c r="A39" s="142">
        <v>500</v>
      </c>
      <c r="B39" s="142">
        <v>0</v>
      </c>
      <c r="C39" s="142" t="str">
        <v>B</v>
      </c>
      <c r="D39" s="220">
        <v>500</v>
      </c>
      <c r="E39" s="189">
        <v>9</v>
      </c>
      <c r="F39" s="220" t="str">
        <v>B</v>
      </c>
      <c r="G39" s="142">
        <v>500</v>
      </c>
      <c r="H39" s="142">
        <v>1</v>
      </c>
      <c r="I39" s="179" t="str">
        <v>B</v>
      </c>
      <c r="J39" s="189">
        <v>500</v>
      </c>
      <c r="K39" s="189">
        <v>0</v>
      </c>
      <c r="L39" s="189" t="str">
        <v>B</v>
      </c>
      <c r="M39" s="142">
        <v>500</v>
      </c>
      <c r="N39" s="142">
        <v>7</v>
      </c>
      <c r="O39" s="179" t="str">
        <v>B</v>
      </c>
    </row>
    <row r="40" spans="1:15">
      <c r="A40" s="142">
        <v>550</v>
      </c>
      <c r="B40" s="142">
        <v>0</v>
      </c>
      <c r="C40" s="142" t="str">
        <v>A</v>
      </c>
      <c r="D40" s="220">
        <v>550</v>
      </c>
      <c r="E40" s="189">
        <v>0</v>
      </c>
      <c r="F40" s="220" t="str">
        <v>B</v>
      </c>
      <c r="G40" s="142">
        <v>550</v>
      </c>
      <c r="H40" s="142">
        <v>0</v>
      </c>
      <c r="I40" s="179" t="str">
        <v>B</v>
      </c>
      <c r="J40" s="189">
        <v>550</v>
      </c>
      <c r="K40" s="189">
        <v>0</v>
      </c>
      <c r="L40" s="189" t="str">
        <v>A</v>
      </c>
      <c r="M40" s="142">
        <v>550</v>
      </c>
      <c r="N40" s="142">
        <v>0</v>
      </c>
      <c r="O40" s="179" t="str">
        <v>B</v>
      </c>
    </row>
    <row r="41" spans="1:15">
      <c r="A41" s="142">
        <v>600</v>
      </c>
      <c r="B41" s="142">
        <v>0</v>
      </c>
      <c r="C41" s="142" t="str">
        <v>A</v>
      </c>
      <c r="D41" s="220">
        <v>600</v>
      </c>
      <c r="E41" s="189">
        <v>0</v>
      </c>
      <c r="F41" s="220" t="str">
        <v>A</v>
      </c>
      <c r="G41" s="142">
        <v>600</v>
      </c>
      <c r="H41" s="142">
        <v>0</v>
      </c>
      <c r="I41" s="179" t="str">
        <v>A</v>
      </c>
      <c r="J41" s="189">
        <v>600</v>
      </c>
      <c r="K41" s="189">
        <v>0</v>
      </c>
      <c r="L41" s="189" t="str">
        <v>A</v>
      </c>
      <c r="M41" s="142">
        <v>600</v>
      </c>
      <c r="N41" s="142">
        <v>0</v>
      </c>
      <c r="O41" s="179" t="str">
        <v>A</v>
      </c>
    </row>
    <row r="42" spans="1:15">
      <c r="A42" s="142">
        <v>650</v>
      </c>
      <c r="B42" s="142">
        <v>0</v>
      </c>
      <c r="C42" s="142" t="str">
        <v>A</v>
      </c>
      <c r="D42" s="220">
        <v>650</v>
      </c>
      <c r="E42" s="189">
        <v>0</v>
      </c>
      <c r="F42" s="220" t="str">
        <v>A</v>
      </c>
      <c r="G42" s="142">
        <v>650</v>
      </c>
      <c r="H42" s="142">
        <v>0</v>
      </c>
      <c r="I42" s="179" t="str">
        <v>A</v>
      </c>
      <c r="J42" s="189">
        <v>650</v>
      </c>
      <c r="K42" s="189">
        <v>0</v>
      </c>
      <c r="L42" s="189" t="str">
        <v>A</v>
      </c>
      <c r="M42" s="142">
        <v>650</v>
      </c>
      <c r="N42" s="142">
        <v>0</v>
      </c>
      <c r="O42" s="179" t="str">
        <v>A</v>
      </c>
    </row>
    <row r="43" spans="1:15">
      <c r="A43" s="142">
        <v>700</v>
      </c>
      <c r="B43" s="142">
        <v>0</v>
      </c>
      <c r="C43" s="142" t="str">
        <v>A</v>
      </c>
      <c r="D43" s="220">
        <v>700</v>
      </c>
      <c r="E43" s="189">
        <v>0</v>
      </c>
      <c r="F43" s="220" t="str">
        <v>A</v>
      </c>
      <c r="G43" s="142">
        <v>700</v>
      </c>
      <c r="H43" s="142">
        <v>0</v>
      </c>
      <c r="I43" s="179" t="str">
        <v>A</v>
      </c>
      <c r="J43" s="189">
        <v>700</v>
      </c>
      <c r="K43" s="189">
        <v>0</v>
      </c>
      <c r="L43" s="189" t="str">
        <v>A</v>
      </c>
      <c r="M43" s="142">
        <v>700</v>
      </c>
      <c r="N43" s="142">
        <v>0</v>
      </c>
      <c r="O43" s="179" t="str">
        <v>A</v>
      </c>
    </row>
    <row r="44" spans="1:15">
      <c r="A44" s="142">
        <v>750</v>
      </c>
      <c r="B44" s="142">
        <v>0</v>
      </c>
      <c r="C44" s="142" t="str">
        <v>A</v>
      </c>
      <c r="D44" s="220">
        <v>750</v>
      </c>
      <c r="E44" s="189">
        <v>0</v>
      </c>
      <c r="F44" s="220" t="str">
        <v>A</v>
      </c>
      <c r="G44" s="142">
        <v>750</v>
      </c>
      <c r="H44" s="142">
        <v>0</v>
      </c>
      <c r="I44" s="179" t="str">
        <v>A</v>
      </c>
      <c r="J44" s="189">
        <v>750</v>
      </c>
      <c r="K44" s="189">
        <v>0</v>
      </c>
      <c r="L44" s="189" t="str">
        <v>A</v>
      </c>
      <c r="M44" s="142">
        <v>750</v>
      </c>
      <c r="N44" s="142">
        <v>0</v>
      </c>
      <c r="O44" s="179" t="str">
        <v>A</v>
      </c>
    </row>
    <row r="45" spans="1:15">
      <c r="A45" s="142">
        <v>800</v>
      </c>
      <c r="B45" s="142">
        <v>0</v>
      </c>
      <c r="C45" s="142" t="str">
        <v>A</v>
      </c>
      <c r="D45" s="220">
        <v>800</v>
      </c>
      <c r="E45" s="189">
        <v>0</v>
      </c>
      <c r="F45" s="220" t="str">
        <v>A</v>
      </c>
      <c r="G45" s="142">
        <v>800</v>
      </c>
      <c r="H45" s="142">
        <v>0</v>
      </c>
      <c r="I45" s="179" t="str">
        <v>A</v>
      </c>
      <c r="J45" s="189">
        <v>800</v>
      </c>
      <c r="K45" s="189">
        <v>0</v>
      </c>
      <c r="L45" s="189" t="str">
        <v>A</v>
      </c>
      <c r="M45" s="142">
        <v>800</v>
      </c>
      <c r="N45" s="142">
        <v>0</v>
      </c>
      <c r="O45" s="179" t="str">
        <v>A</v>
      </c>
    </row>
    <row r="46" spans="1:15">
      <c r="A46" s="142">
        <v>850</v>
      </c>
      <c r="B46" s="142">
        <v>0</v>
      </c>
      <c r="C46" s="142" t="str">
        <v>A</v>
      </c>
      <c r="D46" s="220">
        <v>850</v>
      </c>
      <c r="E46" s="189">
        <v>0</v>
      </c>
      <c r="F46" s="220" t="str">
        <v>A</v>
      </c>
      <c r="G46" s="142">
        <v>850</v>
      </c>
      <c r="H46" s="142">
        <v>0</v>
      </c>
      <c r="I46" s="179" t="str">
        <v>A</v>
      </c>
      <c r="J46" s="189">
        <v>850</v>
      </c>
      <c r="K46" s="189">
        <v>0</v>
      </c>
      <c r="L46" s="189" t="str">
        <v>A</v>
      </c>
      <c r="M46" s="142">
        <v>850</v>
      </c>
      <c r="N46" s="142">
        <v>0</v>
      </c>
      <c r="O46" s="179" t="str">
        <v>A</v>
      </c>
    </row>
    <row r="47" spans="1:15">
      <c r="A47" s="142">
        <v>900</v>
      </c>
      <c r="B47" s="142">
        <v>0</v>
      </c>
      <c r="C47" s="142" t="str">
        <v>A</v>
      </c>
      <c r="D47" s="220">
        <v>900</v>
      </c>
      <c r="E47" s="189">
        <v>0</v>
      </c>
      <c r="F47" s="220" t="str">
        <v>A</v>
      </c>
      <c r="G47" s="142">
        <v>900</v>
      </c>
      <c r="H47" s="142">
        <v>0</v>
      </c>
      <c r="I47" s="179" t="str">
        <v>A</v>
      </c>
      <c r="J47" s="189">
        <v>900</v>
      </c>
      <c r="K47" s="189">
        <v>0</v>
      </c>
      <c r="L47" s="189" t="str">
        <v>A</v>
      </c>
      <c r="M47" s="142">
        <v>900</v>
      </c>
      <c r="N47" s="142">
        <v>0</v>
      </c>
      <c r="O47" s="179" t="str">
        <v>A</v>
      </c>
    </row>
    <row r="48" spans="1:15">
      <c r="A48" s="142">
        <v>950</v>
      </c>
      <c r="B48" s="142">
        <v>0</v>
      </c>
      <c r="C48" s="142" t="str">
        <v>A</v>
      </c>
      <c r="D48" s="220">
        <v>950</v>
      </c>
      <c r="E48" s="189">
        <v>0</v>
      </c>
      <c r="F48" s="220" t="str">
        <v>B</v>
      </c>
      <c r="G48" s="142">
        <v>950</v>
      </c>
      <c r="H48" s="142">
        <v>0</v>
      </c>
      <c r="I48" s="179" t="str">
        <v>A</v>
      </c>
      <c r="J48" s="189">
        <v>950</v>
      </c>
      <c r="K48" s="189">
        <v>0</v>
      </c>
      <c r="L48" s="189" t="str">
        <v>B</v>
      </c>
      <c r="M48" s="142">
        <v>950</v>
      </c>
      <c r="N48" s="142">
        <v>0</v>
      </c>
      <c r="O48" s="179" t="str">
        <v>B</v>
      </c>
    </row>
    <row r="49" spans="1:15">
      <c r="A49" s="142">
        <v>1000</v>
      </c>
      <c r="B49" s="142">
        <v>0</v>
      </c>
      <c r="C49" s="142" t="str">
        <v>A</v>
      </c>
      <c r="D49" s="220">
        <v>1000</v>
      </c>
      <c r="E49" s="189">
        <v>0</v>
      </c>
      <c r="F49" s="220" t="str">
        <v>B</v>
      </c>
      <c r="G49" s="142">
        <v>1000</v>
      </c>
      <c r="H49" s="142">
        <v>0</v>
      </c>
      <c r="I49" s="179" t="str">
        <v>B</v>
      </c>
      <c r="J49" s="189">
        <v>1000</v>
      </c>
      <c r="K49" s="189">
        <v>0</v>
      </c>
      <c r="L49" s="189" t="str">
        <v>B</v>
      </c>
      <c r="M49" s="142">
        <v>1000</v>
      </c>
      <c r="N49" s="142">
        <v>0</v>
      </c>
      <c r="O49" s="179" t="str">
        <v>B</v>
      </c>
    </row>
    <row r="50" spans="1:15">
      <c r="A50" s="142">
        <v>2000</v>
      </c>
      <c r="B50" s="142">
        <v>0</v>
      </c>
      <c r="C50" s="142" t="str">
        <v>A</v>
      </c>
      <c r="D50" s="220">
        <v>2000</v>
      </c>
      <c r="E50" s="189">
        <v>0</v>
      </c>
      <c r="F50" s="220" t="str">
        <v>A</v>
      </c>
      <c r="G50" s="142">
        <v>2000</v>
      </c>
      <c r="H50" s="142">
        <v>0</v>
      </c>
      <c r="I50" s="179" t="str">
        <v>A</v>
      </c>
      <c r="J50" s="189">
        <v>2000</v>
      </c>
      <c r="K50" s="189">
        <v>0</v>
      </c>
      <c r="L50" s="189" t="str">
        <v>B</v>
      </c>
      <c r="M50" s="142">
        <v>2000</v>
      </c>
      <c r="N50" s="142">
        <v>0</v>
      </c>
      <c r="O50" s="179" t="str">
        <v>B</v>
      </c>
    </row>
    <row r="51" spans="1:15">
      <c r="A51" s="142">
        <v>3000</v>
      </c>
      <c r="B51" s="142">
        <v>0</v>
      </c>
      <c r="C51" s="142" t="str">
        <v>A</v>
      </c>
      <c r="D51" s="220">
        <v>3000</v>
      </c>
      <c r="E51" s="189">
        <v>0</v>
      </c>
      <c r="F51" s="220" t="str">
        <v>A</v>
      </c>
      <c r="G51" s="142">
        <v>3000</v>
      </c>
      <c r="H51" s="142">
        <v>0</v>
      </c>
      <c r="I51" s="179" t="str">
        <v>A</v>
      </c>
      <c r="J51" s="189">
        <v>3000</v>
      </c>
      <c r="K51" s="189">
        <v>0</v>
      </c>
      <c r="L51" s="189" t="str">
        <v>A</v>
      </c>
      <c r="M51" s="142">
        <v>3000</v>
      </c>
      <c r="N51" s="142">
        <v>0</v>
      </c>
      <c r="O51" s="179" t="str">
        <v>A</v>
      </c>
    </row>
    <row r="52" spans="1:15">
      <c r="A52" s="142">
        <v>4000</v>
      </c>
      <c r="B52" s="142">
        <v>0</v>
      </c>
      <c r="C52" s="142" t="str">
        <v>A</v>
      </c>
      <c r="D52" s="220">
        <v>4000</v>
      </c>
      <c r="E52" s="189">
        <v>0</v>
      </c>
      <c r="F52" s="220" t="str">
        <v>A</v>
      </c>
      <c r="G52" s="142">
        <v>4000</v>
      </c>
      <c r="H52" s="142">
        <v>0</v>
      </c>
      <c r="I52" s="179" t="str">
        <v>A</v>
      </c>
      <c r="J52" s="189">
        <v>4000</v>
      </c>
      <c r="K52" s="189">
        <v>0</v>
      </c>
      <c r="L52" s="189" t="str">
        <v>A</v>
      </c>
      <c r="M52" s="142">
        <v>4000</v>
      </c>
      <c r="N52" s="142">
        <v>0</v>
      </c>
      <c r="O52" s="179" t="str">
        <v>A</v>
      </c>
    </row>
    <row r="53" spans="1:15">
      <c r="A53" s="142">
        <v>5000</v>
      </c>
      <c r="B53" s="142">
        <v>0</v>
      </c>
      <c r="C53" s="142" t="str">
        <v>A</v>
      </c>
      <c r="D53" s="220">
        <v>5000</v>
      </c>
      <c r="E53" s="189">
        <v>0</v>
      </c>
      <c r="F53" s="220" t="str">
        <v>A</v>
      </c>
      <c r="G53" s="142">
        <v>5000</v>
      </c>
      <c r="H53" s="142">
        <v>0</v>
      </c>
      <c r="I53" s="179" t="str">
        <v>A</v>
      </c>
      <c r="J53" s="189">
        <v>5000</v>
      </c>
      <c r="K53" s="189">
        <v>0</v>
      </c>
      <c r="L53" s="189" t="str">
        <v>A</v>
      </c>
      <c r="M53" s="142">
        <v>5000</v>
      </c>
      <c r="N53" s="142">
        <v>0</v>
      </c>
      <c r="O53" s="179" t="str">
        <v>B</v>
      </c>
    </row>
    <row r="54" spans="1:15">
      <c r="A54" s="142">
        <v>6000</v>
      </c>
      <c r="B54" s="142">
        <v>0</v>
      </c>
      <c r="C54" s="142" t="str">
        <v>A</v>
      </c>
      <c r="D54" s="189">
        <v>6000</v>
      </c>
      <c r="E54" s="189">
        <v>0</v>
      </c>
      <c r="F54" s="189" t="str">
        <v>A</v>
      </c>
      <c r="G54" s="142">
        <v>6000</v>
      </c>
      <c r="H54" s="142">
        <v>0</v>
      </c>
      <c r="I54" s="142" t="str">
        <v>A</v>
      </c>
      <c r="J54" s="189">
        <v>6000</v>
      </c>
      <c r="K54" s="189">
        <v>0</v>
      </c>
      <c r="L54" s="189" t="str">
        <v>A</v>
      </c>
      <c r="M54" s="142">
        <v>6000</v>
      </c>
      <c r="N54" s="142">
        <v>0</v>
      </c>
      <c r="O54" s="142" t="str">
        <v>A</v>
      </c>
    </row>
    <row r="55" spans="1:15" ht="16.8" thickBot="1">
      <c r="A55" s="143">
        <v>7000</v>
      </c>
      <c r="B55" s="143">
        <v>0</v>
      </c>
      <c r="C55" s="143" t="str">
        <v>A</v>
      </c>
      <c r="D55" s="190">
        <v>7000</v>
      </c>
      <c r="E55" s="190">
        <v>0</v>
      </c>
      <c r="F55" s="190" t="str">
        <v>A</v>
      </c>
      <c r="G55" s="143">
        <v>7000</v>
      </c>
      <c r="H55" s="143">
        <v>0</v>
      </c>
      <c r="I55" s="143" t="str">
        <v>A</v>
      </c>
      <c r="J55" s="190">
        <v>7000</v>
      </c>
      <c r="K55" s="190">
        <v>0</v>
      </c>
      <c r="L55" s="190" t="str">
        <v>A</v>
      </c>
      <c r="M55" s="143">
        <v>7000</v>
      </c>
      <c r="N55" s="143">
        <v>0</v>
      </c>
      <c r="O55" s="143" t="str">
        <v>B</v>
      </c>
    </row>
  </sheetData>
  <mergeCells count="10">
    <mergeCell ref="A2:C2"/>
    <mergeCell ref="D2:F2"/>
    <mergeCell ref="G2:I2"/>
    <mergeCell ref="J2:L2"/>
    <mergeCell ref="M2:O2"/>
    <mergeCell ref="A1:C1"/>
    <mergeCell ref="D1:F1"/>
    <mergeCell ref="G1:I1"/>
    <mergeCell ref="J1:L1"/>
    <mergeCell ref="M1:O1"/>
  </mergeCells>
  <phoneticPr fontId="1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B872B8-CD77-471F-AF6C-3C053DE3B87A}">
  <dimension ref="B1:AF54"/>
  <sheetViews>
    <sheetView topLeftCell="G1" zoomScaleNormal="100" workbookViewId="0">
      <selection activeCell="T4" sqref="T4"/>
    </sheetView>
  </sheetViews>
  <sheetFormatPr defaultRowHeight="16.2"/>
  <cols>
    <col min="3" max="5" width="8.88671875" style="138"/>
    <col min="6" max="8" width="8.88671875" style="180"/>
    <col min="12" max="12" width="8.88671875" style="125"/>
    <col min="13" max="13" width="10.5546875" style="139" bestFit="1" customWidth="1"/>
    <col min="14" max="14" width="13.44140625" bestFit="1" customWidth="1"/>
    <col min="18" max="18" width="10.6640625" style="166" bestFit="1" customWidth="1"/>
    <col min="20" max="20" width="18.88671875" style="103" customWidth="1"/>
    <col min="21" max="21" width="11.77734375" customWidth="1"/>
    <col min="22" max="22" width="10.33203125" style="172" customWidth="1"/>
    <col min="23" max="23" width="11.77734375" customWidth="1"/>
    <col min="28" max="28" width="9.109375" style="273" bestFit="1" customWidth="1"/>
    <col min="30" max="30" width="18.88671875" style="103" bestFit="1" customWidth="1"/>
    <col min="31" max="31" width="11.77734375" bestFit="1" customWidth="1"/>
    <col min="32" max="32" width="10.33203125" style="280" customWidth="1"/>
  </cols>
  <sheetData>
    <row r="1" spans="2:32" ht="16.8" thickBot="1">
      <c r="C1" s="316" t="s">
        <v>158</v>
      </c>
      <c r="D1" s="316"/>
      <c r="E1" s="316"/>
      <c r="F1" s="317" t="s">
        <v>159</v>
      </c>
      <c r="G1" s="317"/>
      <c r="H1" s="317"/>
      <c r="R1" s="293">
        <f>SUM(R3:R54)</f>
        <v>0.3311224544078572</v>
      </c>
      <c r="V1" s="173">
        <f>SUM(V3:V54)</f>
        <v>0.42607907193681399</v>
      </c>
      <c r="AB1" s="270">
        <f>SUM(AB3:AB54)</f>
        <v>0.2866454958025782</v>
      </c>
      <c r="AF1" s="274">
        <f>SUM(AF3:AF54)</f>
        <v>0.28665381877914048</v>
      </c>
    </row>
    <row r="2" spans="2:32" ht="16.8" thickBot="1">
      <c r="B2" s="141" t="s">
        <v>160</v>
      </c>
      <c r="C2" s="192" t="s">
        <v>90</v>
      </c>
      <c r="D2" s="193" t="s">
        <v>91</v>
      </c>
      <c r="E2" s="208" t="s">
        <v>92</v>
      </c>
      <c r="F2" s="194" t="s">
        <v>90</v>
      </c>
      <c r="G2" s="195" t="s">
        <v>91</v>
      </c>
      <c r="H2" s="209" t="s">
        <v>92</v>
      </c>
      <c r="J2" s="153" t="s">
        <v>163</v>
      </c>
      <c r="K2" s="144" t="s">
        <v>160</v>
      </c>
      <c r="L2" s="152" t="s">
        <v>161</v>
      </c>
      <c r="M2" s="188" t="s">
        <v>213</v>
      </c>
      <c r="N2" s="141" t="s">
        <v>162</v>
      </c>
      <c r="O2" s="162" t="s">
        <v>174</v>
      </c>
      <c r="P2" s="162" t="s">
        <v>165</v>
      </c>
      <c r="Q2" s="162" t="s">
        <v>164</v>
      </c>
      <c r="R2" s="164" t="s">
        <v>175</v>
      </c>
      <c r="T2" s="170" t="s">
        <v>169</v>
      </c>
      <c r="U2" s="170" t="s">
        <v>166</v>
      </c>
      <c r="V2" s="171" t="s">
        <v>167</v>
      </c>
      <c r="Y2" s="162" t="s">
        <v>174</v>
      </c>
      <c r="Z2" s="162" t="s">
        <v>165</v>
      </c>
      <c r="AA2" s="162" t="s">
        <v>164</v>
      </c>
      <c r="AB2" s="271" t="s">
        <v>175</v>
      </c>
      <c r="AD2" s="170" t="s">
        <v>169</v>
      </c>
      <c r="AE2" s="170" t="s">
        <v>166</v>
      </c>
      <c r="AF2" s="275" t="s">
        <v>167</v>
      </c>
    </row>
    <row r="3" spans="2:32">
      <c r="B3" s="141">
        <v>-1</v>
      </c>
      <c r="C3" s="154" cm="1">
        <f t="array" ref="C3">_xlfn.IFNA(
   _xlfn._xlws.FILTER(
      Sim_Mul_Bet1!$H$3:$H$48,
      (Sim_Mul_Bet1!$A$3:$A$48=C$2) * (Sim_Mul_Bet1!$C$3:$C$48=$B3),0
   ),
   0
)</f>
        <v>0</v>
      </c>
      <c r="D3" s="154" cm="1">
        <f t="array" ref="D3">_xlfn.IFNA(
   _xlfn._xlws.FILTER(
      Sim_Mul_Bet1!$H$3:$H$48,
      (Sim_Mul_Bet1!$A$3:$A$48=D$2) * (Sim_Mul_Bet1!$C$3:$C$48=$B3),0
   ),
   0
)</f>
        <v>0.27765509999999999</v>
      </c>
      <c r="E3" s="208"/>
      <c r="F3" s="194"/>
      <c r="G3" s="145" cm="1">
        <f t="array" ref="G3">_xlfn.IFNA(
   _xlfn._xlws.FILTER(
      Sim_Mul_Bet1!$O$3:$O$48,
      (Sim_Mul_Bet1!$A$3:$A$48=D$2) * (Sim_Mul_Bet1!$C$3:$C$48=$B3),0
   ),
   0
)</f>
        <v>0</v>
      </c>
      <c r="H3" s="209"/>
      <c r="J3" s="153">
        <v>0</v>
      </c>
      <c r="K3" s="205">
        <v>-1</v>
      </c>
      <c r="L3" s="196" t="s">
        <v>90</v>
      </c>
      <c r="M3" s="212">
        <f>HLOOKUP(L3,$C$2:$E$54,J3+2,FALSE)</f>
        <v>0</v>
      </c>
      <c r="N3" s="159">
        <f>HLOOKUP(L3,$F$2:$H$54,J3+2,FALSE)</f>
        <v>0</v>
      </c>
      <c r="O3" s="174">
        <f>1-SUM(O4:O53)</f>
        <v>0.86211727068175337</v>
      </c>
      <c r="P3" s="174">
        <f>1-SUM(P4:P53)</f>
        <v>0.86206787068175328</v>
      </c>
      <c r="Q3" s="174">
        <f>1-SUM(Q4:Q54)</f>
        <v>0.85905995358855425</v>
      </c>
      <c r="R3" s="165">
        <f t="shared" ref="R3:R34" si="0">N3*O3</f>
        <v>0</v>
      </c>
      <c r="S3" t="b" cm="1">
        <f t="array" ref="S3:S54">Q3:Q54=P3:P54</f>
        <v>0</v>
      </c>
      <c r="T3" s="183">
        <f>1000000-SUM(T4:T54)</f>
        <v>856097</v>
      </c>
      <c r="U3" s="198" cm="1">
        <f t="array" ref="U3:U54">T3:T54/SUM($T$3:$T$54)</f>
        <v>0.856097</v>
      </c>
      <c r="V3" s="201">
        <f t="shared" ref="V3:V34" si="1">U3*N3</f>
        <v>0</v>
      </c>
      <c r="Y3" s="174">
        <f>1-SUM(Y4:Y53)</f>
        <v>0.87043205404315749</v>
      </c>
      <c r="Z3" s="174">
        <f>1-SUM(Z4:Z53)</f>
        <v>0.87043205404315749</v>
      </c>
      <c r="AA3" s="174">
        <f>1-SUM(AA4:AA54)</f>
        <v>0.85905995358855425</v>
      </c>
      <c r="AB3" s="272">
        <f>N3*Y3</f>
        <v>0</v>
      </c>
      <c r="AD3" s="183">
        <f>1000000-SUM(AD4:AD54)</f>
        <v>870432</v>
      </c>
      <c r="AE3" s="198" cm="1">
        <f t="array" ref="AE3:AE54">AD3:AD54/SUM($T$3:$T$54)</f>
        <v>0.87043199999999998</v>
      </c>
      <c r="AF3" s="276">
        <f>AE3*N3</f>
        <v>0</v>
      </c>
    </row>
    <row r="4" spans="2:32">
      <c r="B4" s="142">
        <v>0</v>
      </c>
      <c r="C4" s="155" cm="1">
        <f t="array" ref="C4">_xlfn.IFNA(
   _xlfn._xlws.FILTER(
      Sim_Mul_Bet1!$H$3:$H$48,
      (Sim_Mul_Bet1!$A$3:$A$48=C$2) * (Sim_Mul_Bet1!$C$3:$C$48=$B4),0
   ),
   0
)</f>
        <v>0.87009168999999997</v>
      </c>
      <c r="D4" s="156" cm="1">
        <f t="array" ref="D4">_xlfn.IFNA(
   _xlfn._xlws.FILTER(
      Sim_Mul_Bet1!$H$3:$H$48,
      (Sim_Mul_Bet1!$A$3:$A$48=D$2) * (Sim_Mul_Bet1!$C$3:$C$48=$B4),0
   ),
   0
)</f>
        <v>9.7185289999999994E-2</v>
      </c>
      <c r="E4" s="181" cm="1">
        <f t="array" ref="E4">_xlfn.IFNA(
   _xlfn._xlws.FILTER(
      Sim_Mul_Bet1!$H$3:$H$48,
      (Sim_Mul_Bet1!$A$3:$A$48=E$2) * (Sim_Mul_Bet1!$C$3:$C$48=$B4),0
   ),
   0
)</f>
        <v>0</v>
      </c>
      <c r="F4" s="150" cm="1">
        <f t="array" ref="F4">_xlfn.IFNA(
   _xlfn._xlws.FILTER(
      Sim_Mul_Bet1!$O$3:$O$48,
      (Sim_Mul_Bet1!$A$3:$A$48=C$2) * (Sim_Mul_Bet1!$C$3:$C$48=$B4),0
   ),
   0
)</f>
        <v>0</v>
      </c>
      <c r="G4" s="146" cm="1">
        <f t="array" ref="G4">_xlfn.IFNA(
   _xlfn._xlws.FILTER(
      Sim_Mul_Bet1!$O$3:$O$48,
      (Sim_Mul_Bet1!$A$3:$A$48=D$2) * (Sim_Mul_Bet1!$C$3:$C$48=$B4),0
   ),
   0
)</f>
        <v>1</v>
      </c>
      <c r="H4" s="147" cm="1">
        <f t="array" ref="H4">_xlfn.IFNA(
   _xlfn._xlws.FILTER(
      Sim_Mul_Bet1!$O$3:$O$48,
      (Sim_Mul_Bet1!$A$3:$A$48=E$2) * (Sim_Mul_Bet1!$C$3:$C$48=$B4),0
   ),
   0
)</f>
        <v>0</v>
      </c>
      <c r="J4">
        <v>1</v>
      </c>
      <c r="K4" s="206">
        <v>0</v>
      </c>
      <c r="L4" s="210" t="s">
        <v>90</v>
      </c>
      <c r="M4" s="213">
        <f t="shared" ref="M4:M54" si="2">HLOOKUP(L4,$C$2:$E$54,J4+2,FALSE)</f>
        <v>0.87009168999999997</v>
      </c>
      <c r="N4" s="160">
        <f>HLOOKUP(L4,$F$2:$H$54,J4+2,FALSE)</f>
        <v>0</v>
      </c>
      <c r="O4" s="175">
        <v>6.5046727084033001E-2</v>
      </c>
      <c r="P4" s="175">
        <v>6.5046727084033001E-2</v>
      </c>
      <c r="Q4" s="175">
        <v>6.5046727084033001E-2</v>
      </c>
      <c r="R4" s="197">
        <f t="shared" si="0"/>
        <v>0</v>
      </c>
      <c r="S4" t="b">
        <v>1</v>
      </c>
      <c r="T4" s="184">
        <v>87908</v>
      </c>
      <c r="U4">
        <v>8.7908E-2</v>
      </c>
      <c r="V4" s="269">
        <f t="shared" si="1"/>
        <v>0</v>
      </c>
      <c r="W4" s="169"/>
      <c r="Y4" s="175">
        <f>Z4</f>
        <v>6.5000000000000002E-2</v>
      </c>
      <c r="Z4" s="175">
        <v>6.5000000000000002E-2</v>
      </c>
      <c r="AA4" s="175">
        <v>6.5046727084033001E-2</v>
      </c>
      <c r="AB4" s="272">
        <f t="shared" ref="AB4:AB54" si="3">N4*Y4</f>
        <v>0</v>
      </c>
      <c r="AD4" s="184">
        <f t="shared" ref="AD4:AD54" si="4">ROUND(Y4*1000000,0)</f>
        <v>65000</v>
      </c>
      <c r="AE4">
        <v>6.5000000000000002E-2</v>
      </c>
      <c r="AF4" s="277">
        <f t="shared" ref="AF4:AF54" si="5">AE4*N4</f>
        <v>0</v>
      </c>
    </row>
    <row r="5" spans="2:32">
      <c r="B5" s="142">
        <v>1</v>
      </c>
      <c r="C5" s="155" cm="1">
        <f t="array" ref="C5">_xlfn.IFNA(
   _xlfn._xlws.FILTER(
      Sim_Mul_Bet1!$H$3:$H$48,
      (Sim_Mul_Bet1!$A$3:$A$48=C$2) * (Sim_Mul_Bet1!$C$3:$C$48=$B5),0
   ),
   0
)</f>
        <v>4.5258119999999999E-2</v>
      </c>
      <c r="D5" s="156" cm="1">
        <f t="array" ref="D5">_xlfn.IFNA(
   _xlfn._xlws.FILTER(
      Sim_Mul_Bet1!$H$3:$H$48,
      (Sim_Mul_Bet1!$A$3:$A$48=D$2) * (Sim_Mul_Bet1!$C$3:$C$48=$B5),0
   ),
   0
)</f>
        <v>3.4707219999999997E-2</v>
      </c>
      <c r="E5" s="181" cm="1">
        <f t="array" ref="E5">_xlfn.IFNA(
   _xlfn._xlws.FILTER(
      Sim_Mul_Bet1!$H$3:$H$48,
      (Sim_Mul_Bet1!$A$3:$A$48=E$2) * (Sim_Mul_Bet1!$C$3:$C$48=$B5),0
   ),
   0
)</f>
        <v>0</v>
      </c>
      <c r="F5" s="150" cm="1">
        <f t="array" ref="F5">_xlfn.IFNA(
   _xlfn._xlws.FILTER(
      Sim_Mul_Bet1!$O$3:$O$48,
      (Sim_Mul_Bet1!$A$3:$A$48=C$2) * (Sim_Mul_Bet1!$C$3:$C$48=$B5),0
   ),
   0
)</f>
        <v>1</v>
      </c>
      <c r="G5" s="146" cm="1">
        <f t="array" ref="G5">_xlfn.IFNA(
   _xlfn._xlws.FILTER(
      Sim_Mul_Bet1!$O$3:$O$48,
      (Sim_Mul_Bet1!$A$3:$A$48=D$2) * (Sim_Mul_Bet1!$C$3:$C$48=$B5),0
   ),
   0
)</f>
        <v>2</v>
      </c>
      <c r="H5" s="147" cm="1">
        <f t="array" ref="H5">_xlfn.IFNA(
   _xlfn._xlws.FILTER(
      Sim_Mul_Bet1!$O$3:$O$48,
      (Sim_Mul_Bet1!$A$3:$A$48=E$2) * (Sim_Mul_Bet1!$C$3:$C$48=$B5),0
   ),
   0
)</f>
        <v>0</v>
      </c>
      <c r="J5">
        <v>2</v>
      </c>
      <c r="K5" s="206">
        <v>1</v>
      </c>
      <c r="L5" s="210" t="s">
        <v>91</v>
      </c>
      <c r="M5" s="213">
        <f t="shared" si="2"/>
        <v>3.4707219999999997E-2</v>
      </c>
      <c r="N5" s="160">
        <f t="shared" ref="N5:N54" si="6">HLOOKUP(L5,$F$2:$H$54,J5+2,FALSE)</f>
        <v>2</v>
      </c>
      <c r="O5" s="175">
        <v>1.01551340873299E-3</v>
      </c>
      <c r="P5" s="175">
        <v>1.01551340873299E-3</v>
      </c>
      <c r="Q5" s="175">
        <v>1.01551340873299E-3</v>
      </c>
      <c r="R5" s="197">
        <f t="shared" si="0"/>
        <v>2.0310268174659799E-3</v>
      </c>
      <c r="S5" t="b">
        <v>1</v>
      </c>
      <c r="T5" s="184">
        <v>1029</v>
      </c>
      <c r="U5" s="199">
        <v>1.029E-3</v>
      </c>
      <c r="V5" s="203">
        <f t="shared" si="1"/>
        <v>2.0579999999999999E-3</v>
      </c>
      <c r="W5" s="169"/>
      <c r="Y5" s="175">
        <f t="shared" ref="Y5:Y54" si="7">Z5</f>
        <v>1E-3</v>
      </c>
      <c r="Z5" s="175">
        <v>1E-3</v>
      </c>
      <c r="AA5" s="175">
        <v>1.01551340873299E-3</v>
      </c>
      <c r="AB5" s="272">
        <f t="shared" si="3"/>
        <v>2E-3</v>
      </c>
      <c r="AD5" s="184">
        <f t="shared" si="4"/>
        <v>1000</v>
      </c>
      <c r="AE5" s="199">
        <v>1E-3</v>
      </c>
      <c r="AF5" s="278">
        <f t="shared" si="5"/>
        <v>2E-3</v>
      </c>
    </row>
    <row r="6" spans="2:32">
      <c r="B6" s="142">
        <v>2</v>
      </c>
      <c r="C6" s="155" cm="1">
        <f t="array" ref="C6">_xlfn.IFNA(
   _xlfn._xlws.FILTER(
      Sim_Mul_Bet1!$H$3:$H$48,
      (Sim_Mul_Bet1!$A$3:$A$48=C$2) * (Sim_Mul_Bet1!$C$3:$C$48=$B6),0
   ),
   0
)</f>
        <v>1.38889E-3</v>
      </c>
      <c r="D6" s="156" cm="1">
        <f t="array" ref="D6">_xlfn.IFNA(
   _xlfn._xlws.FILTER(
      Sim_Mul_Bet1!$H$3:$H$48,
      (Sim_Mul_Bet1!$A$3:$A$48=D$2) * (Sim_Mul_Bet1!$C$3:$C$48=$B6),0
   ),
   0
)</f>
        <v>0</v>
      </c>
      <c r="E6" s="181" cm="1">
        <f t="array" ref="E6">_xlfn.IFNA(
   _xlfn._xlws.FILTER(
      Sim_Mul_Bet1!$H$3:$H$48,
      (Sim_Mul_Bet1!$A$3:$A$48=E$2) * (Sim_Mul_Bet1!$C$3:$C$48=$B6),0
   ),
   0
)</f>
        <v>0</v>
      </c>
      <c r="F6" s="150" cm="1">
        <f t="array" ref="F6">_xlfn.IFNA(
   _xlfn._xlws.FILTER(
      Sim_Mul_Bet1!$O$3:$O$48,
      (Sim_Mul_Bet1!$A$3:$A$48=C$2) * (Sim_Mul_Bet1!$C$3:$C$48=$B6),0
   ),
   0
)</f>
        <v>2</v>
      </c>
      <c r="G6" s="146" cm="1">
        <f t="array" ref="G6">_xlfn.IFNA(
   _xlfn._xlws.FILTER(
      Sim_Mul_Bet1!$O$3:$O$48,
      (Sim_Mul_Bet1!$A$3:$A$48=D$2) * (Sim_Mul_Bet1!$C$3:$C$48=$B6),0
   ),
   0
)</f>
        <v>0</v>
      </c>
      <c r="H6" s="147" cm="1">
        <f t="array" ref="H6">_xlfn.IFNA(
   _xlfn._xlws.FILTER(
      Sim_Mul_Bet1!$O$3:$O$48,
      (Sim_Mul_Bet1!$A$3:$A$48=E$2) * (Sim_Mul_Bet1!$C$3:$C$48=$B6),0
   ),
   0
)</f>
        <v>0</v>
      </c>
      <c r="J6">
        <v>3</v>
      </c>
      <c r="K6" s="206">
        <v>2</v>
      </c>
      <c r="L6" s="210" t="s">
        <v>90</v>
      </c>
      <c r="M6" s="213">
        <f t="shared" si="2"/>
        <v>1.38889E-3</v>
      </c>
      <c r="N6" s="160">
        <f t="shared" si="6"/>
        <v>2</v>
      </c>
      <c r="O6" s="175">
        <v>0</v>
      </c>
      <c r="P6" s="175">
        <v>0</v>
      </c>
      <c r="Q6" s="175">
        <v>0</v>
      </c>
      <c r="R6" s="197">
        <f t="shared" si="0"/>
        <v>0</v>
      </c>
      <c r="S6" t="b">
        <v>1</v>
      </c>
      <c r="T6" s="184">
        <v>0</v>
      </c>
      <c r="U6" s="199">
        <v>0</v>
      </c>
      <c r="V6" s="203">
        <f t="shared" si="1"/>
        <v>0</v>
      </c>
      <c r="W6" s="169"/>
      <c r="Y6" s="175">
        <f t="shared" si="7"/>
        <v>0</v>
      </c>
      <c r="Z6" s="175">
        <v>0</v>
      </c>
      <c r="AA6" s="175">
        <v>0</v>
      </c>
      <c r="AB6" s="272">
        <f t="shared" si="3"/>
        <v>0</v>
      </c>
      <c r="AD6" s="184">
        <f t="shared" si="4"/>
        <v>0</v>
      </c>
      <c r="AE6" s="199">
        <v>0</v>
      </c>
      <c r="AF6" s="278">
        <f t="shared" si="5"/>
        <v>0</v>
      </c>
    </row>
    <row r="7" spans="2:32">
      <c r="B7" s="142">
        <v>3</v>
      </c>
      <c r="C7" s="155" cm="1">
        <f t="array" ref="C7">_xlfn.IFNA(
   _xlfn._xlws.FILTER(
      Sim_Mul_Bet1!$H$3:$H$48,
      (Sim_Mul_Bet1!$A$3:$A$48=C$2) * (Sim_Mul_Bet1!$C$3:$C$48=$B7),0
   ),
   0
)</f>
        <v>0</v>
      </c>
      <c r="D7" s="156" cm="1">
        <f t="array" ref="D7">_xlfn.IFNA(
   _xlfn._xlws.FILTER(
      Sim_Mul_Bet1!$H$3:$H$48,
      (Sim_Mul_Bet1!$A$3:$A$48=D$2) * (Sim_Mul_Bet1!$C$3:$C$48=$B7),0
   ),
   0
)</f>
        <v>0</v>
      </c>
      <c r="E7" s="181" cm="1">
        <f t="array" ref="E7">_xlfn.IFNA(
   _xlfn._xlws.FILTER(
      Sim_Mul_Bet1!$H$3:$H$48,
      (Sim_Mul_Bet1!$A$3:$A$48=E$2) * (Sim_Mul_Bet1!$C$3:$C$48=$B7),0
   ),
   0
)</f>
        <v>0</v>
      </c>
      <c r="F7" s="150" cm="1">
        <f t="array" ref="F7">_xlfn.IFNA(
   _xlfn._xlws.FILTER(
      Sim_Mul_Bet1!$O$3:$O$48,
      (Sim_Mul_Bet1!$A$3:$A$48=C$2) * (Sim_Mul_Bet1!$C$3:$C$48=$B7),0
   ),
   0
)</f>
        <v>0</v>
      </c>
      <c r="G7" s="146" cm="1">
        <f t="array" ref="G7">_xlfn.IFNA(
   _xlfn._xlws.FILTER(
      Sim_Mul_Bet1!$O$3:$O$48,
      (Sim_Mul_Bet1!$A$3:$A$48=D$2) * (Sim_Mul_Bet1!$C$3:$C$48=$B7),0
   ),
   0
)</f>
        <v>0</v>
      </c>
      <c r="H7" s="147" cm="1">
        <f t="array" ref="H7">_xlfn.IFNA(
   _xlfn._xlws.FILTER(
      Sim_Mul_Bet1!$O$3:$O$48,
      (Sim_Mul_Bet1!$A$3:$A$48=E$2) * (Sim_Mul_Bet1!$C$3:$C$48=$B7),0
   ),
   0
)</f>
        <v>0</v>
      </c>
      <c r="J7">
        <v>4</v>
      </c>
      <c r="K7" s="206">
        <v>3</v>
      </c>
      <c r="L7" s="210" t="s">
        <v>90</v>
      </c>
      <c r="M7" s="213">
        <f t="shared" si="2"/>
        <v>0</v>
      </c>
      <c r="N7" s="160">
        <f t="shared" si="6"/>
        <v>0</v>
      </c>
      <c r="O7" s="175">
        <v>0</v>
      </c>
      <c r="P7" s="175">
        <v>0</v>
      </c>
      <c r="Q7" s="175">
        <v>0</v>
      </c>
      <c r="R7" s="197">
        <f t="shared" si="0"/>
        <v>0</v>
      </c>
      <c r="S7" t="b">
        <v>1</v>
      </c>
      <c r="T7" s="184">
        <v>0</v>
      </c>
      <c r="U7" s="199">
        <v>0</v>
      </c>
      <c r="V7" s="203">
        <f t="shared" si="1"/>
        <v>0</v>
      </c>
      <c r="W7" s="169"/>
      <c r="Y7" s="175">
        <f t="shared" si="7"/>
        <v>0</v>
      </c>
      <c r="Z7" s="175">
        <v>0</v>
      </c>
      <c r="AA7" s="175">
        <v>0</v>
      </c>
      <c r="AB7" s="272">
        <f t="shared" si="3"/>
        <v>0</v>
      </c>
      <c r="AD7" s="184">
        <f t="shared" si="4"/>
        <v>0</v>
      </c>
      <c r="AE7" s="199">
        <v>0</v>
      </c>
      <c r="AF7" s="278">
        <f t="shared" si="5"/>
        <v>0</v>
      </c>
    </row>
    <row r="8" spans="2:32">
      <c r="B8" s="142">
        <v>4</v>
      </c>
      <c r="C8" s="155" cm="1">
        <f t="array" ref="C8">_xlfn.IFNA(
   _xlfn._xlws.FILTER(
      Sim_Mul_Bet1!$H$3:$H$48,
      (Sim_Mul_Bet1!$A$3:$A$48=C$2) * (Sim_Mul_Bet1!$C$3:$C$48=$B8),0
   ),
   0
)</f>
        <v>0</v>
      </c>
      <c r="D8" s="156" cm="1">
        <f t="array" ref="D8">_xlfn.IFNA(
   _xlfn._xlws.FILTER(
      Sim_Mul_Bet1!$H$3:$H$48,
      (Sim_Mul_Bet1!$A$3:$A$48=D$2) * (Sim_Mul_Bet1!$C$3:$C$48=$B8),0
   ),
   0
)</f>
        <v>0.12505432999999999</v>
      </c>
      <c r="E8" s="181" cm="1">
        <f t="array" ref="E8">_xlfn.IFNA(
   _xlfn._xlws.FILTER(
      Sim_Mul_Bet1!$H$3:$H$48,
      (Sim_Mul_Bet1!$A$3:$A$48=E$2) * (Sim_Mul_Bet1!$C$3:$C$48=$B8),0
   ),
   0
)</f>
        <v>0</v>
      </c>
      <c r="F8" s="150" cm="1">
        <f t="array" ref="F8">_xlfn.IFNA(
   _xlfn._xlws.FILTER(
      Sim_Mul_Bet1!$O$3:$O$48,
      (Sim_Mul_Bet1!$A$3:$A$48=C$2) * (Sim_Mul_Bet1!$C$3:$C$48=$B8),0
   ),
   0
)</f>
        <v>0</v>
      </c>
      <c r="G8" s="146" cm="1">
        <f t="array" ref="G8">_xlfn.IFNA(
   _xlfn._xlws.FILTER(
      Sim_Mul_Bet1!$O$3:$O$48,
      (Sim_Mul_Bet1!$A$3:$A$48=D$2) * (Sim_Mul_Bet1!$C$3:$C$48=$B8),0
   ),
   0
)</f>
        <v>5</v>
      </c>
      <c r="H8" s="147" cm="1">
        <f t="array" ref="H8">_xlfn.IFNA(
   _xlfn._xlws.FILTER(
      Sim_Mul_Bet1!$O$3:$O$48,
      (Sim_Mul_Bet1!$A$3:$A$48=E$2) * (Sim_Mul_Bet1!$C$3:$C$48=$B8),0
   ),
   0
)</f>
        <v>0</v>
      </c>
      <c r="J8">
        <v>5</v>
      </c>
      <c r="K8" s="206">
        <v>4</v>
      </c>
      <c r="L8" s="210" t="s">
        <v>90</v>
      </c>
      <c r="M8" s="213">
        <f t="shared" si="2"/>
        <v>0</v>
      </c>
      <c r="N8" s="160">
        <f t="shared" si="6"/>
        <v>0</v>
      </c>
      <c r="O8" s="175">
        <v>4.28295831302727E-2</v>
      </c>
      <c r="P8" s="175">
        <v>4.28295831302727E-2</v>
      </c>
      <c r="Q8" s="175">
        <v>4.28295831302727E-2</v>
      </c>
      <c r="R8" s="197">
        <f t="shared" si="0"/>
        <v>0</v>
      </c>
      <c r="S8" t="b">
        <v>1</v>
      </c>
      <c r="T8" s="184">
        <v>25990</v>
      </c>
      <c r="U8" s="199">
        <v>2.5989999999999999E-2</v>
      </c>
      <c r="V8" s="203">
        <f t="shared" si="1"/>
        <v>0</v>
      </c>
      <c r="W8" s="169"/>
      <c r="Y8" s="175">
        <f t="shared" si="7"/>
        <v>3.2000000000000001E-2</v>
      </c>
      <c r="Z8" s="175">
        <v>3.2000000000000001E-2</v>
      </c>
      <c r="AA8" s="175">
        <v>4.28295831302727E-2</v>
      </c>
      <c r="AB8" s="272">
        <f t="shared" si="3"/>
        <v>0</v>
      </c>
      <c r="AD8" s="184">
        <f t="shared" si="4"/>
        <v>32000</v>
      </c>
      <c r="AE8" s="199">
        <v>3.2000000000000001E-2</v>
      </c>
      <c r="AF8" s="278">
        <f t="shared" si="5"/>
        <v>0</v>
      </c>
    </row>
    <row r="9" spans="2:32">
      <c r="B9" s="142">
        <v>5</v>
      </c>
      <c r="C9" s="155" cm="1">
        <f t="array" ref="C9">_xlfn.IFNA(
   _xlfn._xlws.FILTER(
      Sim_Mul_Bet1!$H$3:$H$48,
      (Sim_Mul_Bet1!$A$3:$A$48=C$2) * (Sim_Mul_Bet1!$C$3:$C$48=$B9),0
   ),
   0
)</f>
        <v>5.0497210000000001E-2</v>
      </c>
      <c r="D9" s="156" cm="1">
        <f t="array" ref="D9">_xlfn.IFNA(
   _xlfn._xlws.FILTER(
      Sim_Mul_Bet1!$H$3:$H$48,
      (Sim_Mul_Bet1!$A$3:$A$48=D$2) * (Sim_Mul_Bet1!$C$3:$C$48=$B9),0
   ),
   0
)</f>
        <v>1.3889469999999999E-2</v>
      </c>
      <c r="E9" s="181" cm="1">
        <f t="array" ref="E9">_xlfn.IFNA(
   _xlfn._xlws.FILTER(
      Sim_Mul_Bet1!$H$3:$H$48,
      (Sim_Mul_Bet1!$A$3:$A$48=E$2) * (Sim_Mul_Bet1!$C$3:$C$48=$B9),0
   ),
   0
)</f>
        <v>0</v>
      </c>
      <c r="F9" s="150" cm="1">
        <f t="array" ref="F9">_xlfn.IFNA(
   _xlfn._xlws.FILTER(
      Sim_Mul_Bet1!$O$3:$O$48,
      (Sim_Mul_Bet1!$A$3:$A$48=C$2) * (Sim_Mul_Bet1!$C$3:$C$48=$B9),0
   ),
   0
)</f>
        <v>5</v>
      </c>
      <c r="G9" s="146" cm="1">
        <f t="array" ref="G9">_xlfn.IFNA(
   _xlfn._xlws.FILTER(
      Sim_Mul_Bet1!$O$3:$O$48,
      (Sim_Mul_Bet1!$A$3:$A$48=D$2) * (Sim_Mul_Bet1!$C$3:$C$48=$B9),0
   ),
   0
)</f>
        <v>6</v>
      </c>
      <c r="H9" s="147" cm="1">
        <f t="array" ref="H9">_xlfn.IFNA(
   _xlfn._xlws.FILTER(
      Sim_Mul_Bet1!$O$3:$O$48,
      (Sim_Mul_Bet1!$A$3:$A$48=E$2) * (Sim_Mul_Bet1!$C$3:$C$48=$B9),0
   ),
   0
)</f>
        <v>0</v>
      </c>
      <c r="J9">
        <v>6</v>
      </c>
      <c r="K9" s="206">
        <v>5</v>
      </c>
      <c r="L9" s="210" t="s">
        <v>91</v>
      </c>
      <c r="M9" s="213">
        <f t="shared" si="2"/>
        <v>1.3889469999999999E-2</v>
      </c>
      <c r="N9" s="160">
        <f t="shared" si="6"/>
        <v>6</v>
      </c>
      <c r="O9" s="175">
        <v>1.15271082740144E-3</v>
      </c>
      <c r="P9" s="175">
        <v>1.15271082740144E-3</v>
      </c>
      <c r="Q9" s="175">
        <v>1.15271082740144E-3</v>
      </c>
      <c r="R9" s="197">
        <f t="shared" si="0"/>
        <v>6.9162649644086398E-3</v>
      </c>
      <c r="S9" t="b">
        <v>1</v>
      </c>
      <c r="T9" s="184">
        <v>196</v>
      </c>
      <c r="U9" s="199">
        <v>1.9599999999999999E-4</v>
      </c>
      <c r="V9" s="203">
        <f t="shared" si="1"/>
        <v>1.176E-3</v>
      </c>
      <c r="W9" s="169"/>
      <c r="Y9" s="175">
        <f t="shared" si="7"/>
        <v>0</v>
      </c>
      <c r="Z9" s="175">
        <v>0</v>
      </c>
      <c r="AA9" s="175">
        <v>1.15271082740144E-3</v>
      </c>
      <c r="AB9" s="272">
        <f t="shared" si="3"/>
        <v>0</v>
      </c>
      <c r="AD9" s="184">
        <f t="shared" si="4"/>
        <v>0</v>
      </c>
      <c r="AE9" s="199">
        <v>0</v>
      </c>
      <c r="AF9" s="278">
        <f t="shared" si="5"/>
        <v>0</v>
      </c>
    </row>
    <row r="10" spans="2:32">
      <c r="B10" s="142">
        <v>6</v>
      </c>
      <c r="C10" s="155" cm="1">
        <f t="array" ref="C10">_xlfn.IFNA(
   _xlfn._xlws.FILTER(
      Sim_Mul_Bet1!$H$3:$H$48,
      (Sim_Mul_Bet1!$A$3:$A$48=C$2) * (Sim_Mul_Bet1!$C$3:$C$48=$B10),0
   ),
   0
)</f>
        <v>2.457E-5</v>
      </c>
      <c r="D10" s="156" cm="1">
        <f t="array" ref="D10">_xlfn.IFNA(
   _xlfn._xlws.FILTER(
      Sim_Mul_Bet1!$H$3:$H$48,
      (Sim_Mul_Bet1!$A$3:$A$48=D$2) * (Sim_Mul_Bet1!$C$3:$C$48=$B10),0
   ),
   0
)</f>
        <v>0</v>
      </c>
      <c r="E10" s="181" cm="1">
        <f t="array" ref="E10">_xlfn.IFNA(
   _xlfn._xlws.FILTER(
      Sim_Mul_Bet1!$H$3:$H$48,
      (Sim_Mul_Bet1!$A$3:$A$48=E$2) * (Sim_Mul_Bet1!$C$3:$C$48=$B10),0
   ),
   0
)</f>
        <v>0</v>
      </c>
      <c r="F10" s="150" cm="1">
        <f t="array" ref="F10">_xlfn.IFNA(
   _xlfn._xlws.FILTER(
      Sim_Mul_Bet1!$O$3:$O$48,
      (Sim_Mul_Bet1!$A$3:$A$48=C$2) * (Sim_Mul_Bet1!$C$3:$C$48=$B10),0
   ),
   0
)</f>
        <v>6</v>
      </c>
      <c r="G10" s="146" cm="1">
        <f t="array" ref="G10">_xlfn.IFNA(
   _xlfn._xlws.FILTER(
      Sim_Mul_Bet1!$O$3:$O$48,
      (Sim_Mul_Bet1!$A$3:$A$48=D$2) * (Sim_Mul_Bet1!$C$3:$C$48=$B10),0
   ),
   0
)</f>
        <v>0</v>
      </c>
      <c r="H10" s="147" cm="1">
        <f t="array" ref="H10">_xlfn.IFNA(
   _xlfn._xlws.FILTER(
      Sim_Mul_Bet1!$O$3:$O$48,
      (Sim_Mul_Bet1!$A$3:$A$48=E$2) * (Sim_Mul_Bet1!$C$3:$C$48=$B10),0
   ),
   0
)</f>
        <v>0</v>
      </c>
      <c r="J10">
        <v>7</v>
      </c>
      <c r="K10" s="206">
        <v>6</v>
      </c>
      <c r="L10" s="210" t="s">
        <v>90</v>
      </c>
      <c r="M10" s="213">
        <f t="shared" si="2"/>
        <v>2.457E-5</v>
      </c>
      <c r="N10" s="160">
        <f t="shared" si="6"/>
        <v>6</v>
      </c>
      <c r="O10" s="175">
        <v>0</v>
      </c>
      <c r="P10" s="175">
        <v>0</v>
      </c>
      <c r="Q10" s="175">
        <v>0</v>
      </c>
      <c r="R10" s="197">
        <f t="shared" si="0"/>
        <v>0</v>
      </c>
      <c r="S10" t="b">
        <v>1</v>
      </c>
      <c r="T10" s="184">
        <v>0</v>
      </c>
      <c r="U10" s="199">
        <v>0</v>
      </c>
      <c r="V10" s="203">
        <f t="shared" si="1"/>
        <v>0</v>
      </c>
      <c r="W10" s="169"/>
      <c r="Y10" s="175">
        <f t="shared" si="7"/>
        <v>0</v>
      </c>
      <c r="Z10" s="175">
        <v>0</v>
      </c>
      <c r="AA10" s="175">
        <v>0</v>
      </c>
      <c r="AB10" s="272">
        <f t="shared" si="3"/>
        <v>0</v>
      </c>
      <c r="AD10" s="184">
        <f t="shared" si="4"/>
        <v>0</v>
      </c>
      <c r="AE10" s="199">
        <v>0</v>
      </c>
      <c r="AF10" s="278">
        <f t="shared" si="5"/>
        <v>0</v>
      </c>
    </row>
    <row r="11" spans="2:32">
      <c r="B11" s="142">
        <v>7</v>
      </c>
      <c r="C11" s="155" cm="1">
        <f t="array" ref="C11">_xlfn.IFNA(
   _xlfn._xlws.FILTER(
      Sim_Mul_Bet1!$H$3:$H$48,
      (Sim_Mul_Bet1!$A$3:$A$48=C$2) * (Sim_Mul_Bet1!$C$3:$C$48=$B11),0
   ),
   0
)</f>
        <v>0</v>
      </c>
      <c r="D11" s="156" cm="1">
        <f t="array" ref="D11">_xlfn.IFNA(
   _xlfn._xlws.FILTER(
      Sim_Mul_Bet1!$H$3:$H$48,
      (Sim_Mul_Bet1!$A$3:$A$48=D$2) * (Sim_Mul_Bet1!$C$3:$C$48=$B11),0
   ),
   0
)</f>
        <v>0</v>
      </c>
      <c r="E11" s="181" cm="1">
        <f t="array" ref="E11">_xlfn.IFNA(
   _xlfn._xlws.FILTER(
      Sim_Mul_Bet1!$H$3:$H$48,
      (Sim_Mul_Bet1!$A$3:$A$48=E$2) * (Sim_Mul_Bet1!$C$3:$C$48=$B11),0
   ),
   0
)</f>
        <v>0</v>
      </c>
      <c r="F11" s="150" cm="1">
        <f t="array" ref="F11">_xlfn.IFNA(
   _xlfn._xlws.FILTER(
      Sim_Mul_Bet1!$O$3:$O$48,
      (Sim_Mul_Bet1!$A$3:$A$48=C$2) * (Sim_Mul_Bet1!$C$3:$C$48=$B11),0
   ),
   0
)</f>
        <v>0</v>
      </c>
      <c r="G11" s="146" cm="1">
        <f t="array" ref="G11">_xlfn.IFNA(
   _xlfn._xlws.FILTER(
      Sim_Mul_Bet1!$O$3:$O$48,
      (Sim_Mul_Bet1!$A$3:$A$48=D$2) * (Sim_Mul_Bet1!$C$3:$C$48=$B11),0
   ),
   0
)</f>
        <v>0</v>
      </c>
      <c r="H11" s="147" cm="1">
        <f t="array" ref="H11">_xlfn.IFNA(
   _xlfn._xlws.FILTER(
      Sim_Mul_Bet1!$O$3:$O$48,
      (Sim_Mul_Bet1!$A$3:$A$48=E$2) * (Sim_Mul_Bet1!$C$3:$C$48=$B11),0
   ),
   0
)</f>
        <v>0</v>
      </c>
      <c r="J11">
        <v>8</v>
      </c>
      <c r="K11" s="206">
        <v>7</v>
      </c>
      <c r="L11" s="210" t="s">
        <v>90</v>
      </c>
      <c r="M11" s="213">
        <f t="shared" si="2"/>
        <v>0</v>
      </c>
      <c r="N11" s="160">
        <f t="shared" si="6"/>
        <v>0</v>
      </c>
      <c r="O11" s="175">
        <v>0</v>
      </c>
      <c r="P11" s="175">
        <v>0</v>
      </c>
      <c r="Q11" s="175">
        <v>0</v>
      </c>
      <c r="R11" s="197">
        <f t="shared" si="0"/>
        <v>0</v>
      </c>
      <c r="S11" t="b">
        <v>1</v>
      </c>
      <c r="T11" s="184">
        <v>0</v>
      </c>
      <c r="U11" s="199">
        <v>0</v>
      </c>
      <c r="V11" s="203">
        <f t="shared" si="1"/>
        <v>0</v>
      </c>
      <c r="W11" s="169"/>
      <c r="Y11" s="175">
        <f t="shared" si="7"/>
        <v>0</v>
      </c>
      <c r="Z11" s="175">
        <v>0</v>
      </c>
      <c r="AA11" s="175">
        <v>0</v>
      </c>
      <c r="AB11" s="272">
        <f t="shared" si="3"/>
        <v>0</v>
      </c>
      <c r="AD11" s="184">
        <f t="shared" si="4"/>
        <v>0</v>
      </c>
      <c r="AE11" s="199">
        <v>0</v>
      </c>
      <c r="AF11" s="278">
        <f t="shared" si="5"/>
        <v>0</v>
      </c>
    </row>
    <row r="12" spans="2:32">
      <c r="B12" s="142">
        <v>8</v>
      </c>
      <c r="C12" s="155" cm="1">
        <f t="array" ref="C12">_xlfn.IFNA(
   _xlfn._xlws.FILTER(
      Sim_Mul_Bet1!$H$3:$H$48,
      (Sim_Mul_Bet1!$A$3:$A$48=C$2) * (Sim_Mul_Bet1!$C$3:$C$48=$B12),0
   ),
   0
)</f>
        <v>0</v>
      </c>
      <c r="D12" s="156" cm="1">
        <f t="array" ref="D12">_xlfn.IFNA(
   _xlfn._xlws.FILTER(
      Sim_Mul_Bet1!$H$3:$H$48,
      (Sim_Mul_Bet1!$A$3:$A$48=D$2) * (Sim_Mul_Bet1!$C$3:$C$48=$B12),0
   ),
   0
)</f>
        <v>0</v>
      </c>
      <c r="E12" s="181" cm="1">
        <f t="array" ref="E12">_xlfn.IFNA(
   _xlfn._xlws.FILTER(
      Sim_Mul_Bet1!$H$3:$H$48,
      (Sim_Mul_Bet1!$A$3:$A$48=E$2) * (Sim_Mul_Bet1!$C$3:$C$48=$B12),0
   ),
   0
)</f>
        <v>0</v>
      </c>
      <c r="F12" s="150" cm="1">
        <f t="array" ref="F12">_xlfn.IFNA(
   _xlfn._xlws.FILTER(
      Sim_Mul_Bet1!$O$3:$O$48,
      (Sim_Mul_Bet1!$A$3:$A$48=C$2) * (Sim_Mul_Bet1!$C$3:$C$48=$B12),0
   ),
   0
)</f>
        <v>0</v>
      </c>
      <c r="G12" s="146" cm="1">
        <f t="array" ref="G12">_xlfn.IFNA(
   _xlfn._xlws.FILTER(
      Sim_Mul_Bet1!$O$3:$O$48,
      (Sim_Mul_Bet1!$A$3:$A$48=D$2) * (Sim_Mul_Bet1!$C$3:$C$48=$B12),0
   ),
   0
)</f>
        <v>0</v>
      </c>
      <c r="H12" s="147" cm="1">
        <f t="array" ref="H12">_xlfn.IFNA(
   _xlfn._xlws.FILTER(
      Sim_Mul_Bet1!$O$3:$O$48,
      (Sim_Mul_Bet1!$A$3:$A$48=E$2) * (Sim_Mul_Bet1!$C$3:$C$48=$B12),0
   ),
   0
)</f>
        <v>0</v>
      </c>
      <c r="J12">
        <v>9</v>
      </c>
      <c r="K12" s="206">
        <v>8</v>
      </c>
      <c r="L12" s="210" t="s">
        <v>90</v>
      </c>
      <c r="M12" s="213">
        <f t="shared" si="2"/>
        <v>0</v>
      </c>
      <c r="N12" s="160">
        <f t="shared" si="6"/>
        <v>0</v>
      </c>
      <c r="O12" s="175">
        <v>0</v>
      </c>
      <c r="P12" s="175">
        <v>0</v>
      </c>
      <c r="Q12" s="175">
        <v>0</v>
      </c>
      <c r="R12" s="197">
        <f t="shared" si="0"/>
        <v>0</v>
      </c>
      <c r="S12" t="b">
        <v>1</v>
      </c>
      <c r="T12" s="184">
        <v>0</v>
      </c>
      <c r="U12" s="199">
        <v>0</v>
      </c>
      <c r="V12" s="203">
        <f t="shared" si="1"/>
        <v>0</v>
      </c>
      <c r="W12" s="169"/>
      <c r="Y12" s="175">
        <f t="shared" si="7"/>
        <v>0</v>
      </c>
      <c r="Z12" s="175">
        <v>0</v>
      </c>
      <c r="AA12" s="175">
        <v>0</v>
      </c>
      <c r="AB12" s="272">
        <f t="shared" si="3"/>
        <v>0</v>
      </c>
      <c r="AD12" s="184">
        <f t="shared" si="4"/>
        <v>0</v>
      </c>
      <c r="AE12" s="199">
        <v>0</v>
      </c>
      <c r="AF12" s="278">
        <f t="shared" si="5"/>
        <v>0</v>
      </c>
    </row>
    <row r="13" spans="2:32">
      <c r="B13" s="142">
        <v>9</v>
      </c>
      <c r="C13" s="155" cm="1">
        <f t="array" ref="C13">_xlfn.IFNA(
   _xlfn._xlws.FILTER(
      Sim_Mul_Bet1!$H$3:$H$48,
      (Sim_Mul_Bet1!$A$3:$A$48=C$2) * (Sim_Mul_Bet1!$C$3:$C$48=$B13),0
   ),
   0
)</f>
        <v>0</v>
      </c>
      <c r="D13" s="156" cm="1">
        <f t="array" ref="D13">_xlfn.IFNA(
   _xlfn._xlws.FILTER(
      Sim_Mul_Bet1!$H$3:$H$48,
      (Sim_Mul_Bet1!$A$3:$A$48=D$2) * (Sim_Mul_Bet1!$C$3:$C$48=$B13),0
   ),
   0
)</f>
        <v>9.9574419999999997E-2</v>
      </c>
      <c r="E13" s="181" cm="1">
        <f t="array" ref="E13">_xlfn.IFNA(
   _xlfn._xlws.FILTER(
      Sim_Mul_Bet1!$H$3:$H$48,
      (Sim_Mul_Bet1!$A$3:$A$48=E$2) * (Sim_Mul_Bet1!$C$3:$C$48=$B13),0
   ),
   0
)</f>
        <v>0</v>
      </c>
      <c r="F13" s="150" cm="1">
        <f t="array" ref="F13">_xlfn.IFNA(
   _xlfn._xlws.FILTER(
      Sim_Mul_Bet1!$O$3:$O$48,
      (Sim_Mul_Bet1!$A$3:$A$48=C$2) * (Sim_Mul_Bet1!$C$3:$C$48=$B13),0
   ),
   0
)</f>
        <v>0</v>
      </c>
      <c r="G13" s="146" cm="1">
        <f t="array" ref="G13">_xlfn.IFNA(
   _xlfn._xlws.FILTER(
      Sim_Mul_Bet1!$O$3:$O$48,
      (Sim_Mul_Bet1!$A$3:$A$48=D$2) * (Sim_Mul_Bet1!$C$3:$C$48=$B13),0
   ),
   0
)</f>
        <v>10</v>
      </c>
      <c r="H13" s="147" cm="1">
        <f t="array" ref="H13">_xlfn.IFNA(
   _xlfn._xlws.FILTER(
      Sim_Mul_Bet1!$O$3:$O$48,
      (Sim_Mul_Bet1!$A$3:$A$48=E$2) * (Sim_Mul_Bet1!$C$3:$C$48=$B13),0
   ),
   0
)</f>
        <v>0</v>
      </c>
      <c r="J13">
        <v>10</v>
      </c>
      <c r="K13" s="206">
        <v>9</v>
      </c>
      <c r="L13" s="210" t="s">
        <v>90</v>
      </c>
      <c r="M13" s="213">
        <f t="shared" si="2"/>
        <v>0</v>
      </c>
      <c r="N13" s="160">
        <f t="shared" si="6"/>
        <v>0</v>
      </c>
      <c r="O13" s="175">
        <v>8.4216489109639296E-3</v>
      </c>
      <c r="P13" s="175">
        <v>8.4216489109639296E-3</v>
      </c>
      <c r="Q13" s="175">
        <v>8.4216489109639296E-3</v>
      </c>
      <c r="R13" s="197">
        <f t="shared" si="0"/>
        <v>0</v>
      </c>
      <c r="S13" t="b">
        <v>1</v>
      </c>
      <c r="T13" s="184">
        <v>6515</v>
      </c>
      <c r="U13" s="199">
        <v>6.515E-3</v>
      </c>
      <c r="V13" s="203">
        <f t="shared" si="1"/>
        <v>0</v>
      </c>
      <c r="W13" s="169"/>
      <c r="Y13" s="175">
        <f t="shared" si="7"/>
        <v>0.01</v>
      </c>
      <c r="Z13" s="175">
        <v>0.01</v>
      </c>
      <c r="AA13" s="175">
        <v>8.4216489109639296E-3</v>
      </c>
      <c r="AB13" s="272">
        <f t="shared" si="3"/>
        <v>0</v>
      </c>
      <c r="AD13" s="184">
        <f t="shared" si="4"/>
        <v>10000</v>
      </c>
      <c r="AE13" s="199">
        <v>0.01</v>
      </c>
      <c r="AF13" s="278">
        <f t="shared" si="5"/>
        <v>0</v>
      </c>
    </row>
    <row r="14" spans="2:32">
      <c r="B14" s="142">
        <v>10</v>
      </c>
      <c r="C14" s="155" cm="1">
        <f t="array" ref="C14">_xlfn.IFNA(
   _xlfn._xlws.FILTER(
      Sim_Mul_Bet1!$H$3:$H$48,
      (Sim_Mul_Bet1!$A$3:$A$48=C$2) * (Sim_Mul_Bet1!$C$3:$C$48=$B14),0
   ),
   0
)</f>
        <v>1.9493179999999999E-2</v>
      </c>
      <c r="D14" s="156" cm="1">
        <f t="array" ref="D14">_xlfn.IFNA(
   _xlfn._xlws.FILTER(
      Sim_Mul_Bet1!$H$3:$H$48,
      (Sim_Mul_Bet1!$A$3:$A$48=D$2) * (Sim_Mul_Bet1!$C$3:$C$48=$B14),0
   ),
   0
)</f>
        <v>5.3255400000000001E-2</v>
      </c>
      <c r="E14" s="181" cm="1">
        <f t="array" ref="E14">_xlfn.IFNA(
   _xlfn._xlws.FILTER(
      Sim_Mul_Bet1!$H$3:$H$48,
      (Sim_Mul_Bet1!$A$3:$A$48=E$2) * (Sim_Mul_Bet1!$C$3:$C$48=$B14),0
   ),
   0
)</f>
        <v>0</v>
      </c>
      <c r="F14" s="150" cm="1">
        <f t="array" ref="F14">_xlfn.IFNA(
   _xlfn._xlws.FILTER(
      Sim_Mul_Bet1!$O$3:$O$48,
      (Sim_Mul_Bet1!$A$3:$A$48=C$2) * (Sim_Mul_Bet1!$C$3:$C$48=$B14),0
   ),
   0
)</f>
        <v>10.263406996703463</v>
      </c>
      <c r="G14" s="146" cm="1">
        <f t="array" ref="G14">_xlfn.IFNA(
   _xlfn._xlws.FILTER(
      Sim_Mul_Bet1!$O$3:$O$48,
      (Sim_Mul_Bet1!$A$3:$A$48=D$2) * (Sim_Mul_Bet1!$C$3:$C$48=$B14),0
   ),
   0
)</f>
        <v>12.956681012629707</v>
      </c>
      <c r="H14" s="147" cm="1">
        <f t="array" ref="H14">_xlfn.IFNA(
   _xlfn._xlws.FILTER(
      Sim_Mul_Bet1!$O$3:$O$48,
      (Sim_Mul_Bet1!$A$3:$A$48=E$2) * (Sim_Mul_Bet1!$C$3:$C$48=$B14),0
   ),
   0
)</f>
        <v>0</v>
      </c>
      <c r="J14">
        <v>11</v>
      </c>
      <c r="K14" s="206">
        <v>10</v>
      </c>
      <c r="L14" s="210" t="s">
        <v>90</v>
      </c>
      <c r="M14" s="213">
        <f t="shared" si="2"/>
        <v>1.9493179999999999E-2</v>
      </c>
      <c r="N14" s="160">
        <f t="shared" si="6"/>
        <v>10.263406996703463</v>
      </c>
      <c r="O14" s="175">
        <v>5.0000000000000001E-3</v>
      </c>
      <c r="P14" s="175">
        <v>5.0000000000000001E-3</v>
      </c>
      <c r="Q14" s="175">
        <v>6.17935490278763E-3</v>
      </c>
      <c r="R14" s="197">
        <f t="shared" si="0"/>
        <v>5.1317034983517314E-2</v>
      </c>
      <c r="S14" t="b">
        <v>0</v>
      </c>
      <c r="T14" s="184">
        <v>6207</v>
      </c>
      <c r="U14" s="199">
        <v>6.2069999999999998E-3</v>
      </c>
      <c r="V14" s="203">
        <f t="shared" si="1"/>
        <v>6.3704967228538398E-2</v>
      </c>
      <c r="W14" s="169"/>
      <c r="Y14" s="175">
        <f t="shared" si="7"/>
        <v>3.0000000000000001E-3</v>
      </c>
      <c r="Z14" s="175">
        <v>3.0000000000000001E-3</v>
      </c>
      <c r="AA14" s="175">
        <v>6.17935490278763E-3</v>
      </c>
      <c r="AB14" s="272">
        <f t="shared" si="3"/>
        <v>3.079022099011039E-2</v>
      </c>
      <c r="AD14" s="184">
        <f t="shared" si="4"/>
        <v>3000</v>
      </c>
      <c r="AE14" s="199">
        <v>3.0000000000000001E-3</v>
      </c>
      <c r="AF14" s="278">
        <f t="shared" si="5"/>
        <v>3.079022099011039E-2</v>
      </c>
    </row>
    <row r="15" spans="2:32">
      <c r="B15" s="142">
        <v>15</v>
      </c>
      <c r="C15" s="155" cm="1">
        <f t="array" ref="C15">_xlfn.IFNA(
   _xlfn._xlws.FILTER(
      Sim_Mul_Bet1!$H$3:$H$48,
      (Sim_Mul_Bet1!$A$3:$A$48=C$2) * (Sim_Mul_Bet1!$C$3:$C$48=$B15),0
   ),
   0
)</f>
        <v>3.1410800000000001E-3</v>
      </c>
      <c r="D15" s="156" cm="1">
        <f t="array" ref="D15">_xlfn.IFNA(
   _xlfn._xlws.FILTER(
      Sim_Mul_Bet1!$H$3:$H$48,
      (Sim_Mul_Bet1!$A$3:$A$48=D$2) * (Sim_Mul_Bet1!$C$3:$C$48=$B15),0
   ),
   0
)</f>
        <v>2.8564349999999999E-2</v>
      </c>
      <c r="E15" s="181" cm="1">
        <f t="array" ref="E15">_xlfn.IFNA(
   _xlfn._xlws.FILTER(
      Sim_Mul_Bet1!$H$3:$H$48,
      (Sim_Mul_Bet1!$A$3:$A$48=E$2) * (Sim_Mul_Bet1!$C$3:$C$48=$B15),0
   ),
   0
)</f>
        <v>0</v>
      </c>
      <c r="F15" s="150" cm="1">
        <f t="array" ref="F15">_xlfn.IFNA(
   _xlfn._xlws.FILTER(
      Sim_Mul_Bet1!$O$3:$O$48,
      (Sim_Mul_Bet1!$A$3:$A$48=C$2) * (Sim_Mul_Bet1!$C$3:$C$48=$B15),0
   ),
   0
)</f>
        <v>15.11559399951609</v>
      </c>
      <c r="G15" s="146" cm="1">
        <f t="array" ref="G15">_xlfn.IFNA(
   _xlfn._xlws.FILTER(
      Sim_Mul_Bet1!$O$3:$O$48,
      (Sim_Mul_Bet1!$A$3:$A$48=D$2) * (Sim_Mul_Bet1!$C$3:$C$48=$B15),0
   ),
   0
)</f>
        <v>19.35151193708241</v>
      </c>
      <c r="H15" s="147" cm="1">
        <f t="array" ref="H15">_xlfn.IFNA(
   _xlfn._xlws.FILTER(
      Sim_Mul_Bet1!$O$3:$O$48,
      (Sim_Mul_Bet1!$A$3:$A$48=E$2) * (Sim_Mul_Bet1!$C$3:$C$48=$B15),0
   ),
   0
)</f>
        <v>0</v>
      </c>
      <c r="J15">
        <v>12</v>
      </c>
      <c r="K15" s="206">
        <v>15</v>
      </c>
      <c r="L15" s="210" t="s">
        <v>90</v>
      </c>
      <c r="M15" s="213">
        <f t="shared" si="2"/>
        <v>3.1410800000000001E-3</v>
      </c>
      <c r="N15" s="160">
        <f t="shared" si="6"/>
        <v>15.11559399951609</v>
      </c>
      <c r="O15" s="175">
        <v>5.0000000000000001E-3</v>
      </c>
      <c r="P15" s="175">
        <v>5.0000000000000001E-3</v>
      </c>
      <c r="Q15" s="175">
        <v>5.9882885589978398E-3</v>
      </c>
      <c r="R15" s="197">
        <f t="shared" si="0"/>
        <v>7.5577969997580458E-2</v>
      </c>
      <c r="S15" t="b">
        <v>0</v>
      </c>
      <c r="T15" s="184">
        <v>5365</v>
      </c>
      <c r="U15" s="199">
        <v>5.365E-3</v>
      </c>
      <c r="V15" s="203">
        <f t="shared" si="1"/>
        <v>8.1095161807403823E-2</v>
      </c>
      <c r="W15" s="169"/>
      <c r="Y15" s="175">
        <f t="shared" si="7"/>
        <v>0.01</v>
      </c>
      <c r="Z15" s="175">
        <v>0.01</v>
      </c>
      <c r="AA15" s="175">
        <v>5.9882885589978398E-3</v>
      </c>
      <c r="AB15" s="272">
        <f t="shared" si="3"/>
        <v>0.15115593999516092</v>
      </c>
      <c r="AD15" s="184">
        <f t="shared" si="4"/>
        <v>10000</v>
      </c>
      <c r="AE15" s="199">
        <v>0.01</v>
      </c>
      <c r="AF15" s="278">
        <f t="shared" si="5"/>
        <v>0.15115593999516092</v>
      </c>
    </row>
    <row r="16" spans="2:32">
      <c r="B16" s="142">
        <v>20</v>
      </c>
      <c r="C16" s="155" cm="1">
        <f t="array" ref="C16">_xlfn.IFNA(
   _xlfn._xlws.FILTER(
      Sim_Mul_Bet1!$H$3:$H$48,
      (Sim_Mul_Bet1!$A$3:$A$48=C$2) * (Sim_Mul_Bet1!$C$3:$C$48=$B16),0
   ),
   0
)</f>
        <v>1.6185500000000001E-3</v>
      </c>
      <c r="D16" s="156" cm="1">
        <f t="array" ref="D16">_xlfn.IFNA(
   _xlfn._xlws.FILTER(
      Sim_Mul_Bet1!$H$3:$H$48,
      (Sim_Mul_Bet1!$A$3:$A$48=D$2) * (Sim_Mul_Bet1!$C$3:$C$48=$B16),0
   ),
   0
)</f>
        <v>3.56888E-2</v>
      </c>
      <c r="E16" s="181" cm="1">
        <f t="array" ref="E16">_xlfn.IFNA(
   _xlfn._xlws.FILTER(
      Sim_Mul_Bet1!$H$3:$H$48,
      (Sim_Mul_Bet1!$A$3:$A$48=E$2) * (Sim_Mul_Bet1!$C$3:$C$48=$B16),0
   ),
   0
)</f>
        <v>0</v>
      </c>
      <c r="F16" s="150" cm="1">
        <f t="array" ref="F16">_xlfn.IFNA(
   _xlfn._xlws.FILTER(
      Sim_Mul_Bet1!$O$3:$O$48,
      (Sim_Mul_Bet1!$A$3:$A$48=C$2) * (Sim_Mul_Bet1!$C$3:$C$48=$B16),0
   ),
   0
)</f>
        <v>20.340014210249915</v>
      </c>
      <c r="G16" s="146" cm="1">
        <f t="array" ref="G16">_xlfn.IFNA(
   _xlfn._xlws.FILTER(
      Sim_Mul_Bet1!$O$3:$O$48,
      (Sim_Mul_Bet1!$A$3:$A$48=D$2) * (Sim_Mul_Bet1!$C$3:$C$48=$B16),0
   ),
   0
)</f>
        <v>24.422505099639103</v>
      </c>
      <c r="H16" s="147" cm="1">
        <f t="array" ref="H16">_xlfn.IFNA(
   _xlfn._xlws.FILTER(
      Sim_Mul_Bet1!$O$3:$O$48,
      (Sim_Mul_Bet1!$A$3:$A$48=E$2) * (Sim_Mul_Bet1!$C$3:$C$48=$B16),0
   ),
   0
)</f>
        <v>0</v>
      </c>
      <c r="J16">
        <v>13</v>
      </c>
      <c r="K16" s="206">
        <v>20</v>
      </c>
      <c r="L16" s="210" t="s">
        <v>90</v>
      </c>
      <c r="M16" s="213">
        <f t="shared" si="2"/>
        <v>1.6185500000000001E-3</v>
      </c>
      <c r="N16" s="160">
        <f t="shared" si="6"/>
        <v>20.340014210249915</v>
      </c>
      <c r="O16" s="175">
        <v>3.0000000000000001E-3</v>
      </c>
      <c r="P16" s="175">
        <v>3.0000000000000001E-3</v>
      </c>
      <c r="Q16" s="175">
        <v>3.4206767452058802E-3</v>
      </c>
      <c r="R16" s="197">
        <f t="shared" si="0"/>
        <v>6.1020042630749748E-2</v>
      </c>
      <c r="S16" t="b">
        <v>0</v>
      </c>
      <c r="T16" s="184">
        <v>5135</v>
      </c>
      <c r="U16" s="199">
        <v>5.1349999999999998E-3</v>
      </c>
      <c r="V16" s="203">
        <f t="shared" si="1"/>
        <v>0.10444597296963332</v>
      </c>
      <c r="W16" s="169"/>
      <c r="Y16" s="175">
        <f t="shared" si="7"/>
        <v>3.0000000000000001E-3</v>
      </c>
      <c r="Z16" s="175">
        <v>3.0000000000000001E-3</v>
      </c>
      <c r="AA16" s="175">
        <v>3.4206767452058802E-3</v>
      </c>
      <c r="AB16" s="272">
        <f t="shared" si="3"/>
        <v>6.1020042630749748E-2</v>
      </c>
      <c r="AD16" s="184">
        <f t="shared" si="4"/>
        <v>3000</v>
      </c>
      <c r="AE16" s="199">
        <v>3.0000000000000001E-3</v>
      </c>
      <c r="AF16" s="278">
        <f t="shared" si="5"/>
        <v>6.1020042630749748E-2</v>
      </c>
    </row>
    <row r="17" spans="2:32">
      <c r="B17" s="142">
        <v>25</v>
      </c>
      <c r="C17" s="155" cm="1">
        <f t="array" ref="C17">_xlfn.IFNA(
   _xlfn._xlws.FILTER(
      Sim_Mul_Bet1!$H$3:$H$48,
      (Sim_Mul_Bet1!$A$3:$A$48=C$2) * (Sim_Mul_Bet1!$C$3:$C$48=$B17),0
   ),
   0
)</f>
        <v>2.9485000000000002E-3</v>
      </c>
      <c r="D17" s="156" cm="1">
        <f t="array" ref="D17">_xlfn.IFNA(
   _xlfn._xlws.FILTER(
      Sim_Mul_Bet1!$H$3:$H$48,
      (Sim_Mul_Bet1!$A$3:$A$48=D$2) * (Sim_Mul_Bet1!$C$3:$C$48=$B17),0
   ),
   0
)</f>
        <v>5.2154599999999999E-3</v>
      </c>
      <c r="E17" s="181" cm="1">
        <f t="array" ref="E17">_xlfn.IFNA(
   _xlfn._xlws.FILTER(
      Sim_Mul_Bet1!$H$3:$H$48,
      (Sim_Mul_Bet1!$A$3:$A$48=E$2) * (Sim_Mul_Bet1!$C$3:$C$48=$B17),0
   ),
   0
)</f>
        <v>0</v>
      </c>
      <c r="F17" s="150" cm="1">
        <f t="array" ref="F17">_xlfn.IFNA(
   _xlfn._xlws.FILTER(
      Sim_Mul_Bet1!$O$3:$O$48,
      (Sim_Mul_Bet1!$A$3:$A$48=C$2) * (Sim_Mul_Bet1!$C$3:$C$48=$B17),0
   ),
   0
)</f>
        <v>25.001431236221809</v>
      </c>
      <c r="G17" s="146" cm="1">
        <f t="array" ref="G17">_xlfn.IFNA(
   _xlfn._xlws.FILTER(
      Sim_Mul_Bet1!$O$3:$O$48,
      (Sim_Mul_Bet1!$A$3:$A$48=D$2) * (Sim_Mul_Bet1!$C$3:$C$48=$B17),0
   ),
   0
)</f>
        <v>29.704846744103111</v>
      </c>
      <c r="H17" s="147" cm="1">
        <f t="array" ref="H17">_xlfn.IFNA(
   _xlfn._xlws.FILTER(
      Sim_Mul_Bet1!$O$3:$O$48,
      (Sim_Mul_Bet1!$A$3:$A$48=E$2) * (Sim_Mul_Bet1!$C$3:$C$48=$B17),0
   ),
   0
)</f>
        <v>0</v>
      </c>
      <c r="J17">
        <v>14</v>
      </c>
      <c r="K17" s="206">
        <v>25</v>
      </c>
      <c r="L17" s="210" t="s">
        <v>91</v>
      </c>
      <c r="M17" s="213">
        <f t="shared" si="2"/>
        <v>5.2154599999999999E-3</v>
      </c>
      <c r="N17" s="160">
        <f t="shared" si="6"/>
        <v>29.704846744103111</v>
      </c>
      <c r="O17" s="175">
        <v>1.1999999999999999E-3</v>
      </c>
      <c r="P17" s="175">
        <v>1.1999999999999999E-3</v>
      </c>
      <c r="Q17" s="175">
        <v>1.2856997362947801E-3</v>
      </c>
      <c r="R17" s="197">
        <f t="shared" si="0"/>
        <v>3.5645816092923728E-2</v>
      </c>
      <c r="S17" t="b">
        <v>0</v>
      </c>
      <c r="T17" s="184">
        <v>1</v>
      </c>
      <c r="U17" s="199">
        <v>9.9999999999999995E-7</v>
      </c>
      <c r="V17" s="203">
        <f t="shared" si="1"/>
        <v>2.9704846744103109E-5</v>
      </c>
      <c r="W17" s="169"/>
      <c r="Y17" s="175">
        <f t="shared" si="7"/>
        <v>1E-4</v>
      </c>
      <c r="Z17" s="175">
        <v>1E-4</v>
      </c>
      <c r="AA17" s="175">
        <v>1.2856997362947801E-3</v>
      </c>
      <c r="AB17" s="272">
        <f t="shared" si="3"/>
        <v>2.9704846744103112E-3</v>
      </c>
      <c r="AD17" s="184">
        <f t="shared" si="4"/>
        <v>100</v>
      </c>
      <c r="AE17" s="199">
        <v>1E-4</v>
      </c>
      <c r="AF17" s="278">
        <f t="shared" si="5"/>
        <v>2.9704846744103112E-3</v>
      </c>
    </row>
    <row r="18" spans="2:32">
      <c r="B18" s="142">
        <v>30</v>
      </c>
      <c r="C18" s="155" cm="1">
        <f t="array" ref="C18">_xlfn.IFNA(
   _xlfn._xlws.FILTER(
      Sim_Mul_Bet1!$H$3:$H$48,
      (Sim_Mul_Bet1!$A$3:$A$48=C$2) * (Sim_Mul_Bet1!$C$3:$C$48=$B18),0
   ),
   0
)</f>
        <v>2.2816000000000001E-4</v>
      </c>
      <c r="D18" s="156" cm="1">
        <f t="array" ref="D18">_xlfn.IFNA(
   _xlfn._xlws.FILTER(
      Sim_Mul_Bet1!$H$3:$H$48,
      (Sim_Mul_Bet1!$A$3:$A$48=D$2) * (Sim_Mul_Bet1!$C$3:$C$48=$B18),0
   ),
   0
)</f>
        <v>0</v>
      </c>
      <c r="E18" s="181" cm="1">
        <f t="array" ref="E18">_xlfn.IFNA(
   _xlfn._xlws.FILTER(
      Sim_Mul_Bet1!$H$3:$H$48,
      (Sim_Mul_Bet1!$A$3:$A$48=E$2) * (Sim_Mul_Bet1!$C$3:$C$48=$B18),0
   ),
   0
)</f>
        <v>0</v>
      </c>
      <c r="F18" s="150" cm="1">
        <f t="array" ref="F18">_xlfn.IFNA(
   _xlfn._xlws.FILTER(
      Sim_Mul_Bet1!$O$3:$O$48,
      (Sim_Mul_Bet1!$A$3:$A$48=C$2) * (Sim_Mul_Bet1!$C$3:$C$48=$B18),0
   ),
   0
)</f>
        <v>30</v>
      </c>
      <c r="G18" s="146" cm="1">
        <f t="array" ref="G18">_xlfn.IFNA(
   _xlfn._xlws.FILTER(
      Sim_Mul_Bet1!$O$3:$O$48,
      (Sim_Mul_Bet1!$A$3:$A$48=D$2) * (Sim_Mul_Bet1!$C$3:$C$48=$B18),0
   ),
   0
)</f>
        <v>0</v>
      </c>
      <c r="H18" s="147" cm="1">
        <f t="array" ref="H18">_xlfn.IFNA(
   _xlfn._xlws.FILTER(
      Sim_Mul_Bet1!$O$3:$O$48,
      (Sim_Mul_Bet1!$A$3:$A$48=E$2) * (Sim_Mul_Bet1!$C$3:$C$48=$B18),0
   ),
   0
)</f>
        <v>0</v>
      </c>
      <c r="J18">
        <v>15</v>
      </c>
      <c r="K18" s="206">
        <v>30</v>
      </c>
      <c r="L18" s="210" t="s">
        <v>90</v>
      </c>
      <c r="M18" s="213">
        <f t="shared" si="2"/>
        <v>2.2816000000000001E-4</v>
      </c>
      <c r="N18" s="160">
        <f t="shared" si="6"/>
        <v>30</v>
      </c>
      <c r="O18" s="175">
        <v>0</v>
      </c>
      <c r="P18" s="175">
        <v>0</v>
      </c>
      <c r="Q18" s="175">
        <v>0</v>
      </c>
      <c r="R18" s="197">
        <f t="shared" si="0"/>
        <v>0</v>
      </c>
      <c r="S18" t="b">
        <v>1</v>
      </c>
      <c r="T18" s="184">
        <v>0</v>
      </c>
      <c r="U18" s="199">
        <v>0</v>
      </c>
      <c r="V18" s="203">
        <f t="shared" si="1"/>
        <v>0</v>
      </c>
      <c r="W18" s="169"/>
      <c r="Y18" s="175">
        <f t="shared" si="7"/>
        <v>0</v>
      </c>
      <c r="Z18" s="175">
        <v>0</v>
      </c>
      <c r="AA18" s="175">
        <v>0</v>
      </c>
      <c r="AB18" s="272">
        <f t="shared" si="3"/>
        <v>0</v>
      </c>
      <c r="AD18" s="184">
        <f t="shared" si="4"/>
        <v>0</v>
      </c>
      <c r="AE18" s="199">
        <v>0</v>
      </c>
      <c r="AF18" s="278">
        <f t="shared" si="5"/>
        <v>0</v>
      </c>
    </row>
    <row r="19" spans="2:32">
      <c r="B19" s="142">
        <v>35</v>
      </c>
      <c r="C19" s="155" cm="1">
        <f t="array" ref="C19">_xlfn.IFNA(
   _xlfn._xlws.FILTER(
      Sim_Mul_Bet1!$H$3:$H$48,
      (Sim_Mul_Bet1!$A$3:$A$48=C$2) * (Sim_Mul_Bet1!$C$3:$C$48=$B19),0
   ),
   0
)</f>
        <v>0</v>
      </c>
      <c r="D19" s="156" cm="1">
        <f t="array" ref="D19">_xlfn.IFNA(
   _xlfn._xlws.FILTER(
      Sim_Mul_Bet1!$H$3:$H$48,
      (Sim_Mul_Bet1!$A$3:$A$48=D$2) * (Sim_Mul_Bet1!$C$3:$C$48=$B19),0
   ),
   0
)</f>
        <v>0</v>
      </c>
      <c r="E19" s="181" cm="1">
        <f t="array" ref="E19">_xlfn.IFNA(
   _xlfn._xlws.FILTER(
      Sim_Mul_Bet1!$H$3:$H$48,
      (Sim_Mul_Bet1!$A$3:$A$48=E$2) * (Sim_Mul_Bet1!$C$3:$C$48=$B19),0
   ),
   0
)</f>
        <v>0</v>
      </c>
      <c r="F19" s="150" cm="1">
        <f t="array" ref="F19">_xlfn.IFNA(
   _xlfn._xlws.FILTER(
      Sim_Mul_Bet1!$O$3:$O$48,
      (Sim_Mul_Bet1!$A$3:$A$48=C$2) * (Sim_Mul_Bet1!$C$3:$C$48=$B19),0
   ),
   0
)</f>
        <v>0</v>
      </c>
      <c r="G19" s="146" cm="1">
        <f t="array" ref="G19">_xlfn.IFNA(
   _xlfn._xlws.FILTER(
      Sim_Mul_Bet1!$O$3:$O$48,
      (Sim_Mul_Bet1!$A$3:$A$48=D$2) * (Sim_Mul_Bet1!$C$3:$C$48=$B19),0
   ),
   0
)</f>
        <v>0</v>
      </c>
      <c r="H19" s="147" cm="1">
        <f t="array" ref="H19">_xlfn.IFNA(
   _xlfn._xlws.FILTER(
      Sim_Mul_Bet1!$O$3:$O$48,
      (Sim_Mul_Bet1!$A$3:$A$48=E$2) * (Sim_Mul_Bet1!$C$3:$C$48=$B19),0
   ),
   0
)</f>
        <v>0</v>
      </c>
      <c r="J19">
        <v>16</v>
      </c>
      <c r="K19" s="206">
        <v>35</v>
      </c>
      <c r="L19" s="210" t="s">
        <v>90</v>
      </c>
      <c r="M19" s="213">
        <f t="shared" si="2"/>
        <v>0</v>
      </c>
      <c r="N19" s="160">
        <f t="shared" si="6"/>
        <v>0</v>
      </c>
      <c r="O19" s="175">
        <v>0</v>
      </c>
      <c r="P19" s="175">
        <v>0</v>
      </c>
      <c r="Q19" s="175">
        <v>0</v>
      </c>
      <c r="R19" s="197">
        <f t="shared" si="0"/>
        <v>0</v>
      </c>
      <c r="S19" t="b">
        <v>1</v>
      </c>
      <c r="T19" s="184">
        <v>0</v>
      </c>
      <c r="U19" s="199">
        <v>0</v>
      </c>
      <c r="V19" s="203">
        <f t="shared" si="1"/>
        <v>0</v>
      </c>
      <c r="W19" s="169"/>
      <c r="Y19" s="175">
        <f t="shared" si="7"/>
        <v>0</v>
      </c>
      <c r="Z19" s="175">
        <v>0</v>
      </c>
      <c r="AA19" s="175">
        <v>0</v>
      </c>
      <c r="AB19" s="272">
        <f t="shared" si="3"/>
        <v>0</v>
      </c>
      <c r="AD19" s="184">
        <f t="shared" si="4"/>
        <v>0</v>
      </c>
      <c r="AE19" s="199">
        <v>0</v>
      </c>
      <c r="AF19" s="278">
        <f t="shared" si="5"/>
        <v>0</v>
      </c>
    </row>
    <row r="20" spans="2:32">
      <c r="B20" s="142">
        <v>40</v>
      </c>
      <c r="C20" s="155" cm="1">
        <f t="array" ref="C20">_xlfn.IFNA(
   _xlfn._xlws.FILTER(
      Sim_Mul_Bet1!$H$3:$H$48,
      (Sim_Mul_Bet1!$A$3:$A$48=C$2) * (Sim_Mul_Bet1!$C$3:$C$48=$B20),0
   ),
   0
)</f>
        <v>0</v>
      </c>
      <c r="D20" s="156" cm="1">
        <f t="array" ref="D20">_xlfn.IFNA(
   _xlfn._xlws.FILTER(
      Sim_Mul_Bet1!$H$3:$H$48,
      (Sim_Mul_Bet1!$A$3:$A$48=D$2) * (Sim_Mul_Bet1!$C$3:$C$48=$B20),0
   ),
   0
)</f>
        <v>0</v>
      </c>
      <c r="E20" s="181" cm="1">
        <f t="array" ref="E20">_xlfn.IFNA(
   _xlfn._xlws.FILTER(
      Sim_Mul_Bet1!$H$3:$H$48,
      (Sim_Mul_Bet1!$A$3:$A$48=E$2) * (Sim_Mul_Bet1!$C$3:$C$48=$B20),0
   ),
   0
)</f>
        <v>0</v>
      </c>
      <c r="F20" s="150" cm="1">
        <f t="array" ref="F20">_xlfn.IFNA(
   _xlfn._xlws.FILTER(
      Sim_Mul_Bet1!$O$3:$O$48,
      (Sim_Mul_Bet1!$A$3:$A$48=C$2) * (Sim_Mul_Bet1!$C$3:$C$48=$B20),0
   ),
   0
)</f>
        <v>0</v>
      </c>
      <c r="G20" s="146" cm="1">
        <f t="array" ref="G20">_xlfn.IFNA(
   _xlfn._xlws.FILTER(
      Sim_Mul_Bet1!$O$3:$O$48,
      (Sim_Mul_Bet1!$A$3:$A$48=D$2) * (Sim_Mul_Bet1!$C$3:$C$48=$B20),0
   ),
   0
)</f>
        <v>0</v>
      </c>
      <c r="H20" s="147" cm="1">
        <f t="array" ref="H20">_xlfn.IFNA(
   _xlfn._xlws.FILTER(
      Sim_Mul_Bet1!$O$3:$O$48,
      (Sim_Mul_Bet1!$A$3:$A$48=E$2) * (Sim_Mul_Bet1!$C$3:$C$48=$B20),0
   ),
   0
)</f>
        <v>0</v>
      </c>
      <c r="J20">
        <v>17</v>
      </c>
      <c r="K20" s="206">
        <v>40</v>
      </c>
      <c r="L20" s="210" t="s">
        <v>90</v>
      </c>
      <c r="M20" s="213">
        <f t="shared" si="2"/>
        <v>0</v>
      </c>
      <c r="N20" s="160">
        <f t="shared" si="6"/>
        <v>0</v>
      </c>
      <c r="O20" s="175">
        <v>0</v>
      </c>
      <c r="P20" s="175">
        <v>0</v>
      </c>
      <c r="Q20" s="175">
        <v>0</v>
      </c>
      <c r="R20" s="197">
        <f t="shared" si="0"/>
        <v>0</v>
      </c>
      <c r="S20" t="b">
        <v>1</v>
      </c>
      <c r="T20" s="184">
        <v>0</v>
      </c>
      <c r="U20" s="199">
        <v>0</v>
      </c>
      <c r="V20" s="203">
        <f t="shared" si="1"/>
        <v>0</v>
      </c>
      <c r="W20" s="169"/>
      <c r="Y20" s="175">
        <f t="shared" si="7"/>
        <v>0</v>
      </c>
      <c r="Z20" s="175">
        <v>0</v>
      </c>
      <c r="AA20" s="175">
        <v>0</v>
      </c>
      <c r="AB20" s="272">
        <f t="shared" si="3"/>
        <v>0</v>
      </c>
      <c r="AD20" s="184">
        <f t="shared" si="4"/>
        <v>0</v>
      </c>
      <c r="AE20" s="199">
        <v>0</v>
      </c>
      <c r="AF20" s="278">
        <f t="shared" si="5"/>
        <v>0</v>
      </c>
    </row>
    <row r="21" spans="2:32">
      <c r="B21" s="142">
        <v>45</v>
      </c>
      <c r="C21" s="155" cm="1">
        <f t="array" ref="C21">_xlfn.IFNA(
   _xlfn._xlws.FILTER(
      Sim_Mul_Bet1!$H$3:$H$48,
      (Sim_Mul_Bet1!$A$3:$A$48=C$2) * (Sim_Mul_Bet1!$C$3:$C$48=$B21),0
   ),
   0
)</f>
        <v>0</v>
      </c>
      <c r="D21" s="156" cm="1">
        <f t="array" ref="D21">_xlfn.IFNA(
   _xlfn._xlws.FILTER(
      Sim_Mul_Bet1!$H$3:$H$48,
      (Sim_Mul_Bet1!$A$3:$A$48=D$2) * (Sim_Mul_Bet1!$C$3:$C$48=$B21),0
   ),
   0
)</f>
        <v>3.474008E-2</v>
      </c>
      <c r="E21" s="181" cm="1">
        <f t="array" ref="E21">_xlfn.IFNA(
   _xlfn._xlws.FILTER(
      Sim_Mul_Bet1!$H$3:$H$48,
      (Sim_Mul_Bet1!$A$3:$A$48=E$2) * (Sim_Mul_Bet1!$C$3:$C$48=$B21),0
   ),
   0
)</f>
        <v>0</v>
      </c>
      <c r="F21" s="150" cm="1">
        <f t="array" ref="F21">_xlfn.IFNA(
   _xlfn._xlws.FILTER(
      Sim_Mul_Bet1!$O$3:$O$48,
      (Sim_Mul_Bet1!$A$3:$A$48=C$2) * (Sim_Mul_Bet1!$C$3:$C$48=$B21),0
   ),
   0
)</f>
        <v>0</v>
      </c>
      <c r="G21" s="146" cm="1">
        <f t="array" ref="G21">_xlfn.IFNA(
   _xlfn._xlws.FILTER(
      Sim_Mul_Bet1!$O$3:$O$48,
      (Sim_Mul_Bet1!$A$3:$A$48=D$2) * (Sim_Mul_Bet1!$C$3:$C$48=$B21),0
   ),
   0
)</f>
        <v>50</v>
      </c>
      <c r="H21" s="147" cm="1">
        <f t="array" ref="H21">_xlfn.IFNA(
   _xlfn._xlws.FILTER(
      Sim_Mul_Bet1!$O$3:$O$48,
      (Sim_Mul_Bet1!$A$3:$A$48=E$2) * (Sim_Mul_Bet1!$C$3:$C$48=$B21),0
   ),
   0
)</f>
        <v>0</v>
      </c>
      <c r="J21">
        <v>18</v>
      </c>
      <c r="K21" s="206">
        <v>45</v>
      </c>
      <c r="L21" s="210" t="s">
        <v>90</v>
      </c>
      <c r="M21" s="213">
        <f t="shared" si="2"/>
        <v>0</v>
      </c>
      <c r="N21" s="160">
        <f t="shared" si="6"/>
        <v>0</v>
      </c>
      <c r="O21" s="175">
        <v>3.5000000000000001E-3</v>
      </c>
      <c r="P21" s="175">
        <v>3.5000000000000001E-3</v>
      </c>
      <c r="Q21" s="175">
        <v>3.6466737201290502E-3</v>
      </c>
      <c r="R21" s="197">
        <f t="shared" si="0"/>
        <v>0</v>
      </c>
      <c r="S21" t="b">
        <v>0</v>
      </c>
      <c r="T21" s="184">
        <v>2877</v>
      </c>
      <c r="U21" s="199">
        <v>2.8770000000000002E-3</v>
      </c>
      <c r="V21" s="203">
        <f t="shared" si="1"/>
        <v>0</v>
      </c>
      <c r="W21" s="169"/>
      <c r="Y21" s="175">
        <f t="shared" si="7"/>
        <v>5.0000000000000001E-3</v>
      </c>
      <c r="Z21" s="175">
        <v>5.0000000000000001E-3</v>
      </c>
      <c r="AA21" s="175">
        <v>3.6466737201290502E-3</v>
      </c>
      <c r="AB21" s="272">
        <f t="shared" si="3"/>
        <v>0</v>
      </c>
      <c r="AD21" s="184">
        <f t="shared" si="4"/>
        <v>5000</v>
      </c>
      <c r="AE21" s="199">
        <v>5.0000000000000001E-3</v>
      </c>
      <c r="AF21" s="278">
        <f t="shared" si="5"/>
        <v>0</v>
      </c>
    </row>
    <row r="22" spans="2:32">
      <c r="B22" s="142">
        <v>50</v>
      </c>
      <c r="C22" s="155" cm="1">
        <f t="array" ref="C22">_xlfn.IFNA(
   _xlfn._xlws.FILTER(
      Sim_Mul_Bet1!$H$3:$H$48,
      (Sim_Mul_Bet1!$A$3:$A$48=C$2) * (Sim_Mul_Bet1!$C$3:$C$48=$B22),0
   ),
   0
)</f>
        <v>4.6519600000000001E-3</v>
      </c>
      <c r="D22" s="156" cm="1">
        <f t="array" ref="D22">_xlfn.IFNA(
   _xlfn._xlws.FILTER(
      Sim_Mul_Bet1!$H$3:$H$48,
      (Sim_Mul_Bet1!$A$3:$A$48=D$2) * (Sim_Mul_Bet1!$C$3:$C$48=$B22),0
   ),
   0
)</f>
        <v>5.2487399999999997E-2</v>
      </c>
      <c r="E22" s="181" cm="1">
        <f t="array" ref="E22">_xlfn.IFNA(
   _xlfn._xlws.FILTER(
      Sim_Mul_Bet1!$H$3:$H$48,
      (Sim_Mul_Bet1!$A$3:$A$48=E$2) * (Sim_Mul_Bet1!$C$3:$C$48=$B22),0
   ),
   0
)</f>
        <v>0</v>
      </c>
      <c r="F22" s="150" cm="1">
        <f t="array" ref="F22">_xlfn.IFNA(
   _xlfn._xlws.FILTER(
      Sim_Mul_Bet1!$O$3:$O$48,
      (Sim_Mul_Bet1!$A$3:$A$48=C$2) * (Sim_Mul_Bet1!$C$3:$C$48=$B22),0
   ),
   0
)</f>
        <v>51.685255247250623</v>
      </c>
      <c r="G22" s="146" cm="1">
        <f t="array" ref="G22">_xlfn.IFNA(
   _xlfn._xlws.FILTER(
      Sim_Mul_Bet1!$O$3:$O$48,
      (Sim_Mul_Bet1!$A$3:$A$48=D$2) * (Sim_Mul_Bet1!$C$3:$C$48=$B22),0
   ),
   0
)</f>
        <v>53.911806262074322</v>
      </c>
      <c r="H22" s="147" cm="1">
        <f t="array" ref="H22">_xlfn.IFNA(
   _xlfn._xlws.FILTER(
      Sim_Mul_Bet1!$O$3:$O$48,
      (Sim_Mul_Bet1!$A$3:$A$48=E$2) * (Sim_Mul_Bet1!$C$3:$C$48=$B22),0
   ),
   0
)</f>
        <v>0</v>
      </c>
      <c r="J22">
        <v>19</v>
      </c>
      <c r="K22" s="206">
        <v>50</v>
      </c>
      <c r="L22" s="210" t="s">
        <v>90</v>
      </c>
      <c r="M22" s="213">
        <f t="shared" si="2"/>
        <v>4.6519600000000001E-3</v>
      </c>
      <c r="N22" s="160">
        <f t="shared" si="6"/>
        <v>51.685255247250623</v>
      </c>
      <c r="O22" s="175">
        <v>1.6000000000000001E-3</v>
      </c>
      <c r="P22" s="175">
        <v>1.6000000000000001E-3</v>
      </c>
      <c r="Q22" s="175">
        <v>1.7886166544199E-3</v>
      </c>
      <c r="R22" s="197">
        <f t="shared" si="0"/>
        <v>8.2696408395600995E-2</v>
      </c>
      <c r="S22" t="b">
        <v>0</v>
      </c>
      <c r="T22" s="184">
        <v>2327</v>
      </c>
      <c r="U22" s="199">
        <v>2.3270000000000001E-3</v>
      </c>
      <c r="V22" s="203">
        <f t="shared" si="1"/>
        <v>0.1202715889603522</v>
      </c>
      <c r="W22" s="169"/>
      <c r="Y22" s="175">
        <f t="shared" si="7"/>
        <v>2.9999999999999997E-4</v>
      </c>
      <c r="Z22" s="175">
        <v>2.9999999999999997E-4</v>
      </c>
      <c r="AA22" s="175">
        <v>1.7886166544199E-3</v>
      </c>
      <c r="AB22" s="272">
        <f t="shared" si="3"/>
        <v>1.5505576574175185E-2</v>
      </c>
      <c r="AD22" s="184">
        <f t="shared" si="4"/>
        <v>300</v>
      </c>
      <c r="AE22" s="199">
        <v>2.9999999999999997E-4</v>
      </c>
      <c r="AF22" s="278">
        <f t="shared" si="5"/>
        <v>1.5505576574175185E-2</v>
      </c>
    </row>
    <row r="23" spans="2:32">
      <c r="B23" s="142">
        <v>60</v>
      </c>
      <c r="C23" s="155" cm="1">
        <f t="array" ref="C23">_xlfn.IFNA(
   _xlfn._xlws.FILTER(
      Sim_Mul_Bet1!$H$3:$H$48,
      (Sim_Mul_Bet1!$A$3:$A$48=C$2) * (Sim_Mul_Bet1!$C$3:$C$48=$B23),0
   ),
   0
)</f>
        <v>7.5439999999999996E-5</v>
      </c>
      <c r="D23" s="156" cm="1">
        <f t="array" ref="D23">_xlfn.IFNA(
   _xlfn._xlws.FILTER(
      Sim_Mul_Bet1!$H$3:$H$48,
      (Sim_Mul_Bet1!$A$3:$A$48=D$2) * (Sim_Mul_Bet1!$C$3:$C$48=$B23),0
   ),
   0
)</f>
        <v>5.4027900000000002E-3</v>
      </c>
      <c r="E23" s="181" cm="1">
        <f t="array" ref="E23">_xlfn.IFNA(
   _xlfn._xlws.FILTER(
      Sim_Mul_Bet1!$H$3:$H$48,
      (Sim_Mul_Bet1!$A$3:$A$48=E$2) * (Sim_Mul_Bet1!$C$3:$C$48=$B23),0
   ),
   0
)</f>
        <v>0</v>
      </c>
      <c r="F23" s="150" cm="1">
        <f t="array" ref="F23">_xlfn.IFNA(
   _xlfn._xlws.FILTER(
      Sim_Mul_Bet1!$O$3:$O$48,
      (Sim_Mul_Bet1!$A$3:$A$48=C$2) * (Sim_Mul_Bet1!$C$3:$C$48=$B23),0
   ),
   0
)</f>
        <v>60.905355249204668</v>
      </c>
      <c r="G23" s="146" cm="1">
        <f t="array" ref="G23">_xlfn.IFNA(
   _xlfn._xlws.FILTER(
      Sim_Mul_Bet1!$O$3:$O$48,
      (Sim_Mul_Bet1!$A$3:$A$48=D$2) * (Sim_Mul_Bet1!$C$3:$C$48=$B23),0
   ),
   0
)</f>
        <v>63.855487627688653</v>
      </c>
      <c r="H23" s="147" cm="1">
        <f t="array" ref="H23">_xlfn.IFNA(
   _xlfn._xlws.FILTER(
      Sim_Mul_Bet1!$O$3:$O$48,
      (Sim_Mul_Bet1!$A$3:$A$48=E$2) * (Sim_Mul_Bet1!$C$3:$C$48=$B23),0
   ),
   0
)</f>
        <v>0</v>
      </c>
      <c r="J23">
        <v>20</v>
      </c>
      <c r="K23" s="206">
        <v>60</v>
      </c>
      <c r="L23" s="210" t="s">
        <v>91</v>
      </c>
      <c r="M23" s="213">
        <f t="shared" si="2"/>
        <v>5.4027900000000002E-3</v>
      </c>
      <c r="N23" s="160">
        <f t="shared" si="6"/>
        <v>63.855487627688653</v>
      </c>
      <c r="O23" s="175">
        <v>0</v>
      </c>
      <c r="P23" s="175">
        <v>0</v>
      </c>
      <c r="Q23" s="175">
        <v>0</v>
      </c>
      <c r="R23" s="197">
        <f t="shared" si="0"/>
        <v>0</v>
      </c>
      <c r="S23" t="b">
        <v>1</v>
      </c>
      <c r="T23" s="184">
        <v>1</v>
      </c>
      <c r="U23" s="199">
        <v>9.9999999999999995E-7</v>
      </c>
      <c r="V23" s="203">
        <f t="shared" si="1"/>
        <v>6.3855487627688653E-5</v>
      </c>
      <c r="W23" s="169"/>
      <c r="Y23" s="175">
        <f t="shared" si="7"/>
        <v>0</v>
      </c>
      <c r="Z23" s="175">
        <v>0</v>
      </c>
      <c r="AA23" s="175">
        <v>0</v>
      </c>
      <c r="AB23" s="272">
        <f t="shared" si="3"/>
        <v>0</v>
      </c>
      <c r="AD23" s="184">
        <f t="shared" si="4"/>
        <v>0</v>
      </c>
      <c r="AE23" s="199">
        <v>0</v>
      </c>
      <c r="AF23" s="278">
        <f t="shared" si="5"/>
        <v>0</v>
      </c>
    </row>
    <row r="24" spans="2:32">
      <c r="B24" s="142">
        <v>70</v>
      </c>
      <c r="C24" s="155" cm="1">
        <f t="array" ref="C24">_xlfn.IFNA(
   _xlfn._xlws.FILTER(
      Sim_Mul_Bet1!$H$3:$H$48,
      (Sim_Mul_Bet1!$A$3:$A$48=C$2) * (Sim_Mul_Bet1!$C$3:$C$48=$B24),0
   ),
   0
)</f>
        <v>6.3E-7</v>
      </c>
      <c r="D24" s="156" cm="1">
        <f t="array" ref="D24">_xlfn.IFNA(
   _xlfn._xlws.FILTER(
      Sim_Mul_Bet1!$H$3:$H$48,
      (Sim_Mul_Bet1!$A$3:$A$48=D$2) * (Sim_Mul_Bet1!$C$3:$C$48=$B24),0
   ),
   0
)</f>
        <v>4.6310600000000002E-3</v>
      </c>
      <c r="E24" s="181" cm="1">
        <f t="array" ref="E24">_xlfn.IFNA(
   _xlfn._xlws.FILTER(
      Sim_Mul_Bet1!$H$3:$H$48,
      (Sim_Mul_Bet1!$A$3:$A$48=E$2) * (Sim_Mul_Bet1!$C$3:$C$48=$B24),0
   ),
   0
)</f>
        <v>0</v>
      </c>
      <c r="F24" s="150" cm="1">
        <f t="array" ref="F24">_xlfn.IFNA(
   _xlfn._xlws.FILTER(
      Sim_Mul_Bet1!$O$3:$O$48,
      (Sim_Mul_Bet1!$A$3:$A$48=C$2) * (Sim_Mul_Bet1!$C$3:$C$48=$B24),0
   ),
   0
)</f>
        <v>70</v>
      </c>
      <c r="G24" s="146" cm="1">
        <f t="array" ref="G24">_xlfn.IFNA(
   _xlfn._xlws.FILTER(
      Sim_Mul_Bet1!$O$3:$O$48,
      (Sim_Mul_Bet1!$A$3:$A$48=D$2) * (Sim_Mul_Bet1!$C$3:$C$48=$B24),0
   ),
   0
)</f>
        <v>75</v>
      </c>
      <c r="H24" s="147" cm="1">
        <f t="array" ref="H24">_xlfn.IFNA(
   _xlfn._xlws.FILTER(
      Sim_Mul_Bet1!$O$3:$O$48,
      (Sim_Mul_Bet1!$A$3:$A$48=E$2) * (Sim_Mul_Bet1!$C$3:$C$48=$B24),0
   ),
   0
)</f>
        <v>0</v>
      </c>
      <c r="J24">
        <v>21</v>
      </c>
      <c r="K24" s="206">
        <v>70</v>
      </c>
      <c r="L24" s="210" t="s">
        <v>91</v>
      </c>
      <c r="M24" s="213">
        <f t="shared" si="2"/>
        <v>4.6310600000000002E-3</v>
      </c>
      <c r="N24" s="160">
        <f t="shared" si="6"/>
        <v>75</v>
      </c>
      <c r="O24" s="175">
        <v>0</v>
      </c>
      <c r="P24" s="175">
        <v>0</v>
      </c>
      <c r="Q24" s="175">
        <v>0</v>
      </c>
      <c r="R24" s="197">
        <f t="shared" si="0"/>
        <v>0</v>
      </c>
      <c r="S24" t="b">
        <v>1</v>
      </c>
      <c r="T24" s="184">
        <v>1</v>
      </c>
      <c r="U24" s="199">
        <v>9.9999999999999995E-7</v>
      </c>
      <c r="V24" s="203">
        <f t="shared" si="1"/>
        <v>7.4999999999999993E-5</v>
      </c>
      <c r="W24" s="169"/>
      <c r="Y24" s="175">
        <f t="shared" si="7"/>
        <v>0</v>
      </c>
      <c r="Z24" s="175">
        <v>0</v>
      </c>
      <c r="AA24" s="175">
        <v>0</v>
      </c>
      <c r="AB24" s="272">
        <f t="shared" si="3"/>
        <v>0</v>
      </c>
      <c r="AD24" s="184">
        <f t="shared" si="4"/>
        <v>0</v>
      </c>
      <c r="AE24" s="199">
        <v>0</v>
      </c>
      <c r="AF24" s="278">
        <f t="shared" si="5"/>
        <v>0</v>
      </c>
    </row>
    <row r="25" spans="2:32">
      <c r="B25" s="142">
        <v>80</v>
      </c>
      <c r="C25" s="155" cm="1">
        <f t="array" ref="C25">_xlfn.IFNA(
   _xlfn._xlws.FILTER(
      Sim_Mul_Bet1!$H$3:$H$48,
      (Sim_Mul_Bet1!$A$3:$A$48=C$2) * (Sim_Mul_Bet1!$C$3:$C$48=$B25),0
   ),
   0
)</f>
        <v>0</v>
      </c>
      <c r="D25" s="156" cm="1">
        <f t="array" ref="D25">_xlfn.IFNA(
   _xlfn._xlws.FILTER(
      Sim_Mul_Bet1!$H$3:$H$48,
      (Sim_Mul_Bet1!$A$3:$A$48=D$2) * (Sim_Mul_Bet1!$C$3:$C$48=$B25),0
   ),
   0
)</f>
        <v>0</v>
      </c>
      <c r="E25" s="181" cm="1">
        <f t="array" ref="E25">_xlfn.IFNA(
   _xlfn._xlws.FILTER(
      Sim_Mul_Bet1!$H$3:$H$48,
      (Sim_Mul_Bet1!$A$3:$A$48=E$2) * (Sim_Mul_Bet1!$C$3:$C$48=$B25),0
   ),
   0
)</f>
        <v>0</v>
      </c>
      <c r="F25" s="150" cm="1">
        <f t="array" ref="F25">_xlfn.IFNA(
   _xlfn._xlws.FILTER(
      Sim_Mul_Bet1!$O$3:$O$48,
      (Sim_Mul_Bet1!$A$3:$A$48=C$2) * (Sim_Mul_Bet1!$C$3:$C$48=$B25),0
   ),
   0
)</f>
        <v>0</v>
      </c>
      <c r="G25" s="146" cm="1">
        <f t="array" ref="G25">_xlfn.IFNA(
   _xlfn._xlws.FILTER(
      Sim_Mul_Bet1!$O$3:$O$48,
      (Sim_Mul_Bet1!$A$3:$A$48=D$2) * (Sim_Mul_Bet1!$C$3:$C$48=$B25),0
   ),
   0
)</f>
        <v>0</v>
      </c>
      <c r="H25" s="147" cm="1">
        <f t="array" ref="H25">_xlfn.IFNA(
   _xlfn._xlws.FILTER(
      Sim_Mul_Bet1!$O$3:$O$48,
      (Sim_Mul_Bet1!$A$3:$A$48=E$2) * (Sim_Mul_Bet1!$C$3:$C$48=$B25),0
   ),
   0
)</f>
        <v>0</v>
      </c>
      <c r="J25">
        <v>22</v>
      </c>
      <c r="K25" s="206">
        <v>80</v>
      </c>
      <c r="L25" s="210" t="s">
        <v>90</v>
      </c>
      <c r="M25" s="213">
        <f t="shared" si="2"/>
        <v>0</v>
      </c>
      <c r="N25" s="160">
        <f t="shared" si="6"/>
        <v>0</v>
      </c>
      <c r="O25" s="175">
        <v>0</v>
      </c>
      <c r="P25" s="175">
        <v>0</v>
      </c>
      <c r="Q25" s="175">
        <v>0</v>
      </c>
      <c r="R25" s="197">
        <f t="shared" si="0"/>
        <v>0</v>
      </c>
      <c r="S25" t="b">
        <v>1</v>
      </c>
      <c r="T25" s="184">
        <v>0</v>
      </c>
      <c r="U25" s="199">
        <v>0</v>
      </c>
      <c r="V25" s="203">
        <f t="shared" si="1"/>
        <v>0</v>
      </c>
      <c r="W25" s="169"/>
      <c r="Y25" s="175">
        <f t="shared" si="7"/>
        <v>0</v>
      </c>
      <c r="Z25" s="175">
        <v>0</v>
      </c>
      <c r="AA25" s="175">
        <v>0</v>
      </c>
      <c r="AB25" s="272">
        <f t="shared" si="3"/>
        <v>0</v>
      </c>
      <c r="AD25" s="184">
        <f t="shared" si="4"/>
        <v>0</v>
      </c>
      <c r="AE25" s="199">
        <v>0</v>
      </c>
      <c r="AF25" s="278">
        <f t="shared" si="5"/>
        <v>0</v>
      </c>
    </row>
    <row r="26" spans="2:32">
      <c r="B26" s="142">
        <v>90</v>
      </c>
      <c r="C26" s="155" cm="1">
        <f t="array" ref="C26">_xlfn.IFNA(
   _xlfn._xlws.FILTER(
      Sim_Mul_Bet1!$H$3:$H$48,
      (Sim_Mul_Bet1!$A$3:$A$48=C$2) * (Sim_Mul_Bet1!$C$3:$C$48=$B26),0
   ),
   0
)</f>
        <v>0</v>
      </c>
      <c r="D26" s="156" cm="1">
        <f t="array" ref="D26">_xlfn.IFNA(
   _xlfn._xlws.FILTER(
      Sim_Mul_Bet1!$H$3:$H$48,
      (Sim_Mul_Bet1!$A$3:$A$48=D$2) * (Sim_Mul_Bet1!$C$3:$C$48=$B26),0
   ),
   0
)</f>
        <v>2.103874E-2</v>
      </c>
      <c r="E26" s="181" cm="1">
        <f t="array" ref="E26">_xlfn.IFNA(
   _xlfn._xlws.FILTER(
      Sim_Mul_Bet1!$H$3:$H$48,
      (Sim_Mul_Bet1!$A$3:$A$48=E$2) * (Sim_Mul_Bet1!$C$3:$C$48=$B26),0
   ),
   0
)</f>
        <v>0</v>
      </c>
      <c r="F26" s="150" cm="1">
        <f t="array" ref="F26">_xlfn.IFNA(
   _xlfn._xlws.FILTER(
      Sim_Mul_Bet1!$O$3:$O$48,
      (Sim_Mul_Bet1!$A$3:$A$48=C$2) * (Sim_Mul_Bet1!$C$3:$C$48=$B26),0
   ),
   0
)</f>
        <v>0</v>
      </c>
      <c r="G26" s="146" cm="1">
        <f t="array" ref="G26">_xlfn.IFNA(
   _xlfn._xlws.FILTER(
      Sim_Mul_Bet1!$O$3:$O$48,
      (Sim_Mul_Bet1!$A$3:$A$48=D$2) * (Sim_Mul_Bet1!$C$3:$C$48=$B26),0
   ),
   0
)</f>
        <v>100</v>
      </c>
      <c r="H26" s="147" cm="1">
        <f t="array" ref="H26">_xlfn.IFNA(
   _xlfn._xlws.FILTER(
      Sim_Mul_Bet1!$O$3:$O$48,
      (Sim_Mul_Bet1!$A$3:$A$48=E$2) * (Sim_Mul_Bet1!$C$3:$C$48=$B26),0
   ),
   0
)</f>
        <v>0</v>
      </c>
      <c r="J26">
        <v>23</v>
      </c>
      <c r="K26" s="206">
        <v>90</v>
      </c>
      <c r="L26" s="210" t="s">
        <v>91</v>
      </c>
      <c r="M26" s="213">
        <f t="shared" si="2"/>
        <v>2.103874E-2</v>
      </c>
      <c r="N26" s="160">
        <f t="shared" si="6"/>
        <v>100</v>
      </c>
      <c r="O26" s="175">
        <v>1.56E-5</v>
      </c>
      <c r="P26" s="175">
        <v>6.4999999999999994E-5</v>
      </c>
      <c r="Q26" s="175">
        <v>6.0602540761521397E-5</v>
      </c>
      <c r="R26" s="197">
        <f t="shared" si="0"/>
        <v>1.56E-3</v>
      </c>
      <c r="S26" t="b">
        <v>0</v>
      </c>
      <c r="T26" s="184">
        <v>5</v>
      </c>
      <c r="U26" s="199">
        <v>5.0000000000000004E-6</v>
      </c>
      <c r="V26" s="203">
        <f t="shared" si="1"/>
        <v>5.0000000000000001E-4</v>
      </c>
      <c r="W26" s="169"/>
      <c r="Y26" s="175">
        <f t="shared" si="7"/>
        <v>1E-4</v>
      </c>
      <c r="Z26" s="175">
        <v>1E-4</v>
      </c>
      <c r="AA26" s="175">
        <v>6.0602540761521397E-5</v>
      </c>
      <c r="AB26" s="272">
        <f t="shared" si="3"/>
        <v>0.01</v>
      </c>
      <c r="AD26" s="184">
        <f t="shared" si="4"/>
        <v>100</v>
      </c>
      <c r="AE26" s="199">
        <v>1E-4</v>
      </c>
      <c r="AF26" s="278">
        <f t="shared" si="5"/>
        <v>0.01</v>
      </c>
    </row>
    <row r="27" spans="2:32">
      <c r="B27" s="142">
        <v>100</v>
      </c>
      <c r="C27" s="155" cm="1">
        <f t="array" ref="C27">_xlfn.IFNA(
   _xlfn._xlws.FILTER(
      Sim_Mul_Bet1!$H$3:$H$48,
      (Sim_Mul_Bet1!$A$3:$A$48=C$2) * (Sim_Mul_Bet1!$C$3:$C$48=$B27),0
   ),
   0
)</f>
        <v>5.8186999999999996E-4</v>
      </c>
      <c r="D27" s="156" cm="1">
        <f t="array" ref="D27">_xlfn.IFNA(
   _xlfn._xlws.FILTER(
      Sim_Mul_Bet1!$H$3:$H$48,
      (Sim_Mul_Bet1!$A$3:$A$48=D$2) * (Sim_Mul_Bet1!$C$3:$C$48=$B27),0
   ),
   0
)</f>
        <v>6.4064599999999999E-2</v>
      </c>
      <c r="E27" s="181" cm="1">
        <f t="array" ref="E27">_xlfn.IFNA(
   _xlfn._xlws.FILTER(
      Sim_Mul_Bet1!$H$3:$H$48,
      (Sim_Mul_Bet1!$A$3:$A$48=E$2) * (Sim_Mul_Bet1!$C$3:$C$48=$B27),0
   ),
   0
)</f>
        <v>0</v>
      </c>
      <c r="F27" s="150" cm="1">
        <f t="array" ref="F27">_xlfn.IFNA(
   _xlfn._xlws.FILTER(
      Sim_Mul_Bet1!$O$3:$O$48,
      (Sim_Mul_Bet1!$A$3:$A$48=C$2) * (Sim_Mul_Bet1!$C$3:$C$48=$B27),0
   ),
   0
)</f>
        <v>101.11982057847973</v>
      </c>
      <c r="G27" s="146" cm="1">
        <f t="array" ref="G27">_xlfn.IFNA(
   _xlfn._xlws.FILTER(
      Sim_Mul_Bet1!$O$3:$O$48,
      (Sim_Mul_Bet1!$A$3:$A$48=D$2) * (Sim_Mul_Bet1!$C$3:$C$48=$B27),0
   ),
   0
)</f>
        <v>104.99071156301608</v>
      </c>
      <c r="H27" s="147" cm="1">
        <f t="array" ref="H27">_xlfn.IFNA(
   _xlfn._xlws.FILTER(
      Sim_Mul_Bet1!$O$3:$O$48,
      (Sim_Mul_Bet1!$A$3:$A$48=E$2) * (Sim_Mul_Bet1!$C$3:$C$48=$B27),0
   ),
   0
)</f>
        <v>0</v>
      </c>
      <c r="J27">
        <v>24</v>
      </c>
      <c r="K27" s="206">
        <v>100</v>
      </c>
      <c r="L27" s="210" t="s">
        <v>91</v>
      </c>
      <c r="M27" s="213">
        <f t="shared" si="2"/>
        <v>6.4064599999999999E-2</v>
      </c>
      <c r="N27" s="160">
        <f t="shared" si="6"/>
        <v>104.99071156301608</v>
      </c>
      <c r="O27" s="175">
        <v>8.8999999999999995E-5</v>
      </c>
      <c r="P27" s="175">
        <v>8.8999999999999995E-5</v>
      </c>
      <c r="Q27" s="175">
        <v>8.8378705277218707E-5</v>
      </c>
      <c r="R27" s="197">
        <f t="shared" si="0"/>
        <v>9.3441733291084305E-3</v>
      </c>
      <c r="S27" t="b">
        <v>0</v>
      </c>
      <c r="T27" s="184">
        <v>87</v>
      </c>
      <c r="U27" s="199">
        <v>8.7000000000000001E-5</v>
      </c>
      <c r="V27" s="203">
        <f t="shared" si="1"/>
        <v>9.1341919059823983E-3</v>
      </c>
      <c r="W27" s="169"/>
      <c r="Y27" s="175">
        <f t="shared" si="7"/>
        <v>5.0000000000000002E-5</v>
      </c>
      <c r="Z27" s="175">
        <v>5.0000000000000002E-5</v>
      </c>
      <c r="AA27" s="175">
        <v>8.8378705277218707E-5</v>
      </c>
      <c r="AB27" s="272">
        <f t="shared" si="3"/>
        <v>5.2495355781508038E-3</v>
      </c>
      <c r="AD27" s="184">
        <f t="shared" si="4"/>
        <v>50</v>
      </c>
      <c r="AE27" s="199">
        <v>5.0000000000000002E-5</v>
      </c>
      <c r="AF27" s="278">
        <f t="shared" si="5"/>
        <v>5.2495355781508038E-3</v>
      </c>
    </row>
    <row r="28" spans="2:32">
      <c r="B28" s="142">
        <v>120</v>
      </c>
      <c r="C28" s="155" cm="1">
        <f t="array" ref="C28">_xlfn.IFNA(
   _xlfn._xlws.FILTER(
      Sim_Mul_Bet1!$H$3:$H$48,
      (Sim_Mul_Bet1!$A$3:$A$48=C$2) * (Sim_Mul_Bet1!$C$3:$C$48=$B28),0
   ),
   0
)</f>
        <v>0</v>
      </c>
      <c r="D28" s="156" cm="1">
        <f t="array" ref="D28">_xlfn.IFNA(
   _xlfn._xlws.FILTER(
      Sim_Mul_Bet1!$H$3:$H$48,
      (Sim_Mul_Bet1!$A$3:$A$48=D$2) * (Sim_Mul_Bet1!$C$3:$C$48=$B28),0
   ),
   0
)</f>
        <v>0</v>
      </c>
      <c r="E28" s="181" cm="1">
        <f t="array" ref="E28">_xlfn.IFNA(
   _xlfn._xlws.FILTER(
      Sim_Mul_Bet1!$H$3:$H$48,
      (Sim_Mul_Bet1!$A$3:$A$48=E$2) * (Sim_Mul_Bet1!$C$3:$C$48=$B28),0
   ),
   0
)</f>
        <v>0</v>
      </c>
      <c r="F28" s="150" cm="1">
        <f t="array" ref="F28">_xlfn.IFNA(
   _xlfn._xlws.FILTER(
      Sim_Mul_Bet1!$O$3:$O$48,
      (Sim_Mul_Bet1!$A$3:$A$48=C$2) * (Sim_Mul_Bet1!$C$3:$C$48=$B28),0
   ),
   0
)</f>
        <v>0</v>
      </c>
      <c r="G28" s="146" cm="1">
        <f t="array" ref="G28">_xlfn.IFNA(
   _xlfn._xlws.FILTER(
      Sim_Mul_Bet1!$O$3:$O$48,
      (Sim_Mul_Bet1!$A$3:$A$48=D$2) * (Sim_Mul_Bet1!$C$3:$C$48=$B28),0
   ),
   0
)</f>
        <v>0</v>
      </c>
      <c r="H28" s="147" cm="1">
        <f t="array" ref="H28">_xlfn.IFNA(
   _xlfn._xlws.FILTER(
      Sim_Mul_Bet1!$O$3:$O$48,
      (Sim_Mul_Bet1!$A$3:$A$48=E$2) * (Sim_Mul_Bet1!$C$3:$C$48=$B28),0
   ),
   0
)</f>
        <v>0</v>
      </c>
      <c r="J28">
        <v>25</v>
      </c>
      <c r="K28" s="206">
        <v>120</v>
      </c>
      <c r="L28" s="210" t="s">
        <v>90</v>
      </c>
      <c r="M28" s="213">
        <f t="shared" si="2"/>
        <v>0</v>
      </c>
      <c r="N28" s="160">
        <f t="shared" si="6"/>
        <v>0</v>
      </c>
      <c r="O28" s="175">
        <v>0</v>
      </c>
      <c r="P28" s="175">
        <v>0</v>
      </c>
      <c r="Q28" s="175">
        <v>0</v>
      </c>
      <c r="R28" s="197">
        <f t="shared" si="0"/>
        <v>0</v>
      </c>
      <c r="S28" t="b">
        <v>1</v>
      </c>
      <c r="T28" s="184">
        <v>0</v>
      </c>
      <c r="U28" s="199">
        <v>0</v>
      </c>
      <c r="V28" s="203">
        <f t="shared" si="1"/>
        <v>0</v>
      </c>
      <c r="W28" s="169"/>
      <c r="Y28" s="175">
        <f t="shared" si="7"/>
        <v>0</v>
      </c>
      <c r="Z28" s="175">
        <v>0</v>
      </c>
      <c r="AA28" s="175">
        <v>0</v>
      </c>
      <c r="AB28" s="272">
        <f t="shared" si="3"/>
        <v>0</v>
      </c>
      <c r="AD28" s="184">
        <f t="shared" si="4"/>
        <v>0</v>
      </c>
      <c r="AE28" s="199">
        <v>0</v>
      </c>
      <c r="AF28" s="278">
        <f t="shared" si="5"/>
        <v>0</v>
      </c>
    </row>
    <row r="29" spans="2:32">
      <c r="B29" s="142">
        <v>140</v>
      </c>
      <c r="C29" s="155" cm="1">
        <f t="array" ref="C29">_xlfn.IFNA(
   _xlfn._xlws.FILTER(
      Sim_Mul_Bet1!$H$3:$H$48,
      (Sim_Mul_Bet1!$A$3:$A$48=C$2) * (Sim_Mul_Bet1!$C$3:$C$48=$B29),0
   ),
   0
)</f>
        <v>1E-8</v>
      </c>
      <c r="D29" s="156" cm="1">
        <f t="array" ref="D29">_xlfn.IFNA(
   _xlfn._xlws.FILTER(
      Sim_Mul_Bet1!$H$3:$H$48,
      (Sim_Mul_Bet1!$A$3:$A$48=D$2) * (Sim_Mul_Bet1!$C$3:$C$48=$B29),0
   ),
   0
)</f>
        <v>3.47015E-3</v>
      </c>
      <c r="E29" s="181" cm="1">
        <f t="array" ref="E29">_xlfn.IFNA(
   _xlfn._xlws.FILTER(
      Sim_Mul_Bet1!$H$3:$H$48,
      (Sim_Mul_Bet1!$A$3:$A$48=E$2) * (Sim_Mul_Bet1!$C$3:$C$48=$B29),0
   ),
   0
)</f>
        <v>0</v>
      </c>
      <c r="F29" s="150" cm="1">
        <f t="array" ref="F29">_xlfn.IFNA(
   _xlfn._xlws.FILTER(
      Sim_Mul_Bet1!$O$3:$O$48,
      (Sim_Mul_Bet1!$A$3:$A$48=C$2) * (Sim_Mul_Bet1!$C$3:$C$48=$B29),0
   ),
   0
)</f>
        <v>155</v>
      </c>
      <c r="G29" s="146" cm="1">
        <f t="array" ref="G29">_xlfn.IFNA(
   _xlfn._xlws.FILTER(
      Sim_Mul_Bet1!$O$3:$O$48,
      (Sim_Mul_Bet1!$A$3:$A$48=D$2) * (Sim_Mul_Bet1!$C$3:$C$48=$B29),0
   ),
   0
)</f>
        <v>154.00611212771781</v>
      </c>
      <c r="H29" s="147" cm="1">
        <f t="array" ref="H29">_xlfn.IFNA(
   _xlfn._xlws.FILTER(
      Sim_Mul_Bet1!$O$3:$O$48,
      (Sim_Mul_Bet1!$A$3:$A$48=E$2) * (Sim_Mul_Bet1!$C$3:$C$48=$B29),0
   ),
   0
)</f>
        <v>0</v>
      </c>
      <c r="J29">
        <v>26</v>
      </c>
      <c r="K29" s="206">
        <v>140</v>
      </c>
      <c r="L29" s="210" t="s">
        <v>91</v>
      </c>
      <c r="M29" s="213">
        <f t="shared" si="2"/>
        <v>3.47015E-3</v>
      </c>
      <c r="N29" s="160">
        <f t="shared" si="6"/>
        <v>154.00611212771781</v>
      </c>
      <c r="O29" s="175">
        <v>2.9459568425739599E-6</v>
      </c>
      <c r="P29" s="175">
        <v>2.9459568425739599E-6</v>
      </c>
      <c r="Q29" s="175">
        <v>2.9459568425739599E-6</v>
      </c>
      <c r="R29" s="197">
        <f t="shared" si="0"/>
        <v>4.5369535982086277E-4</v>
      </c>
      <c r="S29" t="b">
        <v>1</v>
      </c>
      <c r="T29" s="184">
        <v>244</v>
      </c>
      <c r="U29" s="199">
        <v>2.4399999999999999E-4</v>
      </c>
      <c r="V29" s="203">
        <f t="shared" si="1"/>
        <v>3.7577491359163148E-2</v>
      </c>
      <c r="W29" s="169"/>
      <c r="Y29" s="175">
        <f t="shared" si="7"/>
        <v>2.9459568425739599E-6</v>
      </c>
      <c r="Z29" s="175">
        <v>2.9459568425739599E-6</v>
      </c>
      <c r="AA29" s="175">
        <v>2.9459568425739599E-6</v>
      </c>
      <c r="AB29" s="272">
        <f t="shared" si="3"/>
        <v>4.5369535982086277E-4</v>
      </c>
      <c r="AD29" s="184">
        <f t="shared" si="4"/>
        <v>3</v>
      </c>
      <c r="AE29" s="199">
        <v>3.0000000000000001E-6</v>
      </c>
      <c r="AF29" s="278">
        <f t="shared" si="5"/>
        <v>4.6201833638315345E-4</v>
      </c>
    </row>
    <row r="30" spans="2:32">
      <c r="B30" s="142">
        <v>160</v>
      </c>
      <c r="C30" s="155" cm="1">
        <f t="array" ref="C30">_xlfn.IFNA(
   _xlfn._xlws.FILTER(
      Sim_Mul_Bet1!$H$3:$H$48,
      (Sim_Mul_Bet1!$A$3:$A$48=C$2) * (Sim_Mul_Bet1!$C$3:$C$48=$B30),0
   ),
   0
)</f>
        <v>0</v>
      </c>
      <c r="D30" s="156" cm="1">
        <f t="array" ref="D30">_xlfn.IFNA(
   _xlfn._xlws.FILTER(
      Sim_Mul_Bet1!$H$3:$H$48,
      (Sim_Mul_Bet1!$A$3:$A$48=D$2) * (Sim_Mul_Bet1!$C$3:$C$48=$B30),0
   ),
   0
)</f>
        <v>0</v>
      </c>
      <c r="E30" s="181" cm="1">
        <f t="array" ref="E30">_xlfn.IFNA(
   _xlfn._xlws.FILTER(
      Sim_Mul_Bet1!$H$3:$H$48,
      (Sim_Mul_Bet1!$A$3:$A$48=E$2) * (Sim_Mul_Bet1!$C$3:$C$48=$B30),0
   ),
   0
)</f>
        <v>0</v>
      </c>
      <c r="F30" s="150" cm="1">
        <f t="array" ref="F30">_xlfn.IFNA(
   _xlfn._xlws.FILTER(
      Sim_Mul_Bet1!$O$3:$O$48,
      (Sim_Mul_Bet1!$A$3:$A$48=C$2) * (Sim_Mul_Bet1!$C$3:$C$48=$B30),0
   ),
   0
)</f>
        <v>0</v>
      </c>
      <c r="G30" s="146" cm="1">
        <f t="array" ref="G30">_xlfn.IFNA(
   _xlfn._xlws.FILTER(
      Sim_Mul_Bet1!$O$3:$O$48,
      (Sim_Mul_Bet1!$A$3:$A$48=D$2) * (Sim_Mul_Bet1!$C$3:$C$48=$B30),0
   ),
   0
)</f>
        <v>0</v>
      </c>
      <c r="H30" s="147" cm="1">
        <f t="array" ref="H30">_xlfn.IFNA(
   _xlfn._xlws.FILTER(
      Sim_Mul_Bet1!$O$3:$O$48,
      (Sim_Mul_Bet1!$A$3:$A$48=E$2) * (Sim_Mul_Bet1!$C$3:$C$48=$B30),0
   ),
   0
)</f>
        <v>0</v>
      </c>
      <c r="J30">
        <v>27</v>
      </c>
      <c r="K30" s="206">
        <v>160</v>
      </c>
      <c r="L30" s="210" t="s">
        <v>90</v>
      </c>
      <c r="M30" s="213">
        <f t="shared" si="2"/>
        <v>0</v>
      </c>
      <c r="N30" s="160">
        <f t="shared" si="6"/>
        <v>0</v>
      </c>
      <c r="O30" s="175">
        <v>0</v>
      </c>
      <c r="P30" s="175">
        <v>0</v>
      </c>
      <c r="Q30" s="175">
        <v>0</v>
      </c>
      <c r="R30" s="197">
        <f t="shared" si="0"/>
        <v>0</v>
      </c>
      <c r="S30" t="b">
        <v>1</v>
      </c>
      <c r="T30" s="184">
        <v>0</v>
      </c>
      <c r="U30" s="199">
        <v>0</v>
      </c>
      <c r="V30" s="203">
        <f t="shared" si="1"/>
        <v>0</v>
      </c>
      <c r="W30" s="169"/>
      <c r="Y30" s="175">
        <f t="shared" si="7"/>
        <v>0</v>
      </c>
      <c r="Z30" s="175">
        <v>0</v>
      </c>
      <c r="AA30" s="175">
        <v>0</v>
      </c>
      <c r="AB30" s="272">
        <f t="shared" si="3"/>
        <v>0</v>
      </c>
      <c r="AD30" s="184">
        <f t="shared" si="4"/>
        <v>0</v>
      </c>
      <c r="AE30" s="199">
        <v>0</v>
      </c>
      <c r="AF30" s="278">
        <f t="shared" si="5"/>
        <v>0</v>
      </c>
    </row>
    <row r="31" spans="2:32">
      <c r="B31" s="142">
        <v>180</v>
      </c>
      <c r="C31" s="155" cm="1">
        <f t="array" ref="C31">_xlfn.IFNA(
   _xlfn._xlws.FILTER(
      Sim_Mul_Bet1!$H$3:$H$48,
      (Sim_Mul_Bet1!$A$3:$A$48=C$2) * (Sim_Mul_Bet1!$C$3:$C$48=$B31),0
   ),
   0
)</f>
        <v>0</v>
      </c>
      <c r="D31" s="156" cm="1">
        <f t="array" ref="D31">_xlfn.IFNA(
   _xlfn._xlws.FILTER(
      Sim_Mul_Bet1!$H$3:$H$48,
      (Sim_Mul_Bet1!$A$3:$A$48=D$2) * (Sim_Mul_Bet1!$C$3:$C$48=$B31),0
   ),
   0
)</f>
        <v>4.8147399999999996E-3</v>
      </c>
      <c r="E31" s="181" cm="1">
        <f t="array" ref="E31">_xlfn.IFNA(
   _xlfn._xlws.FILTER(
      Sim_Mul_Bet1!$H$3:$H$48,
      (Sim_Mul_Bet1!$A$3:$A$48=E$2) * (Sim_Mul_Bet1!$C$3:$C$48=$B31),0
   ),
   0
)</f>
        <v>0</v>
      </c>
      <c r="F31" s="150" cm="1">
        <f t="array" ref="F31">_xlfn.IFNA(
   _xlfn._xlws.FILTER(
      Sim_Mul_Bet1!$O$3:$O$48,
      (Sim_Mul_Bet1!$A$3:$A$48=C$2) * (Sim_Mul_Bet1!$C$3:$C$48=$B31),0
   ),
   0
)</f>
        <v>0</v>
      </c>
      <c r="G31" s="146" cm="1">
        <f t="array" ref="G31">_xlfn.IFNA(
   _xlfn._xlws.FILTER(
      Sim_Mul_Bet1!$O$3:$O$48,
      (Sim_Mul_Bet1!$A$3:$A$48=D$2) * (Sim_Mul_Bet1!$C$3:$C$48=$B31),0
   ),
   0
)</f>
        <v>200</v>
      </c>
      <c r="H31" s="147" cm="1">
        <f t="array" ref="H31">_xlfn.IFNA(
   _xlfn._xlws.FILTER(
      Sim_Mul_Bet1!$O$3:$O$48,
      (Sim_Mul_Bet1!$A$3:$A$48=E$2) * (Sim_Mul_Bet1!$C$3:$C$48=$B31),0
   ),
   0
)</f>
        <v>0</v>
      </c>
      <c r="J31">
        <v>28</v>
      </c>
      <c r="K31" s="206">
        <v>180</v>
      </c>
      <c r="L31" s="210" t="s">
        <v>91</v>
      </c>
      <c r="M31" s="213">
        <f t="shared" si="2"/>
        <v>4.8147399999999996E-3</v>
      </c>
      <c r="N31" s="160">
        <f t="shared" si="6"/>
        <v>200</v>
      </c>
      <c r="O31" s="175">
        <v>0</v>
      </c>
      <c r="P31" s="175">
        <v>0</v>
      </c>
      <c r="Q31" s="175">
        <v>0</v>
      </c>
      <c r="R31" s="197">
        <f t="shared" si="0"/>
        <v>0</v>
      </c>
      <c r="S31" t="b">
        <v>1</v>
      </c>
      <c r="T31" s="184">
        <v>1</v>
      </c>
      <c r="U31" s="199">
        <v>9.9999999999999995E-7</v>
      </c>
      <c r="V31" s="203">
        <f t="shared" si="1"/>
        <v>1.9999999999999998E-4</v>
      </c>
      <c r="W31" s="169"/>
      <c r="Y31" s="175">
        <f t="shared" si="7"/>
        <v>0</v>
      </c>
      <c r="Z31" s="175">
        <v>0</v>
      </c>
      <c r="AA31" s="175">
        <v>0</v>
      </c>
      <c r="AB31" s="272">
        <f t="shared" si="3"/>
        <v>0</v>
      </c>
      <c r="AD31" s="184">
        <f t="shared" si="4"/>
        <v>0</v>
      </c>
      <c r="AE31" s="199">
        <v>0</v>
      </c>
      <c r="AF31" s="278">
        <f t="shared" si="5"/>
        <v>0</v>
      </c>
    </row>
    <row r="32" spans="2:32">
      <c r="B32" s="142">
        <v>200</v>
      </c>
      <c r="C32" s="155" cm="1">
        <f t="array" ref="C32">_xlfn.IFNA(
   _xlfn._xlws.FILTER(
      Sim_Mul_Bet1!$H$3:$H$48,
      (Sim_Mul_Bet1!$A$3:$A$48=C$2) * (Sim_Mul_Bet1!$C$3:$C$48=$B32),0
   ),
   0
)</f>
        <v>0</v>
      </c>
      <c r="D32" s="156" cm="1">
        <f t="array" ref="D32">_xlfn.IFNA(
   _xlfn._xlws.FILTER(
      Sim_Mul_Bet1!$H$3:$H$48,
      (Sim_Mul_Bet1!$A$3:$A$48=D$2) * (Sim_Mul_Bet1!$C$3:$C$48=$B32),0
   ),
   0
)</f>
        <v>1.543054E-2</v>
      </c>
      <c r="E32" s="181" cm="1">
        <f t="array" ref="E32">_xlfn.IFNA(
   _xlfn._xlws.FILTER(
      Sim_Mul_Bet1!$H$3:$H$48,
      (Sim_Mul_Bet1!$A$3:$A$48=E$2) * (Sim_Mul_Bet1!$C$3:$C$48=$B32),0
   ),
   0
)</f>
        <v>0</v>
      </c>
      <c r="F32" s="150" cm="1">
        <f t="array" ref="F32">_xlfn.IFNA(
   _xlfn._xlws.FILTER(
      Sim_Mul_Bet1!$O$3:$O$48,
      (Sim_Mul_Bet1!$A$3:$A$48=C$2) * (Sim_Mul_Bet1!$C$3:$C$48=$B32),0
   ),
   0
)</f>
        <v>0</v>
      </c>
      <c r="G32" s="146" cm="1">
        <f t="array" ref="G32">_xlfn.IFNA(
   _xlfn._xlws.FILTER(
      Sim_Mul_Bet1!$O$3:$O$48,
      (Sim_Mul_Bet1!$A$3:$A$48=D$2) * (Sim_Mul_Bet1!$C$3:$C$48=$B32),0
   ),
   0
)</f>
        <v>219.02865162204304</v>
      </c>
      <c r="H32" s="147" cm="1">
        <f t="array" ref="H32">_xlfn.IFNA(
   _xlfn._xlws.FILTER(
      Sim_Mul_Bet1!$O$3:$O$48,
      (Sim_Mul_Bet1!$A$3:$A$48=E$2) * (Sim_Mul_Bet1!$C$3:$C$48=$B32),0
   ),
   0
)</f>
        <v>0</v>
      </c>
      <c r="J32">
        <v>29</v>
      </c>
      <c r="K32" s="206">
        <v>200</v>
      </c>
      <c r="L32" s="210" t="s">
        <v>91</v>
      </c>
      <c r="M32" s="213">
        <f t="shared" si="2"/>
        <v>1.543054E-2</v>
      </c>
      <c r="N32" s="160">
        <f t="shared" si="6"/>
        <v>219.02865162204304</v>
      </c>
      <c r="O32" s="175">
        <v>0</v>
      </c>
      <c r="P32" s="175">
        <v>0</v>
      </c>
      <c r="Q32" s="175">
        <v>0</v>
      </c>
      <c r="R32" s="197">
        <f t="shared" si="0"/>
        <v>0</v>
      </c>
      <c r="S32" t="b">
        <v>1</v>
      </c>
      <c r="T32" s="184">
        <v>3</v>
      </c>
      <c r="U32" s="199">
        <v>3.0000000000000001E-6</v>
      </c>
      <c r="V32" s="203">
        <f t="shared" si="1"/>
        <v>6.5708595486612916E-4</v>
      </c>
      <c r="W32" s="169"/>
      <c r="Y32" s="175">
        <f t="shared" si="7"/>
        <v>0</v>
      </c>
      <c r="Z32" s="175">
        <v>0</v>
      </c>
      <c r="AA32" s="175">
        <v>0</v>
      </c>
      <c r="AB32" s="272">
        <f t="shared" si="3"/>
        <v>0</v>
      </c>
      <c r="AD32" s="184">
        <f t="shared" si="4"/>
        <v>0</v>
      </c>
      <c r="AE32" s="199">
        <v>0</v>
      </c>
      <c r="AF32" s="278">
        <f t="shared" si="5"/>
        <v>0</v>
      </c>
    </row>
    <row r="33" spans="2:32">
      <c r="B33" s="142">
        <v>250</v>
      </c>
      <c r="C33" s="155" cm="1">
        <f t="array" ref="C33">_xlfn.IFNA(
   _xlfn._xlws.FILTER(
      Sim_Mul_Bet1!$H$3:$H$48,
      (Sim_Mul_Bet1!$A$3:$A$48=C$2) * (Sim_Mul_Bet1!$C$3:$C$48=$B33),0
   ),
   0
)</f>
        <v>0</v>
      </c>
      <c r="D33" s="156" cm="1">
        <f t="array" ref="D33">_xlfn.IFNA(
   _xlfn._xlws.FILTER(
      Sim_Mul_Bet1!$H$3:$H$48,
      (Sim_Mul_Bet1!$A$3:$A$48=D$2) * (Sim_Mul_Bet1!$C$3:$C$48=$B33),0
   ),
   0
)</f>
        <v>9.2563100000000002E-3</v>
      </c>
      <c r="E33" s="181" cm="1">
        <f t="array" ref="E33">_xlfn.IFNA(
   _xlfn._xlws.FILTER(
      Sim_Mul_Bet1!$H$3:$H$48,
      (Sim_Mul_Bet1!$A$3:$A$48=E$2) * (Sim_Mul_Bet1!$C$3:$C$48=$B33),0
   ),
   0
)</f>
        <v>0</v>
      </c>
      <c r="F33" s="150" cm="1">
        <f t="array" ref="F33">_xlfn.IFNA(
   _xlfn._xlws.FILTER(
      Sim_Mul_Bet1!$O$3:$O$48,
      (Sim_Mul_Bet1!$A$3:$A$48=C$2) * (Sim_Mul_Bet1!$C$3:$C$48=$B33),0
   ),
   0
)</f>
        <v>0</v>
      </c>
      <c r="G33" s="146" cm="1">
        <f t="array" ref="G33">_xlfn.IFNA(
   _xlfn._xlws.FILTER(
      Sim_Mul_Bet1!$O$3:$O$48,
      (Sim_Mul_Bet1!$A$3:$A$48=D$2) * (Sim_Mul_Bet1!$C$3:$C$48=$B33),0
   ),
   0
)</f>
        <v>265.01478991088243</v>
      </c>
      <c r="H33" s="147" cm="1">
        <f t="array" ref="H33">_xlfn.IFNA(
   _xlfn._xlws.FILTER(
      Sim_Mul_Bet1!$O$3:$O$48,
      (Sim_Mul_Bet1!$A$3:$A$48=E$2) * (Sim_Mul_Bet1!$C$3:$C$48=$B33),0
   ),
   0
)</f>
        <v>0</v>
      </c>
      <c r="J33">
        <v>30</v>
      </c>
      <c r="K33" s="206">
        <v>250</v>
      </c>
      <c r="L33" s="210" t="s">
        <v>91</v>
      </c>
      <c r="M33" s="213">
        <f t="shared" si="2"/>
        <v>9.2563100000000002E-3</v>
      </c>
      <c r="N33" s="160">
        <f t="shared" si="6"/>
        <v>265.01478991088243</v>
      </c>
      <c r="O33" s="175">
        <v>0</v>
      </c>
      <c r="P33" s="175">
        <v>0</v>
      </c>
      <c r="Q33" s="175">
        <v>0</v>
      </c>
      <c r="R33" s="197">
        <f t="shared" si="0"/>
        <v>0</v>
      </c>
      <c r="S33" t="b">
        <v>1</v>
      </c>
      <c r="T33" s="184">
        <v>2</v>
      </c>
      <c r="U33" s="199">
        <v>1.9999999999999999E-6</v>
      </c>
      <c r="V33" s="203">
        <f t="shared" si="1"/>
        <v>5.3002957982176482E-4</v>
      </c>
      <c r="W33" s="169"/>
      <c r="Y33" s="175">
        <f t="shared" si="7"/>
        <v>0</v>
      </c>
      <c r="Z33" s="175">
        <v>0</v>
      </c>
      <c r="AA33" s="175">
        <v>0</v>
      </c>
      <c r="AB33" s="272">
        <f t="shared" si="3"/>
        <v>0</v>
      </c>
      <c r="AD33" s="184">
        <f t="shared" si="4"/>
        <v>0</v>
      </c>
      <c r="AE33" s="199">
        <v>0</v>
      </c>
      <c r="AF33" s="278">
        <f t="shared" si="5"/>
        <v>0</v>
      </c>
    </row>
    <row r="34" spans="2:32">
      <c r="B34" s="142">
        <v>300</v>
      </c>
      <c r="C34" s="155" cm="1">
        <f t="array" ref="C34">_xlfn.IFNA(
   _xlfn._xlws.FILTER(
      Sim_Mul_Bet1!$H$3:$H$48,
      (Sim_Mul_Bet1!$A$3:$A$48=C$2) * (Sim_Mul_Bet1!$C$3:$C$48=$B34),0
   ),
   0
)</f>
        <v>0</v>
      </c>
      <c r="D34" s="156" cm="1">
        <f t="array" ref="D34">_xlfn.IFNA(
   _xlfn._xlws.FILTER(
      Sim_Mul_Bet1!$H$3:$H$48,
      (Sim_Mul_Bet1!$A$3:$A$48=D$2) * (Sim_Mul_Bet1!$C$3:$C$48=$B34),0
   ),
   0
)</f>
        <v>0</v>
      </c>
      <c r="E34" s="181" cm="1">
        <f t="array" ref="E34">_xlfn.IFNA(
   _xlfn._xlws.FILTER(
      Sim_Mul_Bet1!$H$3:$H$48,
      (Sim_Mul_Bet1!$A$3:$A$48=E$2) * (Sim_Mul_Bet1!$C$3:$C$48=$B34),0
   ),
   0
)</f>
        <v>0</v>
      </c>
      <c r="F34" s="150" cm="1">
        <f t="array" ref="F34">_xlfn.IFNA(
   _xlfn._xlws.FILTER(
      Sim_Mul_Bet1!$O$3:$O$48,
      (Sim_Mul_Bet1!$A$3:$A$48=C$2) * (Sim_Mul_Bet1!$C$3:$C$48=$B34),0
   ),
   0
)</f>
        <v>0</v>
      </c>
      <c r="G34" s="146" cm="1">
        <f t="array" ref="G34">_xlfn.IFNA(
   _xlfn._xlws.FILTER(
      Sim_Mul_Bet1!$O$3:$O$48,
      (Sim_Mul_Bet1!$A$3:$A$48=D$2) * (Sim_Mul_Bet1!$C$3:$C$48=$B34),0
   ),
   0
)</f>
        <v>0</v>
      </c>
      <c r="H34" s="147" cm="1">
        <f t="array" ref="H34">_xlfn.IFNA(
   _xlfn._xlws.FILTER(
      Sim_Mul_Bet1!$O$3:$O$48,
      (Sim_Mul_Bet1!$A$3:$A$48=E$2) * (Sim_Mul_Bet1!$C$3:$C$48=$B34),0
   ),
   0
)</f>
        <v>0</v>
      </c>
      <c r="J34">
        <v>31</v>
      </c>
      <c r="K34" s="206">
        <v>300</v>
      </c>
      <c r="L34" s="210" t="s">
        <v>90</v>
      </c>
      <c r="M34" s="213">
        <f t="shared" si="2"/>
        <v>0</v>
      </c>
      <c r="N34" s="160">
        <f t="shared" si="6"/>
        <v>0</v>
      </c>
      <c r="O34" s="175">
        <v>0</v>
      </c>
      <c r="P34" s="175">
        <v>0</v>
      </c>
      <c r="Q34" s="175">
        <v>0</v>
      </c>
      <c r="R34" s="197">
        <f t="shared" si="0"/>
        <v>0</v>
      </c>
      <c r="S34" t="b">
        <v>1</v>
      </c>
      <c r="T34" s="184">
        <v>0</v>
      </c>
      <c r="U34" s="199">
        <v>0</v>
      </c>
      <c r="V34" s="203">
        <f t="shared" si="1"/>
        <v>0</v>
      </c>
      <c r="W34" s="169"/>
      <c r="Y34" s="175">
        <f t="shared" si="7"/>
        <v>0</v>
      </c>
      <c r="Z34" s="175">
        <v>0</v>
      </c>
      <c r="AA34" s="175">
        <v>0</v>
      </c>
      <c r="AB34" s="272">
        <f t="shared" si="3"/>
        <v>0</v>
      </c>
      <c r="AD34" s="184">
        <f t="shared" si="4"/>
        <v>0</v>
      </c>
      <c r="AE34" s="199">
        <v>0</v>
      </c>
      <c r="AF34" s="278">
        <f t="shared" si="5"/>
        <v>0</v>
      </c>
    </row>
    <row r="35" spans="2:32">
      <c r="B35" s="142">
        <v>350</v>
      </c>
      <c r="C35" s="155" cm="1">
        <f t="array" ref="C35">_xlfn.IFNA(
   _xlfn._xlws.FILTER(
      Sim_Mul_Bet1!$H$3:$H$48,
      (Sim_Mul_Bet1!$A$3:$A$48=C$2) * (Sim_Mul_Bet1!$C$3:$C$48=$B35),0
   ),
   0
)</f>
        <v>0</v>
      </c>
      <c r="D35" s="156" cm="1">
        <f t="array" ref="D35">_xlfn.IFNA(
   _xlfn._xlws.FILTER(
      Sim_Mul_Bet1!$H$3:$H$48,
      (Sim_Mul_Bet1!$A$3:$A$48=D$2) * (Sim_Mul_Bet1!$C$3:$C$48=$B35),0
   ),
   0
)</f>
        <v>0</v>
      </c>
      <c r="E35" s="181" cm="1">
        <f t="array" ref="E35">_xlfn.IFNA(
   _xlfn._xlws.FILTER(
      Sim_Mul_Bet1!$H$3:$H$48,
      (Sim_Mul_Bet1!$A$3:$A$48=E$2) * (Sim_Mul_Bet1!$C$3:$C$48=$B35),0
   ),
   0
)</f>
        <v>0</v>
      </c>
      <c r="F35" s="150" cm="1">
        <f t="array" ref="F35">_xlfn.IFNA(
   _xlfn._xlws.FILTER(
      Sim_Mul_Bet1!$O$3:$O$48,
      (Sim_Mul_Bet1!$A$3:$A$48=C$2) * (Sim_Mul_Bet1!$C$3:$C$48=$B35),0
   ),
   0
)</f>
        <v>0</v>
      </c>
      <c r="G35" s="146" cm="1">
        <f t="array" ref="G35">_xlfn.IFNA(
   _xlfn._xlws.FILTER(
      Sim_Mul_Bet1!$O$3:$O$48,
      (Sim_Mul_Bet1!$A$3:$A$48=D$2) * (Sim_Mul_Bet1!$C$3:$C$48=$B35),0
   ),
   0
)</f>
        <v>0</v>
      </c>
      <c r="H35" s="147" cm="1">
        <f t="array" ref="H35">_xlfn.IFNA(
   _xlfn._xlws.FILTER(
      Sim_Mul_Bet1!$O$3:$O$48,
      (Sim_Mul_Bet1!$A$3:$A$48=E$2) * (Sim_Mul_Bet1!$C$3:$C$48=$B35),0
   ),
   0
)</f>
        <v>0</v>
      </c>
      <c r="J35">
        <v>32</v>
      </c>
      <c r="K35" s="206">
        <v>350</v>
      </c>
      <c r="L35" s="210" t="s">
        <v>90</v>
      </c>
      <c r="M35" s="213">
        <f t="shared" si="2"/>
        <v>0</v>
      </c>
      <c r="N35" s="160">
        <f t="shared" si="6"/>
        <v>0</v>
      </c>
      <c r="O35" s="175">
        <v>0</v>
      </c>
      <c r="P35" s="175">
        <v>0</v>
      </c>
      <c r="Q35" s="175">
        <v>0</v>
      </c>
      <c r="R35" s="197">
        <f t="shared" ref="R35:R54" si="8">N35*O35</f>
        <v>0</v>
      </c>
      <c r="S35" t="b">
        <v>1</v>
      </c>
      <c r="T35" s="184">
        <v>0</v>
      </c>
      <c r="U35" s="199">
        <v>0</v>
      </c>
      <c r="V35" s="203">
        <f t="shared" ref="V35:V54" si="9">U35*N35</f>
        <v>0</v>
      </c>
      <c r="W35" s="169"/>
      <c r="Y35" s="175">
        <f t="shared" si="7"/>
        <v>0</v>
      </c>
      <c r="Z35" s="175">
        <v>0</v>
      </c>
      <c r="AA35" s="175">
        <v>0</v>
      </c>
      <c r="AB35" s="272">
        <f t="shared" si="3"/>
        <v>0</v>
      </c>
      <c r="AD35" s="184">
        <f t="shared" si="4"/>
        <v>0</v>
      </c>
      <c r="AE35" s="199">
        <v>0</v>
      </c>
      <c r="AF35" s="278">
        <f t="shared" si="5"/>
        <v>0</v>
      </c>
    </row>
    <row r="36" spans="2:32">
      <c r="B36" s="142">
        <v>400</v>
      </c>
      <c r="C36" s="155" cm="1">
        <f t="array" ref="C36">_xlfn.IFNA(
   _xlfn._xlws.FILTER(
      Sim_Mul_Bet1!$H$3:$H$48,
      (Sim_Mul_Bet1!$A$3:$A$48=C$2) * (Sim_Mul_Bet1!$C$3:$C$48=$B36),0
   ),
   0
)</f>
        <v>0</v>
      </c>
      <c r="D36" s="156" cm="1">
        <f t="array" ref="D36">_xlfn.IFNA(
   _xlfn._xlws.FILTER(
      Sim_Mul_Bet1!$H$3:$H$48,
      (Sim_Mul_Bet1!$A$3:$A$48=D$2) * (Sim_Mul_Bet1!$C$3:$C$48=$B36),0
   ),
   0
)</f>
        <v>0</v>
      </c>
      <c r="E36" s="181" cm="1">
        <f t="array" ref="E36">_xlfn.IFNA(
   _xlfn._xlws.FILTER(
      Sim_Mul_Bet1!$H$3:$H$48,
      (Sim_Mul_Bet1!$A$3:$A$48=E$2) * (Sim_Mul_Bet1!$C$3:$C$48=$B36),0
   ),
   0
)</f>
        <v>0</v>
      </c>
      <c r="F36" s="150" cm="1">
        <f t="array" ref="F36">_xlfn.IFNA(
   _xlfn._xlws.FILTER(
      Sim_Mul_Bet1!$O$3:$O$48,
      (Sim_Mul_Bet1!$A$3:$A$48=C$2) * (Sim_Mul_Bet1!$C$3:$C$48=$B36),0
   ),
   0
)</f>
        <v>0</v>
      </c>
      <c r="G36" s="146" cm="1">
        <f t="array" ref="G36">_xlfn.IFNA(
   _xlfn._xlws.FILTER(
      Sim_Mul_Bet1!$O$3:$O$48,
      (Sim_Mul_Bet1!$A$3:$A$48=D$2) * (Sim_Mul_Bet1!$C$3:$C$48=$B36),0
   ),
   0
)</f>
        <v>0</v>
      </c>
      <c r="H36" s="147" cm="1">
        <f t="array" ref="H36">_xlfn.IFNA(
   _xlfn._xlws.FILTER(
      Sim_Mul_Bet1!$O$3:$O$48,
      (Sim_Mul_Bet1!$A$3:$A$48=E$2) * (Sim_Mul_Bet1!$C$3:$C$48=$B36),0
   ),
   0
)</f>
        <v>0</v>
      </c>
      <c r="J36">
        <v>33</v>
      </c>
      <c r="K36" s="206">
        <v>400</v>
      </c>
      <c r="L36" s="210" t="s">
        <v>90</v>
      </c>
      <c r="M36" s="213">
        <f t="shared" si="2"/>
        <v>0</v>
      </c>
      <c r="N36" s="160">
        <f t="shared" si="6"/>
        <v>0</v>
      </c>
      <c r="O36" s="175">
        <v>0</v>
      </c>
      <c r="P36" s="175">
        <v>0</v>
      </c>
      <c r="Q36" s="175">
        <v>0</v>
      </c>
      <c r="R36" s="197">
        <f t="shared" si="8"/>
        <v>0</v>
      </c>
      <c r="S36" t="b">
        <v>1</v>
      </c>
      <c r="T36" s="184">
        <v>0</v>
      </c>
      <c r="U36" s="199">
        <v>0</v>
      </c>
      <c r="V36" s="203">
        <f t="shared" si="9"/>
        <v>0</v>
      </c>
      <c r="W36" s="169"/>
      <c r="Y36" s="175">
        <f t="shared" si="7"/>
        <v>0</v>
      </c>
      <c r="Z36" s="175">
        <v>0</v>
      </c>
      <c r="AA36" s="175">
        <v>0</v>
      </c>
      <c r="AB36" s="272">
        <f t="shared" si="3"/>
        <v>0</v>
      </c>
      <c r="AD36" s="184">
        <f t="shared" si="4"/>
        <v>0</v>
      </c>
      <c r="AE36" s="199">
        <v>0</v>
      </c>
      <c r="AF36" s="278">
        <f t="shared" si="5"/>
        <v>0</v>
      </c>
    </row>
    <row r="37" spans="2:32">
      <c r="B37" s="142">
        <v>450</v>
      </c>
      <c r="C37" s="155" cm="1">
        <f t="array" ref="C37">_xlfn.IFNA(
   _xlfn._xlws.FILTER(
      Sim_Mul_Bet1!$H$3:$H$48,
      (Sim_Mul_Bet1!$A$3:$A$48=C$2) * (Sim_Mul_Bet1!$C$3:$C$48=$B37),0
   ),
   0
)</f>
        <v>0</v>
      </c>
      <c r="D37" s="156" cm="1">
        <f t="array" ref="D37">_xlfn.IFNA(
   _xlfn._xlws.FILTER(
      Sim_Mul_Bet1!$H$3:$H$48,
      (Sim_Mul_Bet1!$A$3:$A$48=D$2) * (Sim_Mul_Bet1!$C$3:$C$48=$B37),0
   ),
   0
)</f>
        <v>4.6232599999999997E-3</v>
      </c>
      <c r="E37" s="181" cm="1">
        <f t="array" ref="E37">_xlfn.IFNA(
   _xlfn._xlws.FILTER(
      Sim_Mul_Bet1!$H$3:$H$48,
      (Sim_Mul_Bet1!$A$3:$A$48=E$2) * (Sim_Mul_Bet1!$C$3:$C$48=$B37),0
   ),
   0
)</f>
        <v>0</v>
      </c>
      <c r="F37" s="150" cm="1">
        <f t="array" ref="F37">_xlfn.IFNA(
   _xlfn._xlws.FILTER(
      Sim_Mul_Bet1!$O$3:$O$48,
      (Sim_Mul_Bet1!$A$3:$A$48=C$2) * (Sim_Mul_Bet1!$C$3:$C$48=$B37),0
   ),
   0
)</f>
        <v>0</v>
      </c>
      <c r="G37" s="146" cm="1">
        <f t="array" ref="G37">_xlfn.IFNA(
   _xlfn._xlws.FILTER(
      Sim_Mul_Bet1!$O$3:$O$48,
      (Sim_Mul_Bet1!$A$3:$A$48=D$2) * (Sim_Mul_Bet1!$C$3:$C$48=$B37),0
   ),
   0
)</f>
        <v>500</v>
      </c>
      <c r="H37" s="147" cm="1">
        <f t="array" ref="H37">_xlfn.IFNA(
   _xlfn._xlws.FILTER(
      Sim_Mul_Bet1!$O$3:$O$48,
      (Sim_Mul_Bet1!$A$3:$A$48=E$2) * (Sim_Mul_Bet1!$C$3:$C$48=$B37),0
   ),
   0
)</f>
        <v>0</v>
      </c>
      <c r="J37">
        <v>34</v>
      </c>
      <c r="K37" s="206">
        <v>450</v>
      </c>
      <c r="L37" s="210" t="s">
        <v>91</v>
      </c>
      <c r="M37" s="213">
        <f t="shared" si="2"/>
        <v>4.6232599999999997E-3</v>
      </c>
      <c r="N37" s="160">
        <f t="shared" si="6"/>
        <v>500</v>
      </c>
      <c r="O37" s="175">
        <v>5.0000000000000004E-6</v>
      </c>
      <c r="P37" s="175">
        <v>5.0000000000000004E-6</v>
      </c>
      <c r="Q37" s="175">
        <v>5.8919136851479198E-6</v>
      </c>
      <c r="R37" s="197">
        <f t="shared" si="8"/>
        <v>2.5000000000000001E-3</v>
      </c>
      <c r="S37" t="b">
        <v>0</v>
      </c>
      <c r="T37" s="184">
        <v>5</v>
      </c>
      <c r="U37" s="199">
        <v>5.0000000000000004E-6</v>
      </c>
      <c r="V37" s="203">
        <f t="shared" si="9"/>
        <v>2.5000000000000001E-3</v>
      </c>
      <c r="W37" s="169"/>
      <c r="Y37" s="175">
        <f t="shared" si="7"/>
        <v>1.5E-5</v>
      </c>
      <c r="Z37" s="175">
        <v>1.5E-5</v>
      </c>
      <c r="AA37" s="175">
        <v>5.8919136851479198E-6</v>
      </c>
      <c r="AB37" s="272">
        <f t="shared" si="3"/>
        <v>7.5000000000000006E-3</v>
      </c>
      <c r="AD37" s="184">
        <f t="shared" si="4"/>
        <v>15</v>
      </c>
      <c r="AE37" s="199">
        <v>1.5E-5</v>
      </c>
      <c r="AF37" s="278">
        <f t="shared" si="5"/>
        <v>7.5000000000000006E-3</v>
      </c>
    </row>
    <row r="38" spans="2:32">
      <c r="B38" s="142">
        <v>500</v>
      </c>
      <c r="C38" s="155" cm="1">
        <f t="array" ref="C38">_xlfn.IFNA(
   _xlfn._xlws.FILTER(
      Sim_Mul_Bet1!$H$3:$H$48,
      (Sim_Mul_Bet1!$A$3:$A$48=C$2) * (Sim_Mul_Bet1!$C$3:$C$48=$B38),0
   ),
   0
)</f>
        <v>1.4000000000000001E-7</v>
      </c>
      <c r="D38" s="156" cm="1">
        <f t="array" ref="D38">_xlfn.IFNA(
   _xlfn._xlws.FILTER(
      Sim_Mul_Bet1!$H$3:$H$48,
      (Sim_Mul_Bet1!$A$3:$A$48=D$2) * (Sim_Mul_Bet1!$C$3:$C$48=$B38),0
   ),
   0
)</f>
        <v>9.2504900000000001E-3</v>
      </c>
      <c r="E38" s="181" cm="1">
        <f t="array" ref="E38">_xlfn.IFNA(
   _xlfn._xlws.FILTER(
      Sim_Mul_Bet1!$H$3:$H$48,
      (Sim_Mul_Bet1!$A$3:$A$48=E$2) * (Sim_Mul_Bet1!$C$3:$C$48=$B38),0
   ),
   0
)</f>
        <v>0</v>
      </c>
      <c r="F38" s="150" cm="1">
        <f t="array" ref="F38">_xlfn.IFNA(
   _xlfn._xlws.FILTER(
      Sim_Mul_Bet1!$O$3:$O$48,
      (Sim_Mul_Bet1!$A$3:$A$48=C$2) * (Sim_Mul_Bet1!$C$3:$C$48=$B38),0
   ),
   0
)</f>
        <v>502.85714285714283</v>
      </c>
      <c r="G38" s="146" cm="1">
        <f t="array" ref="G38">_xlfn.IFNA(
   _xlfn._xlws.FILTER(
      Sim_Mul_Bet1!$O$3:$O$48,
      (Sim_Mul_Bet1!$A$3:$A$48=D$2) * (Sim_Mul_Bet1!$C$3:$C$48=$B38),0
   ),
   0
)</f>
        <v>515.00545917027102</v>
      </c>
      <c r="H38" s="147" cm="1">
        <f t="array" ref="H38">_xlfn.IFNA(
   _xlfn._xlws.FILTER(
      Sim_Mul_Bet1!$O$3:$O$48,
      (Sim_Mul_Bet1!$A$3:$A$48=E$2) * (Sim_Mul_Bet1!$C$3:$C$48=$B38),0
   ),
   0
)</f>
        <v>0</v>
      </c>
      <c r="J38">
        <v>35</v>
      </c>
      <c r="K38" s="206">
        <v>500</v>
      </c>
      <c r="L38" s="210" t="s">
        <v>91</v>
      </c>
      <c r="M38" s="213">
        <f t="shared" si="2"/>
        <v>9.2504900000000001E-3</v>
      </c>
      <c r="N38" s="160">
        <f t="shared" si="6"/>
        <v>515.00545917027102</v>
      </c>
      <c r="O38" s="175">
        <v>3.9999999999999998E-6</v>
      </c>
      <c r="P38" s="175">
        <v>3.9999999999999998E-6</v>
      </c>
      <c r="Q38" s="175">
        <v>6.7336156401690502E-6</v>
      </c>
      <c r="R38" s="197">
        <f t="shared" si="8"/>
        <v>2.0600218366810842E-3</v>
      </c>
      <c r="S38" t="b">
        <v>0</v>
      </c>
      <c r="T38" s="184">
        <v>4</v>
      </c>
      <c r="U38" s="199">
        <v>3.9999999999999998E-6</v>
      </c>
      <c r="V38" s="203">
        <f t="shared" si="9"/>
        <v>2.0600218366810842E-3</v>
      </c>
      <c r="W38" s="169"/>
      <c r="Y38" s="175">
        <f t="shared" si="7"/>
        <v>0</v>
      </c>
      <c r="Z38" s="175">
        <v>0</v>
      </c>
      <c r="AA38" s="175">
        <v>6.7336156401690502E-6</v>
      </c>
      <c r="AB38" s="272">
        <f t="shared" si="3"/>
        <v>0</v>
      </c>
      <c r="AD38" s="184">
        <f t="shared" si="4"/>
        <v>0</v>
      </c>
      <c r="AE38" s="199">
        <v>0</v>
      </c>
      <c r="AF38" s="278">
        <f t="shared" si="5"/>
        <v>0</v>
      </c>
    </row>
    <row r="39" spans="2:32">
      <c r="B39" s="142">
        <v>550</v>
      </c>
      <c r="C39" s="155" cm="1">
        <f t="array" ref="C39">_xlfn.IFNA(
   _xlfn._xlws.FILTER(
      Sim_Mul_Bet1!$H$3:$H$48,
      (Sim_Mul_Bet1!$A$3:$A$48=C$2) * (Sim_Mul_Bet1!$C$3:$C$48=$B39),0
   ),
   0
)</f>
        <v>0</v>
      </c>
      <c r="D39" s="156" cm="1">
        <f t="array" ref="D39">_xlfn.IFNA(
   _xlfn._xlws.FILTER(
      Sim_Mul_Bet1!$H$3:$H$48,
      (Sim_Mul_Bet1!$A$3:$A$48=D$2) * (Sim_Mul_Bet1!$C$3:$C$48=$B39),0
   ),
   0
)</f>
        <v>0</v>
      </c>
      <c r="E39" s="181" cm="1">
        <f t="array" ref="E39">_xlfn.IFNA(
   _xlfn._xlws.FILTER(
      Sim_Mul_Bet1!$H$3:$H$48,
      (Sim_Mul_Bet1!$A$3:$A$48=E$2) * (Sim_Mul_Bet1!$C$3:$C$48=$B39),0
   ),
   0
)</f>
        <v>0</v>
      </c>
      <c r="F39" s="150" cm="1">
        <f t="array" ref="F39">_xlfn.IFNA(
   _xlfn._xlws.FILTER(
      Sim_Mul_Bet1!$O$3:$O$48,
      (Sim_Mul_Bet1!$A$3:$A$48=C$2) * (Sim_Mul_Bet1!$C$3:$C$48=$B39),0
   ),
   0
)</f>
        <v>0</v>
      </c>
      <c r="G39" s="146" cm="1">
        <f t="array" ref="G39">_xlfn.IFNA(
   _xlfn._xlws.FILTER(
      Sim_Mul_Bet1!$O$3:$O$48,
      (Sim_Mul_Bet1!$A$3:$A$48=D$2) * (Sim_Mul_Bet1!$C$3:$C$48=$B39),0
   ),
   0
)</f>
        <v>0</v>
      </c>
      <c r="H39" s="147" cm="1">
        <f t="array" ref="H39">_xlfn.IFNA(
   _xlfn._xlws.FILTER(
      Sim_Mul_Bet1!$O$3:$O$48,
      (Sim_Mul_Bet1!$A$3:$A$48=E$2) * (Sim_Mul_Bet1!$C$3:$C$48=$B39),0
   ),
   0
)</f>
        <v>0</v>
      </c>
      <c r="J39">
        <v>36</v>
      </c>
      <c r="K39" s="206">
        <v>550</v>
      </c>
      <c r="L39" s="210" t="s">
        <v>90</v>
      </c>
      <c r="M39" s="213">
        <f t="shared" si="2"/>
        <v>0</v>
      </c>
      <c r="N39" s="160">
        <f t="shared" si="6"/>
        <v>0</v>
      </c>
      <c r="O39" s="175">
        <v>0</v>
      </c>
      <c r="P39" s="175">
        <v>0</v>
      </c>
      <c r="Q39" s="175">
        <v>0</v>
      </c>
      <c r="R39" s="197">
        <f t="shared" si="8"/>
        <v>0</v>
      </c>
      <c r="S39" t="b">
        <v>1</v>
      </c>
      <c r="T39" s="184">
        <v>0</v>
      </c>
      <c r="U39" s="199">
        <v>0</v>
      </c>
      <c r="V39" s="203">
        <f t="shared" si="9"/>
        <v>0</v>
      </c>
      <c r="W39" s="169"/>
      <c r="Y39" s="175">
        <f t="shared" si="7"/>
        <v>0</v>
      </c>
      <c r="Z39" s="175">
        <v>0</v>
      </c>
      <c r="AA39" s="175">
        <v>0</v>
      </c>
      <c r="AB39" s="272">
        <f t="shared" si="3"/>
        <v>0</v>
      </c>
      <c r="AD39" s="184">
        <f t="shared" si="4"/>
        <v>0</v>
      </c>
      <c r="AE39" s="199">
        <v>0</v>
      </c>
      <c r="AF39" s="278">
        <f t="shared" si="5"/>
        <v>0</v>
      </c>
    </row>
    <row r="40" spans="2:32">
      <c r="B40" s="142">
        <v>600</v>
      </c>
      <c r="C40" s="155" cm="1">
        <f t="array" ref="C40">_xlfn.IFNA(
   _xlfn._xlws.FILTER(
      Sim_Mul_Bet1!$H$3:$H$48,
      (Sim_Mul_Bet1!$A$3:$A$48=C$2) * (Sim_Mul_Bet1!$C$3:$C$48=$B40),0
   ),
   0
)</f>
        <v>0</v>
      </c>
      <c r="D40" s="156" cm="1">
        <f t="array" ref="D40">_xlfn.IFNA(
   _xlfn._xlws.FILTER(
      Sim_Mul_Bet1!$H$3:$H$48,
      (Sim_Mul_Bet1!$A$3:$A$48=D$2) * (Sim_Mul_Bet1!$C$3:$C$48=$B40),0
   ),
   0
)</f>
        <v>0</v>
      </c>
      <c r="E40" s="181" cm="1">
        <f t="array" ref="E40">_xlfn.IFNA(
   _xlfn._xlws.FILTER(
      Sim_Mul_Bet1!$H$3:$H$48,
      (Sim_Mul_Bet1!$A$3:$A$48=E$2) * (Sim_Mul_Bet1!$C$3:$C$48=$B40),0
   ),
   0
)</f>
        <v>0</v>
      </c>
      <c r="F40" s="150" cm="1">
        <f t="array" ref="F40">_xlfn.IFNA(
   _xlfn._xlws.FILTER(
      Sim_Mul_Bet1!$O$3:$O$48,
      (Sim_Mul_Bet1!$A$3:$A$48=C$2) * (Sim_Mul_Bet1!$C$3:$C$48=$B40),0
   ),
   0
)</f>
        <v>0</v>
      </c>
      <c r="G40" s="146" cm="1">
        <f t="array" ref="G40">_xlfn.IFNA(
   _xlfn._xlws.FILTER(
      Sim_Mul_Bet1!$O$3:$O$48,
      (Sim_Mul_Bet1!$A$3:$A$48=D$2) * (Sim_Mul_Bet1!$C$3:$C$48=$B40),0
   ),
   0
)</f>
        <v>0</v>
      </c>
      <c r="H40" s="147" cm="1">
        <f t="array" ref="H40">_xlfn.IFNA(
   _xlfn._xlws.FILTER(
      Sim_Mul_Bet1!$O$3:$O$48,
      (Sim_Mul_Bet1!$A$3:$A$48=E$2) * (Sim_Mul_Bet1!$C$3:$C$48=$B40),0
   ),
   0
)</f>
        <v>0</v>
      </c>
      <c r="J40">
        <v>37</v>
      </c>
      <c r="K40" s="206">
        <v>600</v>
      </c>
      <c r="L40" s="210" t="s">
        <v>90</v>
      </c>
      <c r="M40" s="213">
        <f t="shared" si="2"/>
        <v>0</v>
      </c>
      <c r="N40" s="160">
        <f t="shared" si="6"/>
        <v>0</v>
      </c>
      <c r="O40" s="175">
        <v>0</v>
      </c>
      <c r="P40" s="175">
        <v>0</v>
      </c>
      <c r="Q40" s="175">
        <v>0</v>
      </c>
      <c r="R40" s="197">
        <f t="shared" si="8"/>
        <v>0</v>
      </c>
      <c r="S40" t="b">
        <v>1</v>
      </c>
      <c r="T40" s="184">
        <v>0</v>
      </c>
      <c r="U40" s="199">
        <v>0</v>
      </c>
      <c r="V40" s="203">
        <f t="shared" si="9"/>
        <v>0</v>
      </c>
      <c r="W40" s="169"/>
      <c r="Y40" s="175">
        <f t="shared" si="7"/>
        <v>0</v>
      </c>
      <c r="Z40" s="175">
        <v>0</v>
      </c>
      <c r="AA40" s="175">
        <v>0</v>
      </c>
      <c r="AB40" s="272">
        <f t="shared" si="3"/>
        <v>0</v>
      </c>
      <c r="AD40" s="184">
        <f t="shared" si="4"/>
        <v>0</v>
      </c>
      <c r="AE40" s="199">
        <v>0</v>
      </c>
      <c r="AF40" s="278">
        <f t="shared" si="5"/>
        <v>0</v>
      </c>
    </row>
    <row r="41" spans="2:32">
      <c r="B41" s="142">
        <v>650</v>
      </c>
      <c r="C41" s="155" cm="1">
        <f t="array" ref="C41">_xlfn.IFNA(
   _xlfn._xlws.FILTER(
      Sim_Mul_Bet1!$H$3:$H$48,
      (Sim_Mul_Bet1!$A$3:$A$48=C$2) * (Sim_Mul_Bet1!$C$3:$C$48=$B41),0
   ),
   0
)</f>
        <v>0</v>
      </c>
      <c r="D41" s="156" cm="1">
        <f t="array" ref="D41">_xlfn.IFNA(
   _xlfn._xlws.FILTER(
      Sim_Mul_Bet1!$H$3:$H$48,
      (Sim_Mul_Bet1!$A$3:$A$48=D$2) * (Sim_Mul_Bet1!$C$3:$C$48=$B41),0
   ),
   0
)</f>
        <v>0</v>
      </c>
      <c r="E41" s="181" cm="1">
        <f t="array" ref="E41">_xlfn.IFNA(
   _xlfn._xlws.FILTER(
      Sim_Mul_Bet1!$H$3:$H$48,
      (Sim_Mul_Bet1!$A$3:$A$48=E$2) * (Sim_Mul_Bet1!$C$3:$C$48=$B41),0
   ),
   0
)</f>
        <v>0</v>
      </c>
      <c r="F41" s="150" cm="1">
        <f t="array" ref="F41">_xlfn.IFNA(
   _xlfn._xlws.FILTER(
      Sim_Mul_Bet1!$O$3:$O$48,
      (Sim_Mul_Bet1!$A$3:$A$48=C$2) * (Sim_Mul_Bet1!$C$3:$C$48=$B41),0
   ),
   0
)</f>
        <v>0</v>
      </c>
      <c r="G41" s="146" cm="1">
        <f t="array" ref="G41">_xlfn.IFNA(
   _xlfn._xlws.FILTER(
      Sim_Mul_Bet1!$O$3:$O$48,
      (Sim_Mul_Bet1!$A$3:$A$48=D$2) * (Sim_Mul_Bet1!$C$3:$C$48=$B41),0
   ),
   0
)</f>
        <v>0</v>
      </c>
      <c r="H41" s="147" cm="1">
        <f t="array" ref="H41">_xlfn.IFNA(
   _xlfn._xlws.FILTER(
      Sim_Mul_Bet1!$O$3:$O$48,
      (Sim_Mul_Bet1!$A$3:$A$48=E$2) * (Sim_Mul_Bet1!$C$3:$C$48=$B41),0
   ),
   0
)</f>
        <v>0</v>
      </c>
      <c r="J41">
        <v>38</v>
      </c>
      <c r="K41" s="206">
        <v>650</v>
      </c>
      <c r="L41" s="210" t="s">
        <v>90</v>
      </c>
      <c r="M41" s="213">
        <f t="shared" si="2"/>
        <v>0</v>
      </c>
      <c r="N41" s="160">
        <f t="shared" si="6"/>
        <v>0</v>
      </c>
      <c r="O41" s="175">
        <v>0</v>
      </c>
      <c r="P41" s="175">
        <v>0</v>
      </c>
      <c r="Q41" s="175">
        <v>0</v>
      </c>
      <c r="R41" s="197">
        <f t="shared" si="8"/>
        <v>0</v>
      </c>
      <c r="S41" t="b">
        <v>1</v>
      </c>
      <c r="T41" s="184">
        <v>0</v>
      </c>
      <c r="U41" s="199">
        <v>0</v>
      </c>
      <c r="V41" s="203">
        <f t="shared" si="9"/>
        <v>0</v>
      </c>
      <c r="W41" s="169"/>
      <c r="Y41" s="175">
        <f t="shared" si="7"/>
        <v>0</v>
      </c>
      <c r="Z41" s="175">
        <v>0</v>
      </c>
      <c r="AA41" s="175">
        <v>0</v>
      </c>
      <c r="AB41" s="272">
        <f t="shared" si="3"/>
        <v>0</v>
      </c>
      <c r="AD41" s="184">
        <f t="shared" si="4"/>
        <v>0</v>
      </c>
      <c r="AE41" s="199">
        <v>0</v>
      </c>
      <c r="AF41" s="278">
        <f t="shared" si="5"/>
        <v>0</v>
      </c>
    </row>
    <row r="42" spans="2:32">
      <c r="B42" s="142">
        <v>700</v>
      </c>
      <c r="C42" s="155" cm="1">
        <f t="array" ref="C42">_xlfn.IFNA(
   _xlfn._xlws.FILTER(
      Sim_Mul_Bet1!$H$3:$H$48,
      (Sim_Mul_Bet1!$A$3:$A$48=C$2) * (Sim_Mul_Bet1!$C$3:$C$48=$B42),0
   ),
   0
)</f>
        <v>0</v>
      </c>
      <c r="D42" s="156" cm="1">
        <f t="array" ref="D42">_xlfn.IFNA(
   _xlfn._xlws.FILTER(
      Sim_Mul_Bet1!$H$3:$H$48,
      (Sim_Mul_Bet1!$A$3:$A$48=D$2) * (Sim_Mul_Bet1!$C$3:$C$48=$B42),0
   ),
   0
)</f>
        <v>0</v>
      </c>
      <c r="E42" s="181" cm="1">
        <f t="array" ref="E42">_xlfn.IFNA(
   _xlfn._xlws.FILTER(
      Sim_Mul_Bet1!$H$3:$H$48,
      (Sim_Mul_Bet1!$A$3:$A$48=E$2) * (Sim_Mul_Bet1!$C$3:$C$48=$B42),0
   ),
   0
)</f>
        <v>0</v>
      </c>
      <c r="F42" s="150" cm="1">
        <f t="array" ref="F42">_xlfn.IFNA(
   _xlfn._xlws.FILTER(
      Sim_Mul_Bet1!$O$3:$O$48,
      (Sim_Mul_Bet1!$A$3:$A$48=C$2) * (Sim_Mul_Bet1!$C$3:$C$48=$B42),0
   ),
   0
)</f>
        <v>0</v>
      </c>
      <c r="G42" s="146" cm="1">
        <f t="array" ref="G42">_xlfn.IFNA(
   _xlfn._xlws.FILTER(
      Sim_Mul_Bet1!$O$3:$O$48,
      (Sim_Mul_Bet1!$A$3:$A$48=D$2) * (Sim_Mul_Bet1!$C$3:$C$48=$B42),0
   ),
   0
)</f>
        <v>0</v>
      </c>
      <c r="H42" s="147" cm="1">
        <f t="array" ref="H42">_xlfn.IFNA(
   _xlfn._xlws.FILTER(
      Sim_Mul_Bet1!$O$3:$O$48,
      (Sim_Mul_Bet1!$A$3:$A$48=E$2) * (Sim_Mul_Bet1!$C$3:$C$48=$B42),0
   ),
   0
)</f>
        <v>0</v>
      </c>
      <c r="J42">
        <v>39</v>
      </c>
      <c r="K42" s="206">
        <v>700</v>
      </c>
      <c r="L42" s="210" t="s">
        <v>90</v>
      </c>
      <c r="M42" s="213">
        <f t="shared" si="2"/>
        <v>0</v>
      </c>
      <c r="N42" s="160">
        <f t="shared" si="6"/>
        <v>0</v>
      </c>
      <c r="O42" s="175">
        <v>0</v>
      </c>
      <c r="P42" s="175">
        <v>0</v>
      </c>
      <c r="Q42" s="175">
        <v>0</v>
      </c>
      <c r="R42" s="197">
        <f t="shared" si="8"/>
        <v>0</v>
      </c>
      <c r="S42" t="b">
        <v>1</v>
      </c>
      <c r="T42" s="184">
        <v>0</v>
      </c>
      <c r="U42" s="199">
        <v>0</v>
      </c>
      <c r="V42" s="203">
        <f t="shared" si="9"/>
        <v>0</v>
      </c>
      <c r="W42" s="169"/>
      <c r="Y42" s="175">
        <f t="shared" si="7"/>
        <v>0</v>
      </c>
      <c r="Z42" s="175">
        <v>0</v>
      </c>
      <c r="AA42" s="175">
        <v>0</v>
      </c>
      <c r="AB42" s="272">
        <f t="shared" si="3"/>
        <v>0</v>
      </c>
      <c r="AD42" s="184">
        <f t="shared" si="4"/>
        <v>0</v>
      </c>
      <c r="AE42" s="199">
        <v>0</v>
      </c>
      <c r="AF42" s="278">
        <f t="shared" si="5"/>
        <v>0</v>
      </c>
    </row>
    <row r="43" spans="2:32">
      <c r="B43" s="142">
        <v>750</v>
      </c>
      <c r="C43" s="155" cm="1">
        <f t="array" ref="C43">_xlfn.IFNA(
   _xlfn._xlws.FILTER(
      Sim_Mul_Bet1!$H$3:$H$48,
      (Sim_Mul_Bet1!$A$3:$A$48=C$2) * (Sim_Mul_Bet1!$C$3:$C$48=$B43),0
   ),
   0
)</f>
        <v>0</v>
      </c>
      <c r="D43" s="156" cm="1">
        <f t="array" ref="D43">_xlfn.IFNA(
   _xlfn._xlws.FILTER(
      Sim_Mul_Bet1!$H$3:$H$48,
      (Sim_Mul_Bet1!$A$3:$A$48=D$2) * (Sim_Mul_Bet1!$C$3:$C$48=$B43),0
   ),
   0
)</f>
        <v>0</v>
      </c>
      <c r="E43" s="181" cm="1">
        <f t="array" ref="E43">_xlfn.IFNA(
   _xlfn._xlws.FILTER(
      Sim_Mul_Bet1!$H$3:$H$48,
      (Sim_Mul_Bet1!$A$3:$A$48=E$2) * (Sim_Mul_Bet1!$C$3:$C$48=$B43),0
   ),
   0
)</f>
        <v>0</v>
      </c>
      <c r="F43" s="150" cm="1">
        <f t="array" ref="F43">_xlfn.IFNA(
   _xlfn._xlws.FILTER(
      Sim_Mul_Bet1!$O$3:$O$48,
      (Sim_Mul_Bet1!$A$3:$A$48=C$2) * (Sim_Mul_Bet1!$C$3:$C$48=$B43),0
   ),
   0
)</f>
        <v>0</v>
      </c>
      <c r="G43" s="146" cm="1">
        <f t="array" ref="G43">_xlfn.IFNA(
   _xlfn._xlws.FILTER(
      Sim_Mul_Bet1!$O$3:$O$48,
      (Sim_Mul_Bet1!$A$3:$A$48=D$2) * (Sim_Mul_Bet1!$C$3:$C$48=$B43),0
   ),
   0
)</f>
        <v>0</v>
      </c>
      <c r="H43" s="147" cm="1">
        <f t="array" ref="H43">_xlfn.IFNA(
   _xlfn._xlws.FILTER(
      Sim_Mul_Bet1!$O$3:$O$48,
      (Sim_Mul_Bet1!$A$3:$A$48=E$2) * (Sim_Mul_Bet1!$C$3:$C$48=$B43),0
   ),
   0
)</f>
        <v>0</v>
      </c>
      <c r="J43">
        <v>40</v>
      </c>
      <c r="K43" s="206">
        <v>750</v>
      </c>
      <c r="L43" s="210" t="s">
        <v>90</v>
      </c>
      <c r="M43" s="213">
        <f t="shared" si="2"/>
        <v>0</v>
      </c>
      <c r="N43" s="160">
        <f t="shared" si="6"/>
        <v>0</v>
      </c>
      <c r="O43" s="175">
        <v>0</v>
      </c>
      <c r="P43" s="175">
        <v>0</v>
      </c>
      <c r="Q43" s="175">
        <v>0</v>
      </c>
      <c r="R43" s="197">
        <f t="shared" si="8"/>
        <v>0</v>
      </c>
      <c r="S43" t="b">
        <v>1</v>
      </c>
      <c r="T43" s="184">
        <v>0</v>
      </c>
      <c r="U43" s="199">
        <v>0</v>
      </c>
      <c r="V43" s="203">
        <f t="shared" si="9"/>
        <v>0</v>
      </c>
      <c r="W43" s="169"/>
      <c r="Y43" s="175">
        <f t="shared" si="7"/>
        <v>0</v>
      </c>
      <c r="Z43" s="175">
        <v>0</v>
      </c>
      <c r="AA43" s="175">
        <v>0</v>
      </c>
      <c r="AB43" s="272">
        <f t="shared" si="3"/>
        <v>0</v>
      </c>
      <c r="AD43" s="184">
        <f t="shared" si="4"/>
        <v>0</v>
      </c>
      <c r="AE43" s="199">
        <v>0</v>
      </c>
      <c r="AF43" s="278">
        <f t="shared" si="5"/>
        <v>0</v>
      </c>
    </row>
    <row r="44" spans="2:32">
      <c r="B44" s="142">
        <v>800</v>
      </c>
      <c r="C44" s="155" cm="1">
        <f t="array" ref="C44">_xlfn.IFNA(
   _xlfn._xlws.FILTER(
      Sim_Mul_Bet1!$H$3:$H$48,
      (Sim_Mul_Bet1!$A$3:$A$48=C$2) * (Sim_Mul_Bet1!$C$3:$C$48=$B44),0
   ),
   0
)</f>
        <v>0</v>
      </c>
      <c r="D44" s="156" cm="1">
        <f t="array" ref="D44">_xlfn.IFNA(
   _xlfn._xlws.FILTER(
      Sim_Mul_Bet1!$H$3:$H$48,
      (Sim_Mul_Bet1!$A$3:$A$48=D$2) * (Sim_Mul_Bet1!$C$3:$C$48=$B44),0
   ),
   0
)</f>
        <v>0</v>
      </c>
      <c r="E44" s="181" cm="1">
        <f t="array" ref="E44">_xlfn.IFNA(
   _xlfn._xlws.FILTER(
      Sim_Mul_Bet1!$H$3:$H$48,
      (Sim_Mul_Bet1!$A$3:$A$48=E$2) * (Sim_Mul_Bet1!$C$3:$C$48=$B44),0
   ),
   0
)</f>
        <v>0</v>
      </c>
      <c r="F44" s="150" cm="1">
        <f t="array" ref="F44">_xlfn.IFNA(
   _xlfn._xlws.FILTER(
      Sim_Mul_Bet1!$O$3:$O$48,
      (Sim_Mul_Bet1!$A$3:$A$48=C$2) * (Sim_Mul_Bet1!$C$3:$C$48=$B44),0
   ),
   0
)</f>
        <v>0</v>
      </c>
      <c r="G44" s="146" cm="1">
        <f t="array" ref="G44">_xlfn.IFNA(
   _xlfn._xlws.FILTER(
      Sim_Mul_Bet1!$O$3:$O$48,
      (Sim_Mul_Bet1!$A$3:$A$48=D$2) * (Sim_Mul_Bet1!$C$3:$C$48=$B44),0
   ),
   0
)</f>
        <v>0</v>
      </c>
      <c r="H44" s="147" cm="1">
        <f t="array" ref="H44">_xlfn.IFNA(
   _xlfn._xlws.FILTER(
      Sim_Mul_Bet1!$O$3:$O$48,
      (Sim_Mul_Bet1!$A$3:$A$48=E$2) * (Sim_Mul_Bet1!$C$3:$C$48=$B44),0
   ),
   0
)</f>
        <v>0</v>
      </c>
      <c r="J44">
        <v>41</v>
      </c>
      <c r="K44" s="206">
        <v>800</v>
      </c>
      <c r="L44" s="210" t="s">
        <v>90</v>
      </c>
      <c r="M44" s="213">
        <f t="shared" si="2"/>
        <v>0</v>
      </c>
      <c r="N44" s="160">
        <f t="shared" si="6"/>
        <v>0</v>
      </c>
      <c r="O44" s="175">
        <v>0</v>
      </c>
      <c r="P44" s="175">
        <v>0</v>
      </c>
      <c r="Q44" s="175">
        <v>0</v>
      </c>
      <c r="R44" s="197">
        <f t="shared" si="8"/>
        <v>0</v>
      </c>
      <c r="S44" t="b">
        <v>1</v>
      </c>
      <c r="T44" s="184">
        <v>0</v>
      </c>
      <c r="U44" s="199">
        <v>0</v>
      </c>
      <c r="V44" s="203">
        <f t="shared" si="9"/>
        <v>0</v>
      </c>
      <c r="W44" s="169"/>
      <c r="Y44" s="175">
        <f t="shared" si="7"/>
        <v>0</v>
      </c>
      <c r="Z44" s="175">
        <v>0</v>
      </c>
      <c r="AA44" s="175">
        <v>0</v>
      </c>
      <c r="AB44" s="272">
        <f t="shared" si="3"/>
        <v>0</v>
      </c>
      <c r="AD44" s="184">
        <f t="shared" si="4"/>
        <v>0</v>
      </c>
      <c r="AE44" s="199">
        <v>0</v>
      </c>
      <c r="AF44" s="278">
        <f t="shared" si="5"/>
        <v>0</v>
      </c>
    </row>
    <row r="45" spans="2:32">
      <c r="B45" s="142">
        <v>850</v>
      </c>
      <c r="C45" s="155" cm="1">
        <f t="array" ref="C45">_xlfn.IFNA(
   _xlfn._xlws.FILTER(
      Sim_Mul_Bet1!$H$3:$H$48,
      (Sim_Mul_Bet1!$A$3:$A$48=C$2) * (Sim_Mul_Bet1!$C$3:$C$48=$B45),0
   ),
   0
)</f>
        <v>0</v>
      </c>
      <c r="D45" s="156" cm="1">
        <f t="array" ref="D45">_xlfn.IFNA(
   _xlfn._xlws.FILTER(
      Sim_Mul_Bet1!$H$3:$H$48,
      (Sim_Mul_Bet1!$A$3:$A$48=D$2) * (Sim_Mul_Bet1!$C$3:$C$48=$B45),0
   ),
   0
)</f>
        <v>0</v>
      </c>
      <c r="E45" s="181" cm="1">
        <f t="array" ref="E45">_xlfn.IFNA(
   _xlfn._xlws.FILTER(
      Sim_Mul_Bet1!$H$3:$H$48,
      (Sim_Mul_Bet1!$A$3:$A$48=E$2) * (Sim_Mul_Bet1!$C$3:$C$48=$B45),0
   ),
   0
)</f>
        <v>0</v>
      </c>
      <c r="F45" s="150" cm="1">
        <f t="array" ref="F45">_xlfn.IFNA(
   _xlfn._xlws.FILTER(
      Sim_Mul_Bet1!$O$3:$O$48,
      (Sim_Mul_Bet1!$A$3:$A$48=C$2) * (Sim_Mul_Bet1!$C$3:$C$48=$B45),0
   ),
   0
)</f>
        <v>0</v>
      </c>
      <c r="G45" s="146" cm="1">
        <f t="array" ref="G45">_xlfn.IFNA(
   _xlfn._xlws.FILTER(
      Sim_Mul_Bet1!$O$3:$O$48,
      (Sim_Mul_Bet1!$A$3:$A$48=D$2) * (Sim_Mul_Bet1!$C$3:$C$48=$B45),0
   ),
   0
)</f>
        <v>0</v>
      </c>
      <c r="H45" s="147" cm="1">
        <f t="array" ref="H45">_xlfn.IFNA(
   _xlfn._xlws.FILTER(
      Sim_Mul_Bet1!$O$3:$O$48,
      (Sim_Mul_Bet1!$A$3:$A$48=E$2) * (Sim_Mul_Bet1!$C$3:$C$48=$B45),0
   ),
   0
)</f>
        <v>0</v>
      </c>
      <c r="J45">
        <v>42</v>
      </c>
      <c r="K45" s="206">
        <v>850</v>
      </c>
      <c r="L45" s="210" t="s">
        <v>90</v>
      </c>
      <c r="M45" s="213">
        <f t="shared" si="2"/>
        <v>0</v>
      </c>
      <c r="N45" s="160">
        <f t="shared" si="6"/>
        <v>0</v>
      </c>
      <c r="O45" s="175">
        <v>0</v>
      </c>
      <c r="P45" s="175">
        <v>0</v>
      </c>
      <c r="Q45" s="175">
        <v>0</v>
      </c>
      <c r="R45" s="197">
        <f t="shared" si="8"/>
        <v>0</v>
      </c>
      <c r="S45" t="b">
        <v>1</v>
      </c>
      <c r="T45" s="184">
        <v>0</v>
      </c>
      <c r="U45" s="199">
        <v>0</v>
      </c>
      <c r="V45" s="203">
        <f t="shared" si="9"/>
        <v>0</v>
      </c>
      <c r="W45" s="169"/>
      <c r="Y45" s="175">
        <f t="shared" si="7"/>
        <v>0</v>
      </c>
      <c r="Z45" s="175">
        <v>0</v>
      </c>
      <c r="AA45" s="175">
        <v>0</v>
      </c>
      <c r="AB45" s="272">
        <f t="shared" si="3"/>
        <v>0</v>
      </c>
      <c r="AD45" s="184">
        <f t="shared" si="4"/>
        <v>0</v>
      </c>
      <c r="AE45" s="199">
        <v>0</v>
      </c>
      <c r="AF45" s="278">
        <f t="shared" si="5"/>
        <v>0</v>
      </c>
    </row>
    <row r="46" spans="2:32">
      <c r="B46" s="142">
        <v>900</v>
      </c>
      <c r="C46" s="155" cm="1">
        <f t="array" ref="C46">_xlfn.IFNA(
   _xlfn._xlws.FILTER(
      Sim_Mul_Bet1!$H$3:$H$48,
      (Sim_Mul_Bet1!$A$3:$A$48=C$2) * (Sim_Mul_Bet1!$C$3:$C$48=$B46),0
   ),
   0
)</f>
        <v>0</v>
      </c>
      <c r="D46" s="156" cm="1">
        <f t="array" ref="D46">_xlfn.IFNA(
   _xlfn._xlws.FILTER(
      Sim_Mul_Bet1!$H$3:$H$48,
      (Sim_Mul_Bet1!$A$3:$A$48=D$2) * (Sim_Mul_Bet1!$C$3:$C$48=$B46),0
   ),
   0
)</f>
        <v>0</v>
      </c>
      <c r="E46" s="181" cm="1">
        <f t="array" ref="E46">_xlfn.IFNA(
   _xlfn._xlws.FILTER(
      Sim_Mul_Bet1!$H$3:$H$48,
      (Sim_Mul_Bet1!$A$3:$A$48=E$2) * (Sim_Mul_Bet1!$C$3:$C$48=$B46),0
   ),
   0
)</f>
        <v>0</v>
      </c>
      <c r="F46" s="150" cm="1">
        <f t="array" ref="F46">_xlfn.IFNA(
   _xlfn._xlws.FILTER(
      Sim_Mul_Bet1!$O$3:$O$48,
      (Sim_Mul_Bet1!$A$3:$A$48=C$2) * (Sim_Mul_Bet1!$C$3:$C$48=$B46),0
   ),
   0
)</f>
        <v>0</v>
      </c>
      <c r="G46" s="146" cm="1">
        <f t="array" ref="G46">_xlfn.IFNA(
   _xlfn._xlws.FILTER(
      Sim_Mul_Bet1!$O$3:$O$48,
      (Sim_Mul_Bet1!$A$3:$A$48=D$2) * (Sim_Mul_Bet1!$C$3:$C$48=$B46),0
   ),
   0
)</f>
        <v>0</v>
      </c>
      <c r="H46" s="147" cm="1">
        <f t="array" ref="H46">_xlfn.IFNA(
   _xlfn._xlws.FILTER(
      Sim_Mul_Bet1!$O$3:$O$48,
      (Sim_Mul_Bet1!$A$3:$A$48=E$2) * (Sim_Mul_Bet1!$C$3:$C$48=$B46),0
   ),
   0
)</f>
        <v>0</v>
      </c>
      <c r="J46">
        <v>43</v>
      </c>
      <c r="K46" s="206">
        <v>900</v>
      </c>
      <c r="L46" s="210" t="s">
        <v>90</v>
      </c>
      <c r="M46" s="213">
        <f t="shared" si="2"/>
        <v>0</v>
      </c>
      <c r="N46" s="160">
        <f t="shared" si="6"/>
        <v>0</v>
      </c>
      <c r="O46" s="175">
        <v>0</v>
      </c>
      <c r="P46" s="175">
        <v>0</v>
      </c>
      <c r="Q46" s="175">
        <v>0</v>
      </c>
      <c r="R46" s="197">
        <f t="shared" si="8"/>
        <v>0</v>
      </c>
      <c r="S46" t="b">
        <v>1</v>
      </c>
      <c r="T46" s="184">
        <v>0</v>
      </c>
      <c r="U46" s="199">
        <v>0</v>
      </c>
      <c r="V46" s="203">
        <f t="shared" si="9"/>
        <v>0</v>
      </c>
      <c r="W46" s="169"/>
      <c r="Y46" s="175">
        <f t="shared" si="7"/>
        <v>0</v>
      </c>
      <c r="Z46" s="175">
        <v>0</v>
      </c>
      <c r="AA46" s="175">
        <v>0</v>
      </c>
      <c r="AB46" s="272">
        <f t="shared" si="3"/>
        <v>0</v>
      </c>
      <c r="AD46" s="184">
        <f t="shared" si="4"/>
        <v>0</v>
      </c>
      <c r="AE46" s="199">
        <v>0</v>
      </c>
      <c r="AF46" s="278">
        <f t="shared" si="5"/>
        <v>0</v>
      </c>
    </row>
    <row r="47" spans="2:32">
      <c r="B47" s="142">
        <v>950</v>
      </c>
      <c r="C47" s="155" cm="1">
        <f t="array" ref="C47">_xlfn.IFNA(
   _xlfn._xlws.FILTER(
      Sim_Mul_Bet1!$H$3:$H$48,
      (Sim_Mul_Bet1!$A$3:$A$48=C$2) * (Sim_Mul_Bet1!$C$3:$C$48=$B47),0
   ),
   0
)</f>
        <v>0</v>
      </c>
      <c r="D47" s="156" cm="1">
        <f t="array" ref="D47">_xlfn.IFNA(
   _xlfn._xlws.FILTER(
      Sim_Mul_Bet1!$H$3:$H$48,
      (Sim_Mul_Bet1!$A$3:$A$48=D$2) * (Sim_Mul_Bet1!$C$3:$C$48=$B47),0
   ),
   0
)</f>
        <v>0</v>
      </c>
      <c r="E47" s="181" cm="1">
        <f t="array" ref="E47">_xlfn.IFNA(
   _xlfn._xlws.FILTER(
      Sim_Mul_Bet1!$H$3:$H$48,
      (Sim_Mul_Bet1!$A$3:$A$48=E$2) * (Sim_Mul_Bet1!$C$3:$C$48=$B47),0
   ),
   0
)</f>
        <v>0</v>
      </c>
      <c r="F47" s="150" cm="1">
        <f t="array" ref="F47">_xlfn.IFNA(
   _xlfn._xlws.FILTER(
      Sim_Mul_Bet1!$O$3:$O$48,
      (Sim_Mul_Bet1!$A$3:$A$48=C$2) * (Sim_Mul_Bet1!$C$3:$C$48=$B47),0
   ),
   0
)</f>
        <v>0</v>
      </c>
      <c r="G47" s="146" cm="1">
        <f t="array" ref="G47">_xlfn.IFNA(
   _xlfn._xlws.FILTER(
      Sim_Mul_Bet1!$O$3:$O$48,
      (Sim_Mul_Bet1!$A$3:$A$48=D$2) * (Sim_Mul_Bet1!$C$3:$C$48=$B47),0
   ),
   0
)</f>
        <v>0</v>
      </c>
      <c r="H47" s="147" cm="1">
        <f t="array" ref="H47">_xlfn.IFNA(
   _xlfn._xlws.FILTER(
      Sim_Mul_Bet1!$O$3:$O$48,
      (Sim_Mul_Bet1!$A$3:$A$48=E$2) * (Sim_Mul_Bet1!$C$3:$C$48=$B47),0
   ),
   0
)</f>
        <v>0</v>
      </c>
      <c r="J47">
        <v>44</v>
      </c>
      <c r="K47" s="206">
        <v>950</v>
      </c>
      <c r="L47" s="210" t="s">
        <v>90</v>
      </c>
      <c r="M47" s="213">
        <f t="shared" si="2"/>
        <v>0</v>
      </c>
      <c r="N47" s="160">
        <f t="shared" si="6"/>
        <v>0</v>
      </c>
      <c r="O47" s="175">
        <v>0</v>
      </c>
      <c r="P47" s="175">
        <v>0</v>
      </c>
      <c r="Q47" s="175">
        <v>0</v>
      </c>
      <c r="R47" s="197">
        <f t="shared" si="8"/>
        <v>0</v>
      </c>
      <c r="S47" t="b">
        <v>1</v>
      </c>
      <c r="T47" s="184">
        <v>0</v>
      </c>
      <c r="U47" s="199">
        <v>0</v>
      </c>
      <c r="V47" s="203">
        <f t="shared" si="9"/>
        <v>0</v>
      </c>
      <c r="W47" s="169"/>
      <c r="Y47" s="175">
        <f t="shared" si="7"/>
        <v>0</v>
      </c>
      <c r="Z47" s="175">
        <v>0</v>
      </c>
      <c r="AA47" s="175">
        <v>0</v>
      </c>
      <c r="AB47" s="272">
        <f t="shared" si="3"/>
        <v>0</v>
      </c>
      <c r="AD47" s="184">
        <f t="shared" si="4"/>
        <v>0</v>
      </c>
      <c r="AE47" s="199">
        <v>0</v>
      </c>
      <c r="AF47" s="278">
        <f t="shared" si="5"/>
        <v>0</v>
      </c>
    </row>
    <row r="48" spans="2:32">
      <c r="B48" s="142">
        <v>1000</v>
      </c>
      <c r="C48" s="155" cm="1">
        <f t="array" ref="C48">_xlfn.IFNA(
   _xlfn._xlws.FILTER(
      Sim_Mul_Bet1!$H$3:$H$48,
      (Sim_Mul_Bet1!$A$3:$A$48=C$2) * (Sim_Mul_Bet1!$C$3:$C$48=$B48),0
   ),
   0
)</f>
        <v>0</v>
      </c>
      <c r="D48" s="156" cm="1">
        <f t="array" ref="D48">_xlfn.IFNA(
   _xlfn._xlws.FILTER(
      Sim_Mul_Bet1!$H$3:$H$48,
      (Sim_Mul_Bet1!$A$3:$A$48=D$2) * (Sim_Mul_Bet1!$C$3:$C$48=$B48),0
   ),
   0
)</f>
        <v>0</v>
      </c>
      <c r="E48" s="181" cm="1">
        <f t="array" ref="E48">_xlfn.IFNA(
   _xlfn._xlws.FILTER(
      Sim_Mul_Bet1!$H$3:$H$48,
      (Sim_Mul_Bet1!$A$3:$A$48=E$2) * (Sim_Mul_Bet1!$C$3:$C$48=$B48),0
   ),
   0
)</f>
        <v>0</v>
      </c>
      <c r="F48" s="150" cm="1">
        <f t="array" ref="F48">_xlfn.IFNA(
   _xlfn._xlws.FILTER(
      Sim_Mul_Bet1!$O$3:$O$48,
      (Sim_Mul_Bet1!$A$3:$A$48=C$2) * (Sim_Mul_Bet1!$C$3:$C$48=$B48),0
   ),
   0
)</f>
        <v>0</v>
      </c>
      <c r="G48" s="146" cm="1">
        <f t="array" ref="G48">_xlfn.IFNA(
   _xlfn._xlws.FILTER(
      Sim_Mul_Bet1!$O$3:$O$48,
      (Sim_Mul_Bet1!$A$3:$A$48=D$2) * (Sim_Mul_Bet1!$C$3:$C$48=$B48),0
   ),
   0
)</f>
        <v>0</v>
      </c>
      <c r="H48" s="147" cm="1">
        <f t="array" ref="H48">_xlfn.IFNA(
   _xlfn._xlws.FILTER(
      Sim_Mul_Bet1!$O$3:$O$48,
      (Sim_Mul_Bet1!$A$3:$A$48=E$2) * (Sim_Mul_Bet1!$C$3:$C$48=$B48),0
   ),
   0
)</f>
        <v>0</v>
      </c>
      <c r="J48">
        <v>45</v>
      </c>
      <c r="K48" s="206">
        <v>1000</v>
      </c>
      <c r="L48" s="210" t="s">
        <v>90</v>
      </c>
      <c r="M48" s="213">
        <f t="shared" si="2"/>
        <v>0</v>
      </c>
      <c r="N48" s="160">
        <f t="shared" si="6"/>
        <v>0</v>
      </c>
      <c r="O48" s="175">
        <v>0</v>
      </c>
      <c r="P48" s="175">
        <v>0</v>
      </c>
      <c r="Q48" s="175">
        <v>0</v>
      </c>
      <c r="R48" s="197">
        <f t="shared" si="8"/>
        <v>0</v>
      </c>
      <c r="S48" t="b">
        <v>1</v>
      </c>
      <c r="T48" s="184">
        <v>0</v>
      </c>
      <c r="U48" s="199">
        <v>0</v>
      </c>
      <c r="V48" s="203">
        <f t="shared" si="9"/>
        <v>0</v>
      </c>
      <c r="W48" s="169"/>
      <c r="Y48" s="175">
        <f t="shared" si="7"/>
        <v>0</v>
      </c>
      <c r="Z48" s="175">
        <v>0</v>
      </c>
      <c r="AA48" s="175">
        <v>0</v>
      </c>
      <c r="AB48" s="272">
        <f t="shared" si="3"/>
        <v>0</v>
      </c>
      <c r="AD48" s="184">
        <f t="shared" si="4"/>
        <v>0</v>
      </c>
      <c r="AE48" s="199">
        <v>0</v>
      </c>
      <c r="AF48" s="278">
        <f t="shared" si="5"/>
        <v>0</v>
      </c>
    </row>
    <row r="49" spans="2:32">
      <c r="B49" s="142">
        <v>2000</v>
      </c>
      <c r="C49" s="155" cm="1">
        <f t="array" ref="C49">_xlfn.IFNA(
   _xlfn._xlws.FILTER(
      Sim_Mul_Bet1!$H$3:$H$48,
      (Sim_Mul_Bet1!$A$3:$A$48=C$2) * (Sim_Mul_Bet1!$C$3:$C$48=$B49),0
   ),
   0
)</f>
        <v>0</v>
      </c>
      <c r="D49" s="156" cm="1">
        <f t="array" ref="D49">_xlfn.IFNA(
   _xlfn._xlws.FILTER(
      Sim_Mul_Bet1!$H$3:$H$48,
      (Sim_Mul_Bet1!$A$3:$A$48=D$2) * (Sim_Mul_Bet1!$C$3:$C$48=$B49),0
   ),
   0
)</f>
        <v>0</v>
      </c>
      <c r="E49" s="181" cm="1">
        <f t="array" ref="E49">_xlfn.IFNA(
   _xlfn._xlws.FILTER(
      Sim_Mul_Bet1!$H$3:$H$48,
      (Sim_Mul_Bet1!$A$3:$A$48=E$2) * (Sim_Mul_Bet1!$C$3:$C$48=$B49),0
   ),
   0
)</f>
        <v>0</v>
      </c>
      <c r="F49" s="150" cm="1">
        <f t="array" ref="F49">_xlfn.IFNA(
   _xlfn._xlws.FILTER(
      Sim_Mul_Bet1!$O$3:$O$48,
      (Sim_Mul_Bet1!$A$3:$A$48=C$2) * (Sim_Mul_Bet1!$C$3:$C$48=$B49),0
   ),
   0
)</f>
        <v>0</v>
      </c>
      <c r="G49" s="146" cm="1">
        <f t="array" ref="G49">_xlfn.IFNA(
   _xlfn._xlws.FILTER(
      Sim_Mul_Bet1!$O$3:$O$48,
      (Sim_Mul_Bet1!$A$3:$A$48=D$2) * (Sim_Mul_Bet1!$C$3:$C$48=$B49),0
   ),
   0
)</f>
        <v>0</v>
      </c>
      <c r="H49" s="147" cm="1">
        <f t="array" ref="H49">_xlfn.IFNA(
   _xlfn._xlws.FILTER(
      Sim_Mul_Bet1!$O$3:$O$48,
      (Sim_Mul_Bet1!$A$3:$A$48=E$2) * (Sim_Mul_Bet1!$C$3:$C$48=$B49),0
   ),
   0
)</f>
        <v>0</v>
      </c>
      <c r="J49">
        <v>46</v>
      </c>
      <c r="K49" s="206">
        <v>2000</v>
      </c>
      <c r="L49" s="210" t="s">
        <v>90</v>
      </c>
      <c r="M49" s="213">
        <f t="shared" si="2"/>
        <v>0</v>
      </c>
      <c r="N49" s="160">
        <f t="shared" si="6"/>
        <v>0</v>
      </c>
      <c r="O49" s="175">
        <v>0</v>
      </c>
      <c r="P49" s="175">
        <v>0</v>
      </c>
      <c r="Q49" s="175">
        <v>0</v>
      </c>
      <c r="R49" s="197">
        <f t="shared" si="8"/>
        <v>0</v>
      </c>
      <c r="S49" t="b">
        <v>1</v>
      </c>
      <c r="T49" s="184">
        <v>0</v>
      </c>
      <c r="U49" s="199">
        <v>0</v>
      </c>
      <c r="V49" s="203">
        <f t="shared" si="9"/>
        <v>0</v>
      </c>
      <c r="W49" s="169"/>
      <c r="Y49" s="175">
        <f t="shared" si="7"/>
        <v>0</v>
      </c>
      <c r="Z49" s="175">
        <v>0</v>
      </c>
      <c r="AA49" s="175">
        <v>0</v>
      </c>
      <c r="AB49" s="272">
        <f t="shared" si="3"/>
        <v>0</v>
      </c>
      <c r="AD49" s="184">
        <f t="shared" si="4"/>
        <v>0</v>
      </c>
      <c r="AE49" s="199">
        <v>0</v>
      </c>
      <c r="AF49" s="278">
        <f t="shared" si="5"/>
        <v>0</v>
      </c>
    </row>
    <row r="50" spans="2:32">
      <c r="B50" s="142">
        <v>3000</v>
      </c>
      <c r="C50" s="155" cm="1">
        <f t="array" ref="C50">_xlfn.IFNA(
   _xlfn._xlws.FILTER(
      Sim_Mul_Bet1!$H$3:$H$48,
      (Sim_Mul_Bet1!$A$3:$A$48=C$2) * (Sim_Mul_Bet1!$C$3:$C$48=$B50),0
   ),
   0
)</f>
        <v>0</v>
      </c>
      <c r="D50" s="156" cm="1">
        <f t="array" ref="D50">_xlfn.IFNA(
   _xlfn._xlws.FILTER(
      Sim_Mul_Bet1!$H$3:$H$48,
      (Sim_Mul_Bet1!$A$3:$A$48=D$2) * (Sim_Mul_Bet1!$C$3:$C$48=$B50),0
   ),
   0
)</f>
        <v>0</v>
      </c>
      <c r="E50" s="181" cm="1">
        <f t="array" ref="E50">_xlfn.IFNA(
   _xlfn._xlws.FILTER(
      Sim_Mul_Bet1!$H$3:$H$48,
      (Sim_Mul_Bet1!$A$3:$A$48=E$2) * (Sim_Mul_Bet1!$C$3:$C$48=$B50),0
   ),
   0
)</f>
        <v>0</v>
      </c>
      <c r="F50" s="150" cm="1">
        <f t="array" ref="F50">_xlfn.IFNA(
   _xlfn._xlws.FILTER(
      Sim_Mul_Bet1!$O$3:$O$48,
      (Sim_Mul_Bet1!$A$3:$A$48=C$2) * (Sim_Mul_Bet1!$C$3:$C$48=$B50),0
   ),
   0
)</f>
        <v>0</v>
      </c>
      <c r="G50" s="146" cm="1">
        <f t="array" ref="G50">_xlfn.IFNA(
   _xlfn._xlws.FILTER(
      Sim_Mul_Bet1!$O$3:$O$48,
      (Sim_Mul_Bet1!$A$3:$A$48=D$2) * (Sim_Mul_Bet1!$C$3:$C$48=$B50),0
   ),
   0
)</f>
        <v>0</v>
      </c>
      <c r="H50" s="147" cm="1">
        <f t="array" ref="H50">_xlfn.IFNA(
   _xlfn._xlws.FILTER(
      Sim_Mul_Bet1!$O$3:$O$48,
      (Sim_Mul_Bet1!$A$3:$A$48=E$2) * (Sim_Mul_Bet1!$C$3:$C$48=$B50),0
   ),
   0
)</f>
        <v>0</v>
      </c>
      <c r="J50">
        <v>47</v>
      </c>
      <c r="K50" s="206">
        <v>3000</v>
      </c>
      <c r="L50" s="210" t="s">
        <v>90</v>
      </c>
      <c r="M50" s="213">
        <f t="shared" si="2"/>
        <v>0</v>
      </c>
      <c r="N50" s="160">
        <f t="shared" si="6"/>
        <v>0</v>
      </c>
      <c r="O50" s="175">
        <v>0</v>
      </c>
      <c r="P50" s="175">
        <v>0</v>
      </c>
      <c r="Q50" s="175">
        <v>0</v>
      </c>
      <c r="R50" s="197">
        <f t="shared" si="8"/>
        <v>0</v>
      </c>
      <c r="S50" t="b">
        <v>1</v>
      </c>
      <c r="T50" s="184">
        <v>0</v>
      </c>
      <c r="U50" s="199">
        <v>0</v>
      </c>
      <c r="V50" s="203">
        <f t="shared" si="9"/>
        <v>0</v>
      </c>
      <c r="W50" s="169"/>
      <c r="Y50" s="175">
        <f t="shared" si="7"/>
        <v>0</v>
      </c>
      <c r="Z50" s="175">
        <v>0</v>
      </c>
      <c r="AA50" s="175">
        <v>0</v>
      </c>
      <c r="AB50" s="272">
        <f t="shared" si="3"/>
        <v>0</v>
      </c>
      <c r="AD50" s="184">
        <f t="shared" si="4"/>
        <v>0</v>
      </c>
      <c r="AE50" s="199">
        <v>0</v>
      </c>
      <c r="AF50" s="278">
        <f t="shared" si="5"/>
        <v>0</v>
      </c>
    </row>
    <row r="51" spans="2:32">
      <c r="B51" s="142">
        <v>4000</v>
      </c>
      <c r="C51" s="155" cm="1">
        <f t="array" ref="C51">_xlfn.IFNA(
   _xlfn._xlws.FILTER(
      Sim_Mul_Bet1!$H$3:$H$48,
      (Sim_Mul_Bet1!$A$3:$A$48=C$2) * (Sim_Mul_Bet1!$C$3:$C$48=$B51),0
   ),
   0
)</f>
        <v>0</v>
      </c>
      <c r="D51" s="156" cm="1">
        <f t="array" ref="D51">_xlfn.IFNA(
   _xlfn._xlws.FILTER(
      Sim_Mul_Bet1!$H$3:$H$48,
      (Sim_Mul_Bet1!$A$3:$A$48=D$2) * (Sim_Mul_Bet1!$C$3:$C$48=$B51),0
   ),
   0
)</f>
        <v>0</v>
      </c>
      <c r="E51" s="181" cm="1">
        <f t="array" ref="E51">_xlfn.IFNA(
   _xlfn._xlws.FILTER(
      Sim_Mul_Bet1!$H$3:$H$48,
      (Sim_Mul_Bet1!$A$3:$A$48=E$2) * (Sim_Mul_Bet1!$C$3:$C$48=$B51),0
   ),
   0
)</f>
        <v>0</v>
      </c>
      <c r="F51" s="150" cm="1">
        <f t="array" ref="F51">_xlfn.IFNA(
   _xlfn._xlws.FILTER(
      Sim_Mul_Bet1!$O$3:$O$48,
      (Sim_Mul_Bet1!$A$3:$A$48=C$2) * (Sim_Mul_Bet1!$C$3:$C$48=$B51),0
   ),
   0
)</f>
        <v>0</v>
      </c>
      <c r="G51" s="146" cm="1">
        <f t="array" ref="G51">_xlfn.IFNA(
   _xlfn._xlws.FILTER(
      Sim_Mul_Bet1!$O$3:$O$48,
      (Sim_Mul_Bet1!$A$3:$A$48=D$2) * (Sim_Mul_Bet1!$C$3:$C$48=$B51),0
   ),
   0
)</f>
        <v>0</v>
      </c>
      <c r="H51" s="147" cm="1">
        <f t="array" ref="H51">_xlfn.IFNA(
   _xlfn._xlws.FILTER(
      Sim_Mul_Bet1!$O$3:$O$48,
      (Sim_Mul_Bet1!$A$3:$A$48=E$2) * (Sim_Mul_Bet1!$C$3:$C$48=$B51),0
   ),
   0
)</f>
        <v>0</v>
      </c>
      <c r="J51">
        <v>48</v>
      </c>
      <c r="K51" s="206">
        <v>4000</v>
      </c>
      <c r="L51" s="210" t="s">
        <v>90</v>
      </c>
      <c r="M51" s="213">
        <f t="shared" si="2"/>
        <v>0</v>
      </c>
      <c r="N51" s="160">
        <f t="shared" si="6"/>
        <v>0</v>
      </c>
      <c r="O51" s="175">
        <v>0</v>
      </c>
      <c r="P51" s="175">
        <v>0</v>
      </c>
      <c r="Q51" s="175">
        <v>0</v>
      </c>
      <c r="R51" s="197">
        <f t="shared" si="8"/>
        <v>0</v>
      </c>
      <c r="S51" t="b">
        <v>1</v>
      </c>
      <c r="T51" s="184">
        <v>0</v>
      </c>
      <c r="U51" s="199">
        <v>0</v>
      </c>
      <c r="V51" s="203">
        <f t="shared" si="9"/>
        <v>0</v>
      </c>
      <c r="W51" s="169"/>
      <c r="Y51" s="175">
        <f t="shared" si="7"/>
        <v>0</v>
      </c>
      <c r="Z51" s="175">
        <v>0</v>
      </c>
      <c r="AA51" s="175">
        <v>0</v>
      </c>
      <c r="AB51" s="272">
        <f t="shared" si="3"/>
        <v>0</v>
      </c>
      <c r="AD51" s="184">
        <f t="shared" si="4"/>
        <v>0</v>
      </c>
      <c r="AE51" s="199">
        <v>0</v>
      </c>
      <c r="AF51" s="278">
        <f t="shared" si="5"/>
        <v>0</v>
      </c>
    </row>
    <row r="52" spans="2:32">
      <c r="B52" s="142">
        <v>5000</v>
      </c>
      <c r="C52" s="155" cm="1">
        <f t="array" ref="C52">_xlfn.IFNA(
   _xlfn._xlws.FILTER(
      Sim_Mul_Bet1!$H$3:$H$48,
      (Sim_Mul_Bet1!$A$3:$A$48=C$2) * (Sim_Mul_Bet1!$C$3:$C$48=$B52),0
   ),
   0
)</f>
        <v>0</v>
      </c>
      <c r="D52" s="156" cm="1">
        <f t="array" ref="D52">_xlfn.IFNA(
   _xlfn._xlws.FILTER(
      Sim_Mul_Bet1!$H$3:$H$48,
      (Sim_Mul_Bet1!$A$3:$A$48=D$2) * (Sim_Mul_Bet1!$C$3:$C$48=$B52),0
   ),
   0
)</f>
        <v>0</v>
      </c>
      <c r="E52" s="181" cm="1">
        <f t="array" ref="E52">_xlfn.IFNA(
   _xlfn._xlws.FILTER(
      Sim_Mul_Bet1!$H$3:$H$48,
      (Sim_Mul_Bet1!$A$3:$A$48=E$2) * (Sim_Mul_Bet1!$C$3:$C$48=$B52),0
   ),
   0
)</f>
        <v>0</v>
      </c>
      <c r="F52" s="150" cm="1">
        <f t="array" ref="F52">_xlfn.IFNA(
   _xlfn._xlws.FILTER(
      Sim_Mul_Bet1!$O$3:$O$48,
      (Sim_Mul_Bet1!$A$3:$A$48=C$2) * (Sim_Mul_Bet1!$C$3:$C$48=$B52),0
   ),
   0
)</f>
        <v>0</v>
      </c>
      <c r="G52" s="146" cm="1">
        <f t="array" ref="G52">_xlfn.IFNA(
   _xlfn._xlws.FILTER(
      Sim_Mul_Bet1!$O$3:$O$48,
      (Sim_Mul_Bet1!$A$3:$A$48=D$2) * (Sim_Mul_Bet1!$C$3:$C$48=$B52),0
   ),
   0
)</f>
        <v>0</v>
      </c>
      <c r="H52" s="147" cm="1">
        <f t="array" ref="H52">_xlfn.IFNA(
   _xlfn._xlws.FILTER(
      Sim_Mul_Bet1!$O$3:$O$48,
      (Sim_Mul_Bet1!$A$3:$A$48=E$2) * (Sim_Mul_Bet1!$C$3:$C$48=$B52),0
   ),
   0
)</f>
        <v>0</v>
      </c>
      <c r="J52">
        <v>49</v>
      </c>
      <c r="K52" s="206">
        <v>5000</v>
      </c>
      <c r="L52" s="210" t="s">
        <v>90</v>
      </c>
      <c r="M52" s="213">
        <f t="shared" si="2"/>
        <v>0</v>
      </c>
      <c r="N52" s="160">
        <f t="shared" si="6"/>
        <v>0</v>
      </c>
      <c r="O52" s="175">
        <v>0</v>
      </c>
      <c r="P52" s="175">
        <v>0</v>
      </c>
      <c r="Q52" s="175">
        <v>0</v>
      </c>
      <c r="R52" s="197">
        <f t="shared" si="8"/>
        <v>0</v>
      </c>
      <c r="S52" t="b">
        <v>1</v>
      </c>
      <c r="T52" s="184">
        <v>0</v>
      </c>
      <c r="U52" s="199">
        <v>0</v>
      </c>
      <c r="V52" s="203">
        <f t="shared" si="9"/>
        <v>0</v>
      </c>
      <c r="W52" s="169"/>
      <c r="Y52" s="175">
        <f t="shared" si="7"/>
        <v>0</v>
      </c>
      <c r="Z52" s="175">
        <v>0</v>
      </c>
      <c r="AA52" s="175">
        <v>0</v>
      </c>
      <c r="AB52" s="272">
        <f t="shared" si="3"/>
        <v>0</v>
      </c>
      <c r="AD52" s="184">
        <f t="shared" si="4"/>
        <v>0</v>
      </c>
      <c r="AE52" s="199">
        <v>0</v>
      </c>
      <c r="AF52" s="278">
        <f t="shared" si="5"/>
        <v>0</v>
      </c>
    </row>
    <row r="53" spans="2:32">
      <c r="B53" s="142">
        <v>6000</v>
      </c>
      <c r="C53" s="155" cm="1">
        <f t="array" ref="C53">_xlfn.IFNA(
   _xlfn._xlws.FILTER(
      Sim_Mul_Bet1!$H$3:$H$48,
      (Sim_Mul_Bet1!$A$3:$A$48=C$2) * (Sim_Mul_Bet1!$C$3:$C$48=$B53),0
   ),
   0
)</f>
        <v>0</v>
      </c>
      <c r="D53" s="156" cm="1">
        <f t="array" ref="D53">_xlfn.IFNA(
   _xlfn._xlws.FILTER(
      Sim_Mul_Bet1!$H$3:$H$48,
      (Sim_Mul_Bet1!$A$3:$A$48=D$2) * (Sim_Mul_Bet1!$C$3:$C$48=$B53),0
   ),
   0
)</f>
        <v>0</v>
      </c>
      <c r="E53" s="181" cm="1">
        <f t="array" ref="E53">_xlfn.IFNA(
   _xlfn._xlws.FILTER(
      Sim_Mul_Bet1!$H$3:$H$48,
      (Sim_Mul_Bet1!$A$3:$A$48=E$2) * (Sim_Mul_Bet1!$C$3:$C$48=$B53),0
   ),
   0
)</f>
        <v>0</v>
      </c>
      <c r="F53" s="150" cm="1">
        <f t="array" ref="F53">_xlfn.IFNA(
   _xlfn._xlws.FILTER(
      Sim_Mul_Bet1!$O$3:$O$48,
      (Sim_Mul_Bet1!$A$3:$A$48=C$2) * (Sim_Mul_Bet1!$C$3:$C$48=$B53),0
   ),
   0
)</f>
        <v>0</v>
      </c>
      <c r="G53" s="146" cm="1">
        <f t="array" ref="G53">_xlfn.IFNA(
   _xlfn._xlws.FILTER(
      Sim_Mul_Bet1!$O$3:$O$48,
      (Sim_Mul_Bet1!$A$3:$A$48=D$2) * (Sim_Mul_Bet1!$C$3:$C$48=$B53),0
   ),
   0
)</f>
        <v>0</v>
      </c>
      <c r="H53" s="147" cm="1">
        <f t="array" ref="H53">_xlfn.IFNA(
   _xlfn._xlws.FILTER(
      Sim_Mul_Bet1!$O$3:$O$48,
      (Sim_Mul_Bet1!$A$3:$A$48=E$2) * (Sim_Mul_Bet1!$C$3:$C$48=$B53),0
   ),
   0
)</f>
        <v>0</v>
      </c>
      <c r="J53">
        <v>50</v>
      </c>
      <c r="K53" s="206">
        <v>6000</v>
      </c>
      <c r="L53" s="210" t="s">
        <v>90</v>
      </c>
      <c r="M53" s="213">
        <f t="shared" si="2"/>
        <v>0</v>
      </c>
      <c r="N53" s="160">
        <f t="shared" si="6"/>
        <v>0</v>
      </c>
      <c r="O53" s="175">
        <v>0</v>
      </c>
      <c r="P53" s="175">
        <v>0</v>
      </c>
      <c r="Q53" s="175">
        <v>0</v>
      </c>
      <c r="R53" s="197">
        <f t="shared" si="8"/>
        <v>0</v>
      </c>
      <c r="S53" t="b">
        <v>1</v>
      </c>
      <c r="T53" s="184">
        <v>0</v>
      </c>
      <c r="U53" s="199">
        <v>0</v>
      </c>
      <c r="V53" s="203">
        <f t="shared" si="9"/>
        <v>0</v>
      </c>
      <c r="W53" s="169"/>
      <c r="Y53" s="175">
        <f t="shared" si="7"/>
        <v>0</v>
      </c>
      <c r="Z53" s="175">
        <v>0</v>
      </c>
      <c r="AA53" s="175">
        <v>0</v>
      </c>
      <c r="AB53" s="272">
        <f t="shared" si="3"/>
        <v>0</v>
      </c>
      <c r="AD53" s="184">
        <f t="shared" si="4"/>
        <v>0</v>
      </c>
      <c r="AE53" s="199">
        <v>0</v>
      </c>
      <c r="AF53" s="278">
        <f t="shared" si="5"/>
        <v>0</v>
      </c>
    </row>
    <row r="54" spans="2:32" ht="16.8" thickBot="1">
      <c r="B54" s="143">
        <v>7000</v>
      </c>
      <c r="C54" s="157" cm="1">
        <f t="array" ref="C54">_xlfn.IFNA(
   _xlfn._xlws.FILTER(
      Sim_Mul_Bet1!$H$3:$H$48,
      (Sim_Mul_Bet1!$A$3:$A$48=C$2) * (Sim_Mul_Bet1!$C$3:$C$48=$B54),0
   ),
   0
)</f>
        <v>0</v>
      </c>
      <c r="D54" s="158" cm="1">
        <f t="array" ref="D54">_xlfn.IFNA(
   _xlfn._xlws.FILTER(
      Sim_Mul_Bet1!$H$3:$H$48,
      (Sim_Mul_Bet1!$A$3:$A$48=D$2) * (Sim_Mul_Bet1!$C$3:$C$48=$B54),0
   ),
   0
)</f>
        <v>0</v>
      </c>
      <c r="E54" s="182" cm="1">
        <f t="array" ref="E54">_xlfn.IFNA(
   _xlfn._xlws.FILTER(
      Sim_Mul_Bet1!$H$3:$H$48,
      (Sim_Mul_Bet1!$A$3:$A$48=E$2) * (Sim_Mul_Bet1!$C$3:$C$48=$B54),0
   ),
   0
)</f>
        <v>0</v>
      </c>
      <c r="F54" s="151" cm="1">
        <f t="array" ref="F54">_xlfn.IFNA(
   _xlfn._xlws.FILTER(
      Sim_Mul_Bet1!$O$3:$O$48,
      (Sim_Mul_Bet1!$A$3:$A$48=C$2) * (Sim_Mul_Bet1!$C$3:$C$48=$B54),0
   ),
   0
)</f>
        <v>0</v>
      </c>
      <c r="G54" s="148" cm="1">
        <f t="array" ref="G54">_xlfn.IFNA(
   _xlfn._xlws.FILTER(
      Sim_Mul_Bet1!$O$3:$O$48,
      (Sim_Mul_Bet1!$A$3:$A$48=D$2) * (Sim_Mul_Bet1!$C$3:$C$48=$B54),0
   ),
   0
)</f>
        <v>0</v>
      </c>
      <c r="H54" s="149" cm="1">
        <f t="array" ref="H54">_xlfn.IFNA(
   _xlfn._xlws.FILTER(
      Sim_Mul_Bet1!$O$3:$O$48,
      (Sim_Mul_Bet1!$A$3:$A$48=E$2) * (Sim_Mul_Bet1!$C$3:$C$48=$B54),0
   ),
   0
)</f>
        <v>0</v>
      </c>
      <c r="J54">
        <v>51</v>
      </c>
      <c r="K54" s="207">
        <v>7000</v>
      </c>
      <c r="L54" s="211" t="s">
        <v>90</v>
      </c>
      <c r="M54" s="214">
        <f t="shared" si="2"/>
        <v>0</v>
      </c>
      <c r="N54" s="161">
        <f t="shared" si="6"/>
        <v>0</v>
      </c>
      <c r="O54" s="176">
        <v>0</v>
      </c>
      <c r="P54" s="176">
        <v>0</v>
      </c>
      <c r="Q54" s="176">
        <v>0</v>
      </c>
      <c r="R54" s="197">
        <f t="shared" si="8"/>
        <v>0</v>
      </c>
      <c r="S54" t="b">
        <v>1</v>
      </c>
      <c r="T54" s="185">
        <v>0</v>
      </c>
      <c r="U54" s="200">
        <v>0</v>
      </c>
      <c r="V54" s="204">
        <f t="shared" si="9"/>
        <v>0</v>
      </c>
      <c r="W54" s="169"/>
      <c r="Y54" s="175">
        <f t="shared" si="7"/>
        <v>0</v>
      </c>
      <c r="Z54" s="176">
        <v>0</v>
      </c>
      <c r="AA54" s="176">
        <v>0</v>
      </c>
      <c r="AB54" s="272">
        <f t="shared" si="3"/>
        <v>0</v>
      </c>
      <c r="AD54" s="185">
        <f t="shared" si="4"/>
        <v>0</v>
      </c>
      <c r="AE54" s="200">
        <v>0</v>
      </c>
      <c r="AF54" s="279">
        <f t="shared" si="5"/>
        <v>0</v>
      </c>
    </row>
  </sheetData>
  <sortState xmlns:xlrd2="http://schemas.microsoft.com/office/spreadsheetml/2017/richdata2" ref="B4:B57">
    <sortCondition ref="B1:B57"/>
  </sortState>
  <mergeCells count="2">
    <mergeCell ref="C1:E1"/>
    <mergeCell ref="F1:H1"/>
  </mergeCells>
  <phoneticPr fontId="1" type="noConversion"/>
  <conditionalFormatting sqref="C4:E54 T1:T1048576 O1:O2 C3:D3 O55:O1048576 Q55:Q1048576 Q1:Q2">
    <cfRule type="cellIs" dxfId="2092" priority="25" operator="equal">
      <formula>0</formula>
    </cfRule>
  </conditionalFormatting>
  <conditionalFormatting sqref="N1:N1048576">
    <cfRule type="cellIs" dxfId="2091" priority="19" operator="equal">
      <formula>0</formula>
    </cfRule>
  </conditionalFormatting>
  <conditionalFormatting sqref="F4:H54 G3">
    <cfRule type="cellIs" dxfId="2090" priority="15" operator="equal">
      <formula>0</formula>
    </cfRule>
  </conditionalFormatting>
  <conditionalFormatting sqref="M1:M1048576">
    <cfRule type="cellIs" dxfId="2089" priority="10" operator="lessThan">
      <formula>0.001</formula>
    </cfRule>
  </conditionalFormatting>
  <conditionalFormatting sqref="O3:O54">
    <cfRule type="cellIs" dxfId="2088" priority="9" operator="equal">
      <formula>0</formula>
    </cfRule>
  </conditionalFormatting>
  <conditionalFormatting sqref="Q3:Q54">
    <cfRule type="cellIs" dxfId="2087" priority="8" operator="equal">
      <formula>0</formula>
    </cfRule>
  </conditionalFormatting>
  <conditionalFormatting sqref="P1:P2 P55:P1048576">
    <cfRule type="cellIs" dxfId="2086" priority="7" operator="equal">
      <formula>0</formula>
    </cfRule>
  </conditionalFormatting>
  <conditionalFormatting sqref="P3:P54">
    <cfRule type="cellIs" dxfId="2085" priority="6" operator="equal">
      <formula>0</formula>
    </cfRule>
  </conditionalFormatting>
  <conditionalFormatting sqref="AD1:AD1048576 Y1:Y2 Y55:Y1048576 AA55:AA1048576 AA1:AA2">
    <cfRule type="cellIs" dxfId="2084" priority="5" operator="equal">
      <formula>0</formula>
    </cfRule>
  </conditionalFormatting>
  <conditionalFormatting sqref="Y3:Y54">
    <cfRule type="cellIs" dxfId="2083" priority="4" operator="equal">
      <formula>0</formula>
    </cfRule>
  </conditionalFormatting>
  <conditionalFormatting sqref="AA3:AA54">
    <cfRule type="cellIs" dxfId="2082" priority="3" operator="equal">
      <formula>0</formula>
    </cfRule>
  </conditionalFormatting>
  <conditionalFormatting sqref="Z1:Z2 Z55:Z1048576">
    <cfRule type="cellIs" dxfId="2081" priority="2" operator="equal">
      <formula>0</formula>
    </cfRule>
  </conditionalFormatting>
  <conditionalFormatting sqref="Z3:Z54">
    <cfRule type="cellIs" dxfId="2080" priority="1" operator="equal">
      <formula>0</formula>
    </cfRule>
  </conditionalFormatting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4E9BB6-8EC4-47FD-B310-9AEF6ECCAB98}">
  <dimension ref="A1:AI49"/>
  <sheetViews>
    <sheetView workbookViewId="0">
      <selection sqref="A1:C1"/>
    </sheetView>
  </sheetViews>
  <sheetFormatPr defaultRowHeight="16.2"/>
  <cols>
    <col min="21" max="21" width="10.5546875" bestFit="1" customWidth="1"/>
  </cols>
  <sheetData>
    <row r="1" spans="1:35">
      <c r="O1">
        <v>1</v>
      </c>
    </row>
    <row r="3" spans="1:35">
      <c r="H3" t="s">
        <v>158</v>
      </c>
      <c r="O3" t="s">
        <v>157</v>
      </c>
      <c r="U3" t="s">
        <v>158</v>
      </c>
    </row>
    <row r="4" spans="1:35">
      <c r="A4" t="s">
        <v>90</v>
      </c>
      <c r="B4" t="s">
        <v>147</v>
      </c>
      <c r="C4">
        <v>0</v>
      </c>
      <c r="F4" t="s">
        <v>148</v>
      </c>
      <c r="G4">
        <v>87009169</v>
      </c>
      <c r="H4" s="137" cm="1">
        <f t="array" ref="H4:H19">G4:G19/SUM($G$4:$G$19)</f>
        <v>0.87009168999999997</v>
      </c>
      <c r="K4" t="s">
        <v>149</v>
      </c>
      <c r="L4" t="s">
        <v>148</v>
      </c>
      <c r="M4">
        <v>0</v>
      </c>
      <c r="O4">
        <f>M4/G4/$O$1</f>
        <v>0</v>
      </c>
      <c r="R4" t="s">
        <v>150</v>
      </c>
      <c r="S4" t="s">
        <v>148</v>
      </c>
      <c r="T4" t="s">
        <v>151</v>
      </c>
      <c r="U4" s="137" cm="1">
        <f t="array" ref="U4">_xlfn.IFS(T4="null,",0,T4="","",T4/G4&gt;=0,T4/G4)</f>
        <v>0</v>
      </c>
      <c r="X4" t="s">
        <v>152</v>
      </c>
      <c r="Y4" t="s">
        <v>148</v>
      </c>
      <c r="Z4" t="s">
        <v>151</v>
      </c>
      <c r="AA4" t="s">
        <v>153</v>
      </c>
      <c r="AB4" t="s">
        <v>148</v>
      </c>
      <c r="AC4" t="s">
        <v>151</v>
      </c>
      <c r="AD4" t="s">
        <v>154</v>
      </c>
      <c r="AE4" t="s">
        <v>148</v>
      </c>
      <c r="AF4" t="s">
        <v>151</v>
      </c>
      <c r="AG4" t="s">
        <v>155</v>
      </c>
      <c r="AH4" t="s">
        <v>148</v>
      </c>
      <c r="AI4" t="s">
        <v>156</v>
      </c>
    </row>
    <row r="5" spans="1:35">
      <c r="A5" t="s">
        <v>90</v>
      </c>
      <c r="B5" t="s">
        <v>147</v>
      </c>
      <c r="C5">
        <v>1</v>
      </c>
      <c r="F5" t="s">
        <v>148</v>
      </c>
      <c r="G5">
        <v>4525812</v>
      </c>
      <c r="H5" s="137">
        <v>4.5258119999999999E-2</v>
      </c>
      <c r="K5" t="s">
        <v>149</v>
      </c>
      <c r="L5" t="s">
        <v>148</v>
      </c>
      <c r="M5">
        <v>4525812</v>
      </c>
      <c r="O5">
        <f t="shared" ref="O5:O19" si="0">M5/G5/$O$1</f>
        <v>1</v>
      </c>
      <c r="R5" t="s">
        <v>150</v>
      </c>
      <c r="S5" t="s">
        <v>148</v>
      </c>
      <c r="T5" t="s">
        <v>151</v>
      </c>
      <c r="U5" s="137" cm="1">
        <f t="array" ref="U5">_xlfn.IFS(T5="null,",0,T5="","",T5/G5&gt;=0,T5/G5)</f>
        <v>0</v>
      </c>
      <c r="X5" t="s">
        <v>152</v>
      </c>
      <c r="Y5" t="s">
        <v>148</v>
      </c>
      <c r="Z5" t="s">
        <v>151</v>
      </c>
      <c r="AA5" t="s">
        <v>153</v>
      </c>
      <c r="AB5" t="s">
        <v>148</v>
      </c>
      <c r="AC5" t="s">
        <v>151</v>
      </c>
      <c r="AD5" t="s">
        <v>154</v>
      </c>
      <c r="AE5" t="s">
        <v>148</v>
      </c>
      <c r="AF5" t="s">
        <v>151</v>
      </c>
      <c r="AG5" t="s">
        <v>155</v>
      </c>
      <c r="AH5" t="s">
        <v>148</v>
      </c>
      <c r="AI5" t="s">
        <v>156</v>
      </c>
    </row>
    <row r="6" spans="1:35">
      <c r="A6" t="s">
        <v>90</v>
      </c>
      <c r="B6" t="s">
        <v>147</v>
      </c>
      <c r="C6">
        <v>2</v>
      </c>
      <c r="F6" t="s">
        <v>148</v>
      </c>
      <c r="G6">
        <v>138889</v>
      </c>
      <c r="H6" s="137">
        <v>1.38889E-3</v>
      </c>
      <c r="K6" t="s">
        <v>149</v>
      </c>
      <c r="L6" t="s">
        <v>148</v>
      </c>
      <c r="M6">
        <v>277778</v>
      </c>
      <c r="O6">
        <f t="shared" si="0"/>
        <v>2</v>
      </c>
      <c r="R6" t="s">
        <v>150</v>
      </c>
      <c r="S6" t="s">
        <v>148</v>
      </c>
      <c r="T6" t="s">
        <v>151</v>
      </c>
      <c r="U6" s="137" cm="1">
        <f t="array" ref="U6">_xlfn.IFS(T6="null,",0,T6="","",T6/G6&gt;=0,T6/G6)</f>
        <v>0</v>
      </c>
      <c r="X6" t="s">
        <v>152</v>
      </c>
      <c r="Y6" t="s">
        <v>148</v>
      </c>
      <c r="Z6" t="s">
        <v>151</v>
      </c>
      <c r="AA6" t="s">
        <v>153</v>
      </c>
      <c r="AB6" t="s">
        <v>148</v>
      </c>
      <c r="AC6" t="s">
        <v>151</v>
      </c>
      <c r="AD6" t="s">
        <v>154</v>
      </c>
      <c r="AE6" t="s">
        <v>148</v>
      </c>
      <c r="AF6" t="s">
        <v>151</v>
      </c>
      <c r="AG6" t="s">
        <v>155</v>
      </c>
      <c r="AH6" t="s">
        <v>148</v>
      </c>
      <c r="AI6" t="s">
        <v>156</v>
      </c>
    </row>
    <row r="7" spans="1:35">
      <c r="A7" t="s">
        <v>90</v>
      </c>
      <c r="B7" t="s">
        <v>147</v>
      </c>
      <c r="C7">
        <v>5</v>
      </c>
      <c r="F7" t="s">
        <v>148</v>
      </c>
      <c r="G7">
        <v>5049721</v>
      </c>
      <c r="H7" s="137">
        <v>5.0497210000000001E-2</v>
      </c>
      <c r="K7" t="s">
        <v>149</v>
      </c>
      <c r="L7" t="s">
        <v>148</v>
      </c>
      <c r="M7">
        <v>25248605</v>
      </c>
      <c r="O7">
        <f t="shared" si="0"/>
        <v>5</v>
      </c>
      <c r="R7" t="s">
        <v>150</v>
      </c>
      <c r="S7" t="s">
        <v>148</v>
      </c>
      <c r="T7" t="s">
        <v>151</v>
      </c>
      <c r="U7" s="137" cm="1">
        <f t="array" ref="U7">_xlfn.IFS(T7="null,",0,T7="","",T7/G7&gt;=0,T7/G7)</f>
        <v>0</v>
      </c>
      <c r="X7" t="s">
        <v>152</v>
      </c>
      <c r="Y7" t="s">
        <v>148</v>
      </c>
      <c r="Z7" t="s">
        <v>151</v>
      </c>
      <c r="AA7" t="s">
        <v>153</v>
      </c>
      <c r="AB7" t="s">
        <v>148</v>
      </c>
      <c r="AC7" t="s">
        <v>151</v>
      </c>
      <c r="AD7" t="s">
        <v>154</v>
      </c>
      <c r="AE7" t="s">
        <v>148</v>
      </c>
      <c r="AF7" t="s">
        <v>151</v>
      </c>
      <c r="AG7" t="s">
        <v>155</v>
      </c>
      <c r="AH7" t="s">
        <v>148</v>
      </c>
      <c r="AI7" t="s">
        <v>156</v>
      </c>
    </row>
    <row r="8" spans="1:35">
      <c r="A8" t="s">
        <v>90</v>
      </c>
      <c r="B8" t="s">
        <v>147</v>
      </c>
      <c r="C8">
        <v>6</v>
      </c>
      <c r="F8" t="s">
        <v>148</v>
      </c>
      <c r="G8">
        <v>2457</v>
      </c>
      <c r="H8" s="137">
        <v>2.457E-5</v>
      </c>
      <c r="K8" t="s">
        <v>149</v>
      </c>
      <c r="L8" t="s">
        <v>148</v>
      </c>
      <c r="M8">
        <v>14742</v>
      </c>
      <c r="O8">
        <f t="shared" si="0"/>
        <v>6</v>
      </c>
      <c r="R8" t="s">
        <v>150</v>
      </c>
      <c r="S8" t="s">
        <v>148</v>
      </c>
      <c r="T8" t="s">
        <v>151</v>
      </c>
      <c r="U8" s="137" cm="1">
        <f t="array" ref="U8">_xlfn.IFS(T8="null,",0,T8="","",T8/G8&gt;=0,T8/G8)</f>
        <v>0</v>
      </c>
      <c r="X8" t="s">
        <v>152</v>
      </c>
      <c r="Y8" t="s">
        <v>148</v>
      </c>
      <c r="Z8" t="s">
        <v>151</v>
      </c>
      <c r="AA8" t="s">
        <v>153</v>
      </c>
      <c r="AB8" t="s">
        <v>148</v>
      </c>
      <c r="AC8" t="s">
        <v>151</v>
      </c>
      <c r="AD8" t="s">
        <v>154</v>
      </c>
      <c r="AE8" t="s">
        <v>148</v>
      </c>
      <c r="AF8" t="s">
        <v>151</v>
      </c>
      <c r="AG8" t="s">
        <v>155</v>
      </c>
      <c r="AH8" t="s">
        <v>148</v>
      </c>
      <c r="AI8" t="s">
        <v>156</v>
      </c>
    </row>
    <row r="9" spans="1:35">
      <c r="A9" t="s">
        <v>90</v>
      </c>
      <c r="B9" t="s">
        <v>147</v>
      </c>
      <c r="C9">
        <v>10</v>
      </c>
      <c r="F9" t="s">
        <v>148</v>
      </c>
      <c r="G9">
        <v>1949318</v>
      </c>
      <c r="H9" s="137">
        <v>1.9493179999999999E-2</v>
      </c>
      <c r="K9" t="s">
        <v>149</v>
      </c>
      <c r="L9" t="s">
        <v>148</v>
      </c>
      <c r="M9">
        <v>20006644</v>
      </c>
      <c r="O9">
        <f t="shared" si="0"/>
        <v>10.263406996703463</v>
      </c>
      <c r="R9" t="s">
        <v>150</v>
      </c>
      <c r="S9" t="s">
        <v>148</v>
      </c>
      <c r="T9" t="s">
        <v>151</v>
      </c>
      <c r="U9" s="137" cm="1">
        <f t="array" ref="U9">_xlfn.IFS(T9="null,",0,T9="","",T9/G9&gt;=0,T9/G9)</f>
        <v>0</v>
      </c>
      <c r="X9" t="s">
        <v>152</v>
      </c>
      <c r="Y9" t="s">
        <v>148</v>
      </c>
      <c r="Z9" t="s">
        <v>151</v>
      </c>
      <c r="AA9" t="s">
        <v>153</v>
      </c>
      <c r="AB9" t="s">
        <v>148</v>
      </c>
      <c r="AC9" t="s">
        <v>151</v>
      </c>
      <c r="AD9" t="s">
        <v>154</v>
      </c>
      <c r="AE9" t="s">
        <v>148</v>
      </c>
      <c r="AF9" t="s">
        <v>151</v>
      </c>
      <c r="AG9" t="s">
        <v>155</v>
      </c>
      <c r="AH9" t="s">
        <v>148</v>
      </c>
      <c r="AI9" t="s">
        <v>156</v>
      </c>
    </row>
    <row r="10" spans="1:35">
      <c r="A10" t="s">
        <v>90</v>
      </c>
      <c r="B10" t="s">
        <v>147</v>
      </c>
      <c r="C10">
        <v>15</v>
      </c>
      <c r="F10" t="s">
        <v>148</v>
      </c>
      <c r="G10">
        <v>314108</v>
      </c>
      <c r="H10" s="137">
        <v>3.1410800000000001E-3</v>
      </c>
      <c r="K10" t="s">
        <v>149</v>
      </c>
      <c r="L10" t="s">
        <v>148</v>
      </c>
      <c r="M10">
        <v>4747929</v>
      </c>
      <c r="O10">
        <f t="shared" si="0"/>
        <v>15.11559399951609</v>
      </c>
      <c r="R10" t="s">
        <v>150</v>
      </c>
      <c r="S10" t="s">
        <v>148</v>
      </c>
      <c r="T10" t="s">
        <v>151</v>
      </c>
      <c r="U10" s="137" cm="1">
        <f t="array" ref="U10">_xlfn.IFS(T10="null,",0,T10="","",T10/G10&gt;=0,T10/G10)</f>
        <v>0</v>
      </c>
      <c r="X10" t="s">
        <v>152</v>
      </c>
      <c r="Y10" t="s">
        <v>148</v>
      </c>
      <c r="Z10" t="s">
        <v>151</v>
      </c>
      <c r="AA10" t="s">
        <v>153</v>
      </c>
      <c r="AB10" t="s">
        <v>148</v>
      </c>
      <c r="AC10" t="s">
        <v>151</v>
      </c>
      <c r="AD10" t="s">
        <v>154</v>
      </c>
      <c r="AE10" t="s">
        <v>148</v>
      </c>
      <c r="AF10" t="s">
        <v>151</v>
      </c>
      <c r="AG10" t="s">
        <v>155</v>
      </c>
      <c r="AH10" t="s">
        <v>148</v>
      </c>
      <c r="AI10" t="s">
        <v>156</v>
      </c>
    </row>
    <row r="11" spans="1:35">
      <c r="A11" t="s">
        <v>90</v>
      </c>
      <c r="B11" t="s">
        <v>147</v>
      </c>
      <c r="C11">
        <v>20</v>
      </c>
      <c r="F11" t="s">
        <v>148</v>
      </c>
      <c r="G11">
        <v>161855</v>
      </c>
      <c r="H11" s="137">
        <v>1.6185500000000001E-3</v>
      </c>
      <c r="K11" t="s">
        <v>149</v>
      </c>
      <c r="L11" t="s">
        <v>148</v>
      </c>
      <c r="M11">
        <v>3292133</v>
      </c>
      <c r="O11">
        <f t="shared" si="0"/>
        <v>20.340014210249915</v>
      </c>
      <c r="R11" t="s">
        <v>150</v>
      </c>
      <c r="S11" t="s">
        <v>148</v>
      </c>
      <c r="T11" t="s">
        <v>151</v>
      </c>
      <c r="U11" s="137" cm="1">
        <f t="array" ref="U11">_xlfn.IFS(T11="null,",0,T11="","",T11/G11&gt;=0,T11/G11)</f>
        <v>0</v>
      </c>
      <c r="X11" t="s">
        <v>152</v>
      </c>
      <c r="Y11" t="s">
        <v>148</v>
      </c>
      <c r="Z11" t="s">
        <v>151</v>
      </c>
      <c r="AA11" t="s">
        <v>153</v>
      </c>
      <c r="AB11" t="s">
        <v>148</v>
      </c>
      <c r="AC11" t="s">
        <v>151</v>
      </c>
      <c r="AD11" t="s">
        <v>154</v>
      </c>
      <c r="AE11" t="s">
        <v>148</v>
      </c>
      <c r="AF11" t="s">
        <v>151</v>
      </c>
      <c r="AG11" t="s">
        <v>155</v>
      </c>
      <c r="AH11" t="s">
        <v>148</v>
      </c>
      <c r="AI11" t="s">
        <v>156</v>
      </c>
    </row>
    <row r="12" spans="1:35">
      <c r="A12" t="s">
        <v>90</v>
      </c>
      <c r="B12" t="s">
        <v>147</v>
      </c>
      <c r="C12">
        <v>25</v>
      </c>
      <c r="F12" t="s">
        <v>148</v>
      </c>
      <c r="G12">
        <v>294850</v>
      </c>
      <c r="H12" s="137">
        <v>2.9485000000000002E-3</v>
      </c>
      <c r="K12" t="s">
        <v>149</v>
      </c>
      <c r="L12" t="s">
        <v>148</v>
      </c>
      <c r="M12">
        <v>7371672</v>
      </c>
      <c r="O12">
        <f t="shared" si="0"/>
        <v>25.001431236221809</v>
      </c>
      <c r="R12" t="s">
        <v>150</v>
      </c>
      <c r="S12" t="s">
        <v>148</v>
      </c>
      <c r="T12" t="s">
        <v>151</v>
      </c>
      <c r="U12" s="137" cm="1">
        <f t="array" ref="U12">_xlfn.IFS(T12="null,",0,T12="","",T12/G12&gt;=0,T12/G12)</f>
        <v>0</v>
      </c>
      <c r="X12" t="s">
        <v>152</v>
      </c>
      <c r="Y12" t="s">
        <v>148</v>
      </c>
      <c r="Z12" t="s">
        <v>151</v>
      </c>
      <c r="AA12" t="s">
        <v>153</v>
      </c>
      <c r="AB12" t="s">
        <v>148</v>
      </c>
      <c r="AC12" t="s">
        <v>151</v>
      </c>
      <c r="AD12" t="s">
        <v>154</v>
      </c>
      <c r="AE12" t="s">
        <v>148</v>
      </c>
      <c r="AF12" t="s">
        <v>151</v>
      </c>
      <c r="AG12" t="s">
        <v>155</v>
      </c>
      <c r="AH12" t="s">
        <v>148</v>
      </c>
      <c r="AI12" t="s">
        <v>156</v>
      </c>
    </row>
    <row r="13" spans="1:35">
      <c r="A13" t="s">
        <v>90</v>
      </c>
      <c r="B13" t="s">
        <v>147</v>
      </c>
      <c r="C13">
        <v>30</v>
      </c>
      <c r="F13" t="s">
        <v>148</v>
      </c>
      <c r="G13">
        <v>22816</v>
      </c>
      <c r="H13" s="137">
        <v>2.2816000000000001E-4</v>
      </c>
      <c r="K13" t="s">
        <v>149</v>
      </c>
      <c r="L13" t="s">
        <v>148</v>
      </c>
      <c r="M13">
        <v>684480</v>
      </c>
      <c r="O13">
        <f t="shared" si="0"/>
        <v>30</v>
      </c>
      <c r="R13" t="s">
        <v>150</v>
      </c>
      <c r="S13" t="s">
        <v>148</v>
      </c>
      <c r="T13" t="s">
        <v>151</v>
      </c>
      <c r="U13" s="137" cm="1">
        <f t="array" ref="U13">_xlfn.IFS(T13="null,",0,T13="","",T13/G13&gt;=0,T13/G13)</f>
        <v>0</v>
      </c>
      <c r="X13" t="s">
        <v>152</v>
      </c>
      <c r="Y13" t="s">
        <v>148</v>
      </c>
      <c r="Z13" t="s">
        <v>151</v>
      </c>
      <c r="AA13" t="s">
        <v>153</v>
      </c>
      <c r="AB13" t="s">
        <v>148</v>
      </c>
      <c r="AC13" t="s">
        <v>151</v>
      </c>
      <c r="AD13" t="s">
        <v>154</v>
      </c>
      <c r="AE13" t="s">
        <v>148</v>
      </c>
      <c r="AF13" t="s">
        <v>151</v>
      </c>
      <c r="AG13" t="s">
        <v>155</v>
      </c>
      <c r="AH13" t="s">
        <v>148</v>
      </c>
      <c r="AI13" t="s">
        <v>156</v>
      </c>
    </row>
    <row r="14" spans="1:35">
      <c r="A14" t="s">
        <v>90</v>
      </c>
      <c r="B14" t="s">
        <v>147</v>
      </c>
      <c r="C14">
        <v>50</v>
      </c>
      <c r="F14" t="s">
        <v>148</v>
      </c>
      <c r="G14">
        <v>465196</v>
      </c>
      <c r="H14" s="137">
        <v>4.6519600000000001E-3</v>
      </c>
      <c r="K14" t="s">
        <v>149</v>
      </c>
      <c r="L14" t="s">
        <v>148</v>
      </c>
      <c r="M14">
        <v>24043774</v>
      </c>
      <c r="O14">
        <f t="shared" si="0"/>
        <v>51.685255247250623</v>
      </c>
      <c r="R14" t="s">
        <v>150</v>
      </c>
      <c r="S14" t="s">
        <v>148</v>
      </c>
      <c r="T14" t="s">
        <v>151</v>
      </c>
      <c r="U14" s="137" cm="1">
        <f t="array" ref="U14">_xlfn.IFS(T14="null,",0,T14="","",T14/G14&gt;=0,T14/G14)</f>
        <v>0</v>
      </c>
      <c r="X14" t="s">
        <v>152</v>
      </c>
      <c r="Y14" t="s">
        <v>148</v>
      </c>
      <c r="Z14" t="s">
        <v>151</v>
      </c>
      <c r="AA14" t="s">
        <v>153</v>
      </c>
      <c r="AB14" t="s">
        <v>148</v>
      </c>
      <c r="AC14" t="s">
        <v>151</v>
      </c>
      <c r="AD14" t="s">
        <v>154</v>
      </c>
      <c r="AE14" t="s">
        <v>148</v>
      </c>
      <c r="AF14" t="s">
        <v>151</v>
      </c>
      <c r="AG14" t="s">
        <v>155</v>
      </c>
      <c r="AH14" t="s">
        <v>148</v>
      </c>
      <c r="AI14" t="s">
        <v>156</v>
      </c>
    </row>
    <row r="15" spans="1:35">
      <c r="A15" t="s">
        <v>90</v>
      </c>
      <c r="B15" t="s">
        <v>147</v>
      </c>
      <c r="C15">
        <v>60</v>
      </c>
      <c r="F15" t="s">
        <v>148</v>
      </c>
      <c r="G15">
        <v>7544</v>
      </c>
      <c r="H15" s="137">
        <v>7.5439999999999996E-5</v>
      </c>
      <c r="K15" t="s">
        <v>149</v>
      </c>
      <c r="L15" t="s">
        <v>148</v>
      </c>
      <c r="M15">
        <v>459470</v>
      </c>
      <c r="O15">
        <f t="shared" si="0"/>
        <v>60.905355249204668</v>
      </c>
      <c r="R15" t="s">
        <v>150</v>
      </c>
      <c r="S15" t="s">
        <v>148</v>
      </c>
      <c r="T15" t="s">
        <v>151</v>
      </c>
      <c r="U15" s="137" cm="1">
        <f t="array" ref="U15">_xlfn.IFS(T15="null,",0,T15="","",T15/G15&gt;=0,T15/G15)</f>
        <v>0</v>
      </c>
      <c r="X15" t="s">
        <v>152</v>
      </c>
      <c r="Y15" t="s">
        <v>148</v>
      </c>
      <c r="Z15" t="s">
        <v>151</v>
      </c>
      <c r="AA15" t="s">
        <v>153</v>
      </c>
      <c r="AB15" t="s">
        <v>148</v>
      </c>
      <c r="AC15" t="s">
        <v>151</v>
      </c>
      <c r="AD15" t="s">
        <v>154</v>
      </c>
      <c r="AE15" t="s">
        <v>148</v>
      </c>
      <c r="AF15" t="s">
        <v>151</v>
      </c>
      <c r="AG15" t="s">
        <v>155</v>
      </c>
      <c r="AH15" t="s">
        <v>148</v>
      </c>
      <c r="AI15" t="s">
        <v>156</v>
      </c>
    </row>
    <row r="16" spans="1:35">
      <c r="A16" t="s">
        <v>90</v>
      </c>
      <c r="B16" t="s">
        <v>147</v>
      </c>
      <c r="C16">
        <v>70</v>
      </c>
      <c r="F16" t="s">
        <v>148</v>
      </c>
      <c r="G16">
        <v>63</v>
      </c>
      <c r="H16" s="137">
        <v>6.3E-7</v>
      </c>
      <c r="K16" t="s">
        <v>149</v>
      </c>
      <c r="L16" t="s">
        <v>148</v>
      </c>
      <c r="M16">
        <v>4410</v>
      </c>
      <c r="O16">
        <f t="shared" si="0"/>
        <v>70</v>
      </c>
      <c r="R16" t="s">
        <v>150</v>
      </c>
      <c r="S16" t="s">
        <v>148</v>
      </c>
      <c r="T16" t="s">
        <v>151</v>
      </c>
      <c r="U16" s="137" cm="1">
        <f t="array" ref="U16">_xlfn.IFS(T16="null,",0,T16="","",T16/G16&gt;=0,T16/G16)</f>
        <v>0</v>
      </c>
      <c r="X16" t="s">
        <v>152</v>
      </c>
      <c r="Y16" t="s">
        <v>148</v>
      </c>
      <c r="Z16" t="s">
        <v>151</v>
      </c>
      <c r="AA16" t="s">
        <v>153</v>
      </c>
      <c r="AB16" t="s">
        <v>148</v>
      </c>
      <c r="AC16" t="s">
        <v>151</v>
      </c>
      <c r="AD16" t="s">
        <v>154</v>
      </c>
      <c r="AE16" t="s">
        <v>148</v>
      </c>
      <c r="AF16" t="s">
        <v>151</v>
      </c>
      <c r="AG16" t="s">
        <v>155</v>
      </c>
      <c r="AH16" t="s">
        <v>148</v>
      </c>
      <c r="AI16" t="s">
        <v>156</v>
      </c>
    </row>
    <row r="17" spans="1:35">
      <c r="A17" t="s">
        <v>90</v>
      </c>
      <c r="B17" t="s">
        <v>147</v>
      </c>
      <c r="C17">
        <v>100</v>
      </c>
      <c r="F17" t="s">
        <v>148</v>
      </c>
      <c r="G17">
        <v>58187</v>
      </c>
      <c r="H17" s="137">
        <v>5.8186999999999996E-4</v>
      </c>
      <c r="K17" t="s">
        <v>149</v>
      </c>
      <c r="L17" t="s">
        <v>148</v>
      </c>
      <c r="M17">
        <v>5883859</v>
      </c>
      <c r="O17">
        <f t="shared" si="0"/>
        <v>101.11982057847973</v>
      </c>
      <c r="R17" t="s">
        <v>150</v>
      </c>
      <c r="S17" t="s">
        <v>148</v>
      </c>
      <c r="T17" t="s">
        <v>151</v>
      </c>
      <c r="U17" s="137" cm="1">
        <f t="array" ref="U17">_xlfn.IFS(T17="null,",0,T17="","",T17/G17&gt;=0,T17/G17)</f>
        <v>0</v>
      </c>
      <c r="X17" t="s">
        <v>152</v>
      </c>
      <c r="Y17" t="s">
        <v>148</v>
      </c>
      <c r="Z17" t="s">
        <v>151</v>
      </c>
      <c r="AA17" t="s">
        <v>153</v>
      </c>
      <c r="AB17" t="s">
        <v>148</v>
      </c>
      <c r="AC17" t="s">
        <v>151</v>
      </c>
      <c r="AD17" t="s">
        <v>154</v>
      </c>
      <c r="AE17" t="s">
        <v>148</v>
      </c>
      <c r="AF17" t="s">
        <v>151</v>
      </c>
      <c r="AG17" t="s">
        <v>155</v>
      </c>
      <c r="AH17" t="s">
        <v>148</v>
      </c>
      <c r="AI17" t="s">
        <v>156</v>
      </c>
    </row>
    <row r="18" spans="1:35">
      <c r="A18" t="s">
        <v>90</v>
      </c>
      <c r="B18" t="s">
        <v>147</v>
      </c>
      <c r="C18">
        <v>140</v>
      </c>
      <c r="F18" t="s">
        <v>148</v>
      </c>
      <c r="G18">
        <v>1</v>
      </c>
      <c r="H18" s="137">
        <v>1E-8</v>
      </c>
      <c r="K18" t="s">
        <v>149</v>
      </c>
      <c r="L18" t="s">
        <v>148</v>
      </c>
      <c r="M18">
        <v>155</v>
      </c>
      <c r="O18">
        <f t="shared" si="0"/>
        <v>155</v>
      </c>
      <c r="R18" t="s">
        <v>150</v>
      </c>
      <c r="S18" t="s">
        <v>148</v>
      </c>
      <c r="T18" t="s">
        <v>151</v>
      </c>
      <c r="U18" s="137" cm="1">
        <f t="array" ref="U18">_xlfn.IFS(T18="null,",0,T18="","",T18/G18&gt;=0,T18/G18)</f>
        <v>0</v>
      </c>
      <c r="X18" t="s">
        <v>152</v>
      </c>
      <c r="Y18" t="s">
        <v>148</v>
      </c>
      <c r="Z18" t="s">
        <v>151</v>
      </c>
      <c r="AA18" t="s">
        <v>153</v>
      </c>
      <c r="AB18" t="s">
        <v>148</v>
      </c>
      <c r="AC18" t="s">
        <v>151</v>
      </c>
      <c r="AD18" t="s">
        <v>154</v>
      </c>
      <c r="AE18" t="s">
        <v>148</v>
      </c>
      <c r="AF18" t="s">
        <v>151</v>
      </c>
      <c r="AG18" t="s">
        <v>155</v>
      </c>
      <c r="AH18" t="s">
        <v>148</v>
      </c>
      <c r="AI18" t="s">
        <v>156</v>
      </c>
    </row>
    <row r="19" spans="1:35">
      <c r="A19" t="s">
        <v>90</v>
      </c>
      <c r="B19" t="s">
        <v>147</v>
      </c>
      <c r="C19">
        <v>500</v>
      </c>
      <c r="F19" t="s">
        <v>148</v>
      </c>
      <c r="G19">
        <v>14</v>
      </c>
      <c r="H19" s="137">
        <v>1.4000000000000001E-7</v>
      </c>
      <c r="K19" t="s">
        <v>149</v>
      </c>
      <c r="L19" t="s">
        <v>148</v>
      </c>
      <c r="M19">
        <v>7040</v>
      </c>
      <c r="O19">
        <f t="shared" si="0"/>
        <v>502.85714285714283</v>
      </c>
      <c r="R19" t="s">
        <v>150</v>
      </c>
      <c r="S19" t="s">
        <v>148</v>
      </c>
      <c r="T19" t="s">
        <v>151</v>
      </c>
      <c r="U19" s="137" cm="1">
        <f t="array" ref="U19">_xlfn.IFS(T19="null,",0,T19="","",T19/G19&gt;=0,T19/G19)</f>
        <v>0</v>
      </c>
      <c r="X19" t="s">
        <v>152</v>
      </c>
      <c r="Y19" t="s">
        <v>148</v>
      </c>
      <c r="Z19" t="s">
        <v>151</v>
      </c>
      <c r="AA19" t="s">
        <v>153</v>
      </c>
      <c r="AB19" t="s">
        <v>148</v>
      </c>
      <c r="AC19" t="s">
        <v>151</v>
      </c>
      <c r="AD19" t="s">
        <v>154</v>
      </c>
      <c r="AE19" t="s">
        <v>148</v>
      </c>
      <c r="AF19" t="s">
        <v>151</v>
      </c>
      <c r="AG19" t="s">
        <v>155</v>
      </c>
      <c r="AH19" t="s">
        <v>148</v>
      </c>
      <c r="AI19" t="s">
        <v>156</v>
      </c>
    </row>
    <row r="20" spans="1:35">
      <c r="H20" s="137"/>
      <c r="U20" s="137" t="str" cm="1">
        <f t="array" ref="U20">_xlfn.IFS(T20="null,",0,T20="","",T20/G20&gt;=0,T20/G20)</f>
        <v/>
      </c>
    </row>
    <row r="22" spans="1:35">
      <c r="A22" t="s">
        <v>91</v>
      </c>
      <c r="B22" t="s">
        <v>147</v>
      </c>
      <c r="C22">
        <v>-1</v>
      </c>
      <c r="F22" t="s">
        <v>148</v>
      </c>
      <c r="G22">
        <v>27765510</v>
      </c>
      <c r="H22" s="191" cm="1">
        <f t="array" ref="H22:H43">G22:G43/SUM(G22:G43)</f>
        <v>0.27765509999999999</v>
      </c>
      <c r="AA22" s="137"/>
    </row>
    <row r="23" spans="1:35">
      <c r="A23" t="s">
        <v>91</v>
      </c>
      <c r="B23" t="s">
        <v>147</v>
      </c>
      <c r="C23">
        <v>0</v>
      </c>
      <c r="F23" t="s">
        <v>148</v>
      </c>
      <c r="G23">
        <v>9718529</v>
      </c>
      <c r="H23" s="191">
        <v>9.7185289999999994E-2</v>
      </c>
      <c r="K23" t="s">
        <v>149</v>
      </c>
      <c r="L23" t="s">
        <v>148</v>
      </c>
      <c r="M23">
        <v>971852900</v>
      </c>
      <c r="O23">
        <f>M23/G23/$O$1/100</f>
        <v>1</v>
      </c>
      <c r="R23" t="s">
        <v>150</v>
      </c>
      <c r="S23" t="s">
        <v>148</v>
      </c>
      <c r="T23" t="s">
        <v>156</v>
      </c>
      <c r="U23" t="s">
        <v>152</v>
      </c>
      <c r="V23" t="s">
        <v>148</v>
      </c>
      <c r="W23">
        <v>1388023</v>
      </c>
      <c r="X23" t="s">
        <v>153</v>
      </c>
      <c r="Y23" t="s">
        <v>148</v>
      </c>
      <c r="Z23" t="s">
        <v>156</v>
      </c>
      <c r="AA23" t="s">
        <v>154</v>
      </c>
      <c r="AB23" t="s">
        <v>148</v>
      </c>
      <c r="AC23" t="s">
        <v>156</v>
      </c>
      <c r="AD23" t="s">
        <v>155</v>
      </c>
      <c r="AE23" s="137" t="s">
        <v>148</v>
      </c>
      <c r="AF23" t="s">
        <v>156</v>
      </c>
    </row>
    <row r="24" spans="1:35">
      <c r="A24" t="s">
        <v>91</v>
      </c>
      <c r="B24" t="s">
        <v>147</v>
      </c>
      <c r="C24">
        <v>1</v>
      </c>
      <c r="F24" t="s">
        <v>148</v>
      </c>
      <c r="G24">
        <v>3470722</v>
      </c>
      <c r="H24" s="191">
        <v>3.4707219999999997E-2</v>
      </c>
      <c r="K24" t="s">
        <v>149</v>
      </c>
      <c r="L24" t="s">
        <v>148</v>
      </c>
      <c r="M24">
        <v>694144400</v>
      </c>
      <c r="O24">
        <f t="shared" ref="O24:O43" si="1">M24/G24/$O$1/100</f>
        <v>2</v>
      </c>
      <c r="R24" t="s">
        <v>150</v>
      </c>
      <c r="S24" t="s">
        <v>148</v>
      </c>
      <c r="T24" t="s">
        <v>156</v>
      </c>
      <c r="U24" t="s">
        <v>152</v>
      </c>
      <c r="V24" t="s">
        <v>148</v>
      </c>
      <c r="W24">
        <v>694221</v>
      </c>
      <c r="X24" t="s">
        <v>153</v>
      </c>
      <c r="Y24" t="s">
        <v>148</v>
      </c>
      <c r="Z24" t="s">
        <v>156</v>
      </c>
      <c r="AA24" t="s">
        <v>154</v>
      </c>
      <c r="AB24" t="s">
        <v>148</v>
      </c>
      <c r="AC24" t="s">
        <v>156</v>
      </c>
      <c r="AD24" t="s">
        <v>155</v>
      </c>
      <c r="AE24" s="137" t="s">
        <v>148</v>
      </c>
      <c r="AF24" t="s">
        <v>156</v>
      </c>
    </row>
    <row r="25" spans="1:35">
      <c r="A25" t="s">
        <v>91</v>
      </c>
      <c r="B25" t="s">
        <v>147</v>
      </c>
      <c r="C25">
        <v>4</v>
      </c>
      <c r="F25" t="s">
        <v>148</v>
      </c>
      <c r="G25">
        <v>12505433</v>
      </c>
      <c r="H25" s="191">
        <v>0.12505432999999999</v>
      </c>
      <c r="K25" t="s">
        <v>149</v>
      </c>
      <c r="L25" t="s">
        <v>148</v>
      </c>
      <c r="M25">
        <v>6252716500</v>
      </c>
      <c r="O25">
        <f t="shared" si="1"/>
        <v>5</v>
      </c>
      <c r="R25" t="s">
        <v>150</v>
      </c>
      <c r="S25" t="s">
        <v>148</v>
      </c>
      <c r="T25" t="s">
        <v>156</v>
      </c>
      <c r="U25" t="s">
        <v>152</v>
      </c>
      <c r="V25" t="s">
        <v>148</v>
      </c>
      <c r="W25">
        <v>1389964</v>
      </c>
      <c r="X25" t="s">
        <v>153</v>
      </c>
      <c r="Y25" t="s">
        <v>148</v>
      </c>
      <c r="Z25" t="s">
        <v>156</v>
      </c>
      <c r="AA25" t="s">
        <v>154</v>
      </c>
      <c r="AB25" t="s">
        <v>148</v>
      </c>
      <c r="AC25" t="s">
        <v>156</v>
      </c>
      <c r="AD25" t="s">
        <v>155</v>
      </c>
      <c r="AE25" s="137" t="s">
        <v>148</v>
      </c>
      <c r="AF25" t="s">
        <v>156</v>
      </c>
    </row>
    <row r="26" spans="1:35">
      <c r="A26" t="s">
        <v>91</v>
      </c>
      <c r="B26" t="s">
        <v>147</v>
      </c>
      <c r="C26">
        <v>5</v>
      </c>
      <c r="F26" t="s">
        <v>148</v>
      </c>
      <c r="G26">
        <v>1388947</v>
      </c>
      <c r="H26" s="191">
        <v>1.3889469999999999E-2</v>
      </c>
      <c r="K26" t="s">
        <v>149</v>
      </c>
      <c r="L26" t="s">
        <v>148</v>
      </c>
      <c r="M26">
        <v>833368200</v>
      </c>
      <c r="O26">
        <f t="shared" si="1"/>
        <v>6</v>
      </c>
      <c r="R26" t="s">
        <v>150</v>
      </c>
      <c r="S26" t="s">
        <v>148</v>
      </c>
      <c r="T26" t="s">
        <v>156</v>
      </c>
      <c r="U26" t="s">
        <v>152</v>
      </c>
      <c r="V26" t="s">
        <v>148</v>
      </c>
      <c r="W26">
        <v>1388947</v>
      </c>
      <c r="X26" t="s">
        <v>153</v>
      </c>
      <c r="Y26" t="s">
        <v>148</v>
      </c>
      <c r="Z26" t="s">
        <v>156</v>
      </c>
      <c r="AA26" t="s">
        <v>154</v>
      </c>
      <c r="AB26" t="s">
        <v>148</v>
      </c>
      <c r="AC26" t="s">
        <v>156</v>
      </c>
      <c r="AD26" t="s">
        <v>155</v>
      </c>
      <c r="AE26" s="137" t="s">
        <v>148</v>
      </c>
      <c r="AF26" t="s">
        <v>156</v>
      </c>
    </row>
    <row r="27" spans="1:35">
      <c r="A27" t="s">
        <v>91</v>
      </c>
      <c r="B27" t="s">
        <v>147</v>
      </c>
      <c r="C27">
        <v>9</v>
      </c>
      <c r="F27" t="s">
        <v>148</v>
      </c>
      <c r="G27">
        <v>9957442</v>
      </c>
      <c r="H27" s="191">
        <v>9.9574419999999997E-2</v>
      </c>
      <c r="K27" t="s">
        <v>149</v>
      </c>
      <c r="L27" t="s">
        <v>148</v>
      </c>
      <c r="M27">
        <v>9957442000</v>
      </c>
      <c r="O27">
        <f t="shared" si="1"/>
        <v>10</v>
      </c>
      <c r="R27" t="s">
        <v>150</v>
      </c>
      <c r="S27" t="s">
        <v>148</v>
      </c>
      <c r="T27" t="s">
        <v>156</v>
      </c>
      <c r="U27" t="s">
        <v>152</v>
      </c>
      <c r="V27" t="s">
        <v>148</v>
      </c>
      <c r="W27">
        <v>1621508</v>
      </c>
      <c r="X27" t="s">
        <v>153</v>
      </c>
      <c r="Y27" t="s">
        <v>148</v>
      </c>
      <c r="Z27" t="s">
        <v>156</v>
      </c>
      <c r="AA27" t="s">
        <v>154</v>
      </c>
      <c r="AB27" t="s">
        <v>148</v>
      </c>
      <c r="AC27" t="s">
        <v>156</v>
      </c>
      <c r="AD27" t="s">
        <v>155</v>
      </c>
      <c r="AE27" s="137" t="s">
        <v>148</v>
      </c>
      <c r="AF27" t="s">
        <v>156</v>
      </c>
    </row>
    <row r="28" spans="1:35">
      <c r="A28" t="s">
        <v>91</v>
      </c>
      <c r="B28" t="s">
        <v>147</v>
      </c>
      <c r="C28">
        <v>10</v>
      </c>
      <c r="F28" t="s">
        <v>148</v>
      </c>
      <c r="G28">
        <v>5325540</v>
      </c>
      <c r="H28" s="191">
        <v>5.3255400000000001E-2</v>
      </c>
      <c r="K28" t="s">
        <v>149</v>
      </c>
      <c r="L28" t="s">
        <v>148</v>
      </c>
      <c r="M28">
        <v>6900132300</v>
      </c>
      <c r="O28">
        <f t="shared" si="1"/>
        <v>12.956681012629707</v>
      </c>
      <c r="R28" t="s">
        <v>150</v>
      </c>
      <c r="S28" t="s">
        <v>148</v>
      </c>
      <c r="T28" t="s">
        <v>156</v>
      </c>
      <c r="U28" t="s">
        <v>152</v>
      </c>
      <c r="V28" t="s">
        <v>148</v>
      </c>
      <c r="W28">
        <v>2546798</v>
      </c>
      <c r="X28" t="s">
        <v>153</v>
      </c>
      <c r="Y28" t="s">
        <v>148</v>
      </c>
      <c r="Z28" t="s">
        <v>156</v>
      </c>
      <c r="AA28" t="s">
        <v>154</v>
      </c>
      <c r="AB28" t="s">
        <v>148</v>
      </c>
      <c r="AC28" t="s">
        <v>156</v>
      </c>
      <c r="AD28" t="s">
        <v>155</v>
      </c>
      <c r="AE28" s="137" t="s">
        <v>148</v>
      </c>
      <c r="AF28" t="s">
        <v>156</v>
      </c>
    </row>
    <row r="29" spans="1:35">
      <c r="A29" t="s">
        <v>91</v>
      </c>
      <c r="B29" t="s">
        <v>147</v>
      </c>
      <c r="C29">
        <v>15</v>
      </c>
      <c r="F29" t="s">
        <v>148</v>
      </c>
      <c r="G29">
        <v>2856435</v>
      </c>
      <c r="H29" s="191">
        <v>2.8564349999999999E-2</v>
      </c>
      <c r="K29" t="s">
        <v>149</v>
      </c>
      <c r="L29" t="s">
        <v>148</v>
      </c>
      <c r="M29">
        <v>5527633600</v>
      </c>
      <c r="O29">
        <f t="shared" si="1"/>
        <v>19.35151193708241</v>
      </c>
      <c r="R29" t="s">
        <v>150</v>
      </c>
      <c r="S29" t="s">
        <v>148</v>
      </c>
      <c r="T29" t="s">
        <v>156</v>
      </c>
      <c r="U29" t="s">
        <v>152</v>
      </c>
      <c r="V29" t="s">
        <v>148</v>
      </c>
      <c r="W29">
        <v>1002205</v>
      </c>
      <c r="X29" t="s">
        <v>153</v>
      </c>
      <c r="Y29" t="s">
        <v>148</v>
      </c>
      <c r="Z29" t="s">
        <v>156</v>
      </c>
      <c r="AA29" t="s">
        <v>154</v>
      </c>
      <c r="AB29" t="s">
        <v>148</v>
      </c>
      <c r="AC29" t="s">
        <v>156</v>
      </c>
      <c r="AD29" t="s">
        <v>155</v>
      </c>
      <c r="AE29" s="137" t="s">
        <v>148</v>
      </c>
      <c r="AF29" t="s">
        <v>156</v>
      </c>
    </row>
    <row r="30" spans="1:35">
      <c r="A30" t="s">
        <v>91</v>
      </c>
      <c r="B30" t="s">
        <v>147</v>
      </c>
      <c r="C30">
        <v>20</v>
      </c>
      <c r="F30" t="s">
        <v>148</v>
      </c>
      <c r="G30">
        <v>3568880</v>
      </c>
      <c r="H30" s="191">
        <v>3.56888E-2</v>
      </c>
      <c r="K30" t="s">
        <v>149</v>
      </c>
      <c r="L30" t="s">
        <v>148</v>
      </c>
      <c r="M30">
        <v>8716099000</v>
      </c>
      <c r="O30">
        <f t="shared" si="1"/>
        <v>24.422505099639103</v>
      </c>
      <c r="R30" t="s">
        <v>150</v>
      </c>
      <c r="S30" t="s">
        <v>148</v>
      </c>
      <c r="T30" t="s">
        <v>156</v>
      </c>
      <c r="U30" t="s">
        <v>152</v>
      </c>
      <c r="V30" t="s">
        <v>148</v>
      </c>
      <c r="W30">
        <v>327626</v>
      </c>
      <c r="X30" t="s">
        <v>153</v>
      </c>
      <c r="Y30" t="s">
        <v>148</v>
      </c>
      <c r="Z30" t="s">
        <v>156</v>
      </c>
      <c r="AA30" t="s">
        <v>154</v>
      </c>
      <c r="AB30" t="s">
        <v>148</v>
      </c>
      <c r="AC30" t="s">
        <v>156</v>
      </c>
      <c r="AD30" t="s">
        <v>155</v>
      </c>
      <c r="AE30" s="137" t="s">
        <v>148</v>
      </c>
      <c r="AF30" t="s">
        <v>156</v>
      </c>
    </row>
    <row r="31" spans="1:35">
      <c r="A31" t="s">
        <v>91</v>
      </c>
      <c r="B31" t="s">
        <v>147</v>
      </c>
      <c r="C31">
        <v>25</v>
      </c>
      <c r="F31" t="s">
        <v>148</v>
      </c>
      <c r="G31">
        <v>521546</v>
      </c>
      <c r="H31" s="191">
        <v>5.2154599999999999E-3</v>
      </c>
      <c r="K31" t="s">
        <v>149</v>
      </c>
      <c r="L31" t="s">
        <v>148</v>
      </c>
      <c r="M31">
        <v>1549244400</v>
      </c>
      <c r="O31">
        <f t="shared" si="1"/>
        <v>29.704846744103111</v>
      </c>
      <c r="R31" t="s">
        <v>150</v>
      </c>
      <c r="S31" t="s">
        <v>148</v>
      </c>
      <c r="T31" t="s">
        <v>156</v>
      </c>
      <c r="U31" t="s">
        <v>152</v>
      </c>
      <c r="V31" t="s">
        <v>148</v>
      </c>
      <c r="W31">
        <v>57981</v>
      </c>
      <c r="X31" t="s">
        <v>153</v>
      </c>
      <c r="Y31" t="s">
        <v>148</v>
      </c>
      <c r="Z31" t="s">
        <v>156</v>
      </c>
      <c r="AA31" t="s">
        <v>154</v>
      </c>
      <c r="AB31" t="s">
        <v>148</v>
      </c>
      <c r="AC31" t="s">
        <v>156</v>
      </c>
      <c r="AD31" t="s">
        <v>155</v>
      </c>
      <c r="AE31" s="137" t="s">
        <v>148</v>
      </c>
      <c r="AF31" t="s">
        <v>156</v>
      </c>
    </row>
    <row r="32" spans="1:35">
      <c r="A32" t="s">
        <v>91</v>
      </c>
      <c r="B32" t="s">
        <v>147</v>
      </c>
      <c r="C32">
        <v>45</v>
      </c>
      <c r="F32" t="s">
        <v>148</v>
      </c>
      <c r="G32">
        <v>3474008</v>
      </c>
      <c r="H32" s="191">
        <v>3.474008E-2</v>
      </c>
      <c r="K32" t="s">
        <v>149</v>
      </c>
      <c r="L32" t="s">
        <v>148</v>
      </c>
      <c r="M32">
        <v>17370040000</v>
      </c>
      <c r="O32">
        <f t="shared" si="1"/>
        <v>50</v>
      </c>
      <c r="R32" t="s">
        <v>150</v>
      </c>
      <c r="S32" t="s">
        <v>148</v>
      </c>
      <c r="T32" t="s">
        <v>156</v>
      </c>
      <c r="U32" t="s">
        <v>152</v>
      </c>
      <c r="V32" t="s">
        <v>148</v>
      </c>
      <c r="W32">
        <v>231594</v>
      </c>
      <c r="X32" t="s">
        <v>153</v>
      </c>
      <c r="Y32" t="s">
        <v>148</v>
      </c>
      <c r="Z32" t="s">
        <v>156</v>
      </c>
      <c r="AA32" t="s">
        <v>154</v>
      </c>
      <c r="AB32" t="s">
        <v>148</v>
      </c>
      <c r="AC32" t="s">
        <v>156</v>
      </c>
      <c r="AD32" t="s">
        <v>155</v>
      </c>
      <c r="AE32" s="137" t="s">
        <v>148</v>
      </c>
      <c r="AF32" t="s">
        <v>156</v>
      </c>
    </row>
    <row r="33" spans="1:32">
      <c r="A33" t="s">
        <v>91</v>
      </c>
      <c r="B33" t="s">
        <v>147</v>
      </c>
      <c r="C33">
        <v>50</v>
      </c>
      <c r="F33" t="s">
        <v>148</v>
      </c>
      <c r="G33">
        <v>5248740</v>
      </c>
      <c r="H33" s="191">
        <v>5.2487399999999997E-2</v>
      </c>
      <c r="K33" t="s">
        <v>149</v>
      </c>
      <c r="L33" t="s">
        <v>148</v>
      </c>
      <c r="M33">
        <v>28296905400</v>
      </c>
      <c r="O33">
        <f t="shared" si="1"/>
        <v>53.911806262074322</v>
      </c>
      <c r="R33" t="s">
        <v>150</v>
      </c>
      <c r="S33" t="s">
        <v>148</v>
      </c>
      <c r="T33" t="s">
        <v>156</v>
      </c>
      <c r="U33" t="s">
        <v>152</v>
      </c>
      <c r="V33" t="s">
        <v>148</v>
      </c>
      <c r="W33">
        <v>2005532</v>
      </c>
      <c r="X33" t="s">
        <v>153</v>
      </c>
      <c r="Y33" t="s">
        <v>148</v>
      </c>
      <c r="Z33" t="s">
        <v>156</v>
      </c>
      <c r="AA33" t="s">
        <v>154</v>
      </c>
      <c r="AB33" t="s">
        <v>148</v>
      </c>
      <c r="AC33" t="s">
        <v>156</v>
      </c>
      <c r="AD33" t="s">
        <v>155</v>
      </c>
      <c r="AE33" s="137" t="s">
        <v>148</v>
      </c>
      <c r="AF33" t="s">
        <v>156</v>
      </c>
    </row>
    <row r="34" spans="1:32">
      <c r="A34" t="s">
        <v>91</v>
      </c>
      <c r="B34" t="s">
        <v>147</v>
      </c>
      <c r="C34">
        <v>60</v>
      </c>
      <c r="F34" t="s">
        <v>148</v>
      </c>
      <c r="G34">
        <v>540279</v>
      </c>
      <c r="H34" s="191">
        <v>5.4027900000000002E-3</v>
      </c>
      <c r="K34" t="s">
        <v>149</v>
      </c>
      <c r="L34" t="s">
        <v>148</v>
      </c>
      <c r="M34">
        <v>3449977900</v>
      </c>
      <c r="O34">
        <f t="shared" si="1"/>
        <v>63.855487627688653</v>
      </c>
      <c r="R34" t="s">
        <v>150</v>
      </c>
      <c r="S34" t="s">
        <v>148</v>
      </c>
      <c r="T34" t="s">
        <v>156</v>
      </c>
      <c r="U34" t="s">
        <v>152</v>
      </c>
      <c r="V34" t="s">
        <v>148</v>
      </c>
      <c r="W34">
        <v>540279</v>
      </c>
      <c r="X34" t="s">
        <v>153</v>
      </c>
      <c r="Y34" t="s">
        <v>148</v>
      </c>
      <c r="Z34" t="s">
        <v>156</v>
      </c>
      <c r="AA34" t="s">
        <v>154</v>
      </c>
      <c r="AB34" t="s">
        <v>148</v>
      </c>
      <c r="AC34" t="s">
        <v>156</v>
      </c>
      <c r="AD34" t="s">
        <v>155</v>
      </c>
      <c r="AE34" s="137" t="s">
        <v>148</v>
      </c>
      <c r="AF34" t="s">
        <v>156</v>
      </c>
    </row>
    <row r="35" spans="1:32">
      <c r="A35" t="s">
        <v>91</v>
      </c>
      <c r="B35" t="s">
        <v>147</v>
      </c>
      <c r="C35">
        <v>70</v>
      </c>
      <c r="F35" t="s">
        <v>148</v>
      </c>
      <c r="G35">
        <v>463106</v>
      </c>
      <c r="H35" s="191">
        <v>4.6310600000000002E-3</v>
      </c>
      <c r="K35" t="s">
        <v>149</v>
      </c>
      <c r="L35" t="s">
        <v>148</v>
      </c>
      <c r="M35">
        <v>3473295000</v>
      </c>
      <c r="O35">
        <f t="shared" si="1"/>
        <v>75</v>
      </c>
      <c r="R35" t="s">
        <v>150</v>
      </c>
      <c r="S35" t="s">
        <v>148</v>
      </c>
      <c r="T35" t="s">
        <v>156</v>
      </c>
      <c r="U35" t="s">
        <v>152</v>
      </c>
      <c r="V35" t="s">
        <v>148</v>
      </c>
      <c r="W35" t="s">
        <v>156</v>
      </c>
      <c r="X35" t="s">
        <v>153</v>
      </c>
      <c r="Y35" t="s">
        <v>148</v>
      </c>
      <c r="Z35" t="s">
        <v>156</v>
      </c>
      <c r="AA35" t="s">
        <v>154</v>
      </c>
      <c r="AB35" t="s">
        <v>148</v>
      </c>
      <c r="AC35" t="s">
        <v>156</v>
      </c>
      <c r="AD35" t="s">
        <v>155</v>
      </c>
      <c r="AE35" s="137" t="s">
        <v>148</v>
      </c>
      <c r="AF35" t="s">
        <v>156</v>
      </c>
    </row>
    <row r="36" spans="1:32">
      <c r="A36" t="s">
        <v>91</v>
      </c>
      <c r="B36" t="s">
        <v>147</v>
      </c>
      <c r="C36">
        <v>90</v>
      </c>
      <c r="F36" t="s">
        <v>148</v>
      </c>
      <c r="G36">
        <v>2103874</v>
      </c>
      <c r="H36" s="191">
        <v>2.103874E-2</v>
      </c>
      <c r="K36" t="s">
        <v>149</v>
      </c>
      <c r="L36" t="s">
        <v>148</v>
      </c>
      <c r="M36">
        <v>21038740000</v>
      </c>
      <c r="O36">
        <f t="shared" si="1"/>
        <v>100</v>
      </c>
      <c r="R36" t="s">
        <v>150</v>
      </c>
      <c r="S36" t="s">
        <v>148</v>
      </c>
      <c r="T36" t="s">
        <v>156</v>
      </c>
      <c r="U36" t="s">
        <v>152</v>
      </c>
      <c r="V36" t="s">
        <v>148</v>
      </c>
      <c r="W36">
        <v>251027</v>
      </c>
      <c r="X36" t="s">
        <v>153</v>
      </c>
      <c r="Y36" t="s">
        <v>148</v>
      </c>
      <c r="Z36" t="s">
        <v>156</v>
      </c>
      <c r="AA36" t="s">
        <v>154</v>
      </c>
      <c r="AB36" t="s">
        <v>148</v>
      </c>
      <c r="AC36" t="s">
        <v>156</v>
      </c>
      <c r="AD36" t="s">
        <v>155</v>
      </c>
      <c r="AE36" s="137" t="s">
        <v>148</v>
      </c>
      <c r="AF36" t="s">
        <v>156</v>
      </c>
    </row>
    <row r="37" spans="1:32">
      <c r="A37" t="s">
        <v>91</v>
      </c>
      <c r="B37" t="s">
        <v>147</v>
      </c>
      <c r="C37">
        <v>100</v>
      </c>
      <c r="F37" t="s">
        <v>148</v>
      </c>
      <c r="G37">
        <v>6406460</v>
      </c>
      <c r="H37" s="191">
        <v>6.4064599999999999E-2</v>
      </c>
      <c r="K37" t="s">
        <v>149</v>
      </c>
      <c r="L37" t="s">
        <v>148</v>
      </c>
      <c r="M37">
        <v>67261879400</v>
      </c>
      <c r="O37">
        <f t="shared" si="1"/>
        <v>104.99071156301608</v>
      </c>
      <c r="R37" t="s">
        <v>150</v>
      </c>
      <c r="S37" t="s">
        <v>148</v>
      </c>
      <c r="T37" t="s">
        <v>156</v>
      </c>
      <c r="U37" t="s">
        <v>152</v>
      </c>
      <c r="V37" t="s">
        <v>148</v>
      </c>
      <c r="W37">
        <v>2702663</v>
      </c>
      <c r="X37" t="s">
        <v>153</v>
      </c>
      <c r="Y37" t="s">
        <v>148</v>
      </c>
      <c r="Z37" t="s">
        <v>156</v>
      </c>
      <c r="AA37" t="s">
        <v>154</v>
      </c>
      <c r="AB37" t="s">
        <v>148</v>
      </c>
      <c r="AC37" t="s">
        <v>156</v>
      </c>
      <c r="AD37" t="s">
        <v>155</v>
      </c>
      <c r="AE37" s="137" t="s">
        <v>148</v>
      </c>
      <c r="AF37" t="s">
        <v>156</v>
      </c>
    </row>
    <row r="38" spans="1:32">
      <c r="A38" t="s">
        <v>91</v>
      </c>
      <c r="B38" t="s">
        <v>147</v>
      </c>
      <c r="C38">
        <v>140</v>
      </c>
      <c r="F38" t="s">
        <v>148</v>
      </c>
      <c r="G38">
        <v>347015</v>
      </c>
      <c r="H38" s="191">
        <v>3.47015E-3</v>
      </c>
      <c r="K38" t="s">
        <v>149</v>
      </c>
      <c r="L38" t="s">
        <v>148</v>
      </c>
      <c r="M38">
        <v>5344243100</v>
      </c>
      <c r="O38">
        <f t="shared" si="1"/>
        <v>154.00611212771781</v>
      </c>
      <c r="R38" t="s">
        <v>150</v>
      </c>
      <c r="S38" t="s">
        <v>148</v>
      </c>
      <c r="T38" t="s">
        <v>156</v>
      </c>
      <c r="U38" t="s">
        <v>152</v>
      </c>
      <c r="V38" t="s">
        <v>148</v>
      </c>
      <c r="W38">
        <v>347015</v>
      </c>
      <c r="X38" t="s">
        <v>153</v>
      </c>
      <c r="Y38" t="s">
        <v>148</v>
      </c>
      <c r="Z38" t="s">
        <v>156</v>
      </c>
      <c r="AA38" t="s">
        <v>154</v>
      </c>
      <c r="AB38" t="s">
        <v>148</v>
      </c>
      <c r="AC38" t="s">
        <v>156</v>
      </c>
      <c r="AD38" t="s">
        <v>155</v>
      </c>
      <c r="AE38" s="137" t="s">
        <v>148</v>
      </c>
      <c r="AF38" t="s">
        <v>156</v>
      </c>
    </row>
    <row r="39" spans="1:32">
      <c r="A39" t="s">
        <v>91</v>
      </c>
      <c r="B39" t="s">
        <v>147</v>
      </c>
      <c r="C39">
        <v>180</v>
      </c>
      <c r="F39" t="s">
        <v>148</v>
      </c>
      <c r="G39">
        <v>481474</v>
      </c>
      <c r="H39" s="191">
        <v>4.8147399999999996E-3</v>
      </c>
      <c r="K39" t="s">
        <v>149</v>
      </c>
      <c r="L39" t="s">
        <v>148</v>
      </c>
      <c r="M39">
        <v>9629480000</v>
      </c>
      <c r="O39">
        <f t="shared" si="1"/>
        <v>200</v>
      </c>
      <c r="R39" t="s">
        <v>150</v>
      </c>
      <c r="S39" t="s">
        <v>148</v>
      </c>
      <c r="T39" t="s">
        <v>156</v>
      </c>
      <c r="U39" t="s">
        <v>152</v>
      </c>
      <c r="V39" t="s">
        <v>148</v>
      </c>
      <c r="W39">
        <v>19281</v>
      </c>
      <c r="X39" t="s">
        <v>153</v>
      </c>
      <c r="Y39" t="s">
        <v>148</v>
      </c>
      <c r="Z39" t="s">
        <v>156</v>
      </c>
      <c r="AA39" t="s">
        <v>154</v>
      </c>
      <c r="AB39" t="s">
        <v>148</v>
      </c>
      <c r="AC39" t="s">
        <v>156</v>
      </c>
      <c r="AD39" t="s">
        <v>155</v>
      </c>
      <c r="AE39" s="137" t="s">
        <v>148</v>
      </c>
      <c r="AF39" t="s">
        <v>156</v>
      </c>
    </row>
    <row r="40" spans="1:32">
      <c r="A40" t="s">
        <v>91</v>
      </c>
      <c r="B40" t="s">
        <v>147</v>
      </c>
      <c r="C40">
        <v>200</v>
      </c>
      <c r="F40" t="s">
        <v>148</v>
      </c>
      <c r="G40">
        <v>1543054</v>
      </c>
      <c r="H40" s="191">
        <v>1.543054E-2</v>
      </c>
      <c r="K40" t="s">
        <v>149</v>
      </c>
      <c r="L40" t="s">
        <v>148</v>
      </c>
      <c r="M40">
        <v>33797303700</v>
      </c>
      <c r="O40">
        <f t="shared" si="1"/>
        <v>219.02865162204304</v>
      </c>
      <c r="R40" t="s">
        <v>150</v>
      </c>
      <c r="S40" t="s">
        <v>148</v>
      </c>
      <c r="T40" t="s">
        <v>156</v>
      </c>
      <c r="U40" t="s">
        <v>152</v>
      </c>
      <c r="V40" t="s">
        <v>148</v>
      </c>
      <c r="W40">
        <v>154231</v>
      </c>
      <c r="X40" t="s">
        <v>153</v>
      </c>
      <c r="Y40" t="s">
        <v>148</v>
      </c>
      <c r="Z40" t="s">
        <v>156</v>
      </c>
      <c r="AA40" t="s">
        <v>154</v>
      </c>
      <c r="AB40" t="s">
        <v>148</v>
      </c>
      <c r="AC40" t="s">
        <v>156</v>
      </c>
      <c r="AD40" t="s">
        <v>155</v>
      </c>
      <c r="AE40" s="137" t="s">
        <v>148</v>
      </c>
      <c r="AF40" t="s">
        <v>156</v>
      </c>
    </row>
    <row r="41" spans="1:32">
      <c r="A41" t="s">
        <v>91</v>
      </c>
      <c r="B41" t="s">
        <v>147</v>
      </c>
      <c r="C41">
        <v>250</v>
      </c>
      <c r="F41" t="s">
        <v>148</v>
      </c>
      <c r="G41">
        <v>925631</v>
      </c>
      <c r="H41" s="191">
        <v>9.2563100000000002E-3</v>
      </c>
      <c r="K41" t="s">
        <v>149</v>
      </c>
      <c r="L41" t="s">
        <v>148</v>
      </c>
      <c r="M41">
        <v>24530590500</v>
      </c>
      <c r="O41">
        <f t="shared" si="1"/>
        <v>265.01478991088243</v>
      </c>
      <c r="R41" t="s">
        <v>150</v>
      </c>
      <c r="S41" t="s">
        <v>148</v>
      </c>
      <c r="T41" t="s">
        <v>156</v>
      </c>
      <c r="U41" t="s">
        <v>152</v>
      </c>
      <c r="V41" t="s">
        <v>148</v>
      </c>
      <c r="W41" t="s">
        <v>156</v>
      </c>
      <c r="X41" t="s">
        <v>153</v>
      </c>
      <c r="Y41" t="s">
        <v>148</v>
      </c>
      <c r="Z41" t="s">
        <v>156</v>
      </c>
      <c r="AA41" t="s">
        <v>154</v>
      </c>
      <c r="AB41" t="s">
        <v>148</v>
      </c>
      <c r="AC41" t="s">
        <v>156</v>
      </c>
      <c r="AD41" t="s">
        <v>155</v>
      </c>
      <c r="AE41" s="137" t="s">
        <v>148</v>
      </c>
      <c r="AF41" t="s">
        <v>156</v>
      </c>
    </row>
    <row r="42" spans="1:32">
      <c r="A42" t="s">
        <v>91</v>
      </c>
      <c r="B42" t="s">
        <v>147</v>
      </c>
      <c r="C42">
        <v>450</v>
      </c>
      <c r="F42" t="s">
        <v>148</v>
      </c>
      <c r="G42">
        <v>462326</v>
      </c>
      <c r="H42" s="191">
        <v>4.6232599999999997E-3</v>
      </c>
      <c r="K42" t="s">
        <v>149</v>
      </c>
      <c r="L42" t="s">
        <v>148</v>
      </c>
      <c r="M42">
        <v>23116300000</v>
      </c>
      <c r="O42">
        <f t="shared" si="1"/>
        <v>500</v>
      </c>
      <c r="R42" t="s">
        <v>150</v>
      </c>
      <c r="S42" t="s">
        <v>148</v>
      </c>
      <c r="T42" t="s">
        <v>156</v>
      </c>
      <c r="U42" t="s">
        <v>152</v>
      </c>
      <c r="V42" t="s">
        <v>148</v>
      </c>
      <c r="W42" t="s">
        <v>156</v>
      </c>
      <c r="X42" t="s">
        <v>153</v>
      </c>
      <c r="Y42" t="s">
        <v>148</v>
      </c>
      <c r="Z42" t="s">
        <v>156</v>
      </c>
      <c r="AA42" t="s">
        <v>154</v>
      </c>
      <c r="AB42" t="s">
        <v>148</v>
      </c>
      <c r="AC42" t="s">
        <v>156</v>
      </c>
      <c r="AD42" t="s">
        <v>155</v>
      </c>
      <c r="AE42" s="137" t="s">
        <v>148</v>
      </c>
      <c r="AF42" t="s">
        <v>156</v>
      </c>
    </row>
    <row r="43" spans="1:32">
      <c r="A43" t="s">
        <v>91</v>
      </c>
      <c r="B43" t="s">
        <v>147</v>
      </c>
      <c r="C43">
        <v>500</v>
      </c>
      <c r="F43" t="s">
        <v>148</v>
      </c>
      <c r="G43">
        <v>925049</v>
      </c>
      <c r="H43" s="191">
        <v>9.2504900000000001E-3</v>
      </c>
      <c r="K43" t="s">
        <v>149</v>
      </c>
      <c r="L43" t="s">
        <v>148</v>
      </c>
      <c r="M43">
        <v>47640528500</v>
      </c>
      <c r="O43">
        <f t="shared" si="1"/>
        <v>515.00545917027102</v>
      </c>
      <c r="R43" t="s">
        <v>150</v>
      </c>
      <c r="S43" t="s">
        <v>148</v>
      </c>
      <c r="T43" t="s">
        <v>156</v>
      </c>
      <c r="U43" t="s">
        <v>152</v>
      </c>
      <c r="V43" t="s">
        <v>148</v>
      </c>
      <c r="W43" t="s">
        <v>156</v>
      </c>
      <c r="X43" t="s">
        <v>153</v>
      </c>
      <c r="Y43" t="s">
        <v>148</v>
      </c>
      <c r="Z43" t="s">
        <v>156</v>
      </c>
      <c r="AA43" t="s">
        <v>154</v>
      </c>
      <c r="AB43" t="s">
        <v>148</v>
      </c>
      <c r="AC43" t="s">
        <v>156</v>
      </c>
      <c r="AD43" t="s">
        <v>155</v>
      </c>
      <c r="AE43" s="137" t="s">
        <v>148</v>
      </c>
      <c r="AF43" t="s">
        <v>156</v>
      </c>
    </row>
    <row r="44" spans="1:32">
      <c r="Y44" s="137" t="str" cm="1">
        <f t="array" ref="Y44">_xlfn.IFS(X44="null,",0,X44="","",X44/G44&gt;=0,X44/G44)</f>
        <v/>
      </c>
    </row>
    <row r="45" spans="1:32">
      <c r="U45" s="137" t="str" cm="1">
        <f t="array" ref="U45">_xlfn.IFS(T45="null,",0,T45="","",T45/G45&gt;=0,T45/G45)</f>
        <v/>
      </c>
    </row>
    <row r="46" spans="1:32">
      <c r="U46" s="137" t="str" cm="1">
        <f t="array" ref="U46">_xlfn.IFS(T46="null,",0,T46="","",T46/G46&gt;=0,T46/G46)</f>
        <v/>
      </c>
    </row>
    <row r="47" spans="1:32">
      <c r="U47" s="137" t="str" cm="1">
        <f t="array" ref="U47">_xlfn.IFS(T47="null,",0,T47="","",T47/G47&gt;=0,T47/G47)</f>
        <v/>
      </c>
    </row>
    <row r="48" spans="1:32">
      <c r="U48" s="137" t="str" cm="1">
        <f t="array" ref="U48">_xlfn.IFS(T48="null,",0,T48="","",T48/G48&gt;=0,T48/G48)</f>
        <v/>
      </c>
    </row>
    <row r="49" spans="21:21">
      <c r="U49" s="137" t="str" cm="1">
        <f t="array" ref="U49">_xlfn.IFS(T49="null,",0,T49="","",T49/G49&gt;=0,T49/G49)</f>
        <v/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FDADFF-4A36-46C5-B36B-03EB15DB49A0}">
  <dimension ref="B1:AF54"/>
  <sheetViews>
    <sheetView topLeftCell="D1" workbookViewId="0">
      <selection activeCell="R1" sqref="R1"/>
    </sheetView>
  </sheetViews>
  <sheetFormatPr defaultRowHeight="16.2"/>
  <cols>
    <col min="3" max="5" width="8.88671875" style="138"/>
    <col min="6" max="8" width="8.88671875" style="180"/>
    <col min="12" max="12" width="8.88671875" style="125"/>
    <col min="13" max="13" width="10.5546875" style="139" bestFit="1" customWidth="1"/>
    <col min="14" max="14" width="13.44140625" bestFit="1" customWidth="1"/>
    <col min="18" max="18" width="10.6640625" style="166" bestFit="1" customWidth="1"/>
    <col min="20" max="20" width="18.88671875" style="103" bestFit="1" customWidth="1"/>
    <col min="21" max="21" width="11.77734375" bestFit="1" customWidth="1"/>
    <col min="22" max="22" width="10.33203125" style="172" customWidth="1"/>
    <col min="23" max="23" width="11.77734375" bestFit="1" customWidth="1"/>
    <col min="28" max="28" width="9.109375" style="273" bestFit="1" customWidth="1"/>
    <col min="30" max="30" width="18.88671875" style="103" bestFit="1" customWidth="1"/>
    <col min="31" max="31" width="11.77734375" bestFit="1" customWidth="1"/>
    <col min="32" max="32" width="10.33203125" style="280" customWidth="1"/>
  </cols>
  <sheetData>
    <row r="1" spans="2:32" ht="16.8" thickBot="1">
      <c r="C1" s="316" t="s">
        <v>158</v>
      </c>
      <c r="D1" s="316"/>
      <c r="E1" s="316"/>
      <c r="F1" s="317" t="s">
        <v>159</v>
      </c>
      <c r="G1" s="317"/>
      <c r="H1" s="317"/>
      <c r="R1" s="163">
        <f>SUM(R3:R54)</f>
        <v>0.74609386296806701</v>
      </c>
      <c r="V1" s="173">
        <f>SUM(V3:V54)</f>
        <v>0.71959919409037676</v>
      </c>
      <c r="AB1" s="270">
        <f>SUM(AB3:AB54)</f>
        <v>0.68318516970197951</v>
      </c>
      <c r="AF1" s="274">
        <f>SUM(AF3:AF54)</f>
        <v>0.68318487004018902</v>
      </c>
    </row>
    <row r="2" spans="2:32" ht="16.8" thickBot="1">
      <c r="B2" s="141" t="s">
        <v>160</v>
      </c>
      <c r="C2" s="192" t="s">
        <v>90</v>
      </c>
      <c r="D2" s="193" t="s">
        <v>91</v>
      </c>
      <c r="E2" s="208" t="s">
        <v>92</v>
      </c>
      <c r="F2" s="194" t="s">
        <v>90</v>
      </c>
      <c r="G2" s="195" t="s">
        <v>91</v>
      </c>
      <c r="H2" s="209" t="s">
        <v>92</v>
      </c>
      <c r="J2" s="153" t="s">
        <v>163</v>
      </c>
      <c r="K2" s="144" t="s">
        <v>160</v>
      </c>
      <c r="L2" s="152" t="s">
        <v>161</v>
      </c>
      <c r="M2" s="188" t="s">
        <v>159</v>
      </c>
      <c r="N2" s="141" t="s">
        <v>162</v>
      </c>
      <c r="O2" s="162" t="s">
        <v>174</v>
      </c>
      <c r="P2" s="162" t="s">
        <v>165</v>
      </c>
      <c r="Q2" s="162" t="s">
        <v>164</v>
      </c>
      <c r="R2" s="164" t="s">
        <v>175</v>
      </c>
      <c r="T2" s="170" t="s">
        <v>169</v>
      </c>
      <c r="U2" s="170" t="s">
        <v>166</v>
      </c>
      <c r="V2" s="171" t="s">
        <v>167</v>
      </c>
      <c r="Y2" s="162" t="s">
        <v>174</v>
      </c>
      <c r="Z2" s="162" t="s">
        <v>165</v>
      </c>
      <c r="AA2" s="162" t="s">
        <v>164</v>
      </c>
      <c r="AB2" s="271" t="s">
        <v>175</v>
      </c>
      <c r="AD2" s="170" t="s">
        <v>169</v>
      </c>
      <c r="AE2" s="170" t="s">
        <v>166</v>
      </c>
      <c r="AF2" s="275" t="s">
        <v>167</v>
      </c>
    </row>
    <row r="3" spans="2:32">
      <c r="B3" s="141">
        <v>-1</v>
      </c>
      <c r="C3" s="154" cm="1">
        <f t="array" ref="C3">_xlfn.IFNA(
   _xlfn._xlws.FILTER(
      Sim_Mul_Bet5!$H$3:$H$72,
      (Sim_Mul_Bet5!$A$3:$A$72=C$2) * (Sim_Mul_Bet5!$C$3:$C$72=$B3),0
   ),
   0
)</f>
        <v>0</v>
      </c>
      <c r="D3" s="154" cm="1">
        <f t="array" ref="D3">_xlfn.IFNA(
   _xlfn._xlws.FILTER(
      Sim_Mul_Bet5!$H$3:$H$72,
      (Sim_Mul_Bet5!$A$3:$A$72=D$2) * (Sim_Mul_Bet5!$C$3:$C$72=$B3),0
   ),
   0
)</f>
        <v>0.16667921999999999</v>
      </c>
      <c r="E3" s="208"/>
      <c r="F3" s="194"/>
      <c r="G3" s="145" cm="1">
        <f t="array" ref="G3">_xlfn.IFNA(
   _xlfn._xlws.FILTER(
      Sim_Mul_Bet5!$O$3:$O$72,
      (Sim_Mul_Bet5!$A$3:$A$72=D$2) * (Sim_Mul_Bet5!$C$3:$C$72=$B3),0
   ),
   0
)</f>
        <v>0</v>
      </c>
      <c r="H3" s="209"/>
      <c r="J3" s="153">
        <v>0</v>
      </c>
      <c r="K3" s="205">
        <v>-1</v>
      </c>
      <c r="L3" s="196" t="s">
        <v>90</v>
      </c>
      <c r="M3" s="215">
        <f>HLOOKUP(L3,$C$2:$E$54,J3+2,FALSE)</f>
        <v>0</v>
      </c>
      <c r="N3" s="159">
        <f>HLOOKUP(L3,$F$2:$H$54,J3+2,FALSE)</f>
        <v>0</v>
      </c>
      <c r="O3" s="174">
        <f>1-SUM(O4:O53)</f>
        <v>0.86831201279494552</v>
      </c>
      <c r="P3" s="174">
        <f>1-SUM(P4:P53)</f>
        <v>0.86826291279494561</v>
      </c>
      <c r="Q3" s="174">
        <f>1-SUM(Q4:Q54)</f>
        <v>0.86813985232899704</v>
      </c>
      <c r="R3" s="165">
        <f t="shared" ref="R3:R54" si="0">N3*O3</f>
        <v>0</v>
      </c>
      <c r="T3" s="183">
        <f>1000000-SUM(T4:T54)</f>
        <v>868433</v>
      </c>
      <c r="U3" s="198" cm="1">
        <f t="array" ref="U3:U54">T3:T54/SUM($T$3:$T$54)</f>
        <v>0.86843300000000001</v>
      </c>
      <c r="V3" s="201">
        <f t="shared" ref="V3:V54" si="1">U3*N3</f>
        <v>0</v>
      </c>
      <c r="X3" s="103"/>
      <c r="Y3" s="174">
        <f>1-SUM(Y4:Y53)</f>
        <v>0.87119767845432083</v>
      </c>
      <c r="Z3" s="174">
        <f>1-SUM(Z4:Z53)</f>
        <v>0.87119767845432083</v>
      </c>
      <c r="AA3" s="174">
        <f>1-SUM(AA4:AA54)</f>
        <v>0.86813985232899704</v>
      </c>
      <c r="AB3" s="272">
        <f>N3*Y3</f>
        <v>0</v>
      </c>
      <c r="AD3" s="183">
        <f>1000000-SUM(AD4:AD54)</f>
        <v>871198</v>
      </c>
      <c r="AE3" s="198" cm="1">
        <f t="array" ref="AE3:AE54">AD3:AD54/SUM($T$3:$T$54)</f>
        <v>0.87119800000000003</v>
      </c>
      <c r="AF3" s="276">
        <f>AE3*N3</f>
        <v>0</v>
      </c>
    </row>
    <row r="4" spans="2:32">
      <c r="B4" s="142">
        <v>0</v>
      </c>
      <c r="C4" s="155" cm="1">
        <f t="array" ref="C4">_xlfn.IFNA(
   _xlfn._xlws.FILTER(
      Sim_Mul_Bet5!$H$3:$H$72,
      (Sim_Mul_Bet5!$A$3:$A$72=C$2) * (Sim_Mul_Bet5!$C$3:$C$72=$B4),0
   ),
   0
)</f>
        <v>0.87014429999999998</v>
      </c>
      <c r="D4" s="156" cm="1">
        <f t="array" ref="D4">_xlfn.IFNA(
   _xlfn._xlws.FILTER(
      Sim_Mul_Bet5!$H$3:$H$72,
      (Sim_Mul_Bet5!$A$3:$A$72=D$2) * (Sim_Mul_Bet5!$C$3:$C$72=$B4),0
   ),
   0
)</f>
        <v>0.17968133999999999</v>
      </c>
      <c r="E4" s="181" cm="1">
        <f t="array" ref="E4">_xlfn.IFNA(
   _xlfn._xlws.FILTER(
      Sim_Mul_Bet5!$H$3:$H$72,
      (Sim_Mul_Bet5!$A$3:$A$72=E$2) * (Sim_Mul_Bet5!$C$3:$C$72=$B4),0
   ),
   0
)</f>
        <v>0</v>
      </c>
      <c r="F4" s="150" cm="1">
        <f t="array" ref="F4">_xlfn.IFNA(
   _xlfn._xlws.FILTER(
      Sim_Mul_Bet5!$O$3:$O$72,
      (Sim_Mul_Bet5!$A$3:$A$72=C$2) * (Sim_Mul_Bet5!$C$3:$C$72=$B4),0
   ),
   0
)</f>
        <v>0</v>
      </c>
      <c r="G4" s="146" cm="1">
        <f t="array" ref="G4">_xlfn.IFNA(
   _xlfn._xlws.FILTER(
      Sim_Mul_Bet5!$O$3:$O$72,
      (Sim_Mul_Bet5!$A$3:$A$72=D$2) * (Sim_Mul_Bet5!$C$3:$C$72=$B4),0
   ),
   0
)</f>
        <v>0.63278479557198319</v>
      </c>
      <c r="H4" s="147" cm="1">
        <f t="array" ref="H4">_xlfn.IFNA(
   _xlfn._xlws.FILTER(
      Sim_Mul_Bet5!$O$3:$O$72,
      (Sim_Mul_Bet5!$A$3:$A$72=E$2) * (Sim_Mul_Bet5!$C$3:$C$72=$B4),0
   ),
   0
)</f>
        <v>0</v>
      </c>
      <c r="J4">
        <v>1</v>
      </c>
      <c r="K4" s="206">
        <v>0</v>
      </c>
      <c r="L4" s="210" t="s">
        <v>90</v>
      </c>
      <c r="M4" s="216">
        <f t="shared" ref="M4:M54" si="2">HLOOKUP(L4,$C$2:$E$54,J4+2,FALSE)</f>
        <v>0.87014429999999998</v>
      </c>
      <c r="N4" s="160">
        <f>HLOOKUP(L4,$F$2:$H$54,J4+2,FALSE)</f>
        <v>0</v>
      </c>
      <c r="O4" s="175">
        <v>6.5255021884967304E-2</v>
      </c>
      <c r="P4" s="175">
        <v>6.5255021884967304E-2</v>
      </c>
      <c r="Q4" s="175">
        <v>6.5255021884967304E-2</v>
      </c>
      <c r="R4" s="197">
        <f t="shared" si="0"/>
        <v>0</v>
      </c>
      <c r="T4" s="184">
        <v>73842</v>
      </c>
      <c r="U4">
        <v>7.3842000000000005E-2</v>
      </c>
      <c r="V4" s="202">
        <f t="shared" si="1"/>
        <v>0</v>
      </c>
      <c r="W4" s="169"/>
      <c r="X4" s="103"/>
      <c r="Y4" s="175">
        <f>Z4</f>
        <v>6.5255021884967304E-2</v>
      </c>
      <c r="Z4" s="175">
        <v>6.5255021884967304E-2</v>
      </c>
      <c r="AA4" s="175">
        <v>6.5255021884967304E-2</v>
      </c>
      <c r="AB4" s="272">
        <f t="shared" ref="AB4:AB54" si="3">N4*Y4</f>
        <v>0</v>
      </c>
      <c r="AD4" s="184">
        <f t="shared" ref="AD4:AD54" si="4">ROUND(Y4*1000000,0)</f>
        <v>65255</v>
      </c>
      <c r="AE4">
        <v>6.5254999999999994E-2</v>
      </c>
      <c r="AF4" s="277">
        <f t="shared" ref="AF4:AF54" si="5">AE4*N4</f>
        <v>0</v>
      </c>
    </row>
    <row r="5" spans="2:32">
      <c r="B5" s="142">
        <v>1</v>
      </c>
      <c r="C5" s="155" cm="1">
        <f t="array" ref="C5">_xlfn.IFNA(
   _xlfn._xlws.FILTER(
      Sim_Mul_Bet5!$H$3:$H$72,
      (Sim_Mul_Bet5!$A$3:$A$72=C$2) * (Sim_Mul_Bet5!$C$3:$C$72=$B5),0
   ),
   0
)</f>
        <v>5.5554609999999997E-2</v>
      </c>
      <c r="D5" s="156" cm="1">
        <f t="array" ref="D5">_xlfn.IFNA(
   _xlfn._xlws.FILTER(
      Sim_Mul_Bet5!$H$3:$H$72,
      (Sim_Mul_Bet5!$A$3:$A$72=D$2) * (Sim_Mul_Bet5!$C$3:$C$72=$B5),0
   ),
   0
)</f>
        <v>7.2616349999999996E-2</v>
      </c>
      <c r="E5" s="181" cm="1">
        <f t="array" ref="E5">_xlfn.IFNA(
   _xlfn._xlws.FILTER(
      Sim_Mul_Bet5!$H$3:$H$72,
      (Sim_Mul_Bet5!$A$3:$A$72=E$2) * (Sim_Mul_Bet5!$C$3:$C$72=$B5),0
   ),
   0
)</f>
        <v>0</v>
      </c>
      <c r="F5" s="150" cm="1">
        <f t="array" ref="F5">_xlfn.IFNA(
   _xlfn._xlws.FILTER(
      Sim_Mul_Bet5!$O$3:$O$72,
      (Sim_Mul_Bet5!$A$3:$A$72=C$2) * (Sim_Mul_Bet5!$C$3:$C$72=$B5),0
   ),
   0
)</f>
        <v>1.0000036000612731</v>
      </c>
      <c r="G5" s="146" cm="1">
        <f t="array" ref="G5">_xlfn.IFNA(
   _xlfn._xlws.FILTER(
      Sim_Mul_Bet5!$O$3:$O$72,
      (Sim_Mul_Bet5!$A$3:$A$72=D$2) * (Sim_Mul_Bet5!$C$3:$C$72=$B5),0
   ),
   0
)</f>
        <v>1.9243168790499661</v>
      </c>
      <c r="H5" s="147" cm="1">
        <f t="array" ref="H5">_xlfn.IFNA(
   _xlfn._xlws.FILTER(
      Sim_Mul_Bet5!$O$3:$O$72,
      (Sim_Mul_Bet5!$A$3:$A$72=E$2) * (Sim_Mul_Bet5!$C$3:$C$72=$B5),0
   ),
   0
)</f>
        <v>0</v>
      </c>
      <c r="J5">
        <v>2</v>
      </c>
      <c r="K5" s="206">
        <v>1</v>
      </c>
      <c r="L5" s="210" t="s">
        <v>90</v>
      </c>
      <c r="M5" s="216">
        <f t="shared" si="2"/>
        <v>5.5554609999999997E-2</v>
      </c>
      <c r="N5" s="160">
        <f t="shared" ref="N5:N54" si="6">HLOOKUP(L5,$F$2:$H$54,J5+2,FALSE)</f>
        <v>1.0000036000612731</v>
      </c>
      <c r="O5" s="175">
        <v>2.0542996607118402E-3</v>
      </c>
      <c r="P5" s="175">
        <v>2.0542996607118402E-3</v>
      </c>
      <c r="Q5" s="175">
        <v>2.0542996607118402E-3</v>
      </c>
      <c r="R5" s="197">
        <f t="shared" si="0"/>
        <v>2.0543070563164918E-3</v>
      </c>
      <c r="T5" s="184">
        <v>1738</v>
      </c>
      <c r="U5" s="199">
        <v>1.738E-3</v>
      </c>
      <c r="V5" s="203">
        <f t="shared" si="1"/>
        <v>1.7380062569064927E-3</v>
      </c>
      <c r="W5" s="169"/>
      <c r="X5" s="103"/>
      <c r="Y5" s="175">
        <f t="shared" ref="Y5:Y54" si="7">Z5</f>
        <v>2.0542996607118402E-3</v>
      </c>
      <c r="Z5" s="175">
        <v>2.0542996607118402E-3</v>
      </c>
      <c r="AA5" s="175">
        <v>2.0542996607118402E-3</v>
      </c>
      <c r="AB5" s="272">
        <f t="shared" si="3"/>
        <v>2.0543070563164918E-3</v>
      </c>
      <c r="AD5" s="184">
        <f t="shared" si="4"/>
        <v>2054</v>
      </c>
      <c r="AE5" s="199">
        <v>2.0539999999999998E-3</v>
      </c>
      <c r="AF5" s="278">
        <f t="shared" si="5"/>
        <v>2.0540073945258547E-3</v>
      </c>
    </row>
    <row r="6" spans="2:32">
      <c r="B6" s="142">
        <v>2</v>
      </c>
      <c r="C6" s="155" cm="1">
        <f t="array" ref="C6">_xlfn.IFNA(
   _xlfn._xlws.FILTER(
      Sim_Mul_Bet5!$H$3:$H$72,
      (Sim_Mul_Bet5!$A$3:$A$72=C$2) * (Sim_Mul_Bet5!$C$3:$C$72=$B6),0
   ),
   0
)</f>
        <v>1.5390239999999999E-2</v>
      </c>
      <c r="D6" s="156" cm="1">
        <f t="array" ref="D6">_xlfn.IFNA(
   _xlfn._xlws.FILTER(
      Sim_Mul_Bet5!$H$3:$H$72,
      (Sim_Mul_Bet5!$A$3:$A$72=D$2) * (Sim_Mul_Bet5!$C$3:$C$72=$B6),0
   ),
   0
)</f>
        <v>5.5164079999999997E-2</v>
      </c>
      <c r="E6" s="181" cm="1">
        <f t="array" ref="E6">_xlfn.IFNA(
   _xlfn._xlws.FILTER(
      Sim_Mul_Bet5!$H$3:$H$72,
      (Sim_Mul_Bet5!$A$3:$A$72=E$2) * (Sim_Mul_Bet5!$C$3:$C$72=$B6),0
   ),
   0
)</f>
        <v>0</v>
      </c>
      <c r="F6" s="150" cm="1">
        <f t="array" ref="F6">_xlfn.IFNA(
   _xlfn._xlws.FILTER(
      Sim_Mul_Bet5!$O$3:$O$72,
      (Sim_Mul_Bet5!$A$3:$A$72=C$2) * (Sim_Mul_Bet5!$C$3:$C$72=$B6),0
   ),
   0
)</f>
        <v>2.0097587821892313</v>
      </c>
      <c r="G6" s="146" cm="1">
        <f t="array" ref="G6">_xlfn.IFNA(
   _xlfn._xlws.FILTER(
      Sim_Mul_Bet5!$O$3:$O$72,
      (Sim_Mul_Bet5!$A$3:$A$72=D$2) * (Sim_Mul_Bet5!$C$3:$C$72=$B6),0
   ),
   0
)</f>
        <v>2.5894956283146571</v>
      </c>
      <c r="H6" s="147" cm="1">
        <f t="array" ref="H6">_xlfn.IFNA(
   _xlfn._xlws.FILTER(
      Sim_Mul_Bet5!$O$3:$O$72,
      (Sim_Mul_Bet5!$A$3:$A$72=E$2) * (Sim_Mul_Bet5!$C$3:$C$72=$B6),0
   ),
   0
)</f>
        <v>0</v>
      </c>
      <c r="J6">
        <v>3</v>
      </c>
      <c r="K6" s="206">
        <v>2</v>
      </c>
      <c r="L6" s="210" t="s">
        <v>90</v>
      </c>
      <c r="M6" s="216">
        <f t="shared" si="2"/>
        <v>1.5390239999999999E-2</v>
      </c>
      <c r="N6" s="160">
        <f t="shared" si="6"/>
        <v>2.0097587821892313</v>
      </c>
      <c r="O6" s="175">
        <v>4.0659002522633898E-3</v>
      </c>
      <c r="P6" s="175">
        <v>4.0659002522633898E-3</v>
      </c>
      <c r="Q6" s="175">
        <v>4.0659002522633898E-3</v>
      </c>
      <c r="R6" s="197">
        <f t="shared" si="0"/>
        <v>8.1714787394917589E-3</v>
      </c>
      <c r="T6" s="184">
        <v>4558</v>
      </c>
      <c r="U6" s="199">
        <v>4.5580000000000004E-3</v>
      </c>
      <c r="V6" s="203">
        <f t="shared" si="1"/>
        <v>9.1604805292185166E-3</v>
      </c>
      <c r="W6" s="169"/>
      <c r="X6" s="103"/>
      <c r="Y6" s="175">
        <f t="shared" si="7"/>
        <v>2.9999999999999997E-4</v>
      </c>
      <c r="Z6" s="175">
        <v>2.9999999999999997E-4</v>
      </c>
      <c r="AA6" s="175">
        <v>4.0659002522633898E-3</v>
      </c>
      <c r="AB6" s="272">
        <f t="shared" si="3"/>
        <v>6.0292763465676937E-4</v>
      </c>
      <c r="AD6" s="184">
        <f t="shared" si="4"/>
        <v>300</v>
      </c>
      <c r="AE6" s="199">
        <v>2.9999999999999997E-4</v>
      </c>
      <c r="AF6" s="278">
        <f t="shared" si="5"/>
        <v>6.0292763465676937E-4</v>
      </c>
    </row>
    <row r="7" spans="2:32">
      <c r="B7" s="142">
        <v>3</v>
      </c>
      <c r="C7" s="155" cm="1">
        <f t="array" ref="C7">_xlfn.IFNA(
   _xlfn._xlws.FILTER(
      Sim_Mul_Bet5!$H$3:$H$72,
      (Sim_Mul_Bet5!$A$3:$A$72=C$2) * (Sim_Mul_Bet5!$C$3:$C$72=$B7),0
   ),
   0
)</f>
        <v>2.86316E-3</v>
      </c>
      <c r="D7" s="156" cm="1">
        <f t="array" ref="D7">_xlfn.IFNA(
   _xlfn._xlws.FILTER(
      Sim_Mul_Bet5!$H$3:$H$72,
      (Sim_Mul_Bet5!$A$3:$A$72=D$2) * (Sim_Mul_Bet5!$C$3:$C$72=$B7),0
   ),
   0
)</f>
        <v>1.7315270000000001E-2</v>
      </c>
      <c r="E7" s="181" cm="1">
        <f t="array" ref="E7">_xlfn.IFNA(
   _xlfn._xlws.FILTER(
      Sim_Mul_Bet5!$H$3:$H$72,
      (Sim_Mul_Bet5!$A$3:$A$72=E$2) * (Sim_Mul_Bet5!$C$3:$C$72=$B7),0
   ),
   0
)</f>
        <v>0</v>
      </c>
      <c r="F7" s="150" cm="1">
        <f t="array" ref="F7">_xlfn.IFNA(
   _xlfn._xlws.FILTER(
      Sim_Mul_Bet5!$O$3:$O$72,
      (Sim_Mul_Bet5!$A$3:$A$72=C$2) * (Sim_Mul_Bet5!$C$3:$C$72=$B7),0
   ),
   0
)</f>
        <v>3.0184809790581033</v>
      </c>
      <c r="G7" s="146" cm="1">
        <f t="array" ref="G7">_xlfn.IFNA(
   _xlfn._xlws.FILTER(
      Sim_Mul_Bet5!$O$3:$O$72,
      (Sim_Mul_Bet5!$A$3:$A$72=D$2) * (Sim_Mul_Bet5!$C$3:$C$72=$B7),0
   ),
   0
)</f>
        <v>3.8189015822450356</v>
      </c>
      <c r="H7" s="147" cm="1">
        <f t="array" ref="H7">_xlfn.IFNA(
   _xlfn._xlws.FILTER(
      Sim_Mul_Bet5!$O$3:$O$72,
      (Sim_Mul_Bet5!$A$3:$A$72=E$2) * (Sim_Mul_Bet5!$C$3:$C$72=$B7),0
   ),
   0
)</f>
        <v>0</v>
      </c>
      <c r="J7">
        <v>4</v>
      </c>
      <c r="K7" s="206">
        <v>3</v>
      </c>
      <c r="L7" s="210" t="s">
        <v>91</v>
      </c>
      <c r="M7" s="216">
        <f t="shared" si="2"/>
        <v>1.7315270000000001E-2</v>
      </c>
      <c r="N7" s="160">
        <f t="shared" si="6"/>
        <v>3.8189015822450356</v>
      </c>
      <c r="O7" s="175">
        <v>0</v>
      </c>
      <c r="P7" s="175">
        <v>0</v>
      </c>
      <c r="Q7" s="175">
        <v>0</v>
      </c>
      <c r="R7" s="197">
        <f t="shared" si="0"/>
        <v>0</v>
      </c>
      <c r="T7" s="184">
        <v>32</v>
      </c>
      <c r="U7" s="199">
        <v>3.1999999999999999E-5</v>
      </c>
      <c r="V7" s="203">
        <f t="shared" si="1"/>
        <v>1.2220485063184114E-4</v>
      </c>
      <c r="W7" s="169"/>
      <c r="X7" s="103"/>
      <c r="Y7" s="175">
        <f t="shared" si="7"/>
        <v>0</v>
      </c>
      <c r="Z7" s="175">
        <v>0</v>
      </c>
      <c r="AA7" s="175">
        <v>0</v>
      </c>
      <c r="AB7" s="272">
        <f t="shared" si="3"/>
        <v>0</v>
      </c>
      <c r="AD7" s="184">
        <f t="shared" si="4"/>
        <v>0</v>
      </c>
      <c r="AE7" s="199">
        <v>0</v>
      </c>
      <c r="AF7" s="278">
        <f t="shared" si="5"/>
        <v>0</v>
      </c>
    </row>
    <row r="8" spans="2:32">
      <c r="B8" s="142">
        <v>4</v>
      </c>
      <c r="C8" s="155" cm="1">
        <f t="array" ref="C8">_xlfn.IFNA(
   _xlfn._xlws.FILTER(
      Sim_Mul_Bet5!$H$3:$H$72,
      (Sim_Mul_Bet5!$A$3:$A$72=C$2) * (Sim_Mul_Bet5!$C$3:$C$72=$B8),0
   ),
   0
)</f>
        <v>7.0949000000000001E-4</v>
      </c>
      <c r="D8" s="156" cm="1">
        <f t="array" ref="D8">_xlfn.IFNA(
   _xlfn._xlws.FILTER(
      Sim_Mul_Bet5!$H$3:$H$72,
      (Sim_Mul_Bet5!$A$3:$A$72=D$2) * (Sim_Mul_Bet5!$C$3:$C$72=$B8),0
   ),
   0
)</f>
        <v>2.8552549999999999E-2</v>
      </c>
      <c r="E8" s="181" cm="1">
        <f t="array" ref="E8">_xlfn.IFNA(
   _xlfn._xlws.FILTER(
      Sim_Mul_Bet5!$H$3:$H$72,
      (Sim_Mul_Bet5!$A$3:$A$72=E$2) * (Sim_Mul_Bet5!$C$3:$C$72=$B8),0
   ),
   0
)</f>
        <v>0</v>
      </c>
      <c r="F8" s="150" cm="1">
        <f t="array" ref="F8">_xlfn.IFNA(
   _xlfn._xlws.FILTER(
      Sim_Mul_Bet5!$O$3:$O$72,
      (Sim_Mul_Bet5!$A$3:$A$72=C$2) * (Sim_Mul_Bet5!$C$3:$C$72=$B8),0
   ),
   0
)</f>
        <v>4.0086851118408999</v>
      </c>
      <c r="G8" s="146" cm="1">
        <f t="array" ref="G8">_xlfn.IFNA(
   _xlfn._xlws.FILTER(
      Sim_Mul_Bet5!$O$3:$O$72,
      (Sim_Mul_Bet5!$A$3:$A$72=D$2) * (Sim_Mul_Bet5!$C$3:$C$72=$B8),0
   ),
   0
)</f>
        <v>4.8532947144825949</v>
      </c>
      <c r="H8" s="147" cm="1">
        <f t="array" ref="H8">_xlfn.IFNA(
   _xlfn._xlws.FILTER(
      Sim_Mul_Bet5!$O$3:$O$72,
      (Sim_Mul_Bet5!$A$3:$A$72=E$2) * (Sim_Mul_Bet5!$C$3:$C$72=$B8),0
   ),
   0
)</f>
        <v>0</v>
      </c>
      <c r="J8">
        <v>5</v>
      </c>
      <c r="K8" s="206">
        <v>4</v>
      </c>
      <c r="L8" s="210" t="s">
        <v>90</v>
      </c>
      <c r="M8" s="216">
        <f t="shared" si="2"/>
        <v>7.0949000000000001E-4</v>
      </c>
      <c r="N8" s="160">
        <f t="shared" si="6"/>
        <v>4.0086851118408999</v>
      </c>
      <c r="O8" s="175">
        <v>2.98791819671664E-2</v>
      </c>
      <c r="P8" s="175">
        <v>2.98791819671664E-2</v>
      </c>
      <c r="Q8" s="175">
        <v>2.98791819671664E-2</v>
      </c>
      <c r="R8" s="197">
        <f t="shared" si="0"/>
        <v>0.11977623190576504</v>
      </c>
      <c r="T8" s="184">
        <v>22510</v>
      </c>
      <c r="U8" s="199">
        <v>2.2509999999999999E-2</v>
      </c>
      <c r="V8" s="203">
        <f t="shared" si="1"/>
        <v>9.0235501867538648E-2</v>
      </c>
      <c r="W8" s="169"/>
      <c r="X8" s="103"/>
      <c r="Y8" s="175">
        <f t="shared" si="7"/>
        <v>3.1699999999999999E-2</v>
      </c>
      <c r="Z8" s="175">
        <v>3.1699999999999999E-2</v>
      </c>
      <c r="AA8" s="175">
        <v>2.98791819671664E-2</v>
      </c>
      <c r="AB8" s="272">
        <f t="shared" si="3"/>
        <v>0.12707531804535652</v>
      </c>
      <c r="AD8" s="184">
        <f t="shared" si="4"/>
        <v>31700</v>
      </c>
      <c r="AE8" s="199">
        <v>3.1699999999999999E-2</v>
      </c>
      <c r="AF8" s="278">
        <f t="shared" si="5"/>
        <v>0.12707531804535652</v>
      </c>
    </row>
    <row r="9" spans="2:32">
      <c r="B9" s="142">
        <v>5</v>
      </c>
      <c r="C9" s="155" cm="1">
        <f t="array" ref="C9">_xlfn.IFNA(
   _xlfn._xlws.FILTER(
      Sim_Mul_Bet5!$H$3:$H$72,
      (Sim_Mul_Bet5!$A$3:$A$72=C$2) * (Sim_Mul_Bet5!$C$3:$C$72=$B9),0
   ),
   0
)</f>
        <v>1.7020919999999998E-2</v>
      </c>
      <c r="D9" s="156" cm="1">
        <f t="array" ref="D9">_xlfn.IFNA(
   _xlfn._xlws.FILTER(
      Sim_Mul_Bet5!$H$3:$H$72,
      (Sim_Mul_Bet5!$A$3:$A$72=D$2) * (Sim_Mul_Bet5!$C$3:$C$72=$B9),0
   ),
   0
)</f>
        <v>1.0378999999999999E-2</v>
      </c>
      <c r="E9" s="181" cm="1">
        <f t="array" ref="E9">_xlfn.IFNA(
   _xlfn._xlws.FILTER(
      Sim_Mul_Bet5!$H$3:$H$72,
      (Sim_Mul_Bet5!$A$3:$A$72=E$2) * (Sim_Mul_Bet5!$C$3:$C$72=$B9),0
   ),
   0
)</f>
        <v>0</v>
      </c>
      <c r="F9" s="150" cm="1">
        <f t="array" ref="F9">_xlfn.IFNA(
   _xlfn._xlws.FILTER(
      Sim_Mul_Bet5!$O$3:$O$72,
      (Sim_Mul_Bet5!$A$3:$A$72=C$2) * (Sim_Mul_Bet5!$C$3:$C$72=$B9),0
   ),
   0
)</f>
        <v>5.0028855079513921</v>
      </c>
      <c r="G9" s="146" cm="1">
        <f t="array" ref="G9">_xlfn.IFNA(
   _xlfn._xlws.FILTER(
      Sim_Mul_Bet5!$O$3:$O$72,
      (Sim_Mul_Bet5!$A$3:$A$72=D$2) * (Sim_Mul_Bet5!$C$3:$C$72=$B9),0
   ),
   0
)</f>
        <v>5.789734656517969</v>
      </c>
      <c r="H9" s="147" cm="1">
        <f t="array" ref="H9">_xlfn.IFNA(
   _xlfn._xlws.FILTER(
      Sim_Mul_Bet5!$O$3:$O$72,
      (Sim_Mul_Bet5!$A$3:$A$72=E$2) * (Sim_Mul_Bet5!$C$3:$C$72=$B9),0
   ),
   0
)</f>
        <v>0</v>
      </c>
      <c r="J9">
        <v>6</v>
      </c>
      <c r="K9" s="206">
        <v>5</v>
      </c>
      <c r="L9" s="210" t="s">
        <v>90</v>
      </c>
      <c r="M9" s="216">
        <f t="shared" si="2"/>
        <v>1.7020919999999998E-2</v>
      </c>
      <c r="N9" s="160">
        <f t="shared" si="6"/>
        <v>5.0028855079513921</v>
      </c>
      <c r="O9" s="175">
        <v>1.0301997638673701E-3</v>
      </c>
      <c r="P9" s="175">
        <v>1.0301997638673701E-3</v>
      </c>
      <c r="Q9" s="175">
        <v>1.0301997638673701E-3</v>
      </c>
      <c r="R9" s="197">
        <f t="shared" si="0"/>
        <v>5.1539714689470117E-3</v>
      </c>
      <c r="T9" s="184">
        <v>1062</v>
      </c>
      <c r="U9" s="199">
        <v>1.062E-3</v>
      </c>
      <c r="V9" s="203">
        <f t="shared" si="1"/>
        <v>5.3130644094443787E-3</v>
      </c>
      <c r="W9" s="169"/>
      <c r="X9" s="103"/>
      <c r="Y9" s="175">
        <f t="shared" si="7"/>
        <v>0</v>
      </c>
      <c r="Z9" s="175">
        <v>0</v>
      </c>
      <c r="AA9" s="175">
        <v>1.0301997638673701E-3</v>
      </c>
      <c r="AB9" s="272">
        <f t="shared" si="3"/>
        <v>0</v>
      </c>
      <c r="AD9" s="184">
        <f t="shared" si="4"/>
        <v>0</v>
      </c>
      <c r="AE9" s="199">
        <v>0</v>
      </c>
      <c r="AF9" s="278">
        <f t="shared" si="5"/>
        <v>0</v>
      </c>
    </row>
    <row r="10" spans="2:32">
      <c r="B10" s="142">
        <v>6</v>
      </c>
      <c r="C10" s="155" cm="1">
        <f t="array" ref="C10">_xlfn.IFNA(
   _xlfn._xlws.FILTER(
      Sim_Mul_Bet5!$H$3:$H$72,
      (Sim_Mul_Bet5!$A$3:$A$72=C$2) * (Sim_Mul_Bet5!$C$3:$C$72=$B10),0
   ),
   0
)</f>
        <v>1.259E-4</v>
      </c>
      <c r="D10" s="156" cm="1">
        <f t="array" ref="D10">_xlfn.IFNA(
   _xlfn._xlws.FILTER(
      Sim_Mul_Bet5!$H$3:$H$72,
      (Sim_Mul_Bet5!$A$3:$A$72=D$2) * (Sim_Mul_Bet5!$C$3:$C$72=$B10),0
   ),
   0
)</f>
        <v>1.31073E-3</v>
      </c>
      <c r="E10" s="181" cm="1">
        <f t="array" ref="E10">_xlfn.IFNA(
   _xlfn._xlws.FILTER(
      Sim_Mul_Bet5!$H$3:$H$72,
      (Sim_Mul_Bet5!$A$3:$A$72=E$2) * (Sim_Mul_Bet5!$C$3:$C$72=$B10),0
   ),
   0
)</f>
        <v>0</v>
      </c>
      <c r="F10" s="150" cm="1">
        <f t="array" ref="F10">_xlfn.IFNA(
   _xlfn._xlws.FILTER(
      Sim_Mul_Bet5!$O$3:$O$72,
      (Sim_Mul_Bet5!$A$3:$A$72=C$2) * (Sim_Mul_Bet5!$C$3:$C$72=$B10),0
   ),
   0
)</f>
        <v>6</v>
      </c>
      <c r="G10" s="146" cm="1">
        <f t="array" ref="G10">_xlfn.IFNA(
   _xlfn._xlws.FILTER(
      Sim_Mul_Bet5!$O$3:$O$72,
      (Sim_Mul_Bet5!$A$3:$A$72=D$2) * (Sim_Mul_Bet5!$C$3:$C$72=$B10),0
   ),
   0
)</f>
        <v>7</v>
      </c>
      <c r="H10" s="147" cm="1">
        <f t="array" ref="H10">_xlfn.IFNA(
   _xlfn._xlws.FILTER(
      Sim_Mul_Bet5!$O$3:$O$72,
      (Sim_Mul_Bet5!$A$3:$A$72=E$2) * (Sim_Mul_Bet5!$C$3:$C$72=$B10),0
   ),
   0
)</f>
        <v>0</v>
      </c>
      <c r="J10">
        <v>7</v>
      </c>
      <c r="K10" s="206">
        <v>6</v>
      </c>
      <c r="L10" s="210" t="s">
        <v>91</v>
      </c>
      <c r="M10" s="216">
        <f t="shared" si="2"/>
        <v>1.31073E-3</v>
      </c>
      <c r="N10" s="160">
        <f t="shared" si="6"/>
        <v>7</v>
      </c>
      <c r="O10" s="175">
        <v>0</v>
      </c>
      <c r="P10" s="175">
        <v>0</v>
      </c>
      <c r="Q10" s="175">
        <v>0</v>
      </c>
      <c r="R10" s="197">
        <f t="shared" si="0"/>
        <v>0</v>
      </c>
      <c r="T10" s="184">
        <v>2</v>
      </c>
      <c r="U10" s="199">
        <v>1.9999999999999999E-6</v>
      </c>
      <c r="V10" s="203">
        <f t="shared" si="1"/>
        <v>1.4E-5</v>
      </c>
      <c r="W10" s="169"/>
      <c r="X10" s="103"/>
      <c r="Y10" s="175">
        <f t="shared" si="7"/>
        <v>0</v>
      </c>
      <c r="Z10" s="175">
        <v>0</v>
      </c>
      <c r="AA10" s="175">
        <v>0</v>
      </c>
      <c r="AB10" s="272">
        <f t="shared" si="3"/>
        <v>0</v>
      </c>
      <c r="AD10" s="184">
        <f t="shared" si="4"/>
        <v>0</v>
      </c>
      <c r="AE10" s="199">
        <v>0</v>
      </c>
      <c r="AF10" s="278">
        <f t="shared" si="5"/>
        <v>0</v>
      </c>
    </row>
    <row r="11" spans="2:32">
      <c r="B11" s="142">
        <v>7</v>
      </c>
      <c r="C11" s="155" cm="1">
        <f t="array" ref="C11">_xlfn.IFNA(
   _xlfn._xlws.FILTER(
      Sim_Mul_Bet5!$H$3:$H$72,
      (Sim_Mul_Bet5!$A$3:$A$72=C$2) * (Sim_Mul_Bet5!$C$3:$C$72=$B11),0
   ),
   0
)</f>
        <v>3.7599999999999999E-5</v>
      </c>
      <c r="D11" s="156" cm="1">
        <f t="array" ref="D11">_xlfn.IFNA(
   _xlfn._xlws.FILTER(
      Sim_Mul_Bet5!$H$3:$H$72,
      (Sim_Mul_Bet5!$A$3:$A$72=D$2) * (Sim_Mul_Bet5!$C$3:$C$72=$B11),0
   ),
   0
)</f>
        <v>1.2988100000000001E-3</v>
      </c>
      <c r="E11" s="181" cm="1">
        <f t="array" ref="E11">_xlfn.IFNA(
   _xlfn._xlws.FILTER(
      Sim_Mul_Bet5!$H$3:$H$72,
      (Sim_Mul_Bet5!$A$3:$A$72=E$2) * (Sim_Mul_Bet5!$C$3:$C$72=$B11),0
   ),
   0
)</f>
        <v>0</v>
      </c>
      <c r="F11" s="150" cm="1">
        <f t="array" ref="F11">_xlfn.IFNA(
   _xlfn._xlws.FILTER(
      Sim_Mul_Bet5!$O$3:$O$72,
      (Sim_Mul_Bet5!$A$3:$A$72=C$2) * (Sim_Mul_Bet5!$C$3:$C$72=$B11),0
   ),
   0
)</f>
        <v>7.004627659574469</v>
      </c>
      <c r="G11" s="146" cm="1">
        <f t="array" ref="G11">_xlfn.IFNA(
   _xlfn._xlws.FILTER(
      Sim_Mul_Bet5!$O$3:$O$72,
      (Sim_Mul_Bet5!$A$3:$A$72=D$2) * (Sim_Mul_Bet5!$C$3:$C$72=$B11),0
   ),
   0
)</f>
        <v>7.6013212094147722</v>
      </c>
      <c r="H11" s="147" cm="1">
        <f t="array" ref="H11">_xlfn.IFNA(
   _xlfn._xlws.FILTER(
      Sim_Mul_Bet5!$O$3:$O$72,
      (Sim_Mul_Bet5!$A$3:$A$72=E$2) * (Sim_Mul_Bet5!$C$3:$C$72=$B11),0
   ),
   0
)</f>
        <v>0</v>
      </c>
      <c r="J11">
        <v>8</v>
      </c>
      <c r="K11" s="206">
        <v>7</v>
      </c>
      <c r="L11" s="210" t="s">
        <v>91</v>
      </c>
      <c r="M11" s="216">
        <f t="shared" si="2"/>
        <v>1.2988100000000001E-3</v>
      </c>
      <c r="N11" s="160">
        <f t="shared" si="6"/>
        <v>7.6013212094147722</v>
      </c>
      <c r="O11" s="175">
        <v>0</v>
      </c>
      <c r="P11" s="175">
        <v>0</v>
      </c>
      <c r="Q11" s="175">
        <v>0</v>
      </c>
      <c r="R11" s="197">
        <f t="shared" si="0"/>
        <v>0</v>
      </c>
      <c r="T11" s="184">
        <v>2</v>
      </c>
      <c r="U11" s="199">
        <v>1.9999999999999999E-6</v>
      </c>
      <c r="V11" s="203">
        <f t="shared" si="1"/>
        <v>1.5202642418829543E-5</v>
      </c>
      <c r="W11" s="169"/>
      <c r="X11" s="103"/>
      <c r="Y11" s="175">
        <f t="shared" si="7"/>
        <v>0</v>
      </c>
      <c r="Z11" s="175">
        <v>0</v>
      </c>
      <c r="AA11" s="175">
        <v>0</v>
      </c>
      <c r="AB11" s="272">
        <f t="shared" si="3"/>
        <v>0</v>
      </c>
      <c r="AD11" s="184">
        <f t="shared" si="4"/>
        <v>0</v>
      </c>
      <c r="AE11" s="199">
        <v>0</v>
      </c>
      <c r="AF11" s="278">
        <f t="shared" si="5"/>
        <v>0</v>
      </c>
    </row>
    <row r="12" spans="2:32">
      <c r="B12" s="142">
        <v>8</v>
      </c>
      <c r="C12" s="155" cm="1">
        <f t="array" ref="C12">_xlfn.IFNA(
   _xlfn._xlws.FILTER(
      Sim_Mul_Bet5!$H$3:$H$72,
      (Sim_Mul_Bet5!$A$3:$A$72=C$2) * (Sim_Mul_Bet5!$C$3:$C$72=$B12),0
   ),
   0
)</f>
        <v>2.2699999999999999E-6</v>
      </c>
      <c r="D12" s="156" cm="1">
        <f t="array" ref="D12">_xlfn.IFNA(
   _xlfn._xlws.FILTER(
      Sim_Mul_Bet5!$H$3:$H$72,
      (Sim_Mul_Bet5!$A$3:$A$72=D$2) * (Sim_Mul_Bet5!$C$3:$C$72=$B12),0
   ),
   0
)</f>
        <v>0</v>
      </c>
      <c r="E12" s="181" cm="1">
        <f t="array" ref="E12">_xlfn.IFNA(
   _xlfn._xlws.FILTER(
      Sim_Mul_Bet5!$H$3:$H$72,
      (Sim_Mul_Bet5!$A$3:$A$72=E$2) * (Sim_Mul_Bet5!$C$3:$C$72=$B12),0
   ),
   0
)</f>
        <v>0</v>
      </c>
      <c r="F12" s="150" cm="1">
        <f t="array" ref="F12">_xlfn.IFNA(
   _xlfn._xlws.FILTER(
      Sim_Mul_Bet5!$O$3:$O$72,
      (Sim_Mul_Bet5!$A$3:$A$72=C$2) * (Sim_Mul_Bet5!$C$3:$C$72=$B12),0
   ),
   0
)</f>
        <v>8</v>
      </c>
      <c r="G12" s="146" cm="1">
        <f t="array" ref="G12">_xlfn.IFNA(
   _xlfn._xlws.FILTER(
      Sim_Mul_Bet5!$O$3:$O$72,
      (Sim_Mul_Bet5!$A$3:$A$72=D$2) * (Sim_Mul_Bet5!$C$3:$C$72=$B12),0
   ),
   0
)</f>
        <v>0</v>
      </c>
      <c r="H12" s="147" cm="1">
        <f t="array" ref="H12">_xlfn.IFNA(
   _xlfn._xlws.FILTER(
      Sim_Mul_Bet5!$O$3:$O$72,
      (Sim_Mul_Bet5!$A$3:$A$72=E$2) * (Sim_Mul_Bet5!$C$3:$C$72=$B12),0
   ),
   0
)</f>
        <v>0</v>
      </c>
      <c r="J12">
        <v>9</v>
      </c>
      <c r="K12" s="206">
        <v>8</v>
      </c>
      <c r="L12" s="210" t="s">
        <v>90</v>
      </c>
      <c r="M12" s="216">
        <f t="shared" si="2"/>
        <v>2.2699999999999999E-6</v>
      </c>
      <c r="N12" s="160">
        <f t="shared" si="6"/>
        <v>8</v>
      </c>
      <c r="O12" s="175">
        <v>0</v>
      </c>
      <c r="P12" s="175">
        <v>0</v>
      </c>
      <c r="Q12" s="175">
        <v>0</v>
      </c>
      <c r="R12" s="197">
        <f t="shared" si="0"/>
        <v>0</v>
      </c>
      <c r="T12" s="184">
        <v>0</v>
      </c>
      <c r="U12" s="199">
        <v>0</v>
      </c>
      <c r="V12" s="203">
        <f t="shared" si="1"/>
        <v>0</v>
      </c>
      <c r="W12" s="169"/>
      <c r="X12" s="103"/>
      <c r="Y12" s="175">
        <f t="shared" si="7"/>
        <v>0</v>
      </c>
      <c r="Z12" s="175">
        <v>0</v>
      </c>
      <c r="AA12" s="175">
        <v>0</v>
      </c>
      <c r="AB12" s="272">
        <f t="shared" si="3"/>
        <v>0</v>
      </c>
      <c r="AD12" s="184">
        <f t="shared" si="4"/>
        <v>0</v>
      </c>
      <c r="AE12" s="199">
        <v>0</v>
      </c>
      <c r="AF12" s="278">
        <f t="shared" si="5"/>
        <v>0</v>
      </c>
    </row>
    <row r="13" spans="2:32">
      <c r="B13" s="142">
        <v>9</v>
      </c>
      <c r="C13" s="155" cm="1">
        <f t="array" ref="C13">_xlfn.IFNA(
   _xlfn._xlws.FILTER(
      Sim_Mul_Bet5!$H$3:$H$72,
      (Sim_Mul_Bet5!$A$3:$A$72=C$2) * (Sim_Mul_Bet5!$C$3:$C$72=$B13),0
   ),
   0
)</f>
        <v>0</v>
      </c>
      <c r="D13" s="156" cm="1">
        <f t="array" ref="D13">_xlfn.IFNA(
   _xlfn._xlws.FILTER(
      Sim_Mul_Bet5!$H$3:$H$72,
      (Sim_Mul_Bet5!$A$3:$A$72=D$2) * (Sim_Mul_Bet5!$C$3:$C$72=$B13),0
   ),
   0
)</f>
        <v>3.6539490000000001E-2</v>
      </c>
      <c r="E13" s="181" cm="1">
        <f t="array" ref="E13">_xlfn.IFNA(
   _xlfn._xlws.FILTER(
      Sim_Mul_Bet5!$H$3:$H$72,
      (Sim_Mul_Bet5!$A$3:$A$72=E$2) * (Sim_Mul_Bet5!$C$3:$C$72=$B13),0
   ),
   0
)</f>
        <v>0</v>
      </c>
      <c r="F13" s="150" cm="1">
        <f t="array" ref="F13">_xlfn.IFNA(
   _xlfn._xlws.FILTER(
      Sim_Mul_Bet5!$O$3:$O$72,
      (Sim_Mul_Bet5!$A$3:$A$72=C$2) * (Sim_Mul_Bet5!$C$3:$C$72=$B13),0
   ),
   0
)</f>
        <v>0</v>
      </c>
      <c r="G13" s="146" cm="1">
        <f t="array" ref="G13">_xlfn.IFNA(
   _xlfn._xlws.FILTER(
      Sim_Mul_Bet5!$O$3:$O$72,
      (Sim_Mul_Bet5!$A$3:$A$72=D$2) * (Sim_Mul_Bet5!$C$3:$C$72=$B13),0
   ),
   0
)</f>
        <v>10</v>
      </c>
      <c r="H13" s="147" cm="1">
        <f t="array" ref="H13">_xlfn.IFNA(
   _xlfn._xlws.FILTER(
      Sim_Mul_Bet5!$O$3:$O$72,
      (Sim_Mul_Bet5!$A$3:$A$72=E$2) * (Sim_Mul_Bet5!$C$3:$C$72=$B13),0
   ),
   0
)</f>
        <v>0</v>
      </c>
      <c r="J13">
        <v>10</v>
      </c>
      <c r="K13" s="206">
        <v>9</v>
      </c>
      <c r="L13" s="210" t="s">
        <v>90</v>
      </c>
      <c r="M13" s="216">
        <f t="shared" si="2"/>
        <v>0</v>
      </c>
      <c r="N13" s="160">
        <f t="shared" si="6"/>
        <v>0</v>
      </c>
      <c r="O13" s="175">
        <v>5.0154462188279902E-3</v>
      </c>
      <c r="P13" s="175">
        <v>5.0154462188279902E-3</v>
      </c>
      <c r="Q13" s="175">
        <v>5.0154462188279902E-3</v>
      </c>
      <c r="R13" s="197">
        <f t="shared" si="0"/>
        <v>0</v>
      </c>
      <c r="T13" s="184">
        <v>4499</v>
      </c>
      <c r="U13" s="199">
        <v>4.4990000000000004E-3</v>
      </c>
      <c r="V13" s="203">
        <f t="shared" si="1"/>
        <v>0</v>
      </c>
      <c r="W13" s="169"/>
      <c r="X13" s="103"/>
      <c r="Y13" s="175">
        <f t="shared" si="7"/>
        <v>0.01</v>
      </c>
      <c r="Z13" s="175">
        <v>0.01</v>
      </c>
      <c r="AA13" s="175">
        <v>5.0154462188279902E-3</v>
      </c>
      <c r="AB13" s="272">
        <f t="shared" si="3"/>
        <v>0</v>
      </c>
      <c r="AD13" s="184">
        <f t="shared" si="4"/>
        <v>10000</v>
      </c>
      <c r="AE13" s="199">
        <v>0.01</v>
      </c>
      <c r="AF13" s="278">
        <f t="shared" si="5"/>
        <v>0</v>
      </c>
    </row>
    <row r="14" spans="2:32">
      <c r="B14" s="142">
        <v>10</v>
      </c>
      <c r="C14" s="155" cm="1">
        <f t="array" ref="C14">_xlfn.IFNA(
   _xlfn._xlws.FILTER(
      Sim_Mul_Bet5!$H$3:$H$72,
      (Sim_Mul_Bet5!$A$3:$A$72=C$2) * (Sim_Mul_Bet5!$C$3:$C$72=$B14),0
   ),
   0
)</f>
        <v>1.6467200000000001E-2</v>
      </c>
      <c r="D14" s="156" cm="1">
        <f t="array" ref="D14">_xlfn.IFNA(
   _xlfn._xlws.FILTER(
      Sim_Mul_Bet5!$H$3:$H$72,
      (Sim_Mul_Bet5!$A$3:$A$72=D$2) * (Sim_Mul_Bet5!$C$3:$C$72=$B14),0
   ),
   0
)</f>
        <v>8.5252259999999996E-2</v>
      </c>
      <c r="E14" s="181" cm="1">
        <f t="array" ref="E14">_xlfn.IFNA(
   _xlfn._xlws.FILTER(
      Sim_Mul_Bet5!$H$3:$H$72,
      (Sim_Mul_Bet5!$A$3:$A$72=E$2) * (Sim_Mul_Bet5!$C$3:$C$72=$B14),0
   ),
   0
)</f>
        <v>0</v>
      </c>
      <c r="F14" s="150" cm="1">
        <f t="array" ref="F14">_xlfn.IFNA(
   _xlfn._xlws.FILTER(
      Sim_Mul_Bet5!$O$3:$O$72,
      (Sim_Mul_Bet5!$A$3:$A$72=C$2) * (Sim_Mul_Bet5!$C$3:$C$72=$B14),0
   ),
   0
)</f>
        <v>10.131220972600078</v>
      </c>
      <c r="G14" s="146" cm="1">
        <f t="array" ref="G14">_xlfn.IFNA(
   _xlfn._xlws.FILTER(
      Sim_Mul_Bet5!$O$3:$O$72,
      (Sim_Mul_Bet5!$A$3:$A$72=D$2) * (Sim_Mul_Bet5!$C$3:$C$72=$B14),0
   ),
   0
)</f>
        <v>11.375314742389232</v>
      </c>
      <c r="H14" s="147" cm="1">
        <f t="array" ref="H14">_xlfn.IFNA(
   _xlfn._xlws.FILTER(
      Sim_Mul_Bet5!$O$3:$O$72,
      (Sim_Mul_Bet5!$A$3:$A$72=E$2) * (Sim_Mul_Bet5!$C$3:$C$72=$B14),0
   ),
   0
)</f>
        <v>0</v>
      </c>
      <c r="J14">
        <v>11</v>
      </c>
      <c r="K14" s="206">
        <v>10</v>
      </c>
      <c r="L14" s="210" t="s">
        <v>90</v>
      </c>
      <c r="M14" s="216">
        <f t="shared" si="2"/>
        <v>1.6467200000000001E-2</v>
      </c>
      <c r="N14" s="160">
        <f t="shared" si="6"/>
        <v>10.131220972600078</v>
      </c>
      <c r="O14" s="175">
        <v>5.88704944009998E-3</v>
      </c>
      <c r="P14" s="175">
        <v>5.88704944009998E-3</v>
      </c>
      <c r="Q14" s="175">
        <v>5.88704944009998E-3</v>
      </c>
      <c r="R14" s="197">
        <f t="shared" si="0"/>
        <v>5.9642998754274465E-2</v>
      </c>
      <c r="T14" s="184">
        <v>6243</v>
      </c>
      <c r="U14" s="199">
        <v>6.2430000000000003E-3</v>
      </c>
      <c r="V14" s="203">
        <f t="shared" si="1"/>
        <v>6.3249212531942295E-2</v>
      </c>
      <c r="W14" s="169"/>
      <c r="X14" s="103"/>
      <c r="Y14" s="175">
        <f t="shared" si="7"/>
        <v>2.9999999999999997E-4</v>
      </c>
      <c r="Z14" s="175">
        <v>2.9999999999999997E-4</v>
      </c>
      <c r="AA14" s="175">
        <v>5.88704944009998E-3</v>
      </c>
      <c r="AB14" s="272">
        <f t="shared" si="3"/>
        <v>3.0393662917800228E-3</v>
      </c>
      <c r="AD14" s="184">
        <f t="shared" si="4"/>
        <v>300</v>
      </c>
      <c r="AE14" s="199">
        <v>2.9999999999999997E-4</v>
      </c>
      <c r="AF14" s="278">
        <f t="shared" si="5"/>
        <v>3.0393662917800228E-3</v>
      </c>
    </row>
    <row r="15" spans="2:32">
      <c r="B15" s="142">
        <v>15</v>
      </c>
      <c r="C15" s="155" cm="1">
        <f t="array" ref="C15">_xlfn.IFNA(
   _xlfn._xlws.FILTER(
      Sim_Mul_Bet5!$H$3:$H$72,
      (Sim_Mul_Bet5!$A$3:$A$72=C$2) * (Sim_Mul_Bet5!$C$3:$C$72=$B15),0
   ),
   0
)</f>
        <v>4.9764500000000003E-3</v>
      </c>
      <c r="D15" s="156" cm="1">
        <f t="array" ref="D15">_xlfn.IFNA(
   _xlfn._xlws.FILTER(
      Sim_Mul_Bet5!$H$3:$H$72,
      (Sim_Mul_Bet5!$A$3:$A$72=D$2) * (Sim_Mul_Bet5!$C$3:$C$72=$B15),0
   ),
   0
)</f>
        <v>3.5485929999999999E-2</v>
      </c>
      <c r="E15" s="181" cm="1">
        <f t="array" ref="E15">_xlfn.IFNA(
   _xlfn._xlws.FILTER(
      Sim_Mul_Bet5!$H$3:$H$72,
      (Sim_Mul_Bet5!$A$3:$A$72=E$2) * (Sim_Mul_Bet5!$C$3:$C$72=$B15),0
   ),
   0
)</f>
        <v>0</v>
      </c>
      <c r="F15" s="150" cm="1">
        <f t="array" ref="F15">_xlfn.IFNA(
   _xlfn._xlws.FILTER(
      Sim_Mul_Bet5!$O$3:$O$72,
      (Sim_Mul_Bet5!$A$3:$A$72=C$2) * (Sim_Mul_Bet5!$C$3:$C$72=$B15),0
   ),
   0
)</f>
        <v>15.090800872107627</v>
      </c>
      <c r="G15" s="146" cm="1">
        <f t="array" ref="G15">_xlfn.IFNA(
   _xlfn._xlws.FILTER(
      Sim_Mul_Bet5!$O$3:$O$72,
      (Sim_Mul_Bet5!$A$3:$A$72=D$2) * (Sim_Mul_Bet5!$C$3:$C$72=$B15),0
   ),
   0
)</f>
        <v>19.102804238186796</v>
      </c>
      <c r="H15" s="147" cm="1">
        <f t="array" ref="H15">_xlfn.IFNA(
   _xlfn._xlws.FILTER(
      Sim_Mul_Bet5!$O$3:$O$72,
      (Sim_Mul_Bet5!$A$3:$A$72=E$2) * (Sim_Mul_Bet5!$C$3:$C$72=$B15),0
   ),
   0
)</f>
        <v>0</v>
      </c>
      <c r="J15">
        <v>12</v>
      </c>
      <c r="K15" s="206">
        <v>15</v>
      </c>
      <c r="L15" s="210" t="s">
        <v>90</v>
      </c>
      <c r="M15" s="216">
        <f t="shared" si="2"/>
        <v>4.9764500000000003E-3</v>
      </c>
      <c r="N15" s="160">
        <f t="shared" si="6"/>
        <v>15.090800872107627</v>
      </c>
      <c r="O15" s="175">
        <v>2.8700000000000002E-3</v>
      </c>
      <c r="P15" s="175">
        <v>2.8700000000000002E-3</v>
      </c>
      <c r="Q15" s="175">
        <v>2.882526049821E-3</v>
      </c>
      <c r="R15" s="197">
        <f t="shared" si="0"/>
        <v>4.331059850294889E-2</v>
      </c>
      <c r="T15" s="184">
        <v>3093</v>
      </c>
      <c r="U15" s="199">
        <v>3.0929999999999998E-3</v>
      </c>
      <c r="V15" s="203">
        <f t="shared" si="1"/>
        <v>4.6675847097428884E-2</v>
      </c>
      <c r="W15" s="169"/>
      <c r="X15" s="103"/>
      <c r="Y15" s="175">
        <f t="shared" si="7"/>
        <v>0.01</v>
      </c>
      <c r="Z15" s="175">
        <v>0.01</v>
      </c>
      <c r="AA15" s="175">
        <v>2.882526049821E-3</v>
      </c>
      <c r="AB15" s="272">
        <f t="shared" si="3"/>
        <v>0.15090800872107626</v>
      </c>
      <c r="AD15" s="184">
        <f t="shared" si="4"/>
        <v>10000</v>
      </c>
      <c r="AE15" s="199">
        <v>0.01</v>
      </c>
      <c r="AF15" s="278">
        <f t="shared" si="5"/>
        <v>0.15090800872107626</v>
      </c>
    </row>
    <row r="16" spans="2:32">
      <c r="B16" s="142">
        <v>20</v>
      </c>
      <c r="C16" s="155" cm="1">
        <f t="array" ref="C16">_xlfn.IFNA(
   _xlfn._xlws.FILTER(
      Sim_Mul_Bet5!$H$3:$H$72,
      (Sim_Mul_Bet5!$A$3:$A$72=C$2) * (Sim_Mul_Bet5!$C$3:$C$72=$B16),0
   ),
   0
)</f>
        <v>9.7743099999999996E-3</v>
      </c>
      <c r="D16" s="156" cm="1">
        <f t="array" ref="D16">_xlfn.IFNA(
   _xlfn._xlws.FILTER(
      Sim_Mul_Bet5!$H$3:$H$72,
      (Sim_Mul_Bet5!$A$3:$A$72=D$2) * (Sim_Mul_Bet5!$C$3:$C$72=$B16),0
   ),
   0
)</f>
        <v>8.1024059999999995E-2</v>
      </c>
      <c r="E16" s="181" cm="1">
        <f t="array" ref="E16">_xlfn.IFNA(
   _xlfn._xlws.FILTER(
      Sim_Mul_Bet5!$H$3:$H$72,
      (Sim_Mul_Bet5!$A$3:$A$72=E$2) * (Sim_Mul_Bet5!$C$3:$C$72=$B16),0
   ),
   0
)</f>
        <v>0</v>
      </c>
      <c r="F16" s="150" cm="1">
        <f t="array" ref="F16">_xlfn.IFNA(
   _xlfn._xlws.FILTER(
      Sim_Mul_Bet5!$O$3:$O$72,
      (Sim_Mul_Bet5!$A$3:$A$72=C$2) * (Sim_Mul_Bet5!$C$3:$C$72=$B16),0
   ),
   0
)</f>
        <v>20.143660677838128</v>
      </c>
      <c r="G16" s="146" cm="1">
        <f t="array" ref="G16">_xlfn.IFNA(
   _xlfn._xlws.FILTER(
      Sim_Mul_Bet5!$O$3:$O$72,
      (Sim_Mul_Bet5!$A$3:$A$72=D$2) * (Sim_Mul_Bet5!$C$3:$C$72=$B16),0
   ),
   0
)</f>
        <v>21.212930406104064</v>
      </c>
      <c r="H16" s="147" cm="1">
        <f t="array" ref="H16">_xlfn.IFNA(
   _xlfn._xlws.FILTER(
      Sim_Mul_Bet5!$O$3:$O$72,
      (Sim_Mul_Bet5!$A$3:$A$72=E$2) * (Sim_Mul_Bet5!$C$3:$C$72=$B16),0
   ),
   0
)</f>
        <v>0</v>
      </c>
      <c r="J16">
        <v>13</v>
      </c>
      <c r="K16" s="206">
        <v>20</v>
      </c>
      <c r="L16" s="210" t="s">
        <v>90</v>
      </c>
      <c r="M16" s="216">
        <f t="shared" si="2"/>
        <v>9.7743099999999996E-3</v>
      </c>
      <c r="N16" s="160">
        <f t="shared" si="6"/>
        <v>20.143660677838128</v>
      </c>
      <c r="O16" s="175">
        <v>6.3E-3</v>
      </c>
      <c r="P16" s="175">
        <v>6.3E-3</v>
      </c>
      <c r="Q16" s="175">
        <v>6.3113290796927299E-3</v>
      </c>
      <c r="R16" s="197">
        <f t="shared" si="0"/>
        <v>0.1269050622703802</v>
      </c>
      <c r="T16" s="184">
        <v>1940</v>
      </c>
      <c r="U16" s="199">
        <v>1.9400000000000001E-3</v>
      </c>
      <c r="V16" s="203">
        <f t="shared" si="1"/>
        <v>3.9078701715005972E-2</v>
      </c>
      <c r="W16" s="169"/>
      <c r="X16" s="103"/>
      <c r="Y16" s="175">
        <f t="shared" si="7"/>
        <v>2.9999999999999997E-4</v>
      </c>
      <c r="Z16" s="175">
        <v>2.9999999999999997E-4</v>
      </c>
      <c r="AA16" s="175">
        <v>6.3113290796927299E-3</v>
      </c>
      <c r="AB16" s="272">
        <f t="shared" si="3"/>
        <v>6.0430982033514375E-3</v>
      </c>
      <c r="AD16" s="184">
        <f t="shared" si="4"/>
        <v>300</v>
      </c>
      <c r="AE16" s="199">
        <v>2.9999999999999997E-4</v>
      </c>
      <c r="AF16" s="278">
        <f t="shared" si="5"/>
        <v>6.0430982033514375E-3</v>
      </c>
    </row>
    <row r="17" spans="2:32">
      <c r="B17" s="142">
        <v>25</v>
      </c>
      <c r="C17" s="155" cm="1">
        <f t="array" ref="C17">_xlfn.IFNA(
   _xlfn._xlws.FILTER(
      Sim_Mul_Bet5!$H$3:$H$72,
      (Sim_Mul_Bet5!$A$3:$A$72=C$2) * (Sim_Mul_Bet5!$C$3:$C$72=$B17),0
   ),
   0
)</f>
        <v>4.5030000000000001E-5</v>
      </c>
      <c r="D17" s="156" cm="1">
        <f t="array" ref="D17">_xlfn.IFNA(
   _xlfn._xlws.FILTER(
      Sim_Mul_Bet5!$H$3:$H$72,
      (Sim_Mul_Bet5!$A$3:$A$72=D$2) * (Sim_Mul_Bet5!$C$3:$C$72=$B17),0
   ),
   0
)</f>
        <v>1.030443E-2</v>
      </c>
      <c r="E17" s="181" cm="1">
        <f t="array" ref="E17">_xlfn.IFNA(
   _xlfn._xlws.FILTER(
      Sim_Mul_Bet5!$H$3:$H$72,
      (Sim_Mul_Bet5!$A$3:$A$72=E$2) * (Sim_Mul_Bet5!$C$3:$C$72=$B17),0
   ),
   0
)</f>
        <v>0</v>
      </c>
      <c r="F17" s="150" cm="1">
        <f t="array" ref="F17">_xlfn.IFNA(
   _xlfn._xlws.FILTER(
      Sim_Mul_Bet5!$O$3:$O$72,
      (Sim_Mul_Bet5!$A$3:$A$72=C$2) * (Sim_Mul_Bet5!$C$3:$C$72=$B17),0
   ),
   0
)</f>
        <v>25.111836553408839</v>
      </c>
      <c r="G17" s="146" cm="1">
        <f t="array" ref="G17">_xlfn.IFNA(
   _xlfn._xlws.FILTER(
      Sim_Mul_Bet5!$O$3:$O$72,
      (Sim_Mul_Bet5!$A$3:$A$72=D$2) * (Sim_Mul_Bet5!$C$3:$C$72=$B17),0
   ),
   0
)</f>
        <v>28.874722619300634</v>
      </c>
      <c r="H17" s="147" cm="1">
        <f t="array" ref="H17">_xlfn.IFNA(
   _xlfn._xlws.FILTER(
      Sim_Mul_Bet5!$O$3:$O$72,
      (Sim_Mul_Bet5!$A$3:$A$72=E$2) * (Sim_Mul_Bet5!$C$3:$C$72=$B17),0
   ),
   0
)</f>
        <v>0</v>
      </c>
      <c r="J17">
        <v>14</v>
      </c>
      <c r="K17" s="206">
        <v>25</v>
      </c>
      <c r="L17" s="210" t="s">
        <v>91</v>
      </c>
      <c r="M17" s="216">
        <f t="shared" si="2"/>
        <v>1.030443E-2</v>
      </c>
      <c r="N17" s="160">
        <f t="shared" si="6"/>
        <v>28.874722619300634</v>
      </c>
      <c r="O17" s="175">
        <v>1.6999999999999999E-3</v>
      </c>
      <c r="P17" s="175">
        <v>1.6999999999999999E-3</v>
      </c>
      <c r="Q17" s="175">
        <v>1.7696391996432301E-3</v>
      </c>
      <c r="R17" s="197">
        <f t="shared" si="0"/>
        <v>4.9087028452811078E-2</v>
      </c>
      <c r="T17" s="184">
        <v>201</v>
      </c>
      <c r="U17" s="199">
        <v>2.0100000000000001E-4</v>
      </c>
      <c r="V17" s="203">
        <f t="shared" si="1"/>
        <v>5.803819246479428E-3</v>
      </c>
      <c r="W17" s="169"/>
      <c r="X17" s="103"/>
      <c r="Y17" s="175">
        <f t="shared" si="7"/>
        <v>1.6000000000000001E-3</v>
      </c>
      <c r="Z17" s="175">
        <v>1.6000000000000001E-3</v>
      </c>
      <c r="AA17" s="175">
        <v>1.7696391996432301E-3</v>
      </c>
      <c r="AB17" s="272">
        <f t="shared" si="3"/>
        <v>4.6199556190881015E-2</v>
      </c>
      <c r="AD17" s="184">
        <f t="shared" si="4"/>
        <v>1600</v>
      </c>
      <c r="AE17" s="199">
        <v>1.6000000000000001E-3</v>
      </c>
      <c r="AF17" s="278">
        <f t="shared" si="5"/>
        <v>4.6199556190881015E-2</v>
      </c>
    </row>
    <row r="18" spans="2:32">
      <c r="B18" s="142">
        <v>30</v>
      </c>
      <c r="C18" s="155" cm="1">
        <f t="array" ref="C18">_xlfn.IFNA(
   _xlfn._xlws.FILTER(
      Sim_Mul_Bet5!$H$3:$H$72,
      (Sim_Mul_Bet5!$A$3:$A$72=C$2) * (Sim_Mul_Bet5!$C$3:$C$72=$B18),0
   ),
   0
)</f>
        <v>2.6330899999999998E-3</v>
      </c>
      <c r="D18" s="156" cm="1">
        <f t="array" ref="D18">_xlfn.IFNA(
   _xlfn._xlws.FILTER(
      Sim_Mul_Bet5!$H$3:$H$72,
      (Sim_Mul_Bet5!$A$3:$A$72=D$2) * (Sim_Mul_Bet5!$C$3:$C$72=$B18),0
   ),
   0
)</f>
        <v>2.1162810000000001E-2</v>
      </c>
      <c r="E18" s="181" cm="1">
        <f t="array" ref="E18">_xlfn.IFNA(
   _xlfn._xlws.FILTER(
      Sim_Mul_Bet5!$H$3:$H$72,
      (Sim_Mul_Bet5!$A$3:$A$72=E$2) * (Sim_Mul_Bet5!$C$3:$C$72=$B18),0
   ),
   0
)</f>
        <v>0</v>
      </c>
      <c r="F18" s="150" cm="1">
        <f t="array" ref="F18">_xlfn.IFNA(
   _xlfn._xlws.FILTER(
      Sim_Mul_Bet5!$O$3:$O$72,
      (Sim_Mul_Bet5!$A$3:$A$72=C$2) * (Sim_Mul_Bet5!$C$3:$C$72=$B18),0
   ),
   0
)</f>
        <v>30.302435541512061</v>
      </c>
      <c r="G18" s="146" cm="1">
        <f t="array" ref="G18">_xlfn.IFNA(
   _xlfn._xlws.FILTER(
      Sim_Mul_Bet5!$O$3:$O$72,
      (Sim_Mul_Bet5!$A$3:$A$72=D$2) * (Sim_Mul_Bet5!$C$3:$C$72=$B18),0
   ),
   0
)</f>
        <v>31.152191037012571</v>
      </c>
      <c r="H18" s="147" cm="1">
        <f t="array" ref="H18">_xlfn.IFNA(
   _xlfn._xlws.FILTER(
      Sim_Mul_Bet5!$O$3:$O$72,
      (Sim_Mul_Bet5!$A$3:$A$72=E$2) * (Sim_Mul_Bet5!$C$3:$C$72=$B18),0
   ),
   0
)</f>
        <v>0</v>
      </c>
      <c r="J18">
        <v>15</v>
      </c>
      <c r="K18" s="206">
        <v>30</v>
      </c>
      <c r="L18" s="210" t="s">
        <v>90</v>
      </c>
      <c r="M18" s="216">
        <f t="shared" si="2"/>
        <v>2.6330899999999998E-3</v>
      </c>
      <c r="N18" s="160">
        <f t="shared" si="6"/>
        <v>30.302435541512061</v>
      </c>
      <c r="O18" s="175">
        <v>1.8E-3</v>
      </c>
      <c r="P18" s="175">
        <v>1.8E-3</v>
      </c>
      <c r="Q18" s="175">
        <v>1.82047142483405E-3</v>
      </c>
      <c r="R18" s="197">
        <f t="shared" si="0"/>
        <v>5.4544383974721708E-2</v>
      </c>
      <c r="T18" s="184">
        <v>7072</v>
      </c>
      <c r="U18" s="199">
        <v>7.0720000000000002E-3</v>
      </c>
      <c r="V18" s="203">
        <f t="shared" si="1"/>
        <v>0.2142988241495733</v>
      </c>
      <c r="W18" s="169"/>
      <c r="X18" s="103"/>
      <c r="Y18" s="175">
        <f t="shared" si="7"/>
        <v>1E-4</v>
      </c>
      <c r="Z18" s="175">
        <v>1E-4</v>
      </c>
      <c r="AA18" s="175">
        <v>1.82047142483405E-3</v>
      </c>
      <c r="AB18" s="272">
        <f t="shared" si="3"/>
        <v>3.0302435541512064E-3</v>
      </c>
      <c r="AD18" s="184">
        <f t="shared" si="4"/>
        <v>100</v>
      </c>
      <c r="AE18" s="199">
        <v>1E-4</v>
      </c>
      <c r="AF18" s="278">
        <f t="shared" si="5"/>
        <v>3.0302435541512064E-3</v>
      </c>
    </row>
    <row r="19" spans="2:32">
      <c r="B19" s="142">
        <v>35</v>
      </c>
      <c r="C19" s="155" cm="1">
        <f t="array" ref="C19">_xlfn.IFNA(
   _xlfn._xlws.FILTER(
      Sim_Mul_Bet5!$H$3:$H$72,
      (Sim_Mul_Bet5!$A$3:$A$72=C$2) * (Sim_Mul_Bet5!$C$3:$C$72=$B19),0
   ),
   0
)</f>
        <v>2.0290000000000001E-5</v>
      </c>
      <c r="D19" s="156" cm="1">
        <f t="array" ref="D19">_xlfn.IFNA(
   _xlfn._xlws.FILTER(
      Sim_Mul_Bet5!$H$3:$H$72,
      (Sim_Mul_Bet5!$A$3:$A$72=D$2) * (Sim_Mul_Bet5!$C$3:$C$72=$B19),0
   ),
   0
)</f>
        <v>6.8937099999999999E-3</v>
      </c>
      <c r="E19" s="181" cm="1">
        <f t="array" ref="E19">_xlfn.IFNA(
   _xlfn._xlws.FILTER(
      Sim_Mul_Bet5!$H$3:$H$72,
      (Sim_Mul_Bet5!$A$3:$A$72=E$2) * (Sim_Mul_Bet5!$C$3:$C$72=$B19),0
   ),
   0
)</f>
        <v>0</v>
      </c>
      <c r="F19" s="150" cm="1">
        <f t="array" ref="F19">_xlfn.IFNA(
   _xlfn._xlws.FILTER(
      Sim_Mul_Bet5!$O$3:$O$72,
      (Sim_Mul_Bet5!$A$3:$A$72=C$2) * (Sim_Mul_Bet5!$C$3:$C$72=$B19),0
   ),
   0
)</f>
        <v>35.1123706259241</v>
      </c>
      <c r="G19" s="146" cm="1">
        <f t="array" ref="G19">_xlfn.IFNA(
   _xlfn._xlws.FILTER(
      Sim_Mul_Bet5!$O$3:$O$72,
      (Sim_Mul_Bet5!$A$3:$A$72=D$2) * (Sim_Mul_Bet5!$C$3:$C$72=$B19),0
   ),
   0
)</f>
        <v>39.178356791916109</v>
      </c>
      <c r="H19" s="147" cm="1">
        <f t="array" ref="H19">_xlfn.IFNA(
   _xlfn._xlws.FILTER(
      Sim_Mul_Bet5!$O$3:$O$72,
      (Sim_Mul_Bet5!$A$3:$A$72=E$2) * (Sim_Mul_Bet5!$C$3:$C$72=$B19),0
   ),
   0
)</f>
        <v>0</v>
      </c>
      <c r="J19">
        <v>16</v>
      </c>
      <c r="K19" s="206">
        <v>35</v>
      </c>
      <c r="L19" s="210" t="s">
        <v>91</v>
      </c>
      <c r="M19" s="216">
        <f t="shared" si="2"/>
        <v>6.8937099999999999E-3</v>
      </c>
      <c r="N19" s="160">
        <f t="shared" si="6"/>
        <v>39.178356791916109</v>
      </c>
      <c r="O19" s="175">
        <v>0</v>
      </c>
      <c r="P19" s="175">
        <v>0</v>
      </c>
      <c r="Q19" s="175">
        <v>0</v>
      </c>
      <c r="R19" s="197">
        <f t="shared" si="0"/>
        <v>0</v>
      </c>
      <c r="T19" s="184">
        <v>12</v>
      </c>
      <c r="U19" s="199">
        <v>1.2E-5</v>
      </c>
      <c r="V19" s="203">
        <f t="shared" si="1"/>
        <v>4.701402815029933E-4</v>
      </c>
      <c r="W19" s="169"/>
      <c r="X19" s="103"/>
      <c r="Y19" s="175">
        <f t="shared" si="7"/>
        <v>0</v>
      </c>
      <c r="Z19" s="175">
        <v>0</v>
      </c>
      <c r="AA19" s="175">
        <v>0</v>
      </c>
      <c r="AB19" s="272">
        <f t="shared" si="3"/>
        <v>0</v>
      </c>
      <c r="AD19" s="184">
        <f t="shared" si="4"/>
        <v>0</v>
      </c>
      <c r="AE19" s="199">
        <v>0</v>
      </c>
      <c r="AF19" s="278">
        <f t="shared" si="5"/>
        <v>0</v>
      </c>
    </row>
    <row r="20" spans="2:32">
      <c r="B20" s="142">
        <v>40</v>
      </c>
      <c r="C20" s="155" cm="1">
        <f t="array" ref="C20">_xlfn.IFNA(
   _xlfn._xlws.FILTER(
      Sim_Mul_Bet5!$H$3:$H$72,
      (Sim_Mul_Bet5!$A$3:$A$72=C$2) * (Sim_Mul_Bet5!$C$3:$C$72=$B20),0
   ),
   0
)</f>
        <v>2.9699000000000001E-4</v>
      </c>
      <c r="D20" s="156" cm="1">
        <f t="array" ref="D20">_xlfn.IFNA(
   _xlfn._xlws.FILTER(
      Sim_Mul_Bet5!$H$3:$H$72,
      (Sim_Mul_Bet5!$A$3:$A$72=D$2) * (Sim_Mul_Bet5!$C$3:$C$72=$B20),0
   ),
   0
)</f>
        <v>1.4306370000000001E-2</v>
      </c>
      <c r="E20" s="181" cm="1">
        <f t="array" ref="E20">_xlfn.IFNA(
   _xlfn._xlws.FILTER(
      Sim_Mul_Bet5!$H$3:$H$72,
      (Sim_Mul_Bet5!$A$3:$A$72=E$2) * (Sim_Mul_Bet5!$C$3:$C$72=$B20),0
   ),
   0
)</f>
        <v>0</v>
      </c>
      <c r="F20" s="150" cm="1">
        <f t="array" ref="F20">_xlfn.IFNA(
   _xlfn._xlws.FILTER(
      Sim_Mul_Bet5!$O$3:$O$72,
      (Sim_Mul_Bet5!$A$3:$A$72=C$2) * (Sim_Mul_Bet5!$C$3:$C$72=$B20),0
   ),
   0
)</f>
        <v>40.218929930300689</v>
      </c>
      <c r="G20" s="146" cm="1">
        <f t="array" ref="G20">_xlfn.IFNA(
   _xlfn._xlws.FILTER(
      Sim_Mul_Bet5!$O$3:$O$72,
      (Sim_Mul_Bet5!$A$3:$A$72=D$2) * (Sim_Mul_Bet5!$C$3:$C$72=$B20),0
   ),
   0
)</f>
        <v>41.39241289020206</v>
      </c>
      <c r="H20" s="147" cm="1">
        <f t="array" ref="H20">_xlfn.IFNA(
   _xlfn._xlws.FILTER(
      Sim_Mul_Bet5!$O$3:$O$72,
      (Sim_Mul_Bet5!$A$3:$A$72=E$2) * (Sim_Mul_Bet5!$C$3:$C$72=$B20),0
   ),
   0
)</f>
        <v>0</v>
      </c>
      <c r="J20">
        <v>17</v>
      </c>
      <c r="K20" s="206">
        <v>40</v>
      </c>
      <c r="L20" s="210" t="s">
        <v>91</v>
      </c>
      <c r="M20" s="216">
        <f t="shared" si="2"/>
        <v>1.4306370000000001E-2</v>
      </c>
      <c r="N20" s="160">
        <f t="shared" si="6"/>
        <v>41.39241289020206</v>
      </c>
      <c r="O20" s="175">
        <v>0</v>
      </c>
      <c r="P20" s="175">
        <v>0</v>
      </c>
      <c r="Q20" s="175">
        <v>0</v>
      </c>
      <c r="R20" s="197">
        <f t="shared" si="0"/>
        <v>0</v>
      </c>
      <c r="T20" s="184">
        <v>25</v>
      </c>
      <c r="U20" s="199">
        <v>2.5000000000000001E-5</v>
      </c>
      <c r="V20" s="203">
        <f t="shared" si="1"/>
        <v>1.0348103222550516E-3</v>
      </c>
      <c r="W20" s="169"/>
      <c r="X20" s="103"/>
      <c r="Y20" s="175">
        <f t="shared" si="7"/>
        <v>0</v>
      </c>
      <c r="Z20" s="175">
        <v>0</v>
      </c>
      <c r="AA20" s="175">
        <v>0</v>
      </c>
      <c r="AB20" s="272">
        <f t="shared" si="3"/>
        <v>0</v>
      </c>
      <c r="AD20" s="184">
        <f t="shared" si="4"/>
        <v>0</v>
      </c>
      <c r="AE20" s="199">
        <v>0</v>
      </c>
      <c r="AF20" s="278">
        <f t="shared" si="5"/>
        <v>0</v>
      </c>
    </row>
    <row r="21" spans="2:32">
      <c r="B21" s="142">
        <v>45</v>
      </c>
      <c r="C21" s="155" cm="1">
        <f t="array" ref="C21">_xlfn.IFNA(
   _xlfn._xlws.FILTER(
      Sim_Mul_Bet5!$H$3:$H$72,
      (Sim_Mul_Bet5!$A$3:$A$72=C$2) * (Sim_Mul_Bet5!$C$3:$C$72=$B21),0
   ),
   0
)</f>
        <v>5.6000000000000004E-7</v>
      </c>
      <c r="D21" s="156" cm="1">
        <f t="array" ref="D21">_xlfn.IFNA(
   _xlfn._xlws.FILTER(
      Sim_Mul_Bet5!$H$3:$H$72,
      (Sim_Mul_Bet5!$A$3:$A$72=D$2) * (Sim_Mul_Bet5!$C$3:$C$72=$B21),0
   ),
   0
)</f>
        <v>1.0029039999999999E-2</v>
      </c>
      <c r="E21" s="181" cm="1">
        <f t="array" ref="E21">_xlfn.IFNA(
   _xlfn._xlws.FILTER(
      Sim_Mul_Bet5!$H$3:$H$72,
      (Sim_Mul_Bet5!$A$3:$A$72=E$2) * (Sim_Mul_Bet5!$C$3:$C$72=$B21),0
   ),
   0
)</f>
        <v>0</v>
      </c>
      <c r="F21" s="150" cm="1">
        <f t="array" ref="F21">_xlfn.IFNA(
   _xlfn._xlws.FILTER(
      Sim_Mul_Bet5!$O$3:$O$72,
      (Sim_Mul_Bet5!$A$3:$A$72=C$2) * (Sim_Mul_Bet5!$C$3:$C$72=$B21),0
   ),
   0
)</f>
        <v>45.307142857142857</v>
      </c>
      <c r="G21" s="146" cm="1">
        <f t="array" ref="G21">_xlfn.IFNA(
   _xlfn._xlws.FILTER(
      Sim_Mul_Bet5!$O$3:$O$72,
      (Sim_Mul_Bet5!$A$3:$A$72=D$2) * (Sim_Mul_Bet5!$C$3:$C$72=$B21),0
   ),
   0
)</f>
        <v>49.700924515207838</v>
      </c>
      <c r="H21" s="147" cm="1">
        <f t="array" ref="H21">_xlfn.IFNA(
   _xlfn._xlws.FILTER(
      Sim_Mul_Bet5!$O$3:$O$72,
      (Sim_Mul_Bet5!$A$3:$A$72=E$2) * (Sim_Mul_Bet5!$C$3:$C$72=$B21),0
   ),
   0
)</f>
        <v>0</v>
      </c>
      <c r="J21">
        <v>18</v>
      </c>
      <c r="K21" s="206">
        <v>45</v>
      </c>
      <c r="L21" s="210" t="s">
        <v>90</v>
      </c>
      <c r="M21" s="216">
        <f t="shared" si="2"/>
        <v>5.6000000000000004E-7</v>
      </c>
      <c r="N21" s="160">
        <f t="shared" si="6"/>
        <v>45.307142857142857</v>
      </c>
      <c r="O21" s="175">
        <v>5.7000000000000002E-3</v>
      </c>
      <c r="P21" s="175">
        <v>5.7000000000000002E-3</v>
      </c>
      <c r="Q21" s="175">
        <v>5.70676448142319E-3</v>
      </c>
      <c r="R21" s="197">
        <f t="shared" si="0"/>
        <v>0.25825071428571428</v>
      </c>
      <c r="T21" s="184">
        <v>4527</v>
      </c>
      <c r="U21" s="199">
        <v>4.5269999999999998E-3</v>
      </c>
      <c r="V21" s="203">
        <f t="shared" si="1"/>
        <v>0.20510543571428572</v>
      </c>
      <c r="W21" s="169"/>
      <c r="X21" s="103"/>
      <c r="Y21" s="175">
        <f t="shared" si="7"/>
        <v>7.0000000000000001E-3</v>
      </c>
      <c r="Z21" s="175">
        <v>7.0000000000000001E-3</v>
      </c>
      <c r="AA21" s="175">
        <v>5.70676448142319E-3</v>
      </c>
      <c r="AB21" s="272">
        <f t="shared" si="3"/>
        <v>0.31714999999999999</v>
      </c>
      <c r="AD21" s="184">
        <f t="shared" si="4"/>
        <v>7000</v>
      </c>
      <c r="AE21" s="199">
        <v>7.0000000000000001E-3</v>
      </c>
      <c r="AF21" s="278">
        <f t="shared" si="5"/>
        <v>0.31714999999999999</v>
      </c>
    </row>
    <row r="22" spans="2:32">
      <c r="B22" s="142">
        <v>50</v>
      </c>
      <c r="C22" s="155" cm="1">
        <f t="array" ref="C22">_xlfn.IFNA(
   _xlfn._xlws.FILTER(
      Sim_Mul_Bet5!$H$3:$H$72,
      (Sim_Mul_Bet5!$A$3:$A$72=C$2) * (Sim_Mul_Bet5!$C$3:$C$72=$B22),0
   ),
   0
)</f>
        <v>3.1315499999999999E-3</v>
      </c>
      <c r="D22" s="156" cm="1">
        <f t="array" ref="D22">_xlfn.IFNA(
   _xlfn._xlws.FILTER(
      Sim_Mul_Bet5!$H$3:$H$72,
      (Sim_Mul_Bet5!$A$3:$A$72=D$2) * (Sim_Mul_Bet5!$C$3:$C$72=$B22),0
   ),
   0
)</f>
        <v>2.0492219999999998E-2</v>
      </c>
      <c r="E22" s="181" cm="1">
        <f t="array" ref="E22">_xlfn.IFNA(
   _xlfn._xlws.FILTER(
      Sim_Mul_Bet5!$H$3:$H$72,
      (Sim_Mul_Bet5!$A$3:$A$72=E$2) * (Sim_Mul_Bet5!$C$3:$C$72=$B22),0
   ),
   0
)</f>
        <v>0</v>
      </c>
      <c r="F22" s="150" cm="1">
        <f t="array" ref="F22">_xlfn.IFNA(
   _xlfn._xlws.FILTER(
      Sim_Mul_Bet5!$O$3:$O$72,
      (Sim_Mul_Bet5!$A$3:$A$72=C$2) * (Sim_Mul_Bet5!$C$3:$C$72=$B22),0
   ),
   0
)</f>
        <v>50.461877983746071</v>
      </c>
      <c r="G22" s="146" cm="1">
        <f t="array" ref="G22">_xlfn.IFNA(
   _xlfn._xlws.FILTER(
      Sim_Mul_Bet5!$O$3:$O$72,
      (Sim_Mul_Bet5!$A$3:$A$72=D$2) * (Sim_Mul_Bet5!$C$3:$C$72=$B22),0
   ),
   0
)</f>
        <v>52.66635591458612</v>
      </c>
      <c r="H22" s="147" cm="1">
        <f t="array" ref="H22">_xlfn.IFNA(
   _xlfn._xlws.FILTER(
      Sim_Mul_Bet5!$O$3:$O$72,
      (Sim_Mul_Bet5!$A$3:$A$72=E$2) * (Sim_Mul_Bet5!$C$3:$C$72=$B22),0
   ),
   0
)</f>
        <v>0</v>
      </c>
      <c r="J22">
        <v>19</v>
      </c>
      <c r="K22" s="206">
        <v>50</v>
      </c>
      <c r="L22" s="210" t="s">
        <v>91</v>
      </c>
      <c r="M22" s="216">
        <f t="shared" si="2"/>
        <v>2.0492219999999998E-2</v>
      </c>
      <c r="N22" s="160">
        <f t="shared" si="6"/>
        <v>52.66635591458612</v>
      </c>
      <c r="O22" s="175">
        <v>0</v>
      </c>
      <c r="P22" s="175">
        <v>0</v>
      </c>
      <c r="Q22" s="175">
        <v>0</v>
      </c>
      <c r="R22" s="197">
        <f t="shared" si="0"/>
        <v>0</v>
      </c>
      <c r="T22" s="184">
        <v>35</v>
      </c>
      <c r="U22" s="199">
        <v>3.4999999999999997E-5</v>
      </c>
      <c r="V22" s="203">
        <f t="shared" si="1"/>
        <v>1.843322457010514E-3</v>
      </c>
      <c r="W22" s="169"/>
      <c r="X22" s="103"/>
      <c r="Y22" s="175">
        <f t="shared" si="7"/>
        <v>0</v>
      </c>
      <c r="Z22" s="175">
        <v>0</v>
      </c>
      <c r="AA22" s="175">
        <v>0</v>
      </c>
      <c r="AB22" s="272">
        <f t="shared" si="3"/>
        <v>0</v>
      </c>
      <c r="AD22" s="184">
        <f t="shared" si="4"/>
        <v>0</v>
      </c>
      <c r="AE22" s="199">
        <v>0</v>
      </c>
      <c r="AF22" s="278">
        <f t="shared" si="5"/>
        <v>0</v>
      </c>
    </row>
    <row r="23" spans="2:32">
      <c r="B23" s="142">
        <v>60</v>
      </c>
      <c r="C23" s="155" cm="1">
        <f t="array" ref="C23">_xlfn.IFNA(
   _xlfn._xlws.FILTER(
      Sim_Mul_Bet5!$H$3:$H$72,
      (Sim_Mul_Bet5!$A$3:$A$72=C$2) * (Sim_Mul_Bet5!$C$3:$C$72=$B23),0
   ),
   0
)</f>
        <v>9.8200000000000008E-6</v>
      </c>
      <c r="D23" s="156" cm="1">
        <f t="array" ref="D23">_xlfn.IFNA(
   _xlfn._xlws.FILTER(
      Sim_Mul_Bet5!$H$3:$H$72,
      (Sim_Mul_Bet5!$A$3:$A$72=D$2) * (Sim_Mul_Bet5!$C$3:$C$72=$B23),0
   ),
   0
)</f>
        <v>3.1411199999999998E-3</v>
      </c>
      <c r="E23" s="181" cm="1">
        <f t="array" ref="E23">_xlfn.IFNA(
   _xlfn._xlws.FILTER(
      Sim_Mul_Bet5!$H$3:$H$72,
      (Sim_Mul_Bet5!$A$3:$A$72=E$2) * (Sim_Mul_Bet5!$C$3:$C$72=$B23),0
   ),
   0
)</f>
        <v>0</v>
      </c>
      <c r="F23" s="150" cm="1">
        <f t="array" ref="F23">_xlfn.IFNA(
   _xlfn._xlws.FILTER(
      Sim_Mul_Bet5!$O$3:$O$72,
      (Sim_Mul_Bet5!$A$3:$A$72=C$2) * (Sim_Mul_Bet5!$C$3:$C$72=$B23),0
   ),
   0
)</f>
        <v>60.110386965376776</v>
      </c>
      <c r="G23" s="146" cm="1">
        <f t="array" ref="G23">_xlfn.IFNA(
   _xlfn._xlws.FILTER(
      Sim_Mul_Bet5!$O$3:$O$72,
      (Sim_Mul_Bet5!$A$3:$A$72=D$2) * (Sim_Mul_Bet5!$C$3:$C$72=$B23),0
   ),
   0
)</f>
        <v>62.336966432355339</v>
      </c>
      <c r="H23" s="147" cm="1">
        <f t="array" ref="H23">_xlfn.IFNA(
   _xlfn._xlws.FILTER(
      Sim_Mul_Bet5!$O$3:$O$72,
      (Sim_Mul_Bet5!$A$3:$A$72=E$2) * (Sim_Mul_Bet5!$C$3:$C$72=$B23),0
   ),
   0
)</f>
        <v>0</v>
      </c>
      <c r="J23">
        <v>20</v>
      </c>
      <c r="K23" s="206">
        <v>60</v>
      </c>
      <c r="L23" s="210" t="s">
        <v>91</v>
      </c>
      <c r="M23" s="216">
        <f t="shared" si="2"/>
        <v>3.1411199999999998E-3</v>
      </c>
      <c r="N23" s="160">
        <f t="shared" si="6"/>
        <v>62.336966432355339</v>
      </c>
      <c r="O23" s="175">
        <v>0</v>
      </c>
      <c r="P23" s="175">
        <v>0</v>
      </c>
      <c r="Q23" s="175">
        <v>0</v>
      </c>
      <c r="R23" s="197">
        <f t="shared" si="0"/>
        <v>0</v>
      </c>
      <c r="T23" s="184">
        <v>5</v>
      </c>
      <c r="U23" s="199">
        <v>5.0000000000000004E-6</v>
      </c>
      <c r="V23" s="203">
        <f t="shared" si="1"/>
        <v>3.1168483216177672E-4</v>
      </c>
      <c r="W23" s="169"/>
      <c r="X23" s="103"/>
      <c r="Y23" s="175">
        <f t="shared" si="7"/>
        <v>0</v>
      </c>
      <c r="Z23" s="175">
        <v>0</v>
      </c>
      <c r="AA23" s="175">
        <v>0</v>
      </c>
      <c r="AB23" s="272">
        <f t="shared" si="3"/>
        <v>0</v>
      </c>
      <c r="AD23" s="184">
        <f t="shared" si="4"/>
        <v>0</v>
      </c>
      <c r="AE23" s="199">
        <v>0</v>
      </c>
      <c r="AF23" s="278">
        <f t="shared" si="5"/>
        <v>0</v>
      </c>
    </row>
    <row r="24" spans="2:32">
      <c r="B24" s="142">
        <v>70</v>
      </c>
      <c r="C24" s="155" cm="1">
        <f t="array" ref="C24">_xlfn.IFNA(
   _xlfn._xlws.FILTER(
      Sim_Mul_Bet5!$H$3:$H$72,
      (Sim_Mul_Bet5!$A$3:$A$72=C$2) * (Sim_Mul_Bet5!$C$3:$C$72=$B24),0
   ),
   0
)</f>
        <v>1.6500000000000001E-6</v>
      </c>
      <c r="D24" s="156" cm="1">
        <f t="array" ref="D24">_xlfn.IFNA(
   _xlfn._xlws.FILTER(
      Sim_Mul_Bet5!$H$3:$H$72,
      (Sim_Mul_Bet5!$A$3:$A$72=D$2) * (Sim_Mul_Bet5!$C$3:$C$72=$B24),0
   ),
   0
)</f>
        <v>1.30349E-3</v>
      </c>
      <c r="E24" s="181" cm="1">
        <f t="array" ref="E24">_xlfn.IFNA(
   _xlfn._xlws.FILTER(
      Sim_Mul_Bet5!$H$3:$H$72,
      (Sim_Mul_Bet5!$A$3:$A$72=E$2) * (Sim_Mul_Bet5!$C$3:$C$72=$B24),0
   ),
   0
)</f>
        <v>0</v>
      </c>
      <c r="F24" s="150" cm="1">
        <f t="array" ref="F24">_xlfn.IFNA(
   _xlfn._xlws.FILTER(
      Sim_Mul_Bet5!$O$3:$O$72,
      (Sim_Mul_Bet5!$A$3:$A$72=C$2) * (Sim_Mul_Bet5!$C$3:$C$72=$B24),0
   ),
   0
)</f>
        <v>70.105454545454535</v>
      </c>
      <c r="G24" s="146" cm="1">
        <f t="array" ref="G24">_xlfn.IFNA(
   _xlfn._xlws.FILTER(
      Sim_Mul_Bet5!$O$3:$O$72,
      (Sim_Mul_Bet5!$A$3:$A$72=D$2) * (Sim_Mul_Bet5!$C$3:$C$72=$B24),0
   ),
   0
)</f>
        <v>71.415805261260161</v>
      </c>
      <c r="H24" s="147" cm="1">
        <f t="array" ref="H24">_xlfn.IFNA(
   _xlfn._xlws.FILTER(
      Sim_Mul_Bet5!$O$3:$O$72,
      (Sim_Mul_Bet5!$A$3:$A$72=E$2) * (Sim_Mul_Bet5!$C$3:$C$72=$B24),0
   ),
   0
)</f>
        <v>0</v>
      </c>
      <c r="J24">
        <v>21</v>
      </c>
      <c r="K24" s="206">
        <v>70</v>
      </c>
      <c r="L24" s="210" t="s">
        <v>91</v>
      </c>
      <c r="M24" s="216">
        <f t="shared" si="2"/>
        <v>1.30349E-3</v>
      </c>
      <c r="N24" s="160">
        <f t="shared" si="6"/>
        <v>71.415805261260161</v>
      </c>
      <c r="O24" s="175">
        <v>0</v>
      </c>
      <c r="P24" s="175">
        <v>0</v>
      </c>
      <c r="Q24" s="175">
        <v>0</v>
      </c>
      <c r="R24" s="197">
        <f t="shared" si="0"/>
        <v>0</v>
      </c>
      <c r="T24" s="184">
        <v>2</v>
      </c>
      <c r="U24" s="199">
        <v>1.9999999999999999E-6</v>
      </c>
      <c r="V24" s="203">
        <f t="shared" si="1"/>
        <v>1.4283161052252032E-4</v>
      </c>
      <c r="W24" s="169"/>
      <c r="X24" s="103"/>
      <c r="Y24" s="175">
        <f t="shared" si="7"/>
        <v>0</v>
      </c>
      <c r="Z24" s="175">
        <v>0</v>
      </c>
      <c r="AA24" s="175">
        <v>0</v>
      </c>
      <c r="AB24" s="272">
        <f t="shared" si="3"/>
        <v>0</v>
      </c>
      <c r="AD24" s="184">
        <f t="shared" si="4"/>
        <v>0</v>
      </c>
      <c r="AE24" s="199">
        <v>0</v>
      </c>
      <c r="AF24" s="278">
        <f t="shared" si="5"/>
        <v>0</v>
      </c>
    </row>
    <row r="25" spans="2:32">
      <c r="B25" s="142">
        <v>80</v>
      </c>
      <c r="C25" s="155" cm="1">
        <f t="array" ref="C25">_xlfn.IFNA(
   _xlfn._xlws.FILTER(
      Sim_Mul_Bet5!$H$3:$H$72,
      (Sim_Mul_Bet5!$A$3:$A$72=C$2) * (Sim_Mul_Bet5!$C$3:$C$72=$B25),0
   ),
   0
)</f>
        <v>2.9999999999999997E-8</v>
      </c>
      <c r="D25" s="156" cm="1">
        <f t="array" ref="D25">_xlfn.IFNA(
   _xlfn._xlws.FILTER(
      Sim_Mul_Bet5!$H$3:$H$72,
      (Sim_Mul_Bet5!$A$3:$A$72=D$2) * (Sim_Mul_Bet5!$C$3:$C$72=$B25),0
   ),
   0
)</f>
        <v>1.4331000000000001E-4</v>
      </c>
      <c r="E25" s="181" cm="1">
        <f t="array" ref="E25">_xlfn.IFNA(
   _xlfn._xlws.FILTER(
      Sim_Mul_Bet5!$H$3:$H$72,
      (Sim_Mul_Bet5!$A$3:$A$72=E$2) * (Sim_Mul_Bet5!$C$3:$C$72=$B25),0
   ),
   0
)</f>
        <v>0</v>
      </c>
      <c r="F25" s="150" cm="1">
        <f t="array" ref="F25">_xlfn.IFNA(
   _xlfn._xlws.FILTER(
      Sim_Mul_Bet5!$O$3:$O$72,
      (Sim_Mul_Bet5!$A$3:$A$72=C$2) * (Sim_Mul_Bet5!$C$3:$C$72=$B25),0
   ),
   0
)</f>
        <v>80</v>
      </c>
      <c r="G25" s="146" cm="1">
        <f t="array" ref="G25">_xlfn.IFNA(
   _xlfn._xlws.FILTER(
      Sim_Mul_Bet5!$O$3:$O$72,
      (Sim_Mul_Bet5!$A$3:$A$72=D$2) * (Sim_Mul_Bet5!$C$3:$C$72=$B25),0
   ),
   0
)</f>
        <v>80.601367664503528</v>
      </c>
      <c r="H25" s="147" cm="1">
        <f t="array" ref="H25">_xlfn.IFNA(
   _xlfn._xlws.FILTER(
      Sim_Mul_Bet5!$O$3:$O$72,
      (Sim_Mul_Bet5!$A$3:$A$72=E$2) * (Sim_Mul_Bet5!$C$3:$C$72=$B25),0
   ),
   0
)</f>
        <v>0</v>
      </c>
      <c r="J25">
        <v>22</v>
      </c>
      <c r="K25" s="206">
        <v>80</v>
      </c>
      <c r="L25" s="210" t="s">
        <v>90</v>
      </c>
      <c r="M25" s="216">
        <f t="shared" si="2"/>
        <v>2.9999999999999997E-8</v>
      </c>
      <c r="N25" s="160">
        <f t="shared" si="6"/>
        <v>80</v>
      </c>
      <c r="O25" s="175">
        <v>0</v>
      </c>
      <c r="P25" s="175">
        <v>0</v>
      </c>
      <c r="Q25" s="175">
        <v>0</v>
      </c>
      <c r="R25" s="197">
        <f t="shared" si="0"/>
        <v>0</v>
      </c>
      <c r="T25" s="184">
        <v>0</v>
      </c>
      <c r="U25" s="199">
        <v>0</v>
      </c>
      <c r="V25" s="203">
        <f t="shared" si="1"/>
        <v>0</v>
      </c>
      <c r="W25" s="169"/>
      <c r="X25" s="103"/>
      <c r="Y25" s="175">
        <f t="shared" si="7"/>
        <v>0</v>
      </c>
      <c r="Z25" s="175">
        <v>0</v>
      </c>
      <c r="AA25" s="175">
        <v>0</v>
      </c>
      <c r="AB25" s="272">
        <f t="shared" si="3"/>
        <v>0</v>
      </c>
      <c r="AD25" s="184">
        <f t="shared" si="4"/>
        <v>0</v>
      </c>
      <c r="AE25" s="199">
        <v>0</v>
      </c>
      <c r="AF25" s="278">
        <f t="shared" si="5"/>
        <v>0</v>
      </c>
    </row>
    <row r="26" spans="2:32">
      <c r="B26" s="142">
        <v>90</v>
      </c>
      <c r="C26" s="155" cm="1">
        <f t="array" ref="C26">_xlfn.IFNA(
   _xlfn._xlws.FILTER(
      Sim_Mul_Bet5!$H$3:$H$72,
      (Sim_Mul_Bet5!$A$3:$A$72=C$2) * (Sim_Mul_Bet5!$C$3:$C$72=$B26),0
   ),
   0
)</f>
        <v>0</v>
      </c>
      <c r="D26" s="156" cm="1">
        <f t="array" ref="D26">_xlfn.IFNA(
   _xlfn._xlws.FILTER(
      Sim_Mul_Bet5!$H$3:$H$72,
      (Sim_Mul_Bet5!$A$3:$A$72=D$2) * (Sim_Mul_Bet5!$C$3:$C$72=$B26),0
   ),
   0
)</f>
        <v>1.004056E-2</v>
      </c>
      <c r="E26" s="181" cm="1">
        <f t="array" ref="E26">_xlfn.IFNA(
   _xlfn._xlws.FILTER(
      Sim_Mul_Bet5!$H$3:$H$72,
      (Sim_Mul_Bet5!$A$3:$A$72=E$2) * (Sim_Mul_Bet5!$C$3:$C$72=$B26),0
   ),
   0
)</f>
        <v>0</v>
      </c>
      <c r="F26" s="150" cm="1">
        <f t="array" ref="F26">_xlfn.IFNA(
   _xlfn._xlws.FILTER(
      Sim_Mul_Bet5!$O$3:$O$72,
      (Sim_Mul_Bet5!$A$3:$A$72=C$2) * (Sim_Mul_Bet5!$C$3:$C$72=$B26),0
   ),
   0
)</f>
        <v>0</v>
      </c>
      <c r="G26" s="146" cm="1">
        <f t="array" ref="G26">_xlfn.IFNA(
   _xlfn._xlws.FILTER(
      Sim_Mul_Bet5!$O$3:$O$72,
      (Sim_Mul_Bet5!$A$3:$A$72=D$2) * (Sim_Mul_Bet5!$C$3:$C$72=$B26),0
   ),
   0
)</f>
        <v>100</v>
      </c>
      <c r="H26" s="147" cm="1">
        <f t="array" ref="H26">_xlfn.IFNA(
   _xlfn._xlws.FILTER(
      Sim_Mul_Bet5!$O$3:$O$72,
      (Sim_Mul_Bet5!$A$3:$A$72=E$2) * (Sim_Mul_Bet5!$C$3:$C$72=$B26),0
   ),
   0
)</f>
        <v>0</v>
      </c>
      <c r="J26">
        <v>23</v>
      </c>
      <c r="K26" s="206">
        <v>90</v>
      </c>
      <c r="L26" s="210" t="s">
        <v>91</v>
      </c>
      <c r="M26" s="216">
        <f t="shared" si="2"/>
        <v>1.004056E-2</v>
      </c>
      <c r="N26" s="160">
        <f t="shared" si="6"/>
        <v>100</v>
      </c>
      <c r="O26" s="175">
        <v>4.2899999999999999E-5</v>
      </c>
      <c r="P26" s="175">
        <v>9.2E-5</v>
      </c>
      <c r="Q26" s="175">
        <v>9.2175768346027797E-5</v>
      </c>
      <c r="R26" s="197">
        <f t="shared" si="0"/>
        <v>4.2899999999999995E-3</v>
      </c>
      <c r="T26" s="184">
        <v>17</v>
      </c>
      <c r="U26" s="199">
        <v>1.7E-5</v>
      </c>
      <c r="V26" s="203">
        <f t="shared" si="1"/>
        <v>1.6999999999999999E-3</v>
      </c>
      <c r="W26" s="169"/>
      <c r="X26" s="103"/>
      <c r="Y26" s="175">
        <f t="shared" si="7"/>
        <v>1E-4</v>
      </c>
      <c r="Z26" s="175">
        <v>1E-4</v>
      </c>
      <c r="AA26" s="175">
        <v>9.2175768346027797E-5</v>
      </c>
      <c r="AB26" s="272">
        <f t="shared" si="3"/>
        <v>0.01</v>
      </c>
      <c r="AD26" s="184">
        <f t="shared" si="4"/>
        <v>100</v>
      </c>
      <c r="AE26" s="199">
        <v>1E-4</v>
      </c>
      <c r="AF26" s="278">
        <f t="shared" si="5"/>
        <v>0.01</v>
      </c>
    </row>
    <row r="27" spans="2:32">
      <c r="B27" s="142">
        <v>100</v>
      </c>
      <c r="C27" s="155" cm="1">
        <f t="array" ref="C27">_xlfn.IFNA(
   _xlfn._xlws.FILTER(
      Sim_Mul_Bet5!$H$3:$H$72,
      (Sim_Mul_Bet5!$A$3:$A$72=C$2) * (Sim_Mul_Bet5!$C$3:$C$72=$B27),0
   ),
   0
)</f>
        <v>7.4578000000000003E-4</v>
      </c>
      <c r="D27" s="156" cm="1">
        <f t="array" ref="D27">_xlfn.IFNA(
   _xlfn._xlws.FILTER(
      Sim_Mul_Bet5!$H$3:$H$72,
      (Sim_Mul_Bet5!$A$3:$A$72=D$2) * (Sim_Mul_Bet5!$C$3:$C$72=$B27),0
   ),
   0
)</f>
        <v>4.8370009999999998E-2</v>
      </c>
      <c r="E27" s="181" cm="1">
        <f t="array" ref="E27">_xlfn.IFNA(
   _xlfn._xlws.FILTER(
      Sim_Mul_Bet5!$H$3:$H$72,
      (Sim_Mul_Bet5!$A$3:$A$72=E$2) * (Sim_Mul_Bet5!$C$3:$C$72=$B27),0
   ),
   0
)</f>
        <v>0</v>
      </c>
      <c r="F27" s="150" cm="1">
        <f t="array" ref="F27">_xlfn.IFNA(
   _xlfn._xlws.FILTER(
      Sim_Mul_Bet5!$O$3:$O$72,
      (Sim_Mul_Bet5!$A$3:$A$72=C$2) * (Sim_Mul_Bet5!$C$3:$C$72=$B27),0
   ),
   0
)</f>
        <v>107.08345356539462</v>
      </c>
      <c r="G27" s="146" cm="1">
        <f t="array" ref="G27">_xlfn.IFNA(
   _xlfn._xlws.FILTER(
      Sim_Mul_Bet5!$O$3:$O$72,
      (Sim_Mul_Bet5!$A$3:$A$72=D$2) * (Sim_Mul_Bet5!$C$3:$C$72=$B27),0
   ),
   0
)</f>
        <v>105.26360945552833</v>
      </c>
      <c r="H27" s="147" cm="1">
        <f t="array" ref="H27">_xlfn.IFNA(
   _xlfn._xlws.FILTER(
      Sim_Mul_Bet5!$O$3:$O$72,
      (Sim_Mul_Bet5!$A$3:$A$72=E$2) * (Sim_Mul_Bet5!$C$3:$C$72=$B27),0
   ),
   0
)</f>
        <v>0</v>
      </c>
      <c r="J27">
        <v>24</v>
      </c>
      <c r="K27" s="206">
        <v>100</v>
      </c>
      <c r="L27" s="210" t="s">
        <v>91</v>
      </c>
      <c r="M27" s="216">
        <f t="shared" si="2"/>
        <v>4.8370009999999998E-2</v>
      </c>
      <c r="N27" s="160">
        <f t="shared" si="6"/>
        <v>105.26360945552833</v>
      </c>
      <c r="O27" s="175">
        <v>4.5000000000000003E-5</v>
      </c>
      <c r="P27" s="175">
        <v>4.5000000000000003E-5</v>
      </c>
      <c r="Q27" s="175">
        <v>4.6765647175558197E-5</v>
      </c>
      <c r="R27" s="197">
        <f t="shared" si="0"/>
        <v>4.7368624254987748E-3</v>
      </c>
      <c r="T27" s="184">
        <v>84</v>
      </c>
      <c r="U27" s="199">
        <v>8.3999999999999995E-5</v>
      </c>
      <c r="V27" s="203">
        <f t="shared" si="1"/>
        <v>8.8421431942643791E-3</v>
      </c>
      <c r="W27" s="169"/>
      <c r="X27" s="103"/>
      <c r="Y27" s="175">
        <f t="shared" si="7"/>
        <v>5.0000000000000002E-5</v>
      </c>
      <c r="Z27" s="175">
        <v>5.0000000000000002E-5</v>
      </c>
      <c r="AA27" s="175">
        <v>4.6765647175558197E-5</v>
      </c>
      <c r="AB27" s="272">
        <f t="shared" si="3"/>
        <v>5.2631804727764162E-3</v>
      </c>
      <c r="AD27" s="184">
        <f t="shared" si="4"/>
        <v>50</v>
      </c>
      <c r="AE27" s="199">
        <v>5.0000000000000002E-5</v>
      </c>
      <c r="AF27" s="278">
        <f t="shared" si="5"/>
        <v>5.2631804727764162E-3</v>
      </c>
    </row>
    <row r="28" spans="2:32">
      <c r="B28" s="142">
        <v>120</v>
      </c>
      <c r="C28" s="155" cm="1">
        <f t="array" ref="C28">_xlfn.IFNA(
   _xlfn._xlws.FILTER(
      Sim_Mul_Bet5!$H$3:$H$72,
      (Sim_Mul_Bet5!$A$3:$A$72=C$2) * (Sim_Mul_Bet5!$C$3:$C$72=$B28),0
   ),
   0
)</f>
        <v>5.2499999999999997E-6</v>
      </c>
      <c r="D28" s="156" cm="1">
        <f t="array" ref="D28">_xlfn.IFNA(
   _xlfn._xlws.FILTER(
      Sim_Mul_Bet5!$H$3:$H$72,
      (Sim_Mul_Bet5!$A$3:$A$72=D$2) * (Sim_Mul_Bet5!$C$3:$C$72=$B28),0
   ),
   0
)</f>
        <v>4.9629499999999998E-3</v>
      </c>
      <c r="E28" s="181" cm="1">
        <f t="array" ref="E28">_xlfn.IFNA(
   _xlfn._xlws.FILTER(
      Sim_Mul_Bet5!$H$3:$H$72,
      (Sim_Mul_Bet5!$A$3:$A$72=E$2) * (Sim_Mul_Bet5!$C$3:$C$72=$B28),0
   ),
   0
)</f>
        <v>0</v>
      </c>
      <c r="F28" s="150" cm="1">
        <f t="array" ref="F28">_xlfn.IFNA(
   _xlfn._xlws.FILTER(
      Sim_Mul_Bet5!$O$3:$O$72,
      (Sim_Mul_Bet5!$A$3:$A$72=C$2) * (Sim_Mul_Bet5!$C$3:$C$72=$B28),0
   ),
   0
)</f>
        <v>124.30819047619048</v>
      </c>
      <c r="G28" s="146" cm="1">
        <f t="array" ref="G28">_xlfn.IFNA(
   _xlfn._xlws.FILTER(
      Sim_Mul_Bet5!$O$3:$O$72,
      (Sim_Mul_Bet5!$A$3:$A$72=D$2) * (Sim_Mul_Bet5!$C$3:$C$72=$B28),0
   ),
   0
)</f>
        <v>124.72314570970894</v>
      </c>
      <c r="H28" s="147" cm="1">
        <f t="array" ref="H28">_xlfn.IFNA(
   _xlfn._xlws.FILTER(
      Sim_Mul_Bet5!$O$3:$O$72,
      (Sim_Mul_Bet5!$A$3:$A$72=E$2) * (Sim_Mul_Bet5!$C$3:$C$72=$B28),0
   ),
   0
)</f>
        <v>0</v>
      </c>
      <c r="J28">
        <v>25</v>
      </c>
      <c r="K28" s="206">
        <v>120</v>
      </c>
      <c r="L28" s="210" t="s">
        <v>91</v>
      </c>
      <c r="M28" s="216">
        <f t="shared" si="2"/>
        <v>4.9629499999999998E-3</v>
      </c>
      <c r="N28" s="160">
        <f t="shared" si="6"/>
        <v>124.72314570970894</v>
      </c>
      <c r="O28" s="175">
        <v>0</v>
      </c>
      <c r="P28" s="175">
        <v>0</v>
      </c>
      <c r="Q28" s="175">
        <v>0</v>
      </c>
      <c r="R28" s="197">
        <f t="shared" si="0"/>
        <v>0</v>
      </c>
      <c r="T28" s="184">
        <v>8</v>
      </c>
      <c r="U28" s="199">
        <v>7.9999999999999996E-6</v>
      </c>
      <c r="V28" s="203">
        <f t="shared" si="1"/>
        <v>9.9778516567767162E-4</v>
      </c>
      <c r="W28" s="169"/>
      <c r="X28" s="103"/>
      <c r="Y28" s="175">
        <f t="shared" si="7"/>
        <v>0</v>
      </c>
      <c r="Z28" s="175">
        <v>0</v>
      </c>
      <c r="AA28" s="175">
        <v>0</v>
      </c>
      <c r="AB28" s="272">
        <f t="shared" si="3"/>
        <v>0</v>
      </c>
      <c r="AD28" s="184">
        <f t="shared" si="4"/>
        <v>0</v>
      </c>
      <c r="AE28" s="199">
        <v>0</v>
      </c>
      <c r="AF28" s="278">
        <f t="shared" si="5"/>
        <v>0</v>
      </c>
    </row>
    <row r="29" spans="2:32">
      <c r="B29" s="142">
        <v>140</v>
      </c>
      <c r="C29" s="155" cm="1">
        <f t="array" ref="C29">_xlfn.IFNA(
   _xlfn._xlws.FILTER(
      Sim_Mul_Bet5!$H$3:$H$72,
      (Sim_Mul_Bet5!$A$3:$A$72=C$2) * (Sim_Mul_Bet5!$C$3:$C$72=$B29),0
   ),
   0
)</f>
        <v>2.2000000000000001E-7</v>
      </c>
      <c r="D29" s="156" cm="1">
        <f t="array" ref="D29">_xlfn.IFNA(
   _xlfn._xlws.FILTER(
      Sim_Mul_Bet5!$H$3:$H$72,
      (Sim_Mul_Bet5!$A$3:$A$72=D$2) * (Sim_Mul_Bet5!$C$3:$C$72=$B29),0
   ),
   0
)</f>
        <v>2.4401700000000002E-3</v>
      </c>
      <c r="E29" s="181" cm="1">
        <f t="array" ref="E29">_xlfn.IFNA(
   _xlfn._xlws.FILTER(
      Sim_Mul_Bet5!$H$3:$H$72,
      (Sim_Mul_Bet5!$A$3:$A$72=E$2) * (Sim_Mul_Bet5!$C$3:$C$72=$B29),0
   ),
   0
)</f>
        <v>0</v>
      </c>
      <c r="F29" s="150" cm="1">
        <f t="array" ref="F29">_xlfn.IFNA(
   _xlfn._xlws.FILTER(
      Sim_Mul_Bet5!$O$3:$O$72,
      (Sim_Mul_Bet5!$A$3:$A$72=C$2) * (Sim_Mul_Bet5!$C$3:$C$72=$B29),0
   ),
   0
)</f>
        <v>147.81818181818181</v>
      </c>
      <c r="G29" s="146" cm="1">
        <f t="array" ref="G29">_xlfn.IFNA(
   _xlfn._xlws.FILTER(
      Sim_Mul_Bet5!$O$3:$O$72,
      (Sim_Mul_Bet5!$A$3:$A$72=D$2) * (Sim_Mul_Bet5!$C$3:$C$72=$B29),0
   ),
   0
)</f>
        <v>151.20816828335731</v>
      </c>
      <c r="H29" s="147" cm="1">
        <f t="array" ref="H29">_xlfn.IFNA(
   _xlfn._xlws.FILTER(
      Sim_Mul_Bet5!$O$3:$O$72,
      (Sim_Mul_Bet5!$A$3:$A$72=E$2) * (Sim_Mul_Bet5!$C$3:$C$72=$B29),0
   ),
   0
)</f>
        <v>0</v>
      </c>
      <c r="J29">
        <v>26</v>
      </c>
      <c r="K29" s="206">
        <v>140</v>
      </c>
      <c r="L29" s="210" t="s">
        <v>91</v>
      </c>
      <c r="M29" s="216">
        <f t="shared" si="2"/>
        <v>2.4401700000000002E-3</v>
      </c>
      <c r="N29" s="160">
        <f t="shared" si="6"/>
        <v>151.20816828335731</v>
      </c>
      <c r="O29" s="175">
        <v>0</v>
      </c>
      <c r="P29" s="175">
        <v>0</v>
      </c>
      <c r="Q29" s="175">
        <v>0</v>
      </c>
      <c r="R29" s="197">
        <f t="shared" si="0"/>
        <v>0</v>
      </c>
      <c r="T29" s="184">
        <v>4</v>
      </c>
      <c r="U29" s="199">
        <v>3.9999999999999998E-6</v>
      </c>
      <c r="V29" s="203">
        <f t="shared" si="1"/>
        <v>6.0483267313342923E-4</v>
      </c>
      <c r="W29" s="169"/>
      <c r="X29" s="103"/>
      <c r="Y29" s="175">
        <f t="shared" si="7"/>
        <v>0</v>
      </c>
      <c r="Z29" s="175">
        <v>0</v>
      </c>
      <c r="AA29" s="175">
        <v>0</v>
      </c>
      <c r="AB29" s="272">
        <f t="shared" si="3"/>
        <v>0</v>
      </c>
      <c r="AD29" s="184">
        <f t="shared" si="4"/>
        <v>0</v>
      </c>
      <c r="AE29" s="199">
        <v>0</v>
      </c>
      <c r="AF29" s="278">
        <f t="shared" si="5"/>
        <v>0</v>
      </c>
    </row>
    <row r="30" spans="2:32">
      <c r="B30" s="142">
        <v>160</v>
      </c>
      <c r="C30" s="155" cm="1">
        <f t="array" ref="C30">_xlfn.IFNA(
   _xlfn._xlws.FILTER(
      Sim_Mul_Bet5!$H$3:$H$72,
      (Sim_Mul_Bet5!$A$3:$A$72=C$2) * (Sim_Mul_Bet5!$C$3:$C$72=$B30),0
   ),
   0
)</f>
        <v>0</v>
      </c>
      <c r="D30" s="156" cm="1">
        <f t="array" ref="D30">_xlfn.IFNA(
   _xlfn._xlws.FILTER(
      Sim_Mul_Bet5!$H$3:$H$72,
      (Sim_Mul_Bet5!$A$3:$A$72=D$2) * (Sim_Mul_Bet5!$C$3:$C$72=$B30),0
   ),
   0
)</f>
        <v>1.4495E-4</v>
      </c>
      <c r="E30" s="181" cm="1">
        <f t="array" ref="E30">_xlfn.IFNA(
   _xlfn._xlws.FILTER(
      Sim_Mul_Bet5!$H$3:$H$72,
      (Sim_Mul_Bet5!$A$3:$A$72=E$2) * (Sim_Mul_Bet5!$C$3:$C$72=$B30),0
   ),
   0
)</f>
        <v>0</v>
      </c>
      <c r="F30" s="150" cm="1">
        <f t="array" ref="F30">_xlfn.IFNA(
   _xlfn._xlws.FILTER(
      Sim_Mul_Bet5!$O$3:$O$72,
      (Sim_Mul_Bet5!$A$3:$A$72=C$2) * (Sim_Mul_Bet5!$C$3:$C$72=$B30),0
   ),
   0
)</f>
        <v>0</v>
      </c>
      <c r="G30" s="146" cm="1">
        <f t="array" ref="G30">_xlfn.IFNA(
   _xlfn._xlws.FILTER(
      Sim_Mul_Bet5!$O$3:$O$72,
      (Sim_Mul_Bet5!$A$3:$A$72=D$2) * (Sim_Mul_Bet5!$C$3:$C$72=$B30),0
   ),
   0
)</f>
        <v>160.60289755087962</v>
      </c>
      <c r="H30" s="147" cm="1">
        <f t="array" ref="H30">_xlfn.IFNA(
   _xlfn._xlws.FILTER(
      Sim_Mul_Bet5!$O$3:$O$72,
      (Sim_Mul_Bet5!$A$3:$A$72=E$2) * (Sim_Mul_Bet5!$C$3:$C$72=$B30),0
   ),
   0
)</f>
        <v>0</v>
      </c>
      <c r="J30">
        <v>27</v>
      </c>
      <c r="K30" s="206">
        <v>160</v>
      </c>
      <c r="L30" s="210" t="s">
        <v>90</v>
      </c>
      <c r="M30" s="216">
        <f t="shared" si="2"/>
        <v>0</v>
      </c>
      <c r="N30" s="160">
        <f t="shared" si="6"/>
        <v>0</v>
      </c>
      <c r="O30" s="175">
        <v>0</v>
      </c>
      <c r="P30" s="175">
        <v>0</v>
      </c>
      <c r="Q30" s="175">
        <v>0</v>
      </c>
      <c r="R30" s="197">
        <f t="shared" si="0"/>
        <v>0</v>
      </c>
      <c r="T30" s="184">
        <v>0</v>
      </c>
      <c r="U30" s="199">
        <v>0</v>
      </c>
      <c r="V30" s="203">
        <f t="shared" si="1"/>
        <v>0</v>
      </c>
      <c r="W30" s="169"/>
      <c r="X30" s="103"/>
      <c r="Y30" s="175">
        <f t="shared" si="7"/>
        <v>0</v>
      </c>
      <c r="Z30" s="175">
        <v>0</v>
      </c>
      <c r="AA30" s="175">
        <v>0</v>
      </c>
      <c r="AB30" s="272">
        <f t="shared" si="3"/>
        <v>0</v>
      </c>
      <c r="AD30" s="184">
        <f t="shared" si="4"/>
        <v>0</v>
      </c>
      <c r="AE30" s="199">
        <v>0</v>
      </c>
      <c r="AF30" s="278">
        <f t="shared" si="5"/>
        <v>0</v>
      </c>
    </row>
    <row r="31" spans="2:32">
      <c r="B31" s="142">
        <v>180</v>
      </c>
      <c r="C31" s="155" cm="1">
        <f t="array" ref="C31">_xlfn.IFNA(
   _xlfn._xlws.FILTER(
      Sim_Mul_Bet5!$H$3:$H$72,
      (Sim_Mul_Bet5!$A$3:$A$72=C$2) * (Sim_Mul_Bet5!$C$3:$C$72=$B31),0
   ),
   0
)</f>
        <v>0</v>
      </c>
      <c r="D31" s="156" cm="1">
        <f t="array" ref="D31">_xlfn.IFNA(
   _xlfn._xlws.FILTER(
      Sim_Mul_Bet5!$H$3:$H$72,
      (Sim_Mul_Bet5!$A$3:$A$72=D$2) * (Sim_Mul_Bet5!$C$3:$C$72=$B31),0
   ),
   0
)</f>
        <v>6.6487899999999999E-3</v>
      </c>
      <c r="E31" s="181" cm="1">
        <f t="array" ref="E31">_xlfn.IFNA(
   _xlfn._xlws.FILTER(
      Sim_Mul_Bet5!$H$3:$H$72,
      (Sim_Mul_Bet5!$A$3:$A$72=E$2) * (Sim_Mul_Bet5!$C$3:$C$72=$B31),0
   ),
   0
)</f>
        <v>0</v>
      </c>
      <c r="F31" s="150" cm="1">
        <f t="array" ref="F31">_xlfn.IFNA(
   _xlfn._xlws.FILTER(
      Sim_Mul_Bet5!$O$3:$O$72,
      (Sim_Mul_Bet5!$A$3:$A$72=C$2) * (Sim_Mul_Bet5!$C$3:$C$72=$B31),0
   ),
   0
)</f>
        <v>0</v>
      </c>
      <c r="G31" s="146" cm="1">
        <f t="array" ref="G31">_xlfn.IFNA(
   _xlfn._xlws.FILTER(
      Sim_Mul_Bet5!$O$3:$O$72,
      (Sim_Mul_Bet5!$A$3:$A$72=D$2) * (Sim_Mul_Bet5!$C$3:$C$72=$B31),0
   ),
   0
)</f>
        <v>200</v>
      </c>
      <c r="H31" s="147" cm="1">
        <f t="array" ref="H31">_xlfn.IFNA(
   _xlfn._xlws.FILTER(
      Sim_Mul_Bet5!$O$3:$O$72,
      (Sim_Mul_Bet5!$A$3:$A$72=E$2) * (Sim_Mul_Bet5!$C$3:$C$72=$B31),0
   ),
   0
)</f>
        <v>0</v>
      </c>
      <c r="J31">
        <v>28</v>
      </c>
      <c r="K31" s="206">
        <v>180</v>
      </c>
      <c r="L31" s="210" t="s">
        <v>91</v>
      </c>
      <c r="M31" s="216">
        <f t="shared" si="2"/>
        <v>6.6487899999999999E-3</v>
      </c>
      <c r="N31" s="160">
        <f t="shared" si="6"/>
        <v>200</v>
      </c>
      <c r="O31" s="175">
        <v>2.23661790839626E-5</v>
      </c>
      <c r="P31" s="175">
        <v>2.23661790839626E-5</v>
      </c>
      <c r="Q31" s="175">
        <v>2.23661790839626E-5</v>
      </c>
      <c r="R31" s="197">
        <f t="shared" si="0"/>
        <v>4.4732358167925198E-3</v>
      </c>
      <c r="T31" s="184">
        <v>11</v>
      </c>
      <c r="U31" s="199">
        <v>1.1E-5</v>
      </c>
      <c r="V31" s="203">
        <f t="shared" si="1"/>
        <v>2.2000000000000001E-3</v>
      </c>
      <c r="W31" s="169"/>
      <c r="X31" s="103"/>
      <c r="Y31" s="175">
        <f t="shared" si="7"/>
        <v>2.5000000000000001E-5</v>
      </c>
      <c r="Z31" s="175">
        <v>2.5000000000000001E-5</v>
      </c>
      <c r="AA31" s="175">
        <v>2.23661790839626E-5</v>
      </c>
      <c r="AB31" s="272">
        <f t="shared" si="3"/>
        <v>5.0000000000000001E-3</v>
      </c>
      <c r="AD31" s="184">
        <f t="shared" si="4"/>
        <v>25</v>
      </c>
      <c r="AE31" s="199">
        <v>2.5000000000000001E-5</v>
      </c>
      <c r="AF31" s="278">
        <f t="shared" si="5"/>
        <v>5.0000000000000001E-3</v>
      </c>
    </row>
    <row r="32" spans="2:32">
      <c r="B32" s="142">
        <v>200</v>
      </c>
      <c r="C32" s="155" cm="1">
        <f t="array" ref="C32">_xlfn.IFNA(
   _xlfn._xlws.FILTER(
      Sim_Mul_Bet5!$H$3:$H$72,
      (Sim_Mul_Bet5!$A$3:$A$72=C$2) * (Sim_Mul_Bet5!$C$3:$C$72=$B32),0
   ),
   0
)</f>
        <v>4.2349999999999999E-5</v>
      </c>
      <c r="D32" s="156" cm="1">
        <f t="array" ref="D32">_xlfn.IFNA(
   _xlfn._xlws.FILTER(
      Sim_Mul_Bet5!$H$3:$H$72,
      (Sim_Mul_Bet5!$A$3:$A$72=D$2) * (Sim_Mul_Bet5!$C$3:$C$72=$B32),0
   ),
   0
)</f>
        <v>4.9305910000000001E-2</v>
      </c>
      <c r="E32" s="181" cm="1">
        <f t="array" ref="E32">_xlfn.IFNA(
   _xlfn._xlws.FILTER(
      Sim_Mul_Bet5!$H$3:$H$72,
      (Sim_Mul_Bet5!$A$3:$A$72=E$2) * (Sim_Mul_Bet5!$C$3:$C$72=$B32),0
   ),
   0
)</f>
        <v>0</v>
      </c>
      <c r="F32" s="150" cm="1">
        <f t="array" ref="F32">_xlfn.IFNA(
   _xlfn._xlws.FILTER(
      Sim_Mul_Bet5!$O$3:$O$72,
      (Sim_Mul_Bet5!$A$3:$A$72=C$2) * (Sim_Mul_Bet5!$C$3:$C$72=$B32),0
   ),
   0
)</f>
        <v>200.88807556080283</v>
      </c>
      <c r="G32" s="146" cm="1">
        <f t="array" ref="G32">_xlfn.IFNA(
   _xlfn._xlws.FILTER(
      Sim_Mul_Bet5!$O$3:$O$72,
      (Sim_Mul_Bet5!$A$3:$A$72=D$2) * (Sim_Mul_Bet5!$C$3:$C$72=$B32),0
   ),
   0
)</f>
        <v>208.0211514197791</v>
      </c>
      <c r="H32" s="147" cm="1">
        <f t="array" ref="H32">_xlfn.IFNA(
   _xlfn._xlws.FILTER(
      Sim_Mul_Bet5!$O$3:$O$72,
      (Sim_Mul_Bet5!$A$3:$A$72=E$2) * (Sim_Mul_Bet5!$C$3:$C$72=$B32),0
   ),
   0
)</f>
        <v>0</v>
      </c>
      <c r="J32">
        <v>29</v>
      </c>
      <c r="K32" s="206">
        <v>200</v>
      </c>
      <c r="L32" s="210" t="s">
        <v>91</v>
      </c>
      <c r="M32" s="216">
        <f t="shared" si="2"/>
        <v>4.9305910000000001E-2</v>
      </c>
      <c r="N32" s="160">
        <f t="shared" si="6"/>
        <v>208.0211514197791</v>
      </c>
      <c r="O32" s="175">
        <v>1.15219710432535E-5</v>
      </c>
      <c r="P32" s="175">
        <v>1.15219710432535E-5</v>
      </c>
      <c r="Q32" s="175">
        <v>1.15219710432535E-5</v>
      </c>
      <c r="R32" s="197">
        <f t="shared" si="0"/>
        <v>2.3968136830429467E-3</v>
      </c>
      <c r="T32" s="184">
        <v>12</v>
      </c>
      <c r="U32" s="199">
        <v>1.2E-5</v>
      </c>
      <c r="V32" s="203">
        <f t="shared" si="1"/>
        <v>2.4962538170373492E-3</v>
      </c>
      <c r="W32" s="169"/>
      <c r="X32" s="103"/>
      <c r="Y32" s="175">
        <f t="shared" si="7"/>
        <v>5.0000000000000004E-6</v>
      </c>
      <c r="Z32" s="175">
        <v>5.0000000000000004E-6</v>
      </c>
      <c r="AA32" s="175">
        <v>1.15219710432535E-5</v>
      </c>
      <c r="AB32" s="272">
        <f t="shared" si="3"/>
        <v>1.0401057570988957E-3</v>
      </c>
      <c r="AD32" s="184">
        <f t="shared" si="4"/>
        <v>5</v>
      </c>
      <c r="AE32" s="199">
        <v>5.0000000000000004E-6</v>
      </c>
      <c r="AF32" s="278">
        <f t="shared" si="5"/>
        <v>1.0401057570988957E-3</v>
      </c>
    </row>
    <row r="33" spans="2:32">
      <c r="B33" s="142">
        <v>250</v>
      </c>
      <c r="C33" s="155" cm="1">
        <f t="array" ref="C33">_xlfn.IFNA(
   _xlfn._xlws.FILTER(
      Sim_Mul_Bet5!$H$3:$H$72,
      (Sim_Mul_Bet5!$A$3:$A$72=C$2) * (Sim_Mul_Bet5!$C$3:$C$72=$B33),0
   ),
   0
)</f>
        <v>1E-8</v>
      </c>
      <c r="D33" s="156" cm="1">
        <f t="array" ref="D33">_xlfn.IFNA(
   _xlfn._xlws.FILTER(
      Sim_Mul_Bet5!$H$3:$H$72,
      (Sim_Mul_Bet5!$A$3:$A$72=D$2) * (Sim_Mul_Bet5!$C$3:$C$72=$B33),0
   ),
   0
)</f>
        <v>7.2983E-4</v>
      </c>
      <c r="E33" s="181" cm="1">
        <f t="array" ref="E33">_xlfn.IFNA(
   _xlfn._xlws.FILTER(
      Sim_Mul_Bet5!$H$3:$H$72,
      (Sim_Mul_Bet5!$A$3:$A$72=E$2) * (Sim_Mul_Bet5!$C$3:$C$72=$B33),0
   ),
   0
)</f>
        <v>0</v>
      </c>
      <c r="F33" s="150" cm="1">
        <f t="array" ref="F33">_xlfn.IFNA(
   _xlfn._xlws.FILTER(
      Sim_Mul_Bet5!$O$3:$O$72,
      (Sim_Mul_Bet5!$A$3:$A$72=C$2) * (Sim_Mul_Bet5!$C$3:$C$72=$B33),0
   ),
   0
)</f>
        <v>250</v>
      </c>
      <c r="G33" s="146" cm="1">
        <f t="array" ref="G33">_xlfn.IFNA(
   _xlfn._xlws.FILTER(
      Sim_Mul_Bet5!$O$3:$O$72,
      (Sim_Mul_Bet5!$A$3:$A$72=D$2) * (Sim_Mul_Bet5!$C$3:$C$72=$B33),0
   ),
   0
)</f>
        <v>264.25436334488853</v>
      </c>
      <c r="H33" s="147" cm="1">
        <f t="array" ref="H33">_xlfn.IFNA(
   _xlfn._xlws.FILTER(
      Sim_Mul_Bet5!$O$3:$O$72,
      (Sim_Mul_Bet5!$A$3:$A$72=E$2) * (Sim_Mul_Bet5!$C$3:$C$72=$B33),0
   ),
   0
)</f>
        <v>0</v>
      </c>
      <c r="J33">
        <v>30</v>
      </c>
      <c r="K33" s="206">
        <v>250</v>
      </c>
      <c r="L33" s="210" t="s">
        <v>91</v>
      </c>
      <c r="M33" s="216">
        <f t="shared" si="2"/>
        <v>7.2983E-4</v>
      </c>
      <c r="N33" s="160">
        <f t="shared" si="6"/>
        <v>264.25436334488853</v>
      </c>
      <c r="O33" s="175">
        <v>2.7110520101772899E-6</v>
      </c>
      <c r="P33" s="175">
        <v>2.7110520101772899E-6</v>
      </c>
      <c r="Q33" s="175">
        <v>2.7110520101772899E-6</v>
      </c>
      <c r="R33" s="197">
        <f t="shared" si="0"/>
        <v>7.1640732294428E-4</v>
      </c>
      <c r="T33" s="184">
        <v>3</v>
      </c>
      <c r="U33" s="199">
        <v>3.0000000000000001E-6</v>
      </c>
      <c r="V33" s="203">
        <f t="shared" si="1"/>
        <v>7.9276309003466564E-4</v>
      </c>
      <c r="W33" s="169"/>
      <c r="X33" s="103"/>
      <c r="Y33" s="175">
        <f t="shared" si="7"/>
        <v>1.9999999999999999E-6</v>
      </c>
      <c r="Z33" s="175">
        <v>1.9999999999999999E-6</v>
      </c>
      <c r="AA33" s="175">
        <v>2.7110520101772899E-6</v>
      </c>
      <c r="AB33" s="272">
        <f t="shared" si="3"/>
        <v>5.2850872668977705E-4</v>
      </c>
      <c r="AD33" s="184">
        <f t="shared" si="4"/>
        <v>2</v>
      </c>
      <c r="AE33" s="199">
        <v>1.9999999999999999E-6</v>
      </c>
      <c r="AF33" s="278">
        <f t="shared" si="5"/>
        <v>5.2850872668977705E-4</v>
      </c>
    </row>
    <row r="34" spans="2:32">
      <c r="B34" s="142">
        <v>300</v>
      </c>
      <c r="C34" s="155" cm="1">
        <f t="array" ref="C34">_xlfn.IFNA(
   _xlfn._xlws.FILTER(
      Sim_Mul_Bet5!$H$3:$H$72,
      (Sim_Mul_Bet5!$A$3:$A$72=C$2) * (Sim_Mul_Bet5!$C$3:$C$72=$B34),0
   ),
   0
)</f>
        <v>0</v>
      </c>
      <c r="D34" s="156" cm="1">
        <f t="array" ref="D34">_xlfn.IFNA(
   _xlfn._xlws.FILTER(
      Sim_Mul_Bet5!$H$3:$H$72,
      (Sim_Mul_Bet5!$A$3:$A$72=D$2) * (Sim_Mul_Bet5!$C$3:$C$72=$B34),0
   ),
   0
)</f>
        <v>1.7129199999999999E-3</v>
      </c>
      <c r="E34" s="181" cm="1">
        <f t="array" ref="E34">_xlfn.IFNA(
   _xlfn._xlws.FILTER(
      Sim_Mul_Bet5!$H$3:$H$72,
      (Sim_Mul_Bet5!$A$3:$A$72=E$2) * (Sim_Mul_Bet5!$C$3:$C$72=$B34),0
   ),
   0
)</f>
        <v>0</v>
      </c>
      <c r="F34" s="150" cm="1">
        <f t="array" ref="F34">_xlfn.IFNA(
   _xlfn._xlws.FILTER(
      Sim_Mul_Bet5!$O$3:$O$72,
      (Sim_Mul_Bet5!$A$3:$A$72=C$2) * (Sim_Mul_Bet5!$C$3:$C$72=$B34),0
   ),
   0
)</f>
        <v>0</v>
      </c>
      <c r="G34" s="146" cm="1">
        <f t="array" ref="G34">_xlfn.IFNA(
   _xlfn._xlws.FILTER(
      Sim_Mul_Bet5!$O$3:$O$72,
      (Sim_Mul_Bet5!$A$3:$A$72=D$2) * (Sim_Mul_Bet5!$C$3:$C$72=$B34),0
   ),
   0
)</f>
        <v>306.22331574154077</v>
      </c>
      <c r="H34" s="147" cm="1">
        <f t="array" ref="H34">_xlfn.IFNA(
   _xlfn._xlws.FILTER(
      Sim_Mul_Bet5!$O$3:$O$72,
      (Sim_Mul_Bet5!$A$3:$A$72=E$2) * (Sim_Mul_Bet5!$C$3:$C$72=$B34),0
   ),
   0
)</f>
        <v>0</v>
      </c>
      <c r="J34">
        <v>31</v>
      </c>
      <c r="K34" s="206">
        <v>300</v>
      </c>
      <c r="L34" s="210" t="s">
        <v>91</v>
      </c>
      <c r="M34" s="216">
        <f t="shared" si="2"/>
        <v>1.7129199999999999E-3</v>
      </c>
      <c r="N34" s="160">
        <f t="shared" si="6"/>
        <v>306.22331574154077</v>
      </c>
      <c r="O34" s="175">
        <v>3.3888150127216101E-6</v>
      </c>
      <c r="P34" s="175">
        <v>3.3888150127216101E-6</v>
      </c>
      <c r="Q34" s="175">
        <v>3.3888150127216101E-6</v>
      </c>
      <c r="R34" s="197">
        <f t="shared" si="0"/>
        <v>1.037734169630323E-3</v>
      </c>
      <c r="T34" s="184">
        <v>3</v>
      </c>
      <c r="U34" s="199">
        <v>3.0000000000000001E-6</v>
      </c>
      <c r="V34" s="203">
        <f t="shared" si="1"/>
        <v>9.186699472246223E-4</v>
      </c>
      <c r="W34" s="169"/>
      <c r="X34" s="103"/>
      <c r="Y34" s="175">
        <f t="shared" si="7"/>
        <v>1.9999999999999999E-6</v>
      </c>
      <c r="Z34" s="175">
        <v>1.9999999999999999E-6</v>
      </c>
      <c r="AA34" s="175">
        <v>3.3888150127216101E-6</v>
      </c>
      <c r="AB34" s="272">
        <f t="shared" si="3"/>
        <v>6.1244663148308153E-4</v>
      </c>
      <c r="AD34" s="184">
        <f t="shared" si="4"/>
        <v>2</v>
      </c>
      <c r="AE34" s="199">
        <v>1.9999999999999999E-6</v>
      </c>
      <c r="AF34" s="278">
        <f t="shared" si="5"/>
        <v>6.1244663148308153E-4</v>
      </c>
    </row>
    <row r="35" spans="2:32">
      <c r="B35" s="142">
        <v>350</v>
      </c>
      <c r="C35" s="155" cm="1">
        <f t="array" ref="C35">_xlfn.IFNA(
   _xlfn._xlws.FILTER(
      Sim_Mul_Bet5!$H$3:$H$72,
      (Sim_Mul_Bet5!$A$3:$A$72=C$2) * (Sim_Mul_Bet5!$C$3:$C$72=$B35),0
   ),
   0
)</f>
        <v>0</v>
      </c>
      <c r="D35" s="156" cm="1">
        <f t="array" ref="D35">_xlfn.IFNA(
   _xlfn._xlws.FILTER(
      Sim_Mul_Bet5!$H$3:$H$72,
      (Sim_Mul_Bet5!$A$3:$A$72=D$2) * (Sim_Mul_Bet5!$C$3:$C$72=$B35),0
   ),
   0
)</f>
        <v>6.5684999999999995E-4</v>
      </c>
      <c r="E35" s="181" cm="1">
        <f t="array" ref="E35">_xlfn.IFNA(
   _xlfn._xlws.FILTER(
      Sim_Mul_Bet5!$H$3:$H$72,
      (Sim_Mul_Bet5!$A$3:$A$72=E$2) * (Sim_Mul_Bet5!$C$3:$C$72=$B35),0
   ),
   0
)</f>
        <v>0</v>
      </c>
      <c r="F35" s="150" cm="1">
        <f t="array" ref="F35">_xlfn.IFNA(
   _xlfn._xlws.FILTER(
      Sim_Mul_Bet5!$O$3:$O$72,
      (Sim_Mul_Bet5!$A$3:$A$72=C$2) * (Sim_Mul_Bet5!$C$3:$C$72=$B35),0
   ),
   0
)</f>
        <v>0</v>
      </c>
      <c r="G35" s="146" cm="1">
        <f t="array" ref="G35">_xlfn.IFNA(
   _xlfn._xlws.FILTER(
      Sim_Mul_Bet5!$O$3:$O$72,
      (Sim_Mul_Bet5!$A$3:$A$72=D$2) * (Sim_Mul_Bet5!$C$3:$C$72=$B35),0
   ),
   0
)</f>
        <v>400</v>
      </c>
      <c r="H35" s="147" cm="1">
        <f t="array" ref="H35">_xlfn.IFNA(
   _xlfn._xlws.FILTER(
      Sim_Mul_Bet5!$O$3:$O$72,
      (Sim_Mul_Bet5!$A$3:$A$72=E$2) * (Sim_Mul_Bet5!$C$3:$C$72=$B35),0
   ),
   0
)</f>
        <v>0</v>
      </c>
      <c r="J35">
        <v>32</v>
      </c>
      <c r="K35" s="206">
        <v>350</v>
      </c>
      <c r="L35" s="210" t="s">
        <v>91</v>
      </c>
      <c r="M35" s="216">
        <f t="shared" si="2"/>
        <v>6.5684999999999995E-4</v>
      </c>
      <c r="N35" s="160">
        <f t="shared" si="6"/>
        <v>400</v>
      </c>
      <c r="O35" s="175">
        <v>0</v>
      </c>
      <c r="P35" s="175">
        <v>0</v>
      </c>
      <c r="Q35" s="175">
        <v>0</v>
      </c>
      <c r="R35" s="197">
        <f t="shared" si="0"/>
        <v>0</v>
      </c>
      <c r="T35" s="184">
        <v>1</v>
      </c>
      <c r="U35" s="199">
        <v>9.9999999999999995E-7</v>
      </c>
      <c r="V35" s="203">
        <f t="shared" si="1"/>
        <v>3.9999999999999996E-4</v>
      </c>
      <c r="W35" s="169"/>
      <c r="X35" s="103"/>
      <c r="Y35" s="175">
        <f t="shared" si="7"/>
        <v>0</v>
      </c>
      <c r="Z35" s="175">
        <v>0</v>
      </c>
      <c r="AA35" s="175">
        <v>0</v>
      </c>
      <c r="AB35" s="272">
        <f t="shared" si="3"/>
        <v>0</v>
      </c>
      <c r="AD35" s="184">
        <f t="shared" si="4"/>
        <v>0</v>
      </c>
      <c r="AE35" s="199">
        <v>0</v>
      </c>
      <c r="AF35" s="278">
        <f t="shared" si="5"/>
        <v>0</v>
      </c>
    </row>
    <row r="36" spans="2:32">
      <c r="B36" s="142">
        <v>400</v>
      </c>
      <c r="C36" s="155" cm="1">
        <f t="array" ref="C36">_xlfn.IFNA(
   _xlfn._xlws.FILTER(
      Sim_Mul_Bet5!$H$3:$H$72,
      (Sim_Mul_Bet5!$A$3:$A$72=C$2) * (Sim_Mul_Bet5!$C$3:$C$72=$B36),0
   ),
   0
)</f>
        <v>8.0999999999999997E-7</v>
      </c>
      <c r="D36" s="156" cm="1">
        <f t="array" ref="D36">_xlfn.IFNA(
   _xlfn._xlws.FILTER(
      Sim_Mul_Bet5!$H$3:$H$72,
      (Sim_Mul_Bet5!$A$3:$A$72=D$2) * (Sim_Mul_Bet5!$C$3:$C$72=$B36),0
   ),
   0
)</f>
        <v>5.4872799999999998E-3</v>
      </c>
      <c r="E36" s="181" cm="1">
        <f t="array" ref="E36">_xlfn.IFNA(
   _xlfn._xlws.FILTER(
      Sim_Mul_Bet5!$H$3:$H$72,
      (Sim_Mul_Bet5!$A$3:$A$72=E$2) * (Sim_Mul_Bet5!$C$3:$C$72=$B36),0
   ),
   0
)</f>
        <v>0</v>
      </c>
      <c r="F36" s="150" cm="1">
        <f t="array" ref="F36">_xlfn.IFNA(
   _xlfn._xlws.FILTER(
      Sim_Mul_Bet5!$O$3:$O$72,
      (Sim_Mul_Bet5!$A$3:$A$72=C$2) * (Sim_Mul_Bet5!$C$3:$C$72=$B36),0
   ),
   0
)</f>
        <v>400.7753086419753</v>
      </c>
      <c r="G36" s="146" cm="1">
        <f t="array" ref="G36">_xlfn.IFNA(
   _xlfn._xlws.FILTER(
      Sim_Mul_Bet5!$O$3:$O$72,
      (Sim_Mul_Bet5!$A$3:$A$72=D$2) * (Sim_Mul_Bet5!$C$3:$C$72=$B36),0
   ),
   0
)</f>
        <v>409.3342373635025</v>
      </c>
      <c r="H36" s="147" cm="1">
        <f t="array" ref="H36">_xlfn.IFNA(
   _xlfn._xlws.FILTER(
      Sim_Mul_Bet5!$O$3:$O$72,
      (Sim_Mul_Bet5!$A$3:$A$72=E$2) * (Sim_Mul_Bet5!$C$3:$C$72=$B36),0
   ),
   0
)</f>
        <v>0</v>
      </c>
      <c r="J36">
        <v>33</v>
      </c>
      <c r="K36" s="206">
        <v>400</v>
      </c>
      <c r="L36" s="210" t="s">
        <v>91</v>
      </c>
      <c r="M36" s="216">
        <f t="shared" si="2"/>
        <v>5.4872799999999998E-3</v>
      </c>
      <c r="N36" s="160">
        <f t="shared" si="6"/>
        <v>409.3342373635025</v>
      </c>
      <c r="O36" s="175">
        <v>0</v>
      </c>
      <c r="P36" s="175">
        <v>0</v>
      </c>
      <c r="Q36" s="175">
        <v>0</v>
      </c>
      <c r="R36" s="197">
        <f t="shared" si="0"/>
        <v>0</v>
      </c>
      <c r="T36" s="184">
        <v>9</v>
      </c>
      <c r="U36" s="199">
        <v>9.0000000000000002E-6</v>
      </c>
      <c r="V36" s="203">
        <f t="shared" si="1"/>
        <v>3.6840081362715226E-3</v>
      </c>
      <c r="W36" s="169"/>
      <c r="Y36" s="175">
        <f t="shared" si="7"/>
        <v>0</v>
      </c>
      <c r="Z36" s="175">
        <v>0</v>
      </c>
      <c r="AA36" s="175">
        <v>0</v>
      </c>
      <c r="AB36" s="272">
        <f t="shared" si="3"/>
        <v>0</v>
      </c>
      <c r="AD36" s="184">
        <f t="shared" si="4"/>
        <v>0</v>
      </c>
      <c r="AE36" s="199">
        <v>0</v>
      </c>
      <c r="AF36" s="278">
        <f t="shared" si="5"/>
        <v>0</v>
      </c>
    </row>
    <row r="37" spans="2:32">
      <c r="B37" s="142">
        <v>450</v>
      </c>
      <c r="C37" s="155" cm="1">
        <f t="array" ref="C37">_xlfn.IFNA(
   _xlfn._xlws.FILTER(
      Sim_Mul_Bet5!$H$3:$H$72,
      (Sim_Mul_Bet5!$A$3:$A$72=C$2) * (Sim_Mul_Bet5!$C$3:$C$72=$B37),0
   ),
   0
)</f>
        <v>0</v>
      </c>
      <c r="D37" s="156" cm="1">
        <f t="array" ref="D37">_xlfn.IFNA(
   _xlfn._xlws.FILTER(
      Sim_Mul_Bet5!$H$3:$H$72,
      (Sim_Mul_Bet5!$A$3:$A$72=D$2) * (Sim_Mul_Bet5!$C$3:$C$72=$B37),0
   ),
   0
)</f>
        <v>5.7901999999999997E-4</v>
      </c>
      <c r="E37" s="181" cm="1">
        <f t="array" ref="E37">_xlfn.IFNA(
   _xlfn._xlws.FILTER(
      Sim_Mul_Bet5!$H$3:$H$72,
      (Sim_Mul_Bet5!$A$3:$A$72=E$2) * (Sim_Mul_Bet5!$C$3:$C$72=$B37),0
   ),
   0
)</f>
        <v>0</v>
      </c>
      <c r="F37" s="150" cm="1">
        <f t="array" ref="F37">_xlfn.IFNA(
   _xlfn._xlws.FILTER(
      Sim_Mul_Bet5!$O$3:$O$72,
      (Sim_Mul_Bet5!$A$3:$A$72=C$2) * (Sim_Mul_Bet5!$C$3:$C$72=$B37),0
   ),
   0
)</f>
        <v>0</v>
      </c>
      <c r="G37" s="146" cm="1">
        <f t="array" ref="G37">_xlfn.IFNA(
   _xlfn._xlws.FILTER(
      Sim_Mul_Bet5!$O$3:$O$72,
      (Sim_Mul_Bet5!$A$3:$A$72=D$2) * (Sim_Mul_Bet5!$C$3:$C$72=$B37),0
   ),
   0
)</f>
        <v>500</v>
      </c>
      <c r="H37" s="147" cm="1">
        <f t="array" ref="H37">_xlfn.IFNA(
   _xlfn._xlws.FILTER(
      Sim_Mul_Bet5!$O$3:$O$72,
      (Sim_Mul_Bet5!$A$3:$A$72=E$2) * (Sim_Mul_Bet5!$C$3:$C$72=$B37),0
   ),
   0
)</f>
        <v>0</v>
      </c>
      <c r="J37">
        <v>34</v>
      </c>
      <c r="K37" s="206">
        <v>450</v>
      </c>
      <c r="L37" s="210" t="s">
        <v>91</v>
      </c>
      <c r="M37" s="216">
        <f t="shared" si="2"/>
        <v>5.7901999999999997E-4</v>
      </c>
      <c r="N37" s="160">
        <f t="shared" si="6"/>
        <v>500</v>
      </c>
      <c r="O37" s="175">
        <v>0</v>
      </c>
      <c r="P37" s="175">
        <v>0</v>
      </c>
      <c r="Q37" s="175">
        <v>3.3888150127216101E-6</v>
      </c>
      <c r="R37" s="197">
        <f t="shared" si="0"/>
        <v>0</v>
      </c>
      <c r="T37" s="184">
        <v>1</v>
      </c>
      <c r="U37" s="199">
        <v>9.9999999999999995E-7</v>
      </c>
      <c r="V37" s="203">
        <f t="shared" si="1"/>
        <v>5.0000000000000001E-4</v>
      </c>
      <c r="W37" s="169"/>
      <c r="X37" s="103"/>
      <c r="Y37" s="175">
        <f t="shared" si="7"/>
        <v>0</v>
      </c>
      <c r="Z37" s="175">
        <v>0</v>
      </c>
      <c r="AA37" s="175">
        <v>3.3888150127216101E-6</v>
      </c>
      <c r="AB37" s="272">
        <f t="shared" si="3"/>
        <v>0</v>
      </c>
      <c r="AD37" s="184">
        <f t="shared" si="4"/>
        <v>0</v>
      </c>
      <c r="AE37" s="199">
        <v>0</v>
      </c>
      <c r="AF37" s="278">
        <f t="shared" si="5"/>
        <v>0</v>
      </c>
    </row>
    <row r="38" spans="2:32">
      <c r="B38" s="142">
        <v>500</v>
      </c>
      <c r="C38" s="155" cm="1">
        <f t="array" ref="C38">_xlfn.IFNA(
   _xlfn._xlws.FILTER(
      Sim_Mul_Bet5!$H$3:$H$72,
      (Sim_Mul_Bet5!$A$3:$A$72=C$2) * (Sim_Mul_Bet5!$C$3:$C$72=$B38),0
   ),
   0
)</f>
        <v>1.1999999999999999E-7</v>
      </c>
      <c r="D38" s="156" cm="1">
        <f t="array" ref="D38">_xlfn.IFNA(
   _xlfn._xlws.FILTER(
      Sim_Mul_Bet5!$H$3:$H$72,
      (Sim_Mul_Bet5!$A$3:$A$72=D$2) * (Sim_Mul_Bet5!$C$3:$C$72=$B38),0
   ),
   0
)</f>
        <v>3.4676099999999999E-3</v>
      </c>
      <c r="E38" s="181" cm="1">
        <f t="array" ref="E38">_xlfn.IFNA(
   _xlfn._xlws.FILTER(
      Sim_Mul_Bet5!$H$3:$H$72,
      (Sim_Mul_Bet5!$A$3:$A$72=E$2) * (Sim_Mul_Bet5!$C$3:$C$72=$B38),0
   ),
   0
)</f>
        <v>0</v>
      </c>
      <c r="F38" s="150" cm="1">
        <f t="array" ref="F38">_xlfn.IFNA(
   _xlfn._xlws.FILTER(
      Sim_Mul_Bet5!$O$3:$O$72,
      (Sim_Mul_Bet5!$A$3:$A$72=C$2) * (Sim_Mul_Bet5!$C$3:$C$72=$B38),0
   ),
   0
)</f>
        <v>501.33333333333331</v>
      </c>
      <c r="G38" s="146" cm="1">
        <f t="array" ref="G38">_xlfn.IFNA(
   _xlfn._xlws.FILTER(
      Sim_Mul_Bet5!$O$3:$O$72,
      (Sim_Mul_Bet5!$A$3:$A$72=D$2) * (Sim_Mul_Bet5!$C$3:$C$72=$B38),0
   ),
   0
)</f>
        <v>515.3447129290779</v>
      </c>
      <c r="H38" s="147" cm="1">
        <f t="array" ref="H38">_xlfn.IFNA(
   _xlfn._xlws.FILTER(
      Sim_Mul_Bet5!$O$3:$O$72,
      (Sim_Mul_Bet5!$A$3:$A$72=E$2) * (Sim_Mul_Bet5!$C$3:$C$72=$B38),0
   ),
   0
)</f>
        <v>0</v>
      </c>
      <c r="J38">
        <v>35</v>
      </c>
      <c r="K38" s="206">
        <v>500</v>
      </c>
      <c r="L38" s="210" t="s">
        <v>91</v>
      </c>
      <c r="M38" s="216">
        <f t="shared" si="2"/>
        <v>3.4676099999999999E-3</v>
      </c>
      <c r="N38" s="160">
        <f t="shared" si="6"/>
        <v>515.3447129290779</v>
      </c>
      <c r="O38" s="175">
        <v>3.0000000000000001E-6</v>
      </c>
      <c r="P38" s="175">
        <v>3.0000000000000001E-6</v>
      </c>
      <c r="Q38" s="175">
        <v>0</v>
      </c>
      <c r="R38" s="197">
        <f t="shared" si="0"/>
        <v>1.5460341387872338E-3</v>
      </c>
      <c r="T38" s="184">
        <v>3</v>
      </c>
      <c r="U38" s="199">
        <v>3.0000000000000001E-6</v>
      </c>
      <c r="V38" s="203">
        <f t="shared" si="1"/>
        <v>1.5460341387872338E-3</v>
      </c>
      <c r="W38" s="169"/>
      <c r="X38" s="103"/>
      <c r="Y38" s="175">
        <f t="shared" si="7"/>
        <v>9.0000000000000002E-6</v>
      </c>
      <c r="Z38" s="175">
        <v>9.0000000000000002E-6</v>
      </c>
      <c r="AA38" s="175">
        <v>0</v>
      </c>
      <c r="AB38" s="272">
        <f t="shared" si="3"/>
        <v>4.638102416361701E-3</v>
      </c>
      <c r="AD38" s="184">
        <f t="shared" si="4"/>
        <v>9</v>
      </c>
      <c r="AE38" s="199">
        <v>9.0000000000000002E-6</v>
      </c>
      <c r="AF38" s="278">
        <f t="shared" si="5"/>
        <v>4.638102416361701E-3</v>
      </c>
    </row>
    <row r="39" spans="2:32">
      <c r="B39" s="142">
        <v>550</v>
      </c>
      <c r="C39" s="155" cm="1">
        <f t="array" ref="C39">_xlfn.IFNA(
   _xlfn._xlws.FILTER(
      Sim_Mul_Bet5!$H$3:$H$72,
      (Sim_Mul_Bet5!$A$3:$A$72=C$2) * (Sim_Mul_Bet5!$C$3:$C$72=$B39),0
   ),
   0
)</f>
        <v>0</v>
      </c>
      <c r="D39" s="156" cm="1">
        <f t="array" ref="D39">_xlfn.IFNA(
   _xlfn._xlws.FILTER(
      Sim_Mul_Bet5!$H$3:$H$72,
      (Sim_Mul_Bet5!$A$3:$A$72=D$2) * (Sim_Mul_Bet5!$C$3:$C$72=$B39),0
   ),
   0
)</f>
        <v>1.15843E-3</v>
      </c>
      <c r="E39" s="181" cm="1">
        <f t="array" ref="E39">_xlfn.IFNA(
   _xlfn._xlws.FILTER(
      Sim_Mul_Bet5!$H$3:$H$72,
      (Sim_Mul_Bet5!$A$3:$A$72=E$2) * (Sim_Mul_Bet5!$C$3:$C$72=$B39),0
   ),
   0
)</f>
        <v>0</v>
      </c>
      <c r="F39" s="150" cm="1">
        <f t="array" ref="F39">_xlfn.IFNA(
   _xlfn._xlws.FILTER(
      Sim_Mul_Bet5!$O$3:$O$72,
      (Sim_Mul_Bet5!$A$3:$A$72=C$2) * (Sim_Mul_Bet5!$C$3:$C$72=$B39),0
   ),
   0
)</f>
        <v>0</v>
      </c>
      <c r="G39" s="146" cm="1">
        <f t="array" ref="G39">_xlfn.IFNA(
   _xlfn._xlws.FILTER(
      Sim_Mul_Bet5!$O$3:$O$72,
      (Sim_Mul_Bet5!$A$3:$A$72=D$2) * (Sim_Mul_Bet5!$C$3:$C$72=$B39),0
   ),
   0
)</f>
        <v>553.00291774211644</v>
      </c>
      <c r="H39" s="147" cm="1">
        <f t="array" ref="H39">_xlfn.IFNA(
   _xlfn._xlws.FILTER(
      Sim_Mul_Bet5!$O$3:$O$72,
      (Sim_Mul_Bet5!$A$3:$A$72=E$2) * (Sim_Mul_Bet5!$C$3:$C$72=$B39),0
   ),
   0
)</f>
        <v>0</v>
      </c>
      <c r="J39">
        <v>36</v>
      </c>
      <c r="K39" s="206">
        <v>550</v>
      </c>
      <c r="L39" s="210" t="s">
        <v>91</v>
      </c>
      <c r="M39" s="216">
        <f t="shared" si="2"/>
        <v>1.15843E-3</v>
      </c>
      <c r="N39" s="160">
        <f t="shared" si="6"/>
        <v>553.00291774211644</v>
      </c>
      <c r="O39" s="175">
        <v>0</v>
      </c>
      <c r="P39" s="175">
        <v>0</v>
      </c>
      <c r="Q39" s="175">
        <v>0</v>
      </c>
      <c r="R39" s="197">
        <f t="shared" si="0"/>
        <v>0</v>
      </c>
      <c r="T39" s="184">
        <v>2</v>
      </c>
      <c r="U39" s="199">
        <v>1.9999999999999999E-6</v>
      </c>
      <c r="V39" s="203">
        <f t="shared" si="1"/>
        <v>1.1060058354842328E-3</v>
      </c>
      <c r="W39" s="169"/>
      <c r="X39" s="103"/>
      <c r="Y39" s="175">
        <f t="shared" si="7"/>
        <v>0</v>
      </c>
      <c r="Z39" s="175">
        <v>0</v>
      </c>
      <c r="AA39" s="175">
        <v>0</v>
      </c>
      <c r="AB39" s="272">
        <f t="shared" si="3"/>
        <v>0</v>
      </c>
      <c r="AD39" s="184">
        <f t="shared" si="4"/>
        <v>0</v>
      </c>
      <c r="AE39" s="199">
        <v>0</v>
      </c>
      <c r="AF39" s="278">
        <f t="shared" si="5"/>
        <v>0</v>
      </c>
    </row>
    <row r="40" spans="2:32">
      <c r="B40" s="142">
        <v>600</v>
      </c>
      <c r="C40" s="155" cm="1">
        <f t="array" ref="C40">_xlfn.IFNA(
   _xlfn._xlws.FILTER(
      Sim_Mul_Bet5!$H$3:$H$72,
      (Sim_Mul_Bet5!$A$3:$A$72=C$2) * (Sim_Mul_Bet5!$C$3:$C$72=$B40),0
   ),
   0
)</f>
        <v>0</v>
      </c>
      <c r="D40" s="156" cm="1">
        <f t="array" ref="D40">_xlfn.IFNA(
   _xlfn._xlws.FILTER(
      Sim_Mul_Bet5!$H$3:$H$72,
      (Sim_Mul_Bet5!$A$3:$A$72=D$2) * (Sim_Mul_Bet5!$C$3:$C$72=$B40),0
   ),
   0
)</f>
        <v>0</v>
      </c>
      <c r="E40" s="181" cm="1">
        <f t="array" ref="E40">_xlfn.IFNA(
   _xlfn._xlws.FILTER(
      Sim_Mul_Bet5!$H$3:$H$72,
      (Sim_Mul_Bet5!$A$3:$A$72=E$2) * (Sim_Mul_Bet5!$C$3:$C$72=$B40),0
   ),
   0
)</f>
        <v>0</v>
      </c>
      <c r="F40" s="150" cm="1">
        <f t="array" ref="F40">_xlfn.IFNA(
   _xlfn._xlws.FILTER(
      Sim_Mul_Bet5!$O$3:$O$72,
      (Sim_Mul_Bet5!$A$3:$A$72=C$2) * (Sim_Mul_Bet5!$C$3:$C$72=$B40),0
   ),
   0
)</f>
        <v>0</v>
      </c>
      <c r="G40" s="146" cm="1">
        <f t="array" ref="G40">_xlfn.IFNA(
   _xlfn._xlws.FILTER(
      Sim_Mul_Bet5!$O$3:$O$72,
      (Sim_Mul_Bet5!$A$3:$A$72=D$2) * (Sim_Mul_Bet5!$C$3:$C$72=$B40),0
   ),
   0
)</f>
        <v>0</v>
      </c>
      <c r="H40" s="147" cm="1">
        <f t="array" ref="H40">_xlfn.IFNA(
   _xlfn._xlws.FILTER(
      Sim_Mul_Bet5!$O$3:$O$72,
      (Sim_Mul_Bet5!$A$3:$A$72=E$2) * (Sim_Mul_Bet5!$C$3:$C$72=$B40),0
   ),
   0
)</f>
        <v>0</v>
      </c>
      <c r="J40">
        <v>37</v>
      </c>
      <c r="K40" s="206">
        <v>600</v>
      </c>
      <c r="L40" s="210" t="s">
        <v>90</v>
      </c>
      <c r="M40" s="216">
        <f t="shared" si="2"/>
        <v>0</v>
      </c>
      <c r="N40" s="160">
        <f t="shared" si="6"/>
        <v>0</v>
      </c>
      <c r="O40" s="175">
        <v>0</v>
      </c>
      <c r="P40" s="175">
        <v>0</v>
      </c>
      <c r="Q40" s="175">
        <v>0</v>
      </c>
      <c r="R40" s="197">
        <f t="shared" si="0"/>
        <v>0</v>
      </c>
      <c r="T40" s="184">
        <v>0</v>
      </c>
      <c r="U40" s="199">
        <v>0</v>
      </c>
      <c r="V40" s="203">
        <f t="shared" si="1"/>
        <v>0</v>
      </c>
      <c r="W40" s="169"/>
      <c r="X40" s="103"/>
      <c r="Y40" s="175">
        <f t="shared" si="7"/>
        <v>0</v>
      </c>
      <c r="Z40" s="175">
        <v>0</v>
      </c>
      <c r="AA40" s="175">
        <v>0</v>
      </c>
      <c r="AB40" s="272">
        <f t="shared" si="3"/>
        <v>0</v>
      </c>
      <c r="AD40" s="184">
        <f t="shared" si="4"/>
        <v>0</v>
      </c>
      <c r="AE40" s="199">
        <v>0</v>
      </c>
      <c r="AF40" s="278">
        <f t="shared" si="5"/>
        <v>0</v>
      </c>
    </row>
    <row r="41" spans="2:32">
      <c r="B41" s="142">
        <v>650</v>
      </c>
      <c r="C41" s="155" cm="1">
        <f t="array" ref="C41">_xlfn.IFNA(
   _xlfn._xlws.FILTER(
      Sim_Mul_Bet5!$H$3:$H$72,
      (Sim_Mul_Bet5!$A$3:$A$72=C$2) * (Sim_Mul_Bet5!$C$3:$C$72=$B41),0
   ),
   0
)</f>
        <v>0</v>
      </c>
      <c r="D41" s="156" cm="1">
        <f t="array" ref="D41">_xlfn.IFNA(
   _xlfn._xlws.FILTER(
      Sim_Mul_Bet5!$H$3:$H$72,
      (Sim_Mul_Bet5!$A$3:$A$72=D$2) * (Sim_Mul_Bet5!$C$3:$C$72=$B41),0
   ),
   0
)</f>
        <v>0</v>
      </c>
      <c r="E41" s="181" cm="1">
        <f t="array" ref="E41">_xlfn.IFNA(
   _xlfn._xlws.FILTER(
      Sim_Mul_Bet5!$H$3:$H$72,
      (Sim_Mul_Bet5!$A$3:$A$72=E$2) * (Sim_Mul_Bet5!$C$3:$C$72=$B41),0
   ),
   0
)</f>
        <v>0</v>
      </c>
      <c r="F41" s="150" cm="1">
        <f t="array" ref="F41">_xlfn.IFNA(
   _xlfn._xlws.FILTER(
      Sim_Mul_Bet5!$O$3:$O$72,
      (Sim_Mul_Bet5!$A$3:$A$72=C$2) * (Sim_Mul_Bet5!$C$3:$C$72=$B41),0
   ),
   0
)</f>
        <v>0</v>
      </c>
      <c r="G41" s="146" cm="1">
        <f t="array" ref="G41">_xlfn.IFNA(
   _xlfn._xlws.FILTER(
      Sim_Mul_Bet5!$O$3:$O$72,
      (Sim_Mul_Bet5!$A$3:$A$72=D$2) * (Sim_Mul_Bet5!$C$3:$C$72=$B41),0
   ),
   0
)</f>
        <v>0</v>
      </c>
      <c r="H41" s="147" cm="1">
        <f t="array" ref="H41">_xlfn.IFNA(
   _xlfn._xlws.FILTER(
      Sim_Mul_Bet5!$O$3:$O$72,
      (Sim_Mul_Bet5!$A$3:$A$72=E$2) * (Sim_Mul_Bet5!$C$3:$C$72=$B41),0
   ),
   0
)</f>
        <v>0</v>
      </c>
      <c r="J41">
        <v>38</v>
      </c>
      <c r="K41" s="206">
        <v>650</v>
      </c>
      <c r="L41" s="210" t="s">
        <v>90</v>
      </c>
      <c r="M41" s="216">
        <f t="shared" si="2"/>
        <v>0</v>
      </c>
      <c r="N41" s="160">
        <f t="shared" si="6"/>
        <v>0</v>
      </c>
      <c r="O41" s="175">
        <v>0</v>
      </c>
      <c r="P41" s="175">
        <v>0</v>
      </c>
      <c r="Q41" s="175">
        <v>0</v>
      </c>
      <c r="R41" s="197">
        <f t="shared" si="0"/>
        <v>0</v>
      </c>
      <c r="T41" s="184">
        <v>0</v>
      </c>
      <c r="U41" s="199">
        <v>0</v>
      </c>
      <c r="V41" s="203">
        <f t="shared" si="1"/>
        <v>0</v>
      </c>
      <c r="W41" s="169"/>
      <c r="X41" s="103"/>
      <c r="Y41" s="175">
        <f t="shared" si="7"/>
        <v>0</v>
      </c>
      <c r="Z41" s="175">
        <v>0</v>
      </c>
      <c r="AA41" s="175">
        <v>0</v>
      </c>
      <c r="AB41" s="272">
        <f t="shared" si="3"/>
        <v>0</v>
      </c>
      <c r="AD41" s="184">
        <f t="shared" si="4"/>
        <v>0</v>
      </c>
      <c r="AE41" s="199">
        <v>0</v>
      </c>
      <c r="AF41" s="278">
        <f t="shared" si="5"/>
        <v>0</v>
      </c>
    </row>
    <row r="42" spans="2:32">
      <c r="B42" s="142">
        <v>700</v>
      </c>
      <c r="C42" s="155" cm="1">
        <f t="array" ref="C42">_xlfn.IFNA(
   _xlfn._xlws.FILTER(
      Sim_Mul_Bet5!$H$3:$H$72,
      (Sim_Mul_Bet5!$A$3:$A$72=C$2) * (Sim_Mul_Bet5!$C$3:$C$72=$B42),0
   ),
   0
)</f>
        <v>0</v>
      </c>
      <c r="D42" s="156" cm="1">
        <f t="array" ref="D42">_xlfn.IFNA(
   _xlfn._xlws.FILTER(
      Sim_Mul_Bet5!$H$3:$H$72,
      (Sim_Mul_Bet5!$A$3:$A$72=D$2) * (Sim_Mul_Bet5!$C$3:$C$72=$B42),0
   ),
   0
)</f>
        <v>0</v>
      </c>
      <c r="E42" s="181" cm="1">
        <f t="array" ref="E42">_xlfn.IFNA(
   _xlfn._xlws.FILTER(
      Sim_Mul_Bet5!$H$3:$H$72,
      (Sim_Mul_Bet5!$A$3:$A$72=E$2) * (Sim_Mul_Bet5!$C$3:$C$72=$B42),0
   ),
   0
)</f>
        <v>0</v>
      </c>
      <c r="F42" s="150" cm="1">
        <f t="array" ref="F42">_xlfn.IFNA(
   _xlfn._xlws.FILTER(
      Sim_Mul_Bet5!$O$3:$O$72,
      (Sim_Mul_Bet5!$A$3:$A$72=C$2) * (Sim_Mul_Bet5!$C$3:$C$72=$B42),0
   ),
   0
)</f>
        <v>0</v>
      </c>
      <c r="G42" s="146" cm="1">
        <f t="array" ref="G42">_xlfn.IFNA(
   _xlfn._xlws.FILTER(
      Sim_Mul_Bet5!$O$3:$O$72,
      (Sim_Mul_Bet5!$A$3:$A$72=D$2) * (Sim_Mul_Bet5!$C$3:$C$72=$B42),0
   ),
   0
)</f>
        <v>0</v>
      </c>
      <c r="H42" s="147" cm="1">
        <f t="array" ref="H42">_xlfn.IFNA(
   _xlfn._xlws.FILTER(
      Sim_Mul_Bet5!$O$3:$O$72,
      (Sim_Mul_Bet5!$A$3:$A$72=E$2) * (Sim_Mul_Bet5!$C$3:$C$72=$B42),0
   ),
   0
)</f>
        <v>0</v>
      </c>
      <c r="J42">
        <v>39</v>
      </c>
      <c r="K42" s="206">
        <v>700</v>
      </c>
      <c r="L42" s="210" t="s">
        <v>90</v>
      </c>
      <c r="M42" s="216">
        <f t="shared" si="2"/>
        <v>0</v>
      </c>
      <c r="N42" s="160">
        <f t="shared" si="6"/>
        <v>0</v>
      </c>
      <c r="O42" s="175">
        <v>0</v>
      </c>
      <c r="P42" s="175">
        <v>0</v>
      </c>
      <c r="Q42" s="175">
        <v>0</v>
      </c>
      <c r="R42" s="197">
        <f t="shared" si="0"/>
        <v>0</v>
      </c>
      <c r="T42" s="184">
        <v>0</v>
      </c>
      <c r="U42" s="199">
        <v>0</v>
      </c>
      <c r="V42" s="203">
        <f t="shared" si="1"/>
        <v>0</v>
      </c>
      <c r="W42" s="169"/>
      <c r="X42" s="103"/>
      <c r="Y42" s="175">
        <f t="shared" si="7"/>
        <v>0</v>
      </c>
      <c r="Z42" s="175">
        <v>0</v>
      </c>
      <c r="AA42" s="175">
        <v>0</v>
      </c>
      <c r="AB42" s="272">
        <f t="shared" si="3"/>
        <v>0</v>
      </c>
      <c r="AD42" s="184">
        <f t="shared" si="4"/>
        <v>0</v>
      </c>
      <c r="AE42" s="199">
        <v>0</v>
      </c>
      <c r="AF42" s="278">
        <f t="shared" si="5"/>
        <v>0</v>
      </c>
    </row>
    <row r="43" spans="2:32">
      <c r="B43" s="142">
        <v>750</v>
      </c>
      <c r="C43" s="155" cm="1">
        <f t="array" ref="C43">_xlfn.IFNA(
   _xlfn._xlws.FILTER(
      Sim_Mul_Bet5!$H$3:$H$72,
      (Sim_Mul_Bet5!$A$3:$A$72=C$2) * (Sim_Mul_Bet5!$C$3:$C$72=$B43),0
   ),
   0
)</f>
        <v>0</v>
      </c>
      <c r="D43" s="156" cm="1">
        <f t="array" ref="D43">_xlfn.IFNA(
   _xlfn._xlws.FILTER(
      Sim_Mul_Bet5!$H$3:$H$72,
      (Sim_Mul_Bet5!$A$3:$A$72=D$2) * (Sim_Mul_Bet5!$C$3:$C$72=$B43),0
   ),
   0
)</f>
        <v>0</v>
      </c>
      <c r="E43" s="181" cm="1">
        <f t="array" ref="E43">_xlfn.IFNA(
   _xlfn._xlws.FILTER(
      Sim_Mul_Bet5!$H$3:$H$72,
      (Sim_Mul_Bet5!$A$3:$A$72=E$2) * (Sim_Mul_Bet5!$C$3:$C$72=$B43),0
   ),
   0
)</f>
        <v>0</v>
      </c>
      <c r="F43" s="150" cm="1">
        <f t="array" ref="F43">_xlfn.IFNA(
   _xlfn._xlws.FILTER(
      Sim_Mul_Bet5!$O$3:$O$72,
      (Sim_Mul_Bet5!$A$3:$A$72=C$2) * (Sim_Mul_Bet5!$C$3:$C$72=$B43),0
   ),
   0
)</f>
        <v>0</v>
      </c>
      <c r="G43" s="146" cm="1">
        <f t="array" ref="G43">_xlfn.IFNA(
   _xlfn._xlws.FILTER(
      Sim_Mul_Bet5!$O$3:$O$72,
      (Sim_Mul_Bet5!$A$3:$A$72=D$2) * (Sim_Mul_Bet5!$C$3:$C$72=$B43),0
   ),
   0
)</f>
        <v>0</v>
      </c>
      <c r="H43" s="147" cm="1">
        <f t="array" ref="H43">_xlfn.IFNA(
   _xlfn._xlws.FILTER(
      Sim_Mul_Bet5!$O$3:$O$72,
      (Sim_Mul_Bet5!$A$3:$A$72=E$2) * (Sim_Mul_Bet5!$C$3:$C$72=$B43),0
   ),
   0
)</f>
        <v>0</v>
      </c>
      <c r="J43">
        <v>40</v>
      </c>
      <c r="K43" s="206">
        <v>750</v>
      </c>
      <c r="L43" s="210" t="s">
        <v>90</v>
      </c>
      <c r="M43" s="216">
        <f t="shared" si="2"/>
        <v>0</v>
      </c>
      <c r="N43" s="160">
        <f t="shared" si="6"/>
        <v>0</v>
      </c>
      <c r="O43" s="175">
        <v>0</v>
      </c>
      <c r="P43" s="175">
        <v>0</v>
      </c>
      <c r="Q43" s="175">
        <v>0</v>
      </c>
      <c r="R43" s="197">
        <f t="shared" si="0"/>
        <v>0</v>
      </c>
      <c r="T43" s="184">
        <v>0</v>
      </c>
      <c r="U43" s="199">
        <v>0</v>
      </c>
      <c r="V43" s="203">
        <f t="shared" si="1"/>
        <v>0</v>
      </c>
      <c r="W43" s="169"/>
      <c r="Y43" s="175">
        <f t="shared" si="7"/>
        <v>0</v>
      </c>
      <c r="Z43" s="175">
        <v>0</v>
      </c>
      <c r="AA43" s="175">
        <v>0</v>
      </c>
      <c r="AB43" s="272">
        <f t="shared" si="3"/>
        <v>0</v>
      </c>
      <c r="AD43" s="184">
        <f t="shared" si="4"/>
        <v>0</v>
      </c>
      <c r="AE43" s="199">
        <v>0</v>
      </c>
      <c r="AF43" s="278">
        <f t="shared" si="5"/>
        <v>0</v>
      </c>
    </row>
    <row r="44" spans="2:32">
      <c r="B44" s="142">
        <v>800</v>
      </c>
      <c r="C44" s="155" cm="1">
        <f t="array" ref="C44">_xlfn.IFNA(
   _xlfn._xlws.FILTER(
      Sim_Mul_Bet5!$H$3:$H$72,
      (Sim_Mul_Bet5!$A$3:$A$72=C$2) * (Sim_Mul_Bet5!$C$3:$C$72=$B44),0
   ),
   0
)</f>
        <v>0</v>
      </c>
      <c r="D44" s="156" cm="1">
        <f t="array" ref="D44">_xlfn.IFNA(
   _xlfn._xlws.FILTER(
      Sim_Mul_Bet5!$H$3:$H$72,
      (Sim_Mul_Bet5!$A$3:$A$72=D$2) * (Sim_Mul_Bet5!$C$3:$C$72=$B44),0
   ),
   0
)</f>
        <v>0</v>
      </c>
      <c r="E44" s="181" cm="1">
        <f t="array" ref="E44">_xlfn.IFNA(
   _xlfn._xlws.FILTER(
      Sim_Mul_Bet5!$H$3:$H$72,
      (Sim_Mul_Bet5!$A$3:$A$72=E$2) * (Sim_Mul_Bet5!$C$3:$C$72=$B44),0
   ),
   0
)</f>
        <v>0</v>
      </c>
      <c r="F44" s="150" cm="1">
        <f t="array" ref="F44">_xlfn.IFNA(
   _xlfn._xlws.FILTER(
      Sim_Mul_Bet5!$O$3:$O$72,
      (Sim_Mul_Bet5!$A$3:$A$72=C$2) * (Sim_Mul_Bet5!$C$3:$C$72=$B44),0
   ),
   0
)</f>
        <v>0</v>
      </c>
      <c r="G44" s="146" cm="1">
        <f t="array" ref="G44">_xlfn.IFNA(
   _xlfn._xlws.FILTER(
      Sim_Mul_Bet5!$O$3:$O$72,
      (Sim_Mul_Bet5!$A$3:$A$72=D$2) * (Sim_Mul_Bet5!$C$3:$C$72=$B44),0
   ),
   0
)</f>
        <v>0</v>
      </c>
      <c r="H44" s="147" cm="1">
        <f t="array" ref="H44">_xlfn.IFNA(
   _xlfn._xlws.FILTER(
      Sim_Mul_Bet5!$O$3:$O$72,
      (Sim_Mul_Bet5!$A$3:$A$72=E$2) * (Sim_Mul_Bet5!$C$3:$C$72=$B44),0
   ),
   0
)</f>
        <v>0</v>
      </c>
      <c r="J44">
        <v>41</v>
      </c>
      <c r="K44" s="206">
        <v>800</v>
      </c>
      <c r="L44" s="210" t="s">
        <v>90</v>
      </c>
      <c r="M44" s="216">
        <f t="shared" si="2"/>
        <v>0</v>
      </c>
      <c r="N44" s="160">
        <f t="shared" si="6"/>
        <v>0</v>
      </c>
      <c r="O44" s="175">
        <v>0</v>
      </c>
      <c r="P44" s="175">
        <v>0</v>
      </c>
      <c r="Q44" s="175">
        <v>0</v>
      </c>
      <c r="R44" s="197">
        <f t="shared" si="0"/>
        <v>0</v>
      </c>
      <c r="T44" s="184">
        <v>0</v>
      </c>
      <c r="U44" s="199">
        <v>0</v>
      </c>
      <c r="V44" s="203">
        <f t="shared" si="1"/>
        <v>0</v>
      </c>
      <c r="W44" s="169"/>
      <c r="Y44" s="175">
        <f t="shared" si="7"/>
        <v>0</v>
      </c>
      <c r="Z44" s="175">
        <v>0</v>
      </c>
      <c r="AA44" s="175">
        <v>0</v>
      </c>
      <c r="AB44" s="272">
        <f t="shared" si="3"/>
        <v>0</v>
      </c>
      <c r="AD44" s="184">
        <f t="shared" si="4"/>
        <v>0</v>
      </c>
      <c r="AE44" s="199">
        <v>0</v>
      </c>
      <c r="AF44" s="278">
        <f t="shared" si="5"/>
        <v>0</v>
      </c>
    </row>
    <row r="45" spans="2:32">
      <c r="B45" s="142">
        <v>850</v>
      </c>
      <c r="C45" s="155" cm="1">
        <f t="array" ref="C45">_xlfn.IFNA(
   _xlfn._xlws.FILTER(
      Sim_Mul_Bet5!$H$3:$H$72,
      (Sim_Mul_Bet5!$A$3:$A$72=C$2) * (Sim_Mul_Bet5!$C$3:$C$72=$B45),0
   ),
   0
)</f>
        <v>0</v>
      </c>
      <c r="D45" s="156" cm="1">
        <f t="array" ref="D45">_xlfn.IFNA(
   _xlfn._xlws.FILTER(
      Sim_Mul_Bet5!$H$3:$H$72,
      (Sim_Mul_Bet5!$A$3:$A$72=D$2) * (Sim_Mul_Bet5!$C$3:$C$72=$B45),0
   ),
   0
)</f>
        <v>0</v>
      </c>
      <c r="E45" s="181" cm="1">
        <f t="array" ref="E45">_xlfn.IFNA(
   _xlfn._xlws.FILTER(
      Sim_Mul_Bet5!$H$3:$H$72,
      (Sim_Mul_Bet5!$A$3:$A$72=E$2) * (Sim_Mul_Bet5!$C$3:$C$72=$B45),0
   ),
   0
)</f>
        <v>0</v>
      </c>
      <c r="F45" s="150" cm="1">
        <f t="array" ref="F45">_xlfn.IFNA(
   _xlfn._xlws.FILTER(
      Sim_Mul_Bet5!$O$3:$O$72,
      (Sim_Mul_Bet5!$A$3:$A$72=C$2) * (Sim_Mul_Bet5!$C$3:$C$72=$B45),0
   ),
   0
)</f>
        <v>0</v>
      </c>
      <c r="G45" s="146" cm="1">
        <f t="array" ref="G45">_xlfn.IFNA(
   _xlfn._xlws.FILTER(
      Sim_Mul_Bet5!$O$3:$O$72,
      (Sim_Mul_Bet5!$A$3:$A$72=D$2) * (Sim_Mul_Bet5!$C$3:$C$72=$B45),0
   ),
   0
)</f>
        <v>0</v>
      </c>
      <c r="H45" s="147" cm="1">
        <f t="array" ref="H45">_xlfn.IFNA(
   _xlfn._xlws.FILTER(
      Sim_Mul_Bet5!$O$3:$O$72,
      (Sim_Mul_Bet5!$A$3:$A$72=E$2) * (Sim_Mul_Bet5!$C$3:$C$72=$B45),0
   ),
   0
)</f>
        <v>0</v>
      </c>
      <c r="J45">
        <v>42</v>
      </c>
      <c r="K45" s="206">
        <v>850</v>
      </c>
      <c r="L45" s="210" t="s">
        <v>90</v>
      </c>
      <c r="M45" s="216">
        <f t="shared" si="2"/>
        <v>0</v>
      </c>
      <c r="N45" s="160">
        <f t="shared" si="6"/>
        <v>0</v>
      </c>
      <c r="O45" s="175">
        <v>0</v>
      </c>
      <c r="P45" s="175">
        <v>0</v>
      </c>
      <c r="Q45" s="175">
        <v>0</v>
      </c>
      <c r="R45" s="197">
        <f t="shared" si="0"/>
        <v>0</v>
      </c>
      <c r="T45" s="184">
        <v>0</v>
      </c>
      <c r="U45" s="199">
        <v>0</v>
      </c>
      <c r="V45" s="203">
        <f t="shared" si="1"/>
        <v>0</v>
      </c>
      <c r="W45" s="169"/>
      <c r="Y45" s="175">
        <f t="shared" si="7"/>
        <v>0</v>
      </c>
      <c r="Z45" s="175">
        <v>0</v>
      </c>
      <c r="AA45" s="175">
        <v>0</v>
      </c>
      <c r="AB45" s="272">
        <f t="shared" si="3"/>
        <v>0</v>
      </c>
      <c r="AD45" s="184">
        <f t="shared" si="4"/>
        <v>0</v>
      </c>
      <c r="AE45" s="199">
        <v>0</v>
      </c>
      <c r="AF45" s="278">
        <f t="shared" si="5"/>
        <v>0</v>
      </c>
    </row>
    <row r="46" spans="2:32">
      <c r="B46" s="142">
        <v>900</v>
      </c>
      <c r="C46" s="155" cm="1">
        <f t="array" ref="C46">_xlfn.IFNA(
   _xlfn._xlws.FILTER(
      Sim_Mul_Bet5!$H$3:$H$72,
      (Sim_Mul_Bet5!$A$3:$A$72=C$2) * (Sim_Mul_Bet5!$C$3:$C$72=$B46),0
   ),
   0
)</f>
        <v>0</v>
      </c>
      <c r="D46" s="156" cm="1">
        <f t="array" ref="D46">_xlfn.IFNA(
   _xlfn._xlws.FILTER(
      Sim_Mul_Bet5!$H$3:$H$72,
      (Sim_Mul_Bet5!$A$3:$A$72=D$2) * (Sim_Mul_Bet5!$C$3:$C$72=$B46),0
   ),
   0
)</f>
        <v>0</v>
      </c>
      <c r="E46" s="181" cm="1">
        <f t="array" ref="E46">_xlfn.IFNA(
   _xlfn._xlws.FILTER(
      Sim_Mul_Bet5!$H$3:$H$72,
      (Sim_Mul_Bet5!$A$3:$A$72=E$2) * (Sim_Mul_Bet5!$C$3:$C$72=$B46),0
   ),
   0
)</f>
        <v>0</v>
      </c>
      <c r="F46" s="150" cm="1">
        <f t="array" ref="F46">_xlfn.IFNA(
   _xlfn._xlws.FILTER(
      Sim_Mul_Bet5!$O$3:$O$72,
      (Sim_Mul_Bet5!$A$3:$A$72=C$2) * (Sim_Mul_Bet5!$C$3:$C$72=$B46),0
   ),
   0
)</f>
        <v>0</v>
      </c>
      <c r="G46" s="146" cm="1">
        <f t="array" ref="G46">_xlfn.IFNA(
   _xlfn._xlws.FILTER(
      Sim_Mul_Bet5!$O$3:$O$72,
      (Sim_Mul_Bet5!$A$3:$A$72=D$2) * (Sim_Mul_Bet5!$C$3:$C$72=$B46),0
   ),
   0
)</f>
        <v>0</v>
      </c>
      <c r="H46" s="147" cm="1">
        <f t="array" ref="H46">_xlfn.IFNA(
   _xlfn._xlws.FILTER(
      Sim_Mul_Bet5!$O$3:$O$72,
      (Sim_Mul_Bet5!$A$3:$A$72=E$2) * (Sim_Mul_Bet5!$C$3:$C$72=$B46),0
   ),
   0
)</f>
        <v>0</v>
      </c>
      <c r="J46">
        <v>43</v>
      </c>
      <c r="K46" s="206">
        <v>900</v>
      </c>
      <c r="L46" s="210" t="s">
        <v>90</v>
      </c>
      <c r="M46" s="216">
        <f t="shared" si="2"/>
        <v>0</v>
      </c>
      <c r="N46" s="160">
        <f t="shared" si="6"/>
        <v>0</v>
      </c>
      <c r="O46" s="175">
        <v>0</v>
      </c>
      <c r="P46" s="175">
        <v>0</v>
      </c>
      <c r="Q46" s="175">
        <v>0</v>
      </c>
      <c r="R46" s="197">
        <f t="shared" si="0"/>
        <v>0</v>
      </c>
      <c r="T46" s="184">
        <v>0</v>
      </c>
      <c r="U46" s="199">
        <v>0</v>
      </c>
      <c r="V46" s="203">
        <f t="shared" si="1"/>
        <v>0</v>
      </c>
      <c r="W46" s="169"/>
      <c r="Y46" s="175">
        <f t="shared" si="7"/>
        <v>0</v>
      </c>
      <c r="Z46" s="175">
        <v>0</v>
      </c>
      <c r="AA46" s="175">
        <v>0</v>
      </c>
      <c r="AB46" s="272">
        <f t="shared" si="3"/>
        <v>0</v>
      </c>
      <c r="AD46" s="184">
        <f t="shared" si="4"/>
        <v>0</v>
      </c>
      <c r="AE46" s="199">
        <v>0</v>
      </c>
      <c r="AF46" s="278">
        <f t="shared" si="5"/>
        <v>0</v>
      </c>
    </row>
    <row r="47" spans="2:32">
      <c r="B47" s="142">
        <v>950</v>
      </c>
      <c r="C47" s="155" cm="1">
        <f t="array" ref="C47">_xlfn.IFNA(
   _xlfn._xlws.FILTER(
      Sim_Mul_Bet5!$H$3:$H$72,
      (Sim_Mul_Bet5!$A$3:$A$72=C$2) * (Sim_Mul_Bet5!$C$3:$C$72=$B47),0
   ),
   0
)</f>
        <v>0</v>
      </c>
      <c r="D47" s="156" cm="1">
        <f t="array" ref="D47">_xlfn.IFNA(
   _xlfn._xlws.FILTER(
      Sim_Mul_Bet5!$H$3:$H$72,
      (Sim_Mul_Bet5!$A$3:$A$72=D$2) * (Sim_Mul_Bet5!$C$3:$C$72=$B47),0
   ),
   0
)</f>
        <v>5.7841000000000001E-4</v>
      </c>
      <c r="E47" s="181" cm="1">
        <f t="array" ref="E47">_xlfn.IFNA(
   _xlfn._xlws.FILTER(
      Sim_Mul_Bet5!$H$3:$H$72,
      (Sim_Mul_Bet5!$A$3:$A$72=E$2) * (Sim_Mul_Bet5!$C$3:$C$72=$B47),0
   ),
   0
)</f>
        <v>0</v>
      </c>
      <c r="F47" s="150" cm="1">
        <f t="array" ref="F47">_xlfn.IFNA(
   _xlfn._xlws.FILTER(
      Sim_Mul_Bet5!$O$3:$O$72,
      (Sim_Mul_Bet5!$A$3:$A$72=C$2) * (Sim_Mul_Bet5!$C$3:$C$72=$B47),0
   ),
   0
)</f>
        <v>0</v>
      </c>
      <c r="G47" s="146" cm="1">
        <f t="array" ref="G47">_xlfn.IFNA(
   _xlfn._xlws.FILTER(
      Sim_Mul_Bet5!$O$3:$O$72,
      (Sim_Mul_Bet5!$A$3:$A$72=D$2) * (Sim_Mul_Bet5!$C$3:$C$72=$B47),0
   ),
   0
)</f>
        <v>1000</v>
      </c>
      <c r="H47" s="147" cm="1">
        <f t="array" ref="H47">_xlfn.IFNA(
   _xlfn._xlws.FILTER(
      Sim_Mul_Bet5!$O$3:$O$72,
      (Sim_Mul_Bet5!$A$3:$A$72=E$2) * (Sim_Mul_Bet5!$C$3:$C$72=$B47),0
   ),
   0
)</f>
        <v>0</v>
      </c>
      <c r="J47">
        <v>44</v>
      </c>
      <c r="K47" s="206">
        <v>950</v>
      </c>
      <c r="L47" s="210" t="s">
        <v>91</v>
      </c>
      <c r="M47" s="216">
        <f t="shared" si="2"/>
        <v>5.7841000000000001E-4</v>
      </c>
      <c r="N47" s="160">
        <f t="shared" si="6"/>
        <v>1000</v>
      </c>
      <c r="O47" s="175">
        <v>0</v>
      </c>
      <c r="P47" s="175">
        <v>0</v>
      </c>
      <c r="Q47" s="175">
        <v>0</v>
      </c>
      <c r="R47" s="197">
        <f t="shared" si="0"/>
        <v>0</v>
      </c>
      <c r="T47" s="184">
        <v>1</v>
      </c>
      <c r="U47" s="199">
        <v>9.9999999999999995E-7</v>
      </c>
      <c r="V47" s="203">
        <f t="shared" si="1"/>
        <v>1E-3</v>
      </c>
      <c r="W47" s="169"/>
      <c r="Y47" s="175">
        <f t="shared" si="7"/>
        <v>0</v>
      </c>
      <c r="Z47" s="175">
        <v>0</v>
      </c>
      <c r="AA47" s="175">
        <v>0</v>
      </c>
      <c r="AB47" s="272">
        <f t="shared" si="3"/>
        <v>0</v>
      </c>
      <c r="AD47" s="184">
        <f t="shared" si="4"/>
        <v>0</v>
      </c>
      <c r="AE47" s="199">
        <v>0</v>
      </c>
      <c r="AF47" s="278">
        <f t="shared" si="5"/>
        <v>0</v>
      </c>
    </row>
    <row r="48" spans="2:32">
      <c r="B48" s="142">
        <v>1000</v>
      </c>
      <c r="C48" s="155" cm="1">
        <f t="array" ref="C48">_xlfn.IFNA(
   _xlfn._xlws.FILTER(
      Sim_Mul_Bet5!$H$3:$H$72,
      (Sim_Mul_Bet5!$A$3:$A$72=C$2) * (Sim_Mul_Bet5!$C$3:$C$72=$B48),0
   ),
   0
)</f>
        <v>0</v>
      </c>
      <c r="D48" s="156" cm="1">
        <f t="array" ref="D48">_xlfn.IFNA(
   _xlfn._xlws.FILTER(
      Sim_Mul_Bet5!$H$3:$H$72,
      (Sim_Mul_Bet5!$A$3:$A$72=D$2) * (Sim_Mul_Bet5!$C$3:$C$72=$B48),0
   ),
   0
)</f>
        <v>4.6407200000000001E-3</v>
      </c>
      <c r="E48" s="181" cm="1">
        <f t="array" ref="E48">_xlfn.IFNA(
   _xlfn._xlws.FILTER(
      Sim_Mul_Bet5!$H$3:$H$72,
      (Sim_Mul_Bet5!$A$3:$A$72=E$2) * (Sim_Mul_Bet5!$C$3:$C$72=$B48),0
   ),
   0
)</f>
        <v>0</v>
      </c>
      <c r="F48" s="150" cm="1">
        <f t="array" ref="F48">_xlfn.IFNA(
   _xlfn._xlws.FILTER(
      Sim_Mul_Bet5!$O$3:$O$72,
      (Sim_Mul_Bet5!$A$3:$A$72=C$2) * (Sim_Mul_Bet5!$C$3:$C$72=$B48),0
   ),
   0
)</f>
        <v>0</v>
      </c>
      <c r="G48" s="146" cm="1">
        <f t="array" ref="G48">_xlfn.IFNA(
   _xlfn._xlws.FILTER(
      Sim_Mul_Bet5!$O$3:$O$72,
      (Sim_Mul_Bet5!$A$3:$A$72=D$2) * (Sim_Mul_Bet5!$C$3:$C$72=$B48),0
   ),
   0
)</f>
        <v>1024.7009472668035</v>
      </c>
      <c r="H48" s="147" cm="1">
        <f t="array" ref="H48">_xlfn.IFNA(
   _xlfn._xlws.FILTER(
      Sim_Mul_Bet5!$O$3:$O$72,
      (Sim_Mul_Bet5!$A$3:$A$72=E$2) * (Sim_Mul_Bet5!$C$3:$C$72=$B48),0
   ),
   0
)</f>
        <v>0</v>
      </c>
      <c r="J48">
        <v>45</v>
      </c>
      <c r="K48" s="206">
        <v>1000</v>
      </c>
      <c r="L48" s="210" t="s">
        <v>91</v>
      </c>
      <c r="M48" s="216">
        <f t="shared" si="2"/>
        <v>4.6407200000000001E-3</v>
      </c>
      <c r="N48" s="160">
        <f t="shared" si="6"/>
        <v>1024.7009472668035</v>
      </c>
      <c r="O48" s="175">
        <v>0</v>
      </c>
      <c r="P48" s="175">
        <v>0</v>
      </c>
      <c r="Q48" s="175">
        <v>0</v>
      </c>
      <c r="R48" s="197">
        <f t="shared" si="0"/>
        <v>0</v>
      </c>
      <c r="T48" s="184">
        <v>8</v>
      </c>
      <c r="U48" s="199">
        <v>7.9999999999999996E-6</v>
      </c>
      <c r="V48" s="203">
        <f t="shared" si="1"/>
        <v>8.1976075781344283E-3</v>
      </c>
      <c r="W48" s="169"/>
      <c r="Y48" s="175">
        <f t="shared" si="7"/>
        <v>0</v>
      </c>
      <c r="Z48" s="175">
        <v>0</v>
      </c>
      <c r="AA48" s="175">
        <v>0</v>
      </c>
      <c r="AB48" s="272">
        <f t="shared" si="3"/>
        <v>0</v>
      </c>
      <c r="AD48" s="184">
        <f t="shared" si="4"/>
        <v>0</v>
      </c>
      <c r="AE48" s="199">
        <v>0</v>
      </c>
      <c r="AF48" s="278">
        <f t="shared" si="5"/>
        <v>0</v>
      </c>
    </row>
    <row r="49" spans="2:32">
      <c r="B49" s="142">
        <v>2000</v>
      </c>
      <c r="C49" s="155" cm="1">
        <f t="array" ref="C49">_xlfn.IFNA(
   _xlfn._xlws.FILTER(
      Sim_Mul_Bet5!$H$3:$H$72,
      (Sim_Mul_Bet5!$A$3:$A$72=C$2) * (Sim_Mul_Bet5!$C$3:$C$72=$B49),0
   ),
   0
)</f>
        <v>0</v>
      </c>
      <c r="D49" s="156" cm="1">
        <f t="array" ref="D49">_xlfn.IFNA(
   _xlfn._xlws.FILTER(
      Sim_Mul_Bet5!$H$3:$H$72,
      (Sim_Mul_Bet5!$A$3:$A$72=D$2) * (Sim_Mul_Bet5!$C$3:$C$72=$B49),0
   ),
   0
)</f>
        <v>0</v>
      </c>
      <c r="E49" s="181" cm="1">
        <f t="array" ref="E49">_xlfn.IFNA(
   _xlfn._xlws.FILTER(
      Sim_Mul_Bet5!$H$3:$H$72,
      (Sim_Mul_Bet5!$A$3:$A$72=E$2) * (Sim_Mul_Bet5!$C$3:$C$72=$B49),0
   ),
   0
)</f>
        <v>0</v>
      </c>
      <c r="F49" s="150" cm="1">
        <f t="array" ref="F49">_xlfn.IFNA(
   _xlfn._xlws.FILTER(
      Sim_Mul_Bet5!$O$3:$O$72,
      (Sim_Mul_Bet5!$A$3:$A$72=C$2) * (Sim_Mul_Bet5!$C$3:$C$72=$B49),0
   ),
   0
)</f>
        <v>0</v>
      </c>
      <c r="G49" s="146" cm="1">
        <f t="array" ref="G49">_xlfn.IFNA(
   _xlfn._xlws.FILTER(
      Sim_Mul_Bet5!$O$3:$O$72,
      (Sim_Mul_Bet5!$A$3:$A$72=D$2) * (Sim_Mul_Bet5!$C$3:$C$72=$B49),0
   ),
   0
)</f>
        <v>0</v>
      </c>
      <c r="H49" s="147" cm="1">
        <f t="array" ref="H49">_xlfn.IFNA(
   _xlfn._xlws.FILTER(
      Sim_Mul_Bet5!$O$3:$O$72,
      (Sim_Mul_Bet5!$A$3:$A$72=E$2) * (Sim_Mul_Bet5!$C$3:$C$72=$B49),0
   ),
   0
)</f>
        <v>0</v>
      </c>
      <c r="J49">
        <v>46</v>
      </c>
      <c r="K49" s="206">
        <v>2000</v>
      </c>
      <c r="L49" s="210" t="s">
        <v>90</v>
      </c>
      <c r="M49" s="216">
        <f t="shared" si="2"/>
        <v>0</v>
      </c>
      <c r="N49" s="160">
        <f t="shared" si="6"/>
        <v>0</v>
      </c>
      <c r="O49" s="175">
        <v>0</v>
      </c>
      <c r="P49" s="175">
        <v>0</v>
      </c>
      <c r="Q49" s="175">
        <v>0</v>
      </c>
      <c r="R49" s="197">
        <f t="shared" si="0"/>
        <v>0</v>
      </c>
      <c r="T49" s="184">
        <v>0</v>
      </c>
      <c r="U49" s="199">
        <v>0</v>
      </c>
      <c r="V49" s="203">
        <f t="shared" si="1"/>
        <v>0</v>
      </c>
      <c r="W49" s="169"/>
      <c r="Y49" s="175">
        <f t="shared" si="7"/>
        <v>0</v>
      </c>
      <c r="Z49" s="175">
        <v>0</v>
      </c>
      <c r="AA49" s="175">
        <v>0</v>
      </c>
      <c r="AB49" s="272">
        <f t="shared" si="3"/>
        <v>0</v>
      </c>
      <c r="AD49" s="184">
        <f t="shared" si="4"/>
        <v>0</v>
      </c>
      <c r="AE49" s="199">
        <v>0</v>
      </c>
      <c r="AF49" s="278">
        <f t="shared" si="5"/>
        <v>0</v>
      </c>
    </row>
    <row r="50" spans="2:32">
      <c r="B50" s="142">
        <v>3000</v>
      </c>
      <c r="C50" s="155" cm="1">
        <f t="array" ref="C50">_xlfn.IFNA(
   _xlfn._xlws.FILTER(
      Sim_Mul_Bet5!$H$3:$H$72,
      (Sim_Mul_Bet5!$A$3:$A$72=C$2) * (Sim_Mul_Bet5!$C$3:$C$72=$B50),0
   ),
   0
)</f>
        <v>0</v>
      </c>
      <c r="D50" s="156" cm="1">
        <f t="array" ref="D50">_xlfn.IFNA(
   _xlfn._xlws.FILTER(
      Sim_Mul_Bet5!$H$3:$H$72,
      (Sim_Mul_Bet5!$A$3:$A$72=D$2) * (Sim_Mul_Bet5!$C$3:$C$72=$B50),0
   ),
   0
)</f>
        <v>0</v>
      </c>
      <c r="E50" s="181" cm="1">
        <f t="array" ref="E50">_xlfn.IFNA(
   _xlfn._xlws.FILTER(
      Sim_Mul_Bet5!$H$3:$H$72,
      (Sim_Mul_Bet5!$A$3:$A$72=E$2) * (Sim_Mul_Bet5!$C$3:$C$72=$B50),0
   ),
   0
)</f>
        <v>0</v>
      </c>
      <c r="F50" s="150" cm="1">
        <f t="array" ref="F50">_xlfn.IFNA(
   _xlfn._xlws.FILTER(
      Sim_Mul_Bet5!$O$3:$O$72,
      (Sim_Mul_Bet5!$A$3:$A$72=C$2) * (Sim_Mul_Bet5!$C$3:$C$72=$B50),0
   ),
   0
)</f>
        <v>0</v>
      </c>
      <c r="G50" s="146" cm="1">
        <f t="array" ref="G50">_xlfn.IFNA(
   _xlfn._xlws.FILTER(
      Sim_Mul_Bet5!$O$3:$O$72,
      (Sim_Mul_Bet5!$A$3:$A$72=D$2) * (Sim_Mul_Bet5!$C$3:$C$72=$B50),0
   ),
   0
)</f>
        <v>0</v>
      </c>
      <c r="H50" s="147" cm="1">
        <f t="array" ref="H50">_xlfn.IFNA(
   _xlfn._xlws.FILTER(
      Sim_Mul_Bet5!$O$3:$O$72,
      (Sim_Mul_Bet5!$A$3:$A$72=E$2) * (Sim_Mul_Bet5!$C$3:$C$72=$B50),0
   ),
   0
)</f>
        <v>0</v>
      </c>
      <c r="J50">
        <v>47</v>
      </c>
      <c r="K50" s="206">
        <v>3000</v>
      </c>
      <c r="L50" s="210" t="s">
        <v>90</v>
      </c>
      <c r="M50" s="216">
        <f t="shared" si="2"/>
        <v>0</v>
      </c>
      <c r="N50" s="160">
        <f t="shared" si="6"/>
        <v>0</v>
      </c>
      <c r="O50" s="175">
        <v>0</v>
      </c>
      <c r="P50" s="175">
        <v>0</v>
      </c>
      <c r="Q50" s="175">
        <v>0</v>
      </c>
      <c r="R50" s="197">
        <f t="shared" si="0"/>
        <v>0</v>
      </c>
      <c r="T50" s="184">
        <v>0</v>
      </c>
      <c r="U50" s="199">
        <v>0</v>
      </c>
      <c r="V50" s="203">
        <f t="shared" si="1"/>
        <v>0</v>
      </c>
      <c r="W50" s="169"/>
      <c r="Y50" s="175">
        <f t="shared" si="7"/>
        <v>0</v>
      </c>
      <c r="Z50" s="175">
        <v>0</v>
      </c>
      <c r="AA50" s="175">
        <v>0</v>
      </c>
      <c r="AB50" s="272">
        <f t="shared" si="3"/>
        <v>0</v>
      </c>
      <c r="AD50" s="184">
        <f t="shared" si="4"/>
        <v>0</v>
      </c>
      <c r="AE50" s="199">
        <v>0</v>
      </c>
      <c r="AF50" s="278">
        <f t="shared" si="5"/>
        <v>0</v>
      </c>
    </row>
    <row r="51" spans="2:32">
      <c r="B51" s="142">
        <v>4000</v>
      </c>
      <c r="C51" s="155" cm="1">
        <f t="array" ref="C51">_xlfn.IFNA(
   _xlfn._xlws.FILTER(
      Sim_Mul_Bet5!$H$3:$H$72,
      (Sim_Mul_Bet5!$A$3:$A$72=C$2) * (Sim_Mul_Bet5!$C$3:$C$72=$B51),0
   ),
   0
)</f>
        <v>0</v>
      </c>
      <c r="D51" s="156" cm="1">
        <f t="array" ref="D51">_xlfn.IFNA(
   _xlfn._xlws.FILTER(
      Sim_Mul_Bet5!$H$3:$H$72,
      (Sim_Mul_Bet5!$A$3:$A$72=D$2) * (Sim_Mul_Bet5!$C$3:$C$72=$B51),0
   ),
   0
)</f>
        <v>0</v>
      </c>
      <c r="E51" s="181" cm="1">
        <f t="array" ref="E51">_xlfn.IFNA(
   _xlfn._xlws.FILTER(
      Sim_Mul_Bet5!$H$3:$H$72,
      (Sim_Mul_Bet5!$A$3:$A$72=E$2) * (Sim_Mul_Bet5!$C$3:$C$72=$B51),0
   ),
   0
)</f>
        <v>0</v>
      </c>
      <c r="F51" s="150" cm="1">
        <f t="array" ref="F51">_xlfn.IFNA(
   _xlfn._xlws.FILTER(
      Sim_Mul_Bet5!$O$3:$O$72,
      (Sim_Mul_Bet5!$A$3:$A$72=C$2) * (Sim_Mul_Bet5!$C$3:$C$72=$B51),0
   ),
   0
)</f>
        <v>0</v>
      </c>
      <c r="G51" s="146" cm="1">
        <f t="array" ref="G51">_xlfn.IFNA(
   _xlfn._xlws.FILTER(
      Sim_Mul_Bet5!$O$3:$O$72,
      (Sim_Mul_Bet5!$A$3:$A$72=D$2) * (Sim_Mul_Bet5!$C$3:$C$72=$B51),0
   ),
   0
)</f>
        <v>0</v>
      </c>
      <c r="H51" s="147" cm="1">
        <f t="array" ref="H51">_xlfn.IFNA(
   _xlfn._xlws.FILTER(
      Sim_Mul_Bet5!$O$3:$O$72,
      (Sim_Mul_Bet5!$A$3:$A$72=E$2) * (Sim_Mul_Bet5!$C$3:$C$72=$B51),0
   ),
   0
)</f>
        <v>0</v>
      </c>
      <c r="J51">
        <v>48</v>
      </c>
      <c r="K51" s="206">
        <v>4000</v>
      </c>
      <c r="L51" s="210" t="s">
        <v>90</v>
      </c>
      <c r="M51" s="216">
        <f t="shared" si="2"/>
        <v>0</v>
      </c>
      <c r="N51" s="160">
        <f t="shared" si="6"/>
        <v>0</v>
      </c>
      <c r="O51" s="175">
        <v>0</v>
      </c>
      <c r="P51" s="175">
        <v>0</v>
      </c>
      <c r="Q51" s="175">
        <v>0</v>
      </c>
      <c r="R51" s="197">
        <f t="shared" si="0"/>
        <v>0</v>
      </c>
      <c r="T51" s="184">
        <v>0</v>
      </c>
      <c r="U51" s="199">
        <v>0</v>
      </c>
      <c r="V51" s="203">
        <f t="shared" si="1"/>
        <v>0</v>
      </c>
      <c r="W51" s="169"/>
      <c r="Y51" s="175">
        <f t="shared" si="7"/>
        <v>0</v>
      </c>
      <c r="Z51" s="175">
        <v>0</v>
      </c>
      <c r="AA51" s="175">
        <v>0</v>
      </c>
      <c r="AB51" s="272">
        <f t="shared" si="3"/>
        <v>0</v>
      </c>
      <c r="AD51" s="184">
        <f t="shared" si="4"/>
        <v>0</v>
      </c>
      <c r="AE51" s="199">
        <v>0</v>
      </c>
      <c r="AF51" s="278">
        <f t="shared" si="5"/>
        <v>0</v>
      </c>
    </row>
    <row r="52" spans="2:32">
      <c r="B52" s="142">
        <v>5000</v>
      </c>
      <c r="C52" s="155" cm="1">
        <f t="array" ref="C52">_xlfn.IFNA(
   _xlfn._xlws.FILTER(
      Sim_Mul_Bet5!$H$3:$H$72,
      (Sim_Mul_Bet5!$A$3:$A$72=C$2) * (Sim_Mul_Bet5!$C$3:$C$72=$B52),0
   ),
   0
)</f>
        <v>0</v>
      </c>
      <c r="D52" s="156" cm="1">
        <f t="array" ref="D52">_xlfn.IFNA(
   _xlfn._xlws.FILTER(
      Sim_Mul_Bet5!$H$3:$H$72,
      (Sim_Mul_Bet5!$A$3:$A$72=D$2) * (Sim_Mul_Bet5!$C$3:$C$72=$B52),0
   ),
   0
)</f>
        <v>0</v>
      </c>
      <c r="E52" s="181" cm="1">
        <f t="array" ref="E52">_xlfn.IFNA(
   _xlfn._xlws.FILTER(
      Sim_Mul_Bet5!$H$3:$H$72,
      (Sim_Mul_Bet5!$A$3:$A$72=E$2) * (Sim_Mul_Bet5!$C$3:$C$72=$B52),0
   ),
   0
)</f>
        <v>0</v>
      </c>
      <c r="F52" s="150" cm="1">
        <f t="array" ref="F52">_xlfn.IFNA(
   _xlfn._xlws.FILTER(
      Sim_Mul_Bet5!$O$3:$O$72,
      (Sim_Mul_Bet5!$A$3:$A$72=C$2) * (Sim_Mul_Bet5!$C$3:$C$72=$B52),0
   ),
   0
)</f>
        <v>0</v>
      </c>
      <c r="G52" s="146" cm="1">
        <f t="array" ref="G52">_xlfn.IFNA(
   _xlfn._xlws.FILTER(
      Sim_Mul_Bet5!$O$3:$O$72,
      (Sim_Mul_Bet5!$A$3:$A$72=D$2) * (Sim_Mul_Bet5!$C$3:$C$72=$B52),0
   ),
   0
)</f>
        <v>0</v>
      </c>
      <c r="H52" s="147" cm="1">
        <f t="array" ref="H52">_xlfn.IFNA(
   _xlfn._xlws.FILTER(
      Sim_Mul_Bet5!$O$3:$O$72,
      (Sim_Mul_Bet5!$A$3:$A$72=E$2) * (Sim_Mul_Bet5!$C$3:$C$72=$B52),0
   ),
   0
)</f>
        <v>0</v>
      </c>
      <c r="J52">
        <v>49</v>
      </c>
      <c r="K52" s="206">
        <v>5000</v>
      </c>
      <c r="L52" s="210" t="s">
        <v>90</v>
      </c>
      <c r="M52" s="216">
        <f t="shared" si="2"/>
        <v>0</v>
      </c>
      <c r="N52" s="160">
        <f t="shared" si="6"/>
        <v>0</v>
      </c>
      <c r="O52" s="175">
        <v>0</v>
      </c>
      <c r="P52" s="175">
        <v>0</v>
      </c>
      <c r="Q52" s="175">
        <v>0</v>
      </c>
      <c r="R52" s="197">
        <f t="shared" si="0"/>
        <v>0</v>
      </c>
      <c r="T52" s="184">
        <v>0</v>
      </c>
      <c r="U52" s="199">
        <v>0</v>
      </c>
      <c r="V52" s="203">
        <f t="shared" si="1"/>
        <v>0</v>
      </c>
      <c r="W52" s="169"/>
      <c r="Y52" s="175">
        <f t="shared" si="7"/>
        <v>0</v>
      </c>
      <c r="Z52" s="175">
        <v>0</v>
      </c>
      <c r="AA52" s="175">
        <v>0</v>
      </c>
      <c r="AB52" s="272">
        <f t="shared" si="3"/>
        <v>0</v>
      </c>
      <c r="AD52" s="184">
        <f t="shared" si="4"/>
        <v>0</v>
      </c>
      <c r="AE52" s="199">
        <v>0</v>
      </c>
      <c r="AF52" s="278">
        <f t="shared" si="5"/>
        <v>0</v>
      </c>
    </row>
    <row r="53" spans="2:32">
      <c r="B53" s="142">
        <v>6000</v>
      </c>
      <c r="C53" s="155" cm="1">
        <f t="array" ref="C53">_xlfn.IFNA(
   _xlfn._xlws.FILTER(
      Sim_Mul_Bet5!$H$3:$H$72,
      (Sim_Mul_Bet5!$A$3:$A$72=C$2) * (Sim_Mul_Bet5!$C$3:$C$72=$B53),0
   ),
   0
)</f>
        <v>0</v>
      </c>
      <c r="D53" s="156" cm="1">
        <f t="array" ref="D53">_xlfn.IFNA(
   _xlfn._xlws.FILTER(
      Sim_Mul_Bet5!$H$3:$H$72,
      (Sim_Mul_Bet5!$A$3:$A$72=D$2) * (Sim_Mul_Bet5!$C$3:$C$72=$B53),0
   ),
   0
)</f>
        <v>0</v>
      </c>
      <c r="E53" s="181" cm="1">
        <f t="array" ref="E53">_xlfn.IFNA(
   _xlfn._xlws.FILTER(
      Sim_Mul_Bet5!$H$3:$H$72,
      (Sim_Mul_Bet5!$A$3:$A$72=E$2) * (Sim_Mul_Bet5!$C$3:$C$72=$B53),0
   ),
   0
)</f>
        <v>0</v>
      </c>
      <c r="F53" s="150" cm="1">
        <f t="array" ref="F53">_xlfn.IFNA(
   _xlfn._xlws.FILTER(
      Sim_Mul_Bet5!$O$3:$O$72,
      (Sim_Mul_Bet5!$A$3:$A$72=C$2) * (Sim_Mul_Bet5!$C$3:$C$72=$B53),0
   ),
   0
)</f>
        <v>0</v>
      </c>
      <c r="G53" s="146" cm="1">
        <f t="array" ref="G53">_xlfn.IFNA(
   _xlfn._xlws.FILTER(
      Sim_Mul_Bet5!$O$3:$O$72,
      (Sim_Mul_Bet5!$A$3:$A$72=D$2) * (Sim_Mul_Bet5!$C$3:$C$72=$B53),0
   ),
   0
)</f>
        <v>0</v>
      </c>
      <c r="H53" s="147" cm="1">
        <f t="array" ref="H53">_xlfn.IFNA(
   _xlfn._xlws.FILTER(
      Sim_Mul_Bet5!$O$3:$O$72,
      (Sim_Mul_Bet5!$A$3:$A$72=E$2) * (Sim_Mul_Bet5!$C$3:$C$72=$B53),0
   ),
   0
)</f>
        <v>0</v>
      </c>
      <c r="J53">
        <v>50</v>
      </c>
      <c r="K53" s="206">
        <v>6000</v>
      </c>
      <c r="L53" s="210" t="s">
        <v>90</v>
      </c>
      <c r="M53" s="216">
        <f t="shared" si="2"/>
        <v>0</v>
      </c>
      <c r="N53" s="160">
        <f t="shared" si="6"/>
        <v>0</v>
      </c>
      <c r="O53" s="175">
        <v>0</v>
      </c>
      <c r="P53" s="175">
        <v>0</v>
      </c>
      <c r="Q53" s="175">
        <v>0</v>
      </c>
      <c r="R53" s="197">
        <f t="shared" si="0"/>
        <v>0</v>
      </c>
      <c r="T53" s="184">
        <v>0</v>
      </c>
      <c r="U53" s="199">
        <v>0</v>
      </c>
      <c r="V53" s="203">
        <f t="shared" si="1"/>
        <v>0</v>
      </c>
      <c r="W53" s="169"/>
      <c r="Y53" s="175">
        <f t="shared" si="7"/>
        <v>0</v>
      </c>
      <c r="Z53" s="175">
        <v>0</v>
      </c>
      <c r="AA53" s="175">
        <v>0</v>
      </c>
      <c r="AB53" s="272">
        <f t="shared" si="3"/>
        <v>0</v>
      </c>
      <c r="AD53" s="184">
        <f t="shared" si="4"/>
        <v>0</v>
      </c>
      <c r="AE53" s="199">
        <v>0</v>
      </c>
      <c r="AF53" s="278">
        <f t="shared" si="5"/>
        <v>0</v>
      </c>
    </row>
    <row r="54" spans="2:32" ht="16.8" thickBot="1">
      <c r="B54" s="143">
        <v>7000</v>
      </c>
      <c r="C54" s="157" cm="1">
        <f t="array" ref="C54">_xlfn.IFNA(
   _xlfn._xlws.FILTER(
      Sim_Mul_Bet5!$H$3:$H$72,
      (Sim_Mul_Bet5!$A$3:$A$72=C$2) * (Sim_Mul_Bet5!$C$3:$C$72=$B54),0
   ),
   0
)</f>
        <v>0</v>
      </c>
      <c r="D54" s="158" cm="1">
        <f t="array" ref="D54">_xlfn.IFNA(
   _xlfn._xlws.FILTER(
      Sim_Mul_Bet5!$H$3:$H$72,
      (Sim_Mul_Bet5!$A$3:$A$72=D$2) * (Sim_Mul_Bet5!$C$3:$C$72=$B54),0
   ),
   0
)</f>
        <v>0</v>
      </c>
      <c r="E54" s="182" cm="1">
        <f t="array" ref="E54">_xlfn.IFNA(
   _xlfn._xlws.FILTER(
      Sim_Mul_Bet5!$H$3:$H$72,
      (Sim_Mul_Bet5!$A$3:$A$72=E$2) * (Sim_Mul_Bet5!$C$3:$C$72=$B54),0
   ),
   0
)</f>
        <v>0</v>
      </c>
      <c r="F54" s="151" cm="1">
        <f t="array" ref="F54">_xlfn.IFNA(
   _xlfn._xlws.FILTER(
      Sim_Mul_Bet5!$O$3:$O$72,
      (Sim_Mul_Bet5!$A$3:$A$72=C$2) * (Sim_Mul_Bet5!$C$3:$C$72=$B54),0
   ),
   0
)</f>
        <v>0</v>
      </c>
      <c r="G54" s="148" cm="1">
        <f t="array" ref="G54">_xlfn.IFNA(
   _xlfn._xlws.FILTER(
      Sim_Mul_Bet5!$O$3:$O$72,
      (Sim_Mul_Bet5!$A$3:$A$72=D$2) * (Sim_Mul_Bet5!$C$3:$C$72=$B54),0
   ),
   0
)</f>
        <v>0</v>
      </c>
      <c r="H54" s="149" cm="1">
        <f t="array" ref="H54">_xlfn.IFNA(
   _xlfn._xlws.FILTER(
      Sim_Mul_Bet5!$O$3:$O$72,
      (Sim_Mul_Bet5!$A$3:$A$72=E$2) * (Sim_Mul_Bet5!$C$3:$C$72=$B54),0
   ),
   0
)</f>
        <v>0</v>
      </c>
      <c r="J54">
        <v>51</v>
      </c>
      <c r="K54" s="207">
        <v>7000</v>
      </c>
      <c r="L54" s="211" t="s">
        <v>90</v>
      </c>
      <c r="M54" s="217">
        <f t="shared" si="2"/>
        <v>0</v>
      </c>
      <c r="N54" s="161">
        <f t="shared" si="6"/>
        <v>0</v>
      </c>
      <c r="O54" s="176">
        <v>0</v>
      </c>
      <c r="P54" s="176">
        <v>0</v>
      </c>
      <c r="Q54" s="176">
        <v>0</v>
      </c>
      <c r="R54" s="197">
        <f t="shared" si="0"/>
        <v>0</v>
      </c>
      <c r="T54" s="185">
        <v>0</v>
      </c>
      <c r="U54" s="200">
        <v>0</v>
      </c>
      <c r="V54" s="204">
        <f t="shared" si="1"/>
        <v>0</v>
      </c>
      <c r="W54" s="169"/>
      <c r="Y54" s="175">
        <f t="shared" si="7"/>
        <v>0</v>
      </c>
      <c r="Z54" s="176">
        <v>0</v>
      </c>
      <c r="AA54" s="176">
        <v>0</v>
      </c>
      <c r="AB54" s="272">
        <f t="shared" si="3"/>
        <v>0</v>
      </c>
      <c r="AD54" s="185">
        <f t="shared" si="4"/>
        <v>0</v>
      </c>
      <c r="AE54" s="200">
        <v>0</v>
      </c>
      <c r="AF54" s="279">
        <f t="shared" si="5"/>
        <v>0</v>
      </c>
    </row>
  </sheetData>
  <mergeCells count="2">
    <mergeCell ref="C1:E1"/>
    <mergeCell ref="F1:H1"/>
  </mergeCells>
  <phoneticPr fontId="1" type="noConversion"/>
  <conditionalFormatting sqref="O3">
    <cfRule type="cellIs" dxfId="2079" priority="17" operator="equal">
      <formula>0</formula>
    </cfRule>
  </conditionalFormatting>
  <conditionalFormatting sqref="N1:N1048576">
    <cfRule type="cellIs" dxfId="2078" priority="20" operator="equal">
      <formula>0</formula>
    </cfRule>
  </conditionalFormatting>
  <conditionalFormatting sqref="C4:E54 T1:T1048576 O1:O2 C3:D3 O55:O1048576 Q55:Q1048576 Q1:Q2">
    <cfRule type="cellIs" dxfId="2077" priority="21" operator="equal">
      <formula>0</formula>
    </cfRule>
  </conditionalFormatting>
  <conditionalFormatting sqref="F4:H54 G3">
    <cfRule type="cellIs" dxfId="2076" priority="19" operator="equal">
      <formula>0</formula>
    </cfRule>
  </conditionalFormatting>
  <conditionalFormatting sqref="Q3:Q54">
    <cfRule type="cellIs" dxfId="2075" priority="16" operator="equal">
      <formula>0</formula>
    </cfRule>
  </conditionalFormatting>
  <conditionalFormatting sqref="M1:M1048576">
    <cfRule type="cellIs" dxfId="2074" priority="18" operator="lessThan">
      <formula>0.001</formula>
    </cfRule>
  </conditionalFormatting>
  <conditionalFormatting sqref="O40:O54">
    <cfRule type="cellIs" dxfId="2073" priority="15" operator="equal">
      <formula>0</formula>
    </cfRule>
  </conditionalFormatting>
  <conditionalFormatting sqref="O4:O39">
    <cfRule type="cellIs" dxfId="2072" priority="13" operator="equal">
      <formula>0</formula>
    </cfRule>
  </conditionalFormatting>
  <conditionalFormatting sqref="P3">
    <cfRule type="cellIs" dxfId="2071" priority="11" operator="equal">
      <formula>0</formula>
    </cfRule>
  </conditionalFormatting>
  <conditionalFormatting sqref="P1:P2 P55:P1048576">
    <cfRule type="cellIs" dxfId="2070" priority="12" operator="equal">
      <formula>0</formula>
    </cfRule>
  </conditionalFormatting>
  <conditionalFormatting sqref="P40:P54">
    <cfRule type="cellIs" dxfId="2069" priority="10" operator="equal">
      <formula>0</formula>
    </cfRule>
  </conditionalFormatting>
  <conditionalFormatting sqref="P4:P39">
    <cfRule type="cellIs" dxfId="2068" priority="9" operator="equal">
      <formula>0</formula>
    </cfRule>
  </conditionalFormatting>
  <conditionalFormatting sqref="AD1:AD1048576 Y1:Y2 Y55:Y1048576 AA55:AA1048576 AA1:AA2">
    <cfRule type="cellIs" dxfId="2067" priority="8" operator="equal">
      <formula>0</formula>
    </cfRule>
  </conditionalFormatting>
  <conditionalFormatting sqref="Y3:Y54">
    <cfRule type="cellIs" dxfId="2066" priority="7" operator="equal">
      <formula>0</formula>
    </cfRule>
  </conditionalFormatting>
  <conditionalFormatting sqref="AA3">
    <cfRule type="cellIs" dxfId="2065" priority="6" operator="equal">
      <formula>0</formula>
    </cfRule>
  </conditionalFormatting>
  <conditionalFormatting sqref="Z1:Z2 Z55:Z1048576">
    <cfRule type="cellIs" dxfId="2064" priority="5" operator="equal">
      <formula>0</formula>
    </cfRule>
  </conditionalFormatting>
  <conditionalFormatting sqref="Z3">
    <cfRule type="cellIs" dxfId="2063" priority="4" operator="equal">
      <formula>0</formula>
    </cfRule>
  </conditionalFormatting>
  <conditionalFormatting sqref="Z40:Z54">
    <cfRule type="cellIs" dxfId="2062" priority="3" operator="equal">
      <formula>0</formula>
    </cfRule>
  </conditionalFormatting>
  <conditionalFormatting sqref="Z4:Z39">
    <cfRule type="cellIs" dxfId="2061" priority="2" operator="equal">
      <formula>0</formula>
    </cfRule>
  </conditionalFormatting>
  <conditionalFormatting sqref="AA4:AA54">
    <cfRule type="cellIs" dxfId="2060" priority="1" operator="equal">
      <formula>0</formula>
    </cfRule>
  </conditionalFormatting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C76DB3-9BAA-439F-80FA-9A8773BF9A42}">
  <dimension ref="A1:AI71"/>
  <sheetViews>
    <sheetView workbookViewId="0">
      <selection sqref="A1:C1"/>
    </sheetView>
  </sheetViews>
  <sheetFormatPr defaultRowHeight="16.2"/>
  <cols>
    <col min="8" max="8" width="8.88671875" style="137"/>
    <col min="21" max="21" width="10.5546875" bestFit="1" customWidth="1"/>
  </cols>
  <sheetData>
    <row r="1" spans="1:35">
      <c r="O1">
        <v>5</v>
      </c>
    </row>
    <row r="3" spans="1:35">
      <c r="H3" s="137" t="s">
        <v>158</v>
      </c>
      <c r="O3" t="s">
        <v>157</v>
      </c>
      <c r="U3" t="s">
        <v>158</v>
      </c>
    </row>
    <row r="4" spans="1:35">
      <c r="A4" t="s">
        <v>90</v>
      </c>
      <c r="B4" t="s">
        <v>147</v>
      </c>
      <c r="C4">
        <v>0</v>
      </c>
      <c r="F4" t="s">
        <v>148</v>
      </c>
      <c r="G4">
        <v>87014430</v>
      </c>
      <c r="H4" s="137" cm="1">
        <f t="array" ref="H4:H31">G4:G31/SUM(G4:$G$31)</f>
        <v>0.87014429999999998</v>
      </c>
      <c r="K4" t="s">
        <v>149</v>
      </c>
      <c r="L4" t="s">
        <v>148</v>
      </c>
      <c r="M4">
        <v>0</v>
      </c>
      <c r="O4">
        <f>M4/G4/$O$1</f>
        <v>0</v>
      </c>
      <c r="R4" t="s">
        <v>150</v>
      </c>
      <c r="S4" t="s">
        <v>148</v>
      </c>
      <c r="T4" t="s">
        <v>156</v>
      </c>
      <c r="U4" s="137" cm="1">
        <f t="array" ref="U4">_xlfn.IFS(T4="null",0,T4="","",T4/G4&gt;=0,T4/G4)</f>
        <v>0</v>
      </c>
      <c r="X4" t="s">
        <v>152</v>
      </c>
      <c r="Y4" t="s">
        <v>148</v>
      </c>
      <c r="Z4" t="s">
        <v>156</v>
      </c>
      <c r="AA4" t="s">
        <v>153</v>
      </c>
      <c r="AB4" t="s">
        <v>148</v>
      </c>
      <c r="AC4" t="s">
        <v>156</v>
      </c>
      <c r="AD4" t="s">
        <v>154</v>
      </c>
      <c r="AE4" t="s">
        <v>148</v>
      </c>
      <c r="AF4" t="s">
        <v>156</v>
      </c>
      <c r="AG4" t="s">
        <v>155</v>
      </c>
      <c r="AH4" t="s">
        <v>148</v>
      </c>
      <c r="AI4" t="s">
        <v>156</v>
      </c>
    </row>
    <row r="5" spans="1:35">
      <c r="A5" t="s">
        <v>90</v>
      </c>
      <c r="B5" t="s">
        <v>147</v>
      </c>
      <c r="C5">
        <v>1</v>
      </c>
      <c r="F5" t="s">
        <v>148</v>
      </c>
      <c r="G5">
        <v>5555461</v>
      </c>
      <c r="H5" s="137">
        <v>5.5554609999999997E-2</v>
      </c>
      <c r="K5" t="s">
        <v>149</v>
      </c>
      <c r="L5" t="s">
        <v>148</v>
      </c>
      <c r="M5">
        <v>27777405</v>
      </c>
      <c r="O5">
        <f t="shared" ref="O5:O31" si="0">M5/G5/$O$1</f>
        <v>1.0000036000612731</v>
      </c>
      <c r="R5" t="s">
        <v>150</v>
      </c>
      <c r="S5" t="s">
        <v>148</v>
      </c>
      <c r="T5" t="s">
        <v>156</v>
      </c>
      <c r="U5" s="137" cm="1">
        <f t="array" ref="U5">_xlfn.IFS(T5="null",0,T5="","",T5/G5&gt;=0,T5/G5)</f>
        <v>0</v>
      </c>
      <c r="X5" t="s">
        <v>152</v>
      </c>
      <c r="Y5" t="s">
        <v>148</v>
      </c>
      <c r="Z5" t="s">
        <v>156</v>
      </c>
      <c r="AA5" t="s">
        <v>153</v>
      </c>
      <c r="AB5" t="s">
        <v>148</v>
      </c>
      <c r="AC5" t="s">
        <v>156</v>
      </c>
      <c r="AD5" t="s">
        <v>154</v>
      </c>
      <c r="AE5" t="s">
        <v>148</v>
      </c>
      <c r="AF5" t="s">
        <v>156</v>
      </c>
      <c r="AG5" t="s">
        <v>155</v>
      </c>
      <c r="AH5" t="s">
        <v>148</v>
      </c>
      <c r="AI5" t="s">
        <v>156</v>
      </c>
    </row>
    <row r="6" spans="1:35">
      <c r="A6" t="s">
        <v>90</v>
      </c>
      <c r="B6" t="s">
        <v>147</v>
      </c>
      <c r="C6">
        <v>2</v>
      </c>
      <c r="F6" t="s">
        <v>148</v>
      </c>
      <c r="G6">
        <v>1539024</v>
      </c>
      <c r="H6" s="137">
        <v>1.5390239999999999E-2</v>
      </c>
      <c r="K6" t="s">
        <v>149</v>
      </c>
      <c r="L6" t="s">
        <v>148</v>
      </c>
      <c r="M6">
        <v>15465335</v>
      </c>
      <c r="O6">
        <f t="shared" si="0"/>
        <v>2.0097587821892313</v>
      </c>
      <c r="R6" t="s">
        <v>150</v>
      </c>
      <c r="S6" t="s">
        <v>148</v>
      </c>
      <c r="T6" t="s">
        <v>156</v>
      </c>
      <c r="U6" s="137" cm="1">
        <f t="array" ref="U6">_xlfn.IFS(T6="null",0,T6="","",T6/G6&gt;=0,T6/G6)</f>
        <v>0</v>
      </c>
      <c r="X6" t="s">
        <v>152</v>
      </c>
      <c r="Y6" t="s">
        <v>148</v>
      </c>
      <c r="Z6" t="s">
        <v>156</v>
      </c>
      <c r="AA6" t="s">
        <v>153</v>
      </c>
      <c r="AB6" t="s">
        <v>148</v>
      </c>
      <c r="AC6" t="s">
        <v>156</v>
      </c>
      <c r="AD6" t="s">
        <v>154</v>
      </c>
      <c r="AE6" t="s">
        <v>148</v>
      </c>
      <c r="AF6" t="s">
        <v>156</v>
      </c>
      <c r="AG6" t="s">
        <v>155</v>
      </c>
      <c r="AH6" t="s">
        <v>148</v>
      </c>
      <c r="AI6" t="s">
        <v>156</v>
      </c>
    </row>
    <row r="7" spans="1:35">
      <c r="A7" t="s">
        <v>90</v>
      </c>
      <c r="B7" t="s">
        <v>147</v>
      </c>
      <c r="C7">
        <v>3</v>
      </c>
      <c r="F7" t="s">
        <v>148</v>
      </c>
      <c r="G7">
        <v>286316</v>
      </c>
      <c r="H7" s="137">
        <v>2.86316E-3</v>
      </c>
      <c r="K7" t="s">
        <v>149</v>
      </c>
      <c r="L7" t="s">
        <v>148</v>
      </c>
      <c r="M7">
        <v>4321197</v>
      </c>
      <c r="O7">
        <f t="shared" si="0"/>
        <v>3.0184809790581033</v>
      </c>
      <c r="R7" t="s">
        <v>150</v>
      </c>
      <c r="S7" t="s">
        <v>148</v>
      </c>
      <c r="T7" t="s">
        <v>156</v>
      </c>
      <c r="U7" s="137" cm="1">
        <f t="array" ref="U7">_xlfn.IFS(T7="null",0,T7="","",T7/G7&gt;=0,T7/G7)</f>
        <v>0</v>
      </c>
      <c r="X7" t="s">
        <v>152</v>
      </c>
      <c r="Y7" t="s">
        <v>148</v>
      </c>
      <c r="Z7" t="s">
        <v>156</v>
      </c>
      <c r="AA7" t="s">
        <v>153</v>
      </c>
      <c r="AB7" t="s">
        <v>148</v>
      </c>
      <c r="AC7" t="s">
        <v>156</v>
      </c>
      <c r="AD7" t="s">
        <v>154</v>
      </c>
      <c r="AE7" t="s">
        <v>148</v>
      </c>
      <c r="AF7" t="s">
        <v>156</v>
      </c>
      <c r="AG7" t="s">
        <v>155</v>
      </c>
      <c r="AH7" t="s">
        <v>148</v>
      </c>
      <c r="AI7" t="s">
        <v>156</v>
      </c>
    </row>
    <row r="8" spans="1:35">
      <c r="A8" t="s">
        <v>90</v>
      </c>
      <c r="B8" t="s">
        <v>147</v>
      </c>
      <c r="C8">
        <v>4</v>
      </c>
      <c r="F8" t="s">
        <v>148</v>
      </c>
      <c r="G8">
        <v>70949</v>
      </c>
      <c r="H8" s="137">
        <v>7.0949000000000001E-4</v>
      </c>
      <c r="K8" t="s">
        <v>149</v>
      </c>
      <c r="L8" t="s">
        <v>148</v>
      </c>
      <c r="M8">
        <v>1422061</v>
      </c>
      <c r="O8">
        <f t="shared" si="0"/>
        <v>4.0086851118408999</v>
      </c>
      <c r="R8" t="s">
        <v>150</v>
      </c>
      <c r="S8" t="s">
        <v>148</v>
      </c>
      <c r="T8" t="s">
        <v>156</v>
      </c>
      <c r="U8" s="137" cm="1">
        <f t="array" ref="U8">_xlfn.IFS(T8="null",0,T8="","",T8/G8&gt;=0,T8/G8)</f>
        <v>0</v>
      </c>
      <c r="X8" t="s">
        <v>152</v>
      </c>
      <c r="Y8" t="s">
        <v>148</v>
      </c>
      <c r="Z8" t="s">
        <v>156</v>
      </c>
      <c r="AA8" t="s">
        <v>153</v>
      </c>
      <c r="AB8" t="s">
        <v>148</v>
      </c>
      <c r="AC8" t="s">
        <v>156</v>
      </c>
      <c r="AD8" t="s">
        <v>154</v>
      </c>
      <c r="AE8" t="s">
        <v>148</v>
      </c>
      <c r="AF8" t="s">
        <v>156</v>
      </c>
      <c r="AG8" t="s">
        <v>155</v>
      </c>
      <c r="AH8" t="s">
        <v>148</v>
      </c>
      <c r="AI8" t="s">
        <v>156</v>
      </c>
    </row>
    <row r="9" spans="1:35">
      <c r="A9" t="s">
        <v>90</v>
      </c>
      <c r="B9" t="s">
        <v>147</v>
      </c>
      <c r="C9">
        <v>5</v>
      </c>
      <c r="F9" t="s">
        <v>148</v>
      </c>
      <c r="G9">
        <v>1702092</v>
      </c>
      <c r="H9" s="137">
        <v>1.7020919999999998E-2</v>
      </c>
      <c r="K9" t="s">
        <v>149</v>
      </c>
      <c r="L9" t="s">
        <v>148</v>
      </c>
      <c r="M9">
        <v>42576857</v>
      </c>
      <c r="O9">
        <f t="shared" si="0"/>
        <v>5.0028855079513921</v>
      </c>
      <c r="R9" t="s">
        <v>150</v>
      </c>
      <c r="S9" t="s">
        <v>148</v>
      </c>
      <c r="T9">
        <v>213605</v>
      </c>
      <c r="U9" s="137" cm="1">
        <f t="array" ref="U9">_xlfn.IFS(T9="null",0,T9="","",T9/G9&gt;=0,T9/G9)</f>
        <v>0.12549556663212094</v>
      </c>
      <c r="X9" t="s">
        <v>152</v>
      </c>
      <c r="Y9" t="s">
        <v>148</v>
      </c>
      <c r="Z9" t="s">
        <v>156</v>
      </c>
      <c r="AA9" t="s">
        <v>153</v>
      </c>
      <c r="AB9" t="s">
        <v>148</v>
      </c>
      <c r="AC9" t="s">
        <v>156</v>
      </c>
      <c r="AD9" t="s">
        <v>154</v>
      </c>
      <c r="AE9" t="s">
        <v>148</v>
      </c>
      <c r="AF9" t="s">
        <v>156</v>
      </c>
      <c r="AG9" t="s">
        <v>155</v>
      </c>
      <c r="AH9" t="s">
        <v>148</v>
      </c>
      <c r="AI9" t="s">
        <v>156</v>
      </c>
    </row>
    <row r="10" spans="1:35">
      <c r="A10" t="s">
        <v>90</v>
      </c>
      <c r="B10" t="s">
        <v>147</v>
      </c>
      <c r="C10">
        <v>6</v>
      </c>
      <c r="F10" t="s">
        <v>148</v>
      </c>
      <c r="G10">
        <v>12590</v>
      </c>
      <c r="H10" s="137">
        <v>1.259E-4</v>
      </c>
      <c r="K10" t="s">
        <v>149</v>
      </c>
      <c r="L10" t="s">
        <v>148</v>
      </c>
      <c r="M10">
        <v>377700</v>
      </c>
      <c r="O10">
        <f t="shared" si="0"/>
        <v>6</v>
      </c>
      <c r="R10" t="s">
        <v>150</v>
      </c>
      <c r="S10" t="s">
        <v>148</v>
      </c>
      <c r="T10">
        <v>8854</v>
      </c>
      <c r="U10" s="137" cm="1">
        <f t="array" ref="U10">_xlfn.IFS(T10="null",0,T10="","",T10/G10&gt;=0,T10/G10)</f>
        <v>0.70325655281969812</v>
      </c>
      <c r="X10" t="s">
        <v>152</v>
      </c>
      <c r="Y10" t="s">
        <v>148</v>
      </c>
      <c r="Z10" t="s">
        <v>156</v>
      </c>
      <c r="AA10" t="s">
        <v>153</v>
      </c>
      <c r="AB10" t="s">
        <v>148</v>
      </c>
      <c r="AC10" t="s">
        <v>156</v>
      </c>
      <c r="AD10" t="s">
        <v>154</v>
      </c>
      <c r="AE10" t="s">
        <v>148</v>
      </c>
      <c r="AF10" t="s">
        <v>156</v>
      </c>
      <c r="AG10" t="s">
        <v>155</v>
      </c>
      <c r="AH10" t="s">
        <v>148</v>
      </c>
      <c r="AI10" t="s">
        <v>156</v>
      </c>
    </row>
    <row r="11" spans="1:35">
      <c r="A11" t="s">
        <v>90</v>
      </c>
      <c r="B11" t="s">
        <v>147</v>
      </c>
      <c r="C11">
        <v>7</v>
      </c>
      <c r="F11" t="s">
        <v>148</v>
      </c>
      <c r="G11">
        <v>3760</v>
      </c>
      <c r="H11" s="137">
        <v>3.7599999999999999E-5</v>
      </c>
      <c r="K11" t="s">
        <v>149</v>
      </c>
      <c r="L11" t="s">
        <v>148</v>
      </c>
      <c r="M11">
        <v>131687</v>
      </c>
      <c r="O11">
        <f t="shared" si="0"/>
        <v>7.004627659574469</v>
      </c>
      <c r="R11" t="s">
        <v>150</v>
      </c>
      <c r="S11" t="s">
        <v>148</v>
      </c>
      <c r="T11">
        <v>3760</v>
      </c>
      <c r="U11" s="137" cm="1">
        <f t="array" ref="U11">_xlfn.IFS(T11="null",0,T11="","",T11/G11&gt;=0,T11/G11)</f>
        <v>1</v>
      </c>
      <c r="X11" t="s">
        <v>152</v>
      </c>
      <c r="Y11" t="s">
        <v>148</v>
      </c>
      <c r="Z11" t="s">
        <v>156</v>
      </c>
      <c r="AA11" t="s">
        <v>153</v>
      </c>
      <c r="AB11" t="s">
        <v>148</v>
      </c>
      <c r="AC11" t="s">
        <v>156</v>
      </c>
      <c r="AD11" t="s">
        <v>154</v>
      </c>
      <c r="AE11" t="s">
        <v>148</v>
      </c>
      <c r="AF11" t="s">
        <v>156</v>
      </c>
      <c r="AG11" t="s">
        <v>155</v>
      </c>
      <c r="AH11" t="s">
        <v>148</v>
      </c>
      <c r="AI11" t="s">
        <v>156</v>
      </c>
    </row>
    <row r="12" spans="1:35">
      <c r="A12" t="s">
        <v>90</v>
      </c>
      <c r="B12" t="s">
        <v>147</v>
      </c>
      <c r="C12">
        <v>8</v>
      </c>
      <c r="F12" t="s">
        <v>148</v>
      </c>
      <c r="G12">
        <v>227</v>
      </c>
      <c r="H12" s="137">
        <v>2.2699999999999999E-6</v>
      </c>
      <c r="K12" t="s">
        <v>149</v>
      </c>
      <c r="L12" t="s">
        <v>148</v>
      </c>
      <c r="M12">
        <v>9080</v>
      </c>
      <c r="O12">
        <f t="shared" si="0"/>
        <v>8</v>
      </c>
      <c r="R12" t="s">
        <v>150</v>
      </c>
      <c r="S12" t="s">
        <v>148</v>
      </c>
      <c r="T12">
        <v>227</v>
      </c>
      <c r="U12" s="137" cm="1">
        <f t="array" ref="U12">_xlfn.IFS(T12="null",0,T12="","",T12/G12&gt;=0,T12/G12)</f>
        <v>1</v>
      </c>
      <c r="X12" t="s">
        <v>152</v>
      </c>
      <c r="Y12" t="s">
        <v>148</v>
      </c>
      <c r="Z12" t="s">
        <v>156</v>
      </c>
      <c r="AA12" t="s">
        <v>153</v>
      </c>
      <c r="AB12" t="s">
        <v>148</v>
      </c>
      <c r="AC12" t="s">
        <v>156</v>
      </c>
      <c r="AD12" t="s">
        <v>154</v>
      </c>
      <c r="AE12" t="s">
        <v>148</v>
      </c>
      <c r="AF12" t="s">
        <v>156</v>
      </c>
      <c r="AG12" t="s">
        <v>155</v>
      </c>
      <c r="AH12" t="s">
        <v>148</v>
      </c>
      <c r="AI12" t="s">
        <v>156</v>
      </c>
    </row>
    <row r="13" spans="1:35">
      <c r="A13" t="s">
        <v>90</v>
      </c>
      <c r="B13" t="s">
        <v>147</v>
      </c>
      <c r="C13">
        <v>10</v>
      </c>
      <c r="F13" t="s">
        <v>148</v>
      </c>
      <c r="G13">
        <v>1646720</v>
      </c>
      <c r="H13" s="137">
        <v>1.6467200000000001E-2</v>
      </c>
      <c r="K13" t="s">
        <v>149</v>
      </c>
      <c r="L13" t="s">
        <v>148</v>
      </c>
      <c r="M13">
        <v>83416421</v>
      </c>
      <c r="O13">
        <f t="shared" si="0"/>
        <v>10.131220972600078</v>
      </c>
      <c r="R13" t="s">
        <v>150</v>
      </c>
      <c r="S13" t="s">
        <v>148</v>
      </c>
      <c r="T13">
        <v>298607</v>
      </c>
      <c r="U13" s="137" cm="1">
        <f t="array" ref="U13">_xlfn.IFS(T13="null",0,T13="","",T13/G13&gt;=0,T13/G13)</f>
        <v>0.18133441022153129</v>
      </c>
      <c r="X13" t="s">
        <v>152</v>
      </c>
      <c r="Y13" t="s">
        <v>148</v>
      </c>
      <c r="Z13" t="s">
        <v>156</v>
      </c>
      <c r="AA13" t="s">
        <v>153</v>
      </c>
      <c r="AB13" t="s">
        <v>148</v>
      </c>
      <c r="AC13" t="s">
        <v>156</v>
      </c>
      <c r="AD13" t="s">
        <v>154</v>
      </c>
      <c r="AE13" t="s">
        <v>148</v>
      </c>
      <c r="AF13" t="s">
        <v>156</v>
      </c>
      <c r="AG13" t="s">
        <v>155</v>
      </c>
      <c r="AH13" t="s">
        <v>148</v>
      </c>
      <c r="AI13" t="s">
        <v>156</v>
      </c>
    </row>
    <row r="14" spans="1:35">
      <c r="A14" t="s">
        <v>90</v>
      </c>
      <c r="B14" t="s">
        <v>147</v>
      </c>
      <c r="C14">
        <v>15</v>
      </c>
      <c r="F14" t="s">
        <v>148</v>
      </c>
      <c r="G14">
        <v>497645</v>
      </c>
      <c r="H14" s="137">
        <v>4.9764500000000003E-3</v>
      </c>
      <c r="K14" t="s">
        <v>149</v>
      </c>
      <c r="L14" t="s">
        <v>148</v>
      </c>
      <c r="M14">
        <v>37549308</v>
      </c>
      <c r="O14">
        <f t="shared" si="0"/>
        <v>15.090800872107627</v>
      </c>
      <c r="R14" t="s">
        <v>150</v>
      </c>
      <c r="S14" t="s">
        <v>148</v>
      </c>
      <c r="T14">
        <v>461487</v>
      </c>
      <c r="U14" s="137" cm="1">
        <f t="array" ref="U14">_xlfn.IFS(T14="null",0,T14="","",T14/G14&gt;=0,T14/G14)</f>
        <v>0.92734177978277688</v>
      </c>
      <c r="X14" t="s">
        <v>152</v>
      </c>
      <c r="Y14" t="s">
        <v>148</v>
      </c>
      <c r="Z14" t="s">
        <v>156</v>
      </c>
      <c r="AA14" t="s">
        <v>153</v>
      </c>
      <c r="AB14" t="s">
        <v>148</v>
      </c>
      <c r="AC14" t="s">
        <v>156</v>
      </c>
      <c r="AD14" t="s">
        <v>154</v>
      </c>
      <c r="AE14" t="s">
        <v>148</v>
      </c>
      <c r="AF14" t="s">
        <v>156</v>
      </c>
      <c r="AG14" t="s">
        <v>155</v>
      </c>
      <c r="AH14" t="s">
        <v>148</v>
      </c>
      <c r="AI14" t="s">
        <v>156</v>
      </c>
    </row>
    <row r="15" spans="1:35">
      <c r="A15" t="s">
        <v>90</v>
      </c>
      <c r="B15" t="s">
        <v>147</v>
      </c>
      <c r="C15">
        <v>20</v>
      </c>
      <c r="F15" t="s">
        <v>148</v>
      </c>
      <c r="G15">
        <v>977431</v>
      </c>
      <c r="H15" s="137">
        <v>9.7743099999999996E-3</v>
      </c>
      <c r="K15" t="s">
        <v>149</v>
      </c>
      <c r="L15" t="s">
        <v>148</v>
      </c>
      <c r="M15">
        <v>98445192</v>
      </c>
      <c r="O15">
        <f t="shared" si="0"/>
        <v>20.143660677838128</v>
      </c>
      <c r="R15" t="s">
        <v>150</v>
      </c>
      <c r="S15" t="s">
        <v>148</v>
      </c>
      <c r="T15">
        <v>454227</v>
      </c>
      <c r="U15" s="137" cm="1">
        <f t="array" ref="U15">_xlfn.IFS(T15="null",0,T15="","",T15/G15&gt;=0,T15/G15)</f>
        <v>0.46471515636397864</v>
      </c>
      <c r="X15" t="s">
        <v>152</v>
      </c>
      <c r="Y15" t="s">
        <v>148</v>
      </c>
      <c r="Z15" t="s">
        <v>156</v>
      </c>
      <c r="AA15" t="s">
        <v>153</v>
      </c>
      <c r="AB15" t="s">
        <v>148</v>
      </c>
      <c r="AC15" t="s">
        <v>156</v>
      </c>
      <c r="AD15" t="s">
        <v>154</v>
      </c>
      <c r="AE15" t="s">
        <v>148</v>
      </c>
      <c r="AF15" t="s">
        <v>156</v>
      </c>
      <c r="AG15" t="s">
        <v>155</v>
      </c>
      <c r="AH15" t="s">
        <v>148</v>
      </c>
      <c r="AI15" t="s">
        <v>156</v>
      </c>
    </row>
    <row r="16" spans="1:35">
      <c r="A16" t="s">
        <v>90</v>
      </c>
      <c r="B16" t="s">
        <v>147</v>
      </c>
      <c r="C16">
        <v>25</v>
      </c>
      <c r="F16" t="s">
        <v>148</v>
      </c>
      <c r="G16">
        <v>4503</v>
      </c>
      <c r="H16" s="137">
        <v>4.5030000000000001E-5</v>
      </c>
      <c r="K16" t="s">
        <v>149</v>
      </c>
      <c r="L16" t="s">
        <v>148</v>
      </c>
      <c r="M16">
        <v>565393</v>
      </c>
      <c r="O16">
        <f t="shared" si="0"/>
        <v>25.111836553408839</v>
      </c>
      <c r="R16" t="s">
        <v>150</v>
      </c>
      <c r="S16" t="s">
        <v>148</v>
      </c>
      <c r="T16">
        <v>4428</v>
      </c>
      <c r="U16" s="137" cm="1">
        <f t="array" ref="U16">_xlfn.IFS(T16="null",0,T16="","",T16/G16&gt;=0,T16/G16)</f>
        <v>0.98334443704197205</v>
      </c>
      <c r="X16" t="s">
        <v>152</v>
      </c>
      <c r="Y16" t="s">
        <v>148</v>
      </c>
      <c r="Z16" t="s">
        <v>156</v>
      </c>
      <c r="AA16" t="s">
        <v>153</v>
      </c>
      <c r="AB16" t="s">
        <v>148</v>
      </c>
      <c r="AC16" t="s">
        <v>156</v>
      </c>
      <c r="AD16" t="s">
        <v>154</v>
      </c>
      <c r="AE16" t="s">
        <v>148</v>
      </c>
      <c r="AF16" t="s">
        <v>156</v>
      </c>
      <c r="AG16" t="s">
        <v>155</v>
      </c>
      <c r="AH16" t="s">
        <v>148</v>
      </c>
      <c r="AI16" t="s">
        <v>156</v>
      </c>
    </row>
    <row r="17" spans="1:35">
      <c r="A17" t="s">
        <v>90</v>
      </c>
      <c r="B17" t="s">
        <v>147</v>
      </c>
      <c r="C17">
        <v>30</v>
      </c>
      <c r="F17" t="s">
        <v>148</v>
      </c>
      <c r="G17">
        <v>263309</v>
      </c>
      <c r="H17" s="137">
        <v>2.6330899999999998E-3</v>
      </c>
      <c r="K17" t="s">
        <v>149</v>
      </c>
      <c r="L17" t="s">
        <v>148</v>
      </c>
      <c r="M17">
        <v>39894520</v>
      </c>
      <c r="O17">
        <f t="shared" si="0"/>
        <v>30.302435541512061</v>
      </c>
      <c r="R17" t="s">
        <v>150</v>
      </c>
      <c r="S17" t="s">
        <v>148</v>
      </c>
      <c r="T17">
        <v>145080</v>
      </c>
      <c r="U17" s="137" cm="1">
        <f t="array" ref="U17">_xlfn.IFS(T17="null",0,T17="","",T17/G17&gt;=0,T17/G17)</f>
        <v>0.55098762290692682</v>
      </c>
      <c r="X17" t="s">
        <v>152</v>
      </c>
      <c r="Y17" t="s">
        <v>148</v>
      </c>
      <c r="Z17" t="s">
        <v>156</v>
      </c>
      <c r="AA17" t="s">
        <v>153</v>
      </c>
      <c r="AB17" t="s">
        <v>148</v>
      </c>
      <c r="AC17" t="s">
        <v>156</v>
      </c>
      <c r="AD17" t="s">
        <v>154</v>
      </c>
      <c r="AE17" t="s">
        <v>148</v>
      </c>
      <c r="AF17" t="s">
        <v>156</v>
      </c>
      <c r="AG17" t="s">
        <v>155</v>
      </c>
      <c r="AH17" t="s">
        <v>148</v>
      </c>
      <c r="AI17" t="s">
        <v>156</v>
      </c>
    </row>
    <row r="18" spans="1:35">
      <c r="A18" t="s">
        <v>90</v>
      </c>
      <c r="B18" t="s">
        <v>147</v>
      </c>
      <c r="C18">
        <v>35</v>
      </c>
      <c r="F18" t="s">
        <v>148</v>
      </c>
      <c r="G18">
        <v>2029</v>
      </c>
      <c r="H18" s="137">
        <v>2.0290000000000001E-5</v>
      </c>
      <c r="K18" t="s">
        <v>149</v>
      </c>
      <c r="L18" t="s">
        <v>148</v>
      </c>
      <c r="M18">
        <v>356215</v>
      </c>
      <c r="O18">
        <f t="shared" si="0"/>
        <v>35.1123706259241</v>
      </c>
      <c r="R18" t="s">
        <v>150</v>
      </c>
      <c r="S18" t="s">
        <v>148</v>
      </c>
      <c r="T18">
        <v>2029</v>
      </c>
      <c r="U18" s="137" cm="1">
        <f t="array" ref="U18">_xlfn.IFS(T18="null",0,T18="","",T18/G18&gt;=0,T18/G18)</f>
        <v>1</v>
      </c>
      <c r="X18" t="s">
        <v>152</v>
      </c>
      <c r="Y18" t="s">
        <v>148</v>
      </c>
      <c r="Z18" t="s">
        <v>156</v>
      </c>
      <c r="AA18" t="s">
        <v>153</v>
      </c>
      <c r="AB18" t="s">
        <v>148</v>
      </c>
      <c r="AC18" t="s">
        <v>156</v>
      </c>
      <c r="AD18" t="s">
        <v>154</v>
      </c>
      <c r="AE18" t="s">
        <v>148</v>
      </c>
      <c r="AF18" t="s">
        <v>156</v>
      </c>
      <c r="AG18" t="s">
        <v>155</v>
      </c>
      <c r="AH18" t="s">
        <v>148</v>
      </c>
      <c r="AI18" t="s">
        <v>156</v>
      </c>
    </row>
    <row r="19" spans="1:35">
      <c r="A19" t="s">
        <v>90</v>
      </c>
      <c r="B19" t="s">
        <v>147</v>
      </c>
      <c r="C19">
        <v>40</v>
      </c>
      <c r="F19" t="s">
        <v>148</v>
      </c>
      <c r="G19">
        <v>29699</v>
      </c>
      <c r="H19" s="137">
        <v>2.9699000000000001E-4</v>
      </c>
      <c r="K19" t="s">
        <v>149</v>
      </c>
      <c r="L19" t="s">
        <v>148</v>
      </c>
      <c r="M19">
        <v>5972310</v>
      </c>
      <c r="O19">
        <f t="shared" si="0"/>
        <v>40.218929930300689</v>
      </c>
      <c r="R19" t="s">
        <v>150</v>
      </c>
      <c r="S19" t="s">
        <v>148</v>
      </c>
      <c r="T19">
        <v>3077</v>
      </c>
      <c r="U19" s="137" cm="1">
        <f t="array" ref="U19">_xlfn.IFS(T19="null",0,T19="","",T19/G19&gt;=0,T19/G19)</f>
        <v>0.10360618202633086</v>
      </c>
      <c r="X19" t="s">
        <v>152</v>
      </c>
      <c r="Y19" t="s">
        <v>148</v>
      </c>
      <c r="Z19" t="s">
        <v>156</v>
      </c>
      <c r="AA19" t="s">
        <v>153</v>
      </c>
      <c r="AB19" t="s">
        <v>148</v>
      </c>
      <c r="AC19" t="s">
        <v>156</v>
      </c>
      <c r="AD19" t="s">
        <v>154</v>
      </c>
      <c r="AE19" t="s">
        <v>148</v>
      </c>
      <c r="AF19" t="s">
        <v>156</v>
      </c>
      <c r="AG19" t="s">
        <v>155</v>
      </c>
      <c r="AH19" t="s">
        <v>148</v>
      </c>
      <c r="AI19" t="s">
        <v>156</v>
      </c>
    </row>
    <row r="20" spans="1:35">
      <c r="A20" t="s">
        <v>90</v>
      </c>
      <c r="B20" t="s">
        <v>147</v>
      </c>
      <c r="C20">
        <v>45</v>
      </c>
      <c r="F20" t="s">
        <v>148</v>
      </c>
      <c r="G20">
        <v>56</v>
      </c>
      <c r="H20" s="137">
        <v>5.6000000000000004E-7</v>
      </c>
      <c r="K20" t="s">
        <v>149</v>
      </c>
      <c r="L20" t="s">
        <v>148</v>
      </c>
      <c r="M20">
        <v>12686</v>
      </c>
      <c r="O20">
        <f t="shared" si="0"/>
        <v>45.307142857142857</v>
      </c>
      <c r="R20" t="s">
        <v>150</v>
      </c>
      <c r="S20" t="s">
        <v>148</v>
      </c>
      <c r="T20">
        <v>41</v>
      </c>
      <c r="U20" s="137" cm="1">
        <f t="array" ref="U20">_xlfn.IFS(T20="null",0,T20="","",T20/G20&gt;=0,T20/G20)</f>
        <v>0.7321428571428571</v>
      </c>
      <c r="X20" t="s">
        <v>152</v>
      </c>
      <c r="Y20" t="s">
        <v>148</v>
      </c>
      <c r="Z20" t="s">
        <v>156</v>
      </c>
      <c r="AA20" t="s">
        <v>153</v>
      </c>
      <c r="AB20" t="s">
        <v>148</v>
      </c>
      <c r="AC20" t="s">
        <v>156</v>
      </c>
      <c r="AD20" t="s">
        <v>154</v>
      </c>
      <c r="AE20" t="s">
        <v>148</v>
      </c>
      <c r="AF20" t="s">
        <v>156</v>
      </c>
      <c r="AG20" t="s">
        <v>155</v>
      </c>
      <c r="AH20" t="s">
        <v>148</v>
      </c>
      <c r="AI20" t="s">
        <v>156</v>
      </c>
    </row>
    <row r="21" spans="1:35">
      <c r="A21" t="s">
        <v>90</v>
      </c>
      <c r="B21" t="s">
        <v>147</v>
      </c>
      <c r="C21">
        <v>50</v>
      </c>
      <c r="F21" t="s">
        <v>148</v>
      </c>
      <c r="G21">
        <v>313155</v>
      </c>
      <c r="H21" s="137">
        <v>3.1315499999999999E-3</v>
      </c>
      <c r="K21" t="s">
        <v>149</v>
      </c>
      <c r="L21" t="s">
        <v>148</v>
      </c>
      <c r="M21">
        <v>79011947</v>
      </c>
      <c r="O21">
        <f t="shared" si="0"/>
        <v>50.461877983746071</v>
      </c>
      <c r="R21" t="s">
        <v>150</v>
      </c>
      <c r="S21" t="s">
        <v>148</v>
      </c>
      <c r="T21">
        <v>34343</v>
      </c>
      <c r="U21" s="137" cm="1">
        <f t="array" ref="U21">_xlfn.IFS(T21="null",0,T21="","",T21/G21&gt;=0,T21/G21)</f>
        <v>0.10966773642445435</v>
      </c>
      <c r="X21" t="s">
        <v>152</v>
      </c>
      <c r="Y21" t="s">
        <v>148</v>
      </c>
      <c r="Z21" t="s">
        <v>156</v>
      </c>
      <c r="AA21" t="s">
        <v>153</v>
      </c>
      <c r="AB21" t="s">
        <v>148</v>
      </c>
      <c r="AC21" t="s">
        <v>156</v>
      </c>
      <c r="AD21" t="s">
        <v>154</v>
      </c>
      <c r="AE21" t="s">
        <v>148</v>
      </c>
      <c r="AF21" t="s">
        <v>156</v>
      </c>
      <c r="AG21" t="s">
        <v>155</v>
      </c>
      <c r="AH21" t="s">
        <v>148</v>
      </c>
      <c r="AI21" t="s">
        <v>156</v>
      </c>
    </row>
    <row r="22" spans="1:35">
      <c r="A22" t="s">
        <v>90</v>
      </c>
      <c r="B22" t="s">
        <v>147</v>
      </c>
      <c r="C22">
        <v>60</v>
      </c>
      <c r="F22" t="s">
        <v>148</v>
      </c>
      <c r="G22">
        <v>982</v>
      </c>
      <c r="H22" s="137">
        <v>9.8200000000000008E-6</v>
      </c>
      <c r="K22" t="s">
        <v>149</v>
      </c>
      <c r="L22" t="s">
        <v>148</v>
      </c>
      <c r="M22">
        <v>295142</v>
      </c>
      <c r="O22">
        <f t="shared" si="0"/>
        <v>60.110386965376776</v>
      </c>
      <c r="R22" t="s">
        <v>150</v>
      </c>
      <c r="S22" t="s">
        <v>148</v>
      </c>
      <c r="T22">
        <v>301</v>
      </c>
      <c r="U22" s="137" cm="1">
        <f t="array" ref="U22">_xlfn.IFS(T22="null",0,T22="","",T22/G22&gt;=0,T22/G22)</f>
        <v>0.30651731160896128</v>
      </c>
      <c r="X22" t="s">
        <v>152</v>
      </c>
      <c r="Y22" t="s">
        <v>148</v>
      </c>
      <c r="Z22" t="s">
        <v>156</v>
      </c>
      <c r="AA22" t="s">
        <v>153</v>
      </c>
      <c r="AB22" t="s">
        <v>148</v>
      </c>
      <c r="AC22" t="s">
        <v>156</v>
      </c>
      <c r="AD22" t="s">
        <v>154</v>
      </c>
      <c r="AE22" t="s">
        <v>148</v>
      </c>
      <c r="AF22" t="s">
        <v>156</v>
      </c>
      <c r="AG22" t="s">
        <v>155</v>
      </c>
      <c r="AH22" t="s">
        <v>148</v>
      </c>
      <c r="AI22" t="s">
        <v>156</v>
      </c>
    </row>
    <row r="23" spans="1:35">
      <c r="A23" t="s">
        <v>90</v>
      </c>
      <c r="B23" t="s">
        <v>147</v>
      </c>
      <c r="C23">
        <v>70</v>
      </c>
      <c r="F23" t="s">
        <v>148</v>
      </c>
      <c r="G23">
        <v>165</v>
      </c>
      <c r="H23" s="137">
        <v>1.6500000000000001E-6</v>
      </c>
      <c r="K23" t="s">
        <v>149</v>
      </c>
      <c r="L23" t="s">
        <v>148</v>
      </c>
      <c r="M23">
        <v>57837</v>
      </c>
      <c r="O23">
        <f t="shared" si="0"/>
        <v>70.105454545454535</v>
      </c>
      <c r="R23" t="s">
        <v>150</v>
      </c>
      <c r="S23" t="s">
        <v>148</v>
      </c>
      <c r="T23">
        <v>165</v>
      </c>
      <c r="U23" s="137" cm="1">
        <f t="array" ref="U23">_xlfn.IFS(T23="null",0,T23="","",T23/G23&gt;=0,T23/G23)</f>
        <v>1</v>
      </c>
      <c r="X23" t="s">
        <v>152</v>
      </c>
      <c r="Y23" t="s">
        <v>148</v>
      </c>
      <c r="Z23" t="s">
        <v>156</v>
      </c>
      <c r="AA23" t="s">
        <v>153</v>
      </c>
      <c r="AB23" t="s">
        <v>148</v>
      </c>
      <c r="AC23" t="s">
        <v>156</v>
      </c>
      <c r="AD23" t="s">
        <v>154</v>
      </c>
      <c r="AE23" t="s">
        <v>148</v>
      </c>
      <c r="AF23" t="s">
        <v>156</v>
      </c>
      <c r="AG23" t="s">
        <v>155</v>
      </c>
      <c r="AH23" t="s">
        <v>148</v>
      </c>
      <c r="AI23" t="s">
        <v>156</v>
      </c>
    </row>
    <row r="24" spans="1:35">
      <c r="A24" t="s">
        <v>90</v>
      </c>
      <c r="B24" t="s">
        <v>147</v>
      </c>
      <c r="C24">
        <v>80</v>
      </c>
      <c r="F24" t="s">
        <v>148</v>
      </c>
      <c r="G24">
        <v>3</v>
      </c>
      <c r="H24" s="137">
        <v>2.9999999999999997E-8</v>
      </c>
      <c r="K24" t="s">
        <v>149</v>
      </c>
      <c r="L24" t="s">
        <v>148</v>
      </c>
      <c r="M24">
        <v>1200</v>
      </c>
      <c r="O24">
        <f t="shared" si="0"/>
        <v>80</v>
      </c>
      <c r="R24" t="s">
        <v>150</v>
      </c>
      <c r="S24" t="s">
        <v>148</v>
      </c>
      <c r="T24">
        <v>3</v>
      </c>
      <c r="U24" s="137" cm="1">
        <f t="array" ref="U24">_xlfn.IFS(T24="null",0,T24="","",T24/G24&gt;=0,T24/G24)</f>
        <v>1</v>
      </c>
      <c r="X24" t="s">
        <v>152</v>
      </c>
      <c r="Y24" t="s">
        <v>148</v>
      </c>
      <c r="Z24" t="s">
        <v>156</v>
      </c>
      <c r="AA24" t="s">
        <v>153</v>
      </c>
      <c r="AB24" t="s">
        <v>148</v>
      </c>
      <c r="AC24" t="s">
        <v>156</v>
      </c>
      <c r="AD24" t="s">
        <v>154</v>
      </c>
      <c r="AE24" t="s">
        <v>148</v>
      </c>
      <c r="AF24" t="s">
        <v>156</v>
      </c>
      <c r="AG24" t="s">
        <v>155</v>
      </c>
      <c r="AH24" t="s">
        <v>148</v>
      </c>
      <c r="AI24" t="s">
        <v>156</v>
      </c>
    </row>
    <row r="25" spans="1:35">
      <c r="A25" t="s">
        <v>90</v>
      </c>
      <c r="B25" t="s">
        <v>147</v>
      </c>
      <c r="C25">
        <v>100</v>
      </c>
      <c r="F25" t="s">
        <v>148</v>
      </c>
      <c r="G25">
        <v>74578</v>
      </c>
      <c r="H25" s="137">
        <v>7.4578000000000003E-4</v>
      </c>
      <c r="K25" t="s">
        <v>149</v>
      </c>
      <c r="L25" t="s">
        <v>148</v>
      </c>
      <c r="M25">
        <v>39930349</v>
      </c>
      <c r="O25">
        <f t="shared" si="0"/>
        <v>107.08345356539462</v>
      </c>
      <c r="R25" t="s">
        <v>150</v>
      </c>
      <c r="S25" t="s">
        <v>148</v>
      </c>
      <c r="T25">
        <v>1744</v>
      </c>
      <c r="U25" s="137" cm="1">
        <f t="array" ref="U25">_xlfn.IFS(T25="null",0,T25="","",T25/G25&gt;=0,T25/G25)</f>
        <v>2.3384912440666147E-2</v>
      </c>
      <c r="X25" t="s">
        <v>152</v>
      </c>
      <c r="Y25" t="s">
        <v>148</v>
      </c>
      <c r="Z25" t="s">
        <v>156</v>
      </c>
      <c r="AA25" t="s">
        <v>153</v>
      </c>
      <c r="AB25" t="s">
        <v>148</v>
      </c>
      <c r="AC25" t="s">
        <v>156</v>
      </c>
      <c r="AD25" t="s">
        <v>154</v>
      </c>
      <c r="AE25" t="s">
        <v>148</v>
      </c>
      <c r="AF25" t="s">
        <v>156</v>
      </c>
      <c r="AG25" t="s">
        <v>155</v>
      </c>
      <c r="AH25" t="s">
        <v>148</v>
      </c>
      <c r="AI25" t="s">
        <v>156</v>
      </c>
    </row>
    <row r="26" spans="1:35">
      <c r="A26" t="s">
        <v>90</v>
      </c>
      <c r="B26" t="s">
        <v>147</v>
      </c>
      <c r="C26">
        <v>120</v>
      </c>
      <c r="F26" t="s">
        <v>148</v>
      </c>
      <c r="G26">
        <v>525</v>
      </c>
      <c r="H26" s="137">
        <v>5.2499999999999997E-6</v>
      </c>
      <c r="K26" t="s">
        <v>149</v>
      </c>
      <c r="L26" t="s">
        <v>148</v>
      </c>
      <c r="M26">
        <v>326309</v>
      </c>
      <c r="O26">
        <f t="shared" si="0"/>
        <v>124.30819047619048</v>
      </c>
      <c r="R26" t="s">
        <v>150</v>
      </c>
      <c r="S26" t="s">
        <v>148</v>
      </c>
      <c r="T26">
        <v>92</v>
      </c>
      <c r="U26" s="137" cm="1">
        <f t="array" ref="U26">_xlfn.IFS(T26="null",0,T26="","",T26/G26&gt;=0,T26/G26)</f>
        <v>0.17523809523809525</v>
      </c>
      <c r="X26" t="s">
        <v>152</v>
      </c>
      <c r="Y26" t="s">
        <v>148</v>
      </c>
      <c r="Z26" t="s">
        <v>156</v>
      </c>
      <c r="AA26" t="s">
        <v>153</v>
      </c>
      <c r="AB26" t="s">
        <v>148</v>
      </c>
      <c r="AC26" t="s">
        <v>156</v>
      </c>
      <c r="AD26" t="s">
        <v>154</v>
      </c>
      <c r="AE26" t="s">
        <v>148</v>
      </c>
      <c r="AF26" t="s">
        <v>156</v>
      </c>
      <c r="AG26" t="s">
        <v>155</v>
      </c>
      <c r="AH26" t="s">
        <v>148</v>
      </c>
      <c r="AI26" t="s">
        <v>156</v>
      </c>
    </row>
    <row r="27" spans="1:35">
      <c r="A27" t="s">
        <v>90</v>
      </c>
      <c r="B27" t="s">
        <v>147</v>
      </c>
      <c r="C27">
        <v>140</v>
      </c>
      <c r="F27" t="s">
        <v>148</v>
      </c>
      <c r="G27">
        <v>22</v>
      </c>
      <c r="H27" s="137">
        <v>2.2000000000000001E-7</v>
      </c>
      <c r="K27" t="s">
        <v>149</v>
      </c>
      <c r="L27" t="s">
        <v>148</v>
      </c>
      <c r="M27">
        <v>16260</v>
      </c>
      <c r="O27">
        <f t="shared" si="0"/>
        <v>147.81818181818181</v>
      </c>
      <c r="R27" t="s">
        <v>150</v>
      </c>
      <c r="S27" t="s">
        <v>148</v>
      </c>
      <c r="T27">
        <v>8</v>
      </c>
      <c r="U27" s="137" cm="1">
        <f t="array" ref="U27">_xlfn.IFS(T27="null",0,T27="","",T27/G27&gt;=0,T27/G27)</f>
        <v>0.36363636363636365</v>
      </c>
      <c r="X27" t="s">
        <v>152</v>
      </c>
      <c r="Y27" t="s">
        <v>148</v>
      </c>
      <c r="Z27" t="s">
        <v>156</v>
      </c>
      <c r="AA27" t="s">
        <v>153</v>
      </c>
      <c r="AB27" t="s">
        <v>148</v>
      </c>
      <c r="AC27" t="s">
        <v>156</v>
      </c>
      <c r="AD27" t="s">
        <v>154</v>
      </c>
      <c r="AE27" t="s">
        <v>148</v>
      </c>
      <c r="AF27" t="s">
        <v>156</v>
      </c>
      <c r="AG27" t="s">
        <v>155</v>
      </c>
      <c r="AH27" t="s">
        <v>148</v>
      </c>
      <c r="AI27" t="s">
        <v>156</v>
      </c>
    </row>
    <row r="28" spans="1:35">
      <c r="A28" t="s">
        <v>90</v>
      </c>
      <c r="B28" t="s">
        <v>147</v>
      </c>
      <c r="C28">
        <v>200</v>
      </c>
      <c r="F28" t="s">
        <v>148</v>
      </c>
      <c r="G28">
        <v>4235</v>
      </c>
      <c r="H28" s="137">
        <v>4.2349999999999999E-5</v>
      </c>
      <c r="K28" t="s">
        <v>149</v>
      </c>
      <c r="L28" t="s">
        <v>148</v>
      </c>
      <c r="M28">
        <v>4253805</v>
      </c>
      <c r="O28">
        <f t="shared" si="0"/>
        <v>200.88807556080283</v>
      </c>
      <c r="R28" t="s">
        <v>150</v>
      </c>
      <c r="S28" t="s">
        <v>148</v>
      </c>
      <c r="T28">
        <v>1638</v>
      </c>
      <c r="U28" s="137" cm="1">
        <f t="array" ref="U28">_xlfn.IFS(T28="null",0,T28="","",T28/G28&gt;=0,T28/G28)</f>
        <v>0.38677685950413221</v>
      </c>
      <c r="X28" t="s">
        <v>152</v>
      </c>
      <c r="Y28" t="s">
        <v>148</v>
      </c>
      <c r="Z28" t="s">
        <v>156</v>
      </c>
      <c r="AA28" t="s">
        <v>153</v>
      </c>
      <c r="AB28" t="s">
        <v>148</v>
      </c>
      <c r="AC28" t="s">
        <v>156</v>
      </c>
      <c r="AD28" t="s">
        <v>154</v>
      </c>
      <c r="AE28" t="s">
        <v>148</v>
      </c>
      <c r="AF28" t="s">
        <v>156</v>
      </c>
      <c r="AG28" t="s">
        <v>155</v>
      </c>
      <c r="AH28" t="s">
        <v>148</v>
      </c>
      <c r="AI28" t="s">
        <v>156</v>
      </c>
    </row>
    <row r="29" spans="1:35">
      <c r="A29" t="s">
        <v>90</v>
      </c>
      <c r="B29" t="s">
        <v>147</v>
      </c>
      <c r="C29">
        <v>250</v>
      </c>
      <c r="F29" t="s">
        <v>148</v>
      </c>
      <c r="G29">
        <v>1</v>
      </c>
      <c r="H29" s="137">
        <v>1E-8</v>
      </c>
      <c r="K29" t="s">
        <v>149</v>
      </c>
      <c r="L29" t="s">
        <v>148</v>
      </c>
      <c r="M29">
        <v>1250</v>
      </c>
      <c r="O29">
        <f t="shared" si="0"/>
        <v>250</v>
      </c>
      <c r="R29" t="s">
        <v>150</v>
      </c>
      <c r="S29" t="s">
        <v>148</v>
      </c>
      <c r="T29">
        <v>1</v>
      </c>
      <c r="U29" s="137" cm="1">
        <f t="array" ref="U29">_xlfn.IFS(T29="null",0,T29="","",T29/G29&gt;=0,T29/G29)</f>
        <v>1</v>
      </c>
      <c r="X29" t="s">
        <v>152</v>
      </c>
      <c r="Y29" t="s">
        <v>148</v>
      </c>
      <c r="Z29" t="s">
        <v>156</v>
      </c>
      <c r="AA29" t="s">
        <v>153</v>
      </c>
      <c r="AB29" t="s">
        <v>148</v>
      </c>
      <c r="AC29" t="s">
        <v>156</v>
      </c>
      <c r="AD29" t="s">
        <v>154</v>
      </c>
      <c r="AE29" t="s">
        <v>148</v>
      </c>
      <c r="AF29" t="s">
        <v>156</v>
      </c>
      <c r="AG29" t="s">
        <v>155</v>
      </c>
      <c r="AH29" t="s">
        <v>148</v>
      </c>
      <c r="AI29" t="s">
        <v>156</v>
      </c>
    </row>
    <row r="30" spans="1:35">
      <c r="A30" t="s">
        <v>90</v>
      </c>
      <c r="B30" t="s">
        <v>147</v>
      </c>
      <c r="C30">
        <v>400</v>
      </c>
      <c r="F30" t="s">
        <v>148</v>
      </c>
      <c r="G30">
        <v>81</v>
      </c>
      <c r="H30" s="137">
        <v>8.0999999999999997E-7</v>
      </c>
      <c r="K30" t="s">
        <v>149</v>
      </c>
      <c r="L30" t="s">
        <v>148</v>
      </c>
      <c r="M30">
        <v>162314</v>
      </c>
      <c r="O30">
        <f t="shared" si="0"/>
        <v>400.7753086419753</v>
      </c>
      <c r="R30" t="s">
        <v>150</v>
      </c>
      <c r="S30" t="s">
        <v>148</v>
      </c>
      <c r="T30" t="s">
        <v>156</v>
      </c>
      <c r="U30" s="137" cm="1">
        <f t="array" ref="U30">_xlfn.IFS(T30="null",0,T30="","",T30/G30&gt;=0,T30/G30)</f>
        <v>0</v>
      </c>
      <c r="X30" t="s">
        <v>152</v>
      </c>
      <c r="Y30" t="s">
        <v>148</v>
      </c>
      <c r="Z30" t="s">
        <v>156</v>
      </c>
      <c r="AA30" t="s">
        <v>153</v>
      </c>
      <c r="AB30" t="s">
        <v>148</v>
      </c>
      <c r="AC30" t="s">
        <v>156</v>
      </c>
      <c r="AD30" t="s">
        <v>154</v>
      </c>
      <c r="AE30" t="s">
        <v>148</v>
      </c>
      <c r="AF30" t="s">
        <v>156</v>
      </c>
      <c r="AG30" t="s">
        <v>155</v>
      </c>
      <c r="AH30" t="s">
        <v>148</v>
      </c>
      <c r="AI30" t="s">
        <v>156</v>
      </c>
    </row>
    <row r="31" spans="1:35">
      <c r="A31" t="s">
        <v>90</v>
      </c>
      <c r="B31" t="s">
        <v>147</v>
      </c>
      <c r="C31">
        <v>500</v>
      </c>
      <c r="F31" t="s">
        <v>148</v>
      </c>
      <c r="G31">
        <v>12</v>
      </c>
      <c r="H31" s="137">
        <v>1.1999999999999999E-7</v>
      </c>
      <c r="K31" t="s">
        <v>149</v>
      </c>
      <c r="L31" t="s">
        <v>148</v>
      </c>
      <c r="M31">
        <v>30080</v>
      </c>
      <c r="O31">
        <f t="shared" si="0"/>
        <v>501.33333333333331</v>
      </c>
      <c r="R31" t="s">
        <v>150</v>
      </c>
      <c r="S31" t="s">
        <v>148</v>
      </c>
      <c r="T31" t="s">
        <v>156</v>
      </c>
      <c r="U31" s="137" cm="1">
        <f t="array" ref="U31">_xlfn.IFS(T31="null",0,T31="","",T31/G31&gt;=0,T31/G31)</f>
        <v>0</v>
      </c>
      <c r="X31" t="s">
        <v>152</v>
      </c>
      <c r="Y31" t="s">
        <v>148</v>
      </c>
      <c r="Z31" t="s">
        <v>156</v>
      </c>
      <c r="AA31" t="s">
        <v>153</v>
      </c>
      <c r="AB31" t="s">
        <v>148</v>
      </c>
      <c r="AC31" t="s">
        <v>156</v>
      </c>
      <c r="AD31" t="s">
        <v>154</v>
      </c>
      <c r="AE31" t="s">
        <v>148</v>
      </c>
      <c r="AF31" t="s">
        <v>156</v>
      </c>
      <c r="AG31" t="s">
        <v>155</v>
      </c>
      <c r="AH31" t="s">
        <v>148</v>
      </c>
      <c r="AI31" t="s">
        <v>156</v>
      </c>
    </row>
    <row r="32" spans="1:35">
      <c r="U32" s="137" t="str" cm="1">
        <f t="array" ref="U32">_xlfn.IFS(T32="null",0,T32="","",T32/G32&gt;=0,T32/G32)</f>
        <v/>
      </c>
    </row>
    <row r="34" spans="1:32">
      <c r="A34" t="s">
        <v>91</v>
      </c>
      <c r="B34" t="s">
        <v>147</v>
      </c>
      <c r="C34">
        <v>-1</v>
      </c>
      <c r="F34" t="s">
        <v>148</v>
      </c>
      <c r="G34">
        <v>16667922</v>
      </c>
      <c r="H34" cm="1">
        <f t="array" ref="H34:H71">G34:G71/SUM(G34:G71)</f>
        <v>0.16667921999999999</v>
      </c>
      <c r="M34" s="137"/>
    </row>
    <row r="35" spans="1:32">
      <c r="A35" t="s">
        <v>91</v>
      </c>
      <c r="B35" t="s">
        <v>147</v>
      </c>
      <c r="C35">
        <v>0</v>
      </c>
      <c r="F35" t="s">
        <v>148</v>
      </c>
      <c r="G35">
        <v>17968134</v>
      </c>
      <c r="H35">
        <v>0.17968133999999999</v>
      </c>
      <c r="K35" t="s">
        <v>149</v>
      </c>
      <c r="L35" t="s">
        <v>148</v>
      </c>
      <c r="M35">
        <v>5684981000</v>
      </c>
      <c r="N35" s="137"/>
      <c r="O35">
        <f>M35/G35/$O$1/100</f>
        <v>0.63278479557198319</v>
      </c>
      <c r="P35" s="137"/>
      <c r="Q35" s="137"/>
      <c r="R35" t="s">
        <v>150</v>
      </c>
      <c r="S35" t="s">
        <v>148</v>
      </c>
      <c r="T35" t="s">
        <v>156</v>
      </c>
      <c r="U35" t="s">
        <v>152</v>
      </c>
      <c r="V35" t="s">
        <v>148</v>
      </c>
      <c r="W35">
        <v>604510</v>
      </c>
      <c r="X35" t="s">
        <v>153</v>
      </c>
      <c r="Y35" t="s">
        <v>148</v>
      </c>
      <c r="Z35" t="s">
        <v>156</v>
      </c>
      <c r="AA35" t="s">
        <v>154</v>
      </c>
      <c r="AB35" t="s">
        <v>148</v>
      </c>
      <c r="AC35" t="s">
        <v>156</v>
      </c>
      <c r="AD35" t="s">
        <v>155</v>
      </c>
      <c r="AE35" t="s">
        <v>148</v>
      </c>
      <c r="AF35" t="s">
        <v>156</v>
      </c>
    </row>
    <row r="36" spans="1:32">
      <c r="A36" t="s">
        <v>91</v>
      </c>
      <c r="B36" t="s">
        <v>147</v>
      </c>
      <c r="C36">
        <v>1</v>
      </c>
      <c r="F36" t="s">
        <v>148</v>
      </c>
      <c r="G36">
        <v>7261635</v>
      </c>
      <c r="H36">
        <v>7.2616349999999996E-2</v>
      </c>
      <c r="K36" t="s">
        <v>149</v>
      </c>
      <c r="L36" t="s">
        <v>148</v>
      </c>
      <c r="M36">
        <v>6986843400</v>
      </c>
      <c r="N36" s="137"/>
      <c r="O36">
        <f t="shared" ref="O36:O71" si="1">M36/G36/$O$1/100</f>
        <v>1.9243168790499661</v>
      </c>
      <c r="P36" s="137"/>
      <c r="Q36" s="137"/>
      <c r="R36" t="s">
        <v>150</v>
      </c>
      <c r="S36" t="s">
        <v>148</v>
      </c>
      <c r="T36" t="s">
        <v>156</v>
      </c>
      <c r="U36" t="s">
        <v>152</v>
      </c>
      <c r="V36" t="s">
        <v>148</v>
      </c>
      <c r="W36">
        <v>1358895</v>
      </c>
      <c r="X36" t="s">
        <v>153</v>
      </c>
      <c r="Y36" t="s">
        <v>148</v>
      </c>
      <c r="Z36" t="s">
        <v>156</v>
      </c>
      <c r="AA36" t="s">
        <v>154</v>
      </c>
      <c r="AB36" t="s">
        <v>148</v>
      </c>
      <c r="AC36" t="s">
        <v>156</v>
      </c>
      <c r="AD36" t="s">
        <v>155</v>
      </c>
      <c r="AE36" t="s">
        <v>148</v>
      </c>
      <c r="AF36" t="s">
        <v>156</v>
      </c>
    </row>
    <row r="37" spans="1:32">
      <c r="A37" t="s">
        <v>91</v>
      </c>
      <c r="B37" t="s">
        <v>147</v>
      </c>
      <c r="C37">
        <v>2</v>
      </c>
      <c r="F37" t="s">
        <v>148</v>
      </c>
      <c r="G37">
        <v>5516408</v>
      </c>
      <c r="H37">
        <v>5.5164079999999997E-2</v>
      </c>
      <c r="K37" t="s">
        <v>149</v>
      </c>
      <c r="L37" t="s">
        <v>148</v>
      </c>
      <c r="M37">
        <v>7142357200</v>
      </c>
      <c r="N37" s="137"/>
      <c r="O37">
        <f t="shared" si="1"/>
        <v>2.5894956283146571</v>
      </c>
      <c r="P37" s="137"/>
      <c r="Q37" s="137"/>
      <c r="R37" t="s">
        <v>150</v>
      </c>
      <c r="S37" t="s">
        <v>148</v>
      </c>
      <c r="T37" t="s">
        <v>156</v>
      </c>
      <c r="U37" t="s">
        <v>152</v>
      </c>
      <c r="V37" t="s">
        <v>148</v>
      </c>
      <c r="W37">
        <v>1351514</v>
      </c>
      <c r="X37" t="s">
        <v>153</v>
      </c>
      <c r="Y37" t="s">
        <v>148</v>
      </c>
      <c r="Z37" t="s">
        <v>156</v>
      </c>
      <c r="AA37" t="s">
        <v>154</v>
      </c>
      <c r="AB37" t="s">
        <v>148</v>
      </c>
      <c r="AC37" t="s">
        <v>156</v>
      </c>
      <c r="AD37" t="s">
        <v>155</v>
      </c>
      <c r="AE37" t="s">
        <v>148</v>
      </c>
      <c r="AF37" t="s">
        <v>156</v>
      </c>
    </row>
    <row r="38" spans="1:32">
      <c r="A38" t="s">
        <v>91</v>
      </c>
      <c r="B38" t="s">
        <v>147</v>
      </c>
      <c r="C38">
        <v>3</v>
      </c>
      <c r="F38" t="s">
        <v>148</v>
      </c>
      <c r="G38">
        <v>1731527</v>
      </c>
      <c r="H38">
        <v>1.7315270000000001E-2</v>
      </c>
      <c r="K38" t="s">
        <v>149</v>
      </c>
      <c r="L38" t="s">
        <v>148</v>
      </c>
      <c r="M38">
        <v>3306265600</v>
      </c>
      <c r="N38" s="137"/>
      <c r="O38">
        <f t="shared" si="1"/>
        <v>3.8189015822450356</v>
      </c>
      <c r="P38" s="137"/>
      <c r="Q38" s="137"/>
      <c r="R38" t="s">
        <v>150</v>
      </c>
      <c r="S38" t="s">
        <v>148</v>
      </c>
      <c r="T38" t="s">
        <v>156</v>
      </c>
      <c r="U38" t="s">
        <v>152</v>
      </c>
      <c r="V38" t="s">
        <v>148</v>
      </c>
      <c r="W38">
        <v>690654</v>
      </c>
      <c r="X38" t="s">
        <v>153</v>
      </c>
      <c r="Y38" t="s">
        <v>148</v>
      </c>
      <c r="Z38" t="s">
        <v>156</v>
      </c>
      <c r="AA38" t="s">
        <v>154</v>
      </c>
      <c r="AB38" t="s">
        <v>148</v>
      </c>
      <c r="AC38" t="s">
        <v>156</v>
      </c>
      <c r="AD38" t="s">
        <v>155</v>
      </c>
      <c r="AE38" t="s">
        <v>148</v>
      </c>
      <c r="AF38" t="s">
        <v>156</v>
      </c>
    </row>
    <row r="39" spans="1:32">
      <c r="A39" t="s">
        <v>91</v>
      </c>
      <c r="B39" t="s">
        <v>147</v>
      </c>
      <c r="C39">
        <v>4</v>
      </c>
      <c r="F39" t="s">
        <v>148</v>
      </c>
      <c r="G39">
        <v>2855255</v>
      </c>
      <c r="H39">
        <v>2.8552549999999999E-2</v>
      </c>
      <c r="K39" t="s">
        <v>149</v>
      </c>
      <c r="L39" t="s">
        <v>148</v>
      </c>
      <c r="M39">
        <v>6928697000</v>
      </c>
      <c r="N39" s="137"/>
      <c r="O39">
        <f t="shared" si="1"/>
        <v>4.8532947144825949</v>
      </c>
      <c r="P39" s="137"/>
      <c r="Q39" s="137"/>
      <c r="R39" t="s">
        <v>150</v>
      </c>
      <c r="S39" t="s">
        <v>148</v>
      </c>
      <c r="T39">
        <v>347841</v>
      </c>
      <c r="U39" t="s">
        <v>152</v>
      </c>
      <c r="V39" t="s">
        <v>148</v>
      </c>
      <c r="W39">
        <v>250877</v>
      </c>
      <c r="X39" t="s">
        <v>153</v>
      </c>
      <c r="Y39" t="s">
        <v>148</v>
      </c>
      <c r="Z39" t="s">
        <v>156</v>
      </c>
      <c r="AA39" t="s">
        <v>154</v>
      </c>
      <c r="AB39" t="s">
        <v>148</v>
      </c>
      <c r="AC39" t="s">
        <v>156</v>
      </c>
      <c r="AD39" t="s">
        <v>155</v>
      </c>
      <c r="AE39" t="s">
        <v>148</v>
      </c>
      <c r="AF39" t="s">
        <v>156</v>
      </c>
    </row>
    <row r="40" spans="1:32">
      <c r="A40" t="s">
        <v>91</v>
      </c>
      <c r="B40" t="s">
        <v>147</v>
      </c>
      <c r="C40">
        <v>5</v>
      </c>
      <c r="F40" t="s">
        <v>148</v>
      </c>
      <c r="G40">
        <v>1037900</v>
      </c>
      <c r="H40">
        <v>1.0378999999999999E-2</v>
      </c>
      <c r="K40" t="s">
        <v>149</v>
      </c>
      <c r="L40" t="s">
        <v>148</v>
      </c>
      <c r="M40">
        <v>3004582800</v>
      </c>
      <c r="N40" s="137"/>
      <c r="O40">
        <f t="shared" si="1"/>
        <v>5.789734656517969</v>
      </c>
      <c r="P40" s="137"/>
      <c r="Q40" s="137"/>
      <c r="R40" t="s">
        <v>150</v>
      </c>
      <c r="S40" t="s">
        <v>148</v>
      </c>
      <c r="T40">
        <v>433899</v>
      </c>
      <c r="U40" t="s">
        <v>152</v>
      </c>
      <c r="V40" t="s">
        <v>148</v>
      </c>
      <c r="W40">
        <v>83563</v>
      </c>
      <c r="X40" t="s">
        <v>153</v>
      </c>
      <c r="Y40" t="s">
        <v>148</v>
      </c>
      <c r="Z40" t="s">
        <v>156</v>
      </c>
      <c r="AA40" t="s">
        <v>154</v>
      </c>
      <c r="AB40" t="s">
        <v>148</v>
      </c>
      <c r="AC40" t="s">
        <v>156</v>
      </c>
      <c r="AD40" t="s">
        <v>155</v>
      </c>
      <c r="AE40" t="s">
        <v>148</v>
      </c>
      <c r="AF40" t="s">
        <v>156</v>
      </c>
    </row>
    <row r="41" spans="1:32">
      <c r="A41" t="s">
        <v>91</v>
      </c>
      <c r="B41" t="s">
        <v>147</v>
      </c>
      <c r="C41">
        <v>6</v>
      </c>
      <c r="F41" t="s">
        <v>148</v>
      </c>
      <c r="G41">
        <v>131073</v>
      </c>
      <c r="H41">
        <v>1.31073E-3</v>
      </c>
      <c r="K41" t="s">
        <v>149</v>
      </c>
      <c r="L41" t="s">
        <v>148</v>
      </c>
      <c r="M41">
        <v>458755500</v>
      </c>
      <c r="N41" s="137"/>
      <c r="O41">
        <f t="shared" si="1"/>
        <v>7</v>
      </c>
      <c r="P41" s="137"/>
      <c r="Q41" s="137"/>
      <c r="R41" t="s">
        <v>150</v>
      </c>
      <c r="S41" t="s">
        <v>148</v>
      </c>
      <c r="T41">
        <v>131073</v>
      </c>
      <c r="U41" t="s">
        <v>152</v>
      </c>
      <c r="V41" t="s">
        <v>148</v>
      </c>
      <c r="W41" t="s">
        <v>156</v>
      </c>
      <c r="X41" t="s">
        <v>153</v>
      </c>
      <c r="Y41" t="s">
        <v>148</v>
      </c>
      <c r="Z41" t="s">
        <v>156</v>
      </c>
      <c r="AA41" t="s">
        <v>154</v>
      </c>
      <c r="AB41" t="s">
        <v>148</v>
      </c>
      <c r="AC41" t="s">
        <v>156</v>
      </c>
      <c r="AD41" t="s">
        <v>155</v>
      </c>
      <c r="AE41" t="s">
        <v>148</v>
      </c>
      <c r="AF41" t="s">
        <v>156</v>
      </c>
    </row>
    <row r="42" spans="1:32">
      <c r="A42" t="s">
        <v>91</v>
      </c>
      <c r="B42" t="s">
        <v>147</v>
      </c>
      <c r="C42">
        <v>7</v>
      </c>
      <c r="F42" t="s">
        <v>148</v>
      </c>
      <c r="G42">
        <v>129881</v>
      </c>
      <c r="H42">
        <v>1.2988100000000001E-3</v>
      </c>
      <c r="K42" t="s">
        <v>149</v>
      </c>
      <c r="L42" t="s">
        <v>148</v>
      </c>
      <c r="M42">
        <v>493633600</v>
      </c>
      <c r="N42" s="137"/>
      <c r="O42">
        <f t="shared" si="1"/>
        <v>7.6013212094147722</v>
      </c>
      <c r="P42" s="137"/>
      <c r="Q42" s="137"/>
      <c r="R42" t="s">
        <v>150</v>
      </c>
      <c r="S42" t="s">
        <v>148</v>
      </c>
      <c r="T42">
        <v>129881</v>
      </c>
      <c r="U42" t="s">
        <v>152</v>
      </c>
      <c r="V42" t="s">
        <v>148</v>
      </c>
      <c r="W42" t="s">
        <v>156</v>
      </c>
      <c r="X42" t="s">
        <v>153</v>
      </c>
      <c r="Y42" t="s">
        <v>148</v>
      </c>
      <c r="Z42" t="s">
        <v>156</v>
      </c>
      <c r="AA42" t="s">
        <v>154</v>
      </c>
      <c r="AB42" t="s">
        <v>148</v>
      </c>
      <c r="AC42" t="s">
        <v>156</v>
      </c>
      <c r="AD42" t="s">
        <v>155</v>
      </c>
      <c r="AE42" t="s">
        <v>148</v>
      </c>
      <c r="AF42" t="s">
        <v>156</v>
      </c>
    </row>
    <row r="43" spans="1:32">
      <c r="A43" t="s">
        <v>91</v>
      </c>
      <c r="B43" t="s">
        <v>147</v>
      </c>
      <c r="C43">
        <v>9</v>
      </c>
      <c r="F43" t="s">
        <v>148</v>
      </c>
      <c r="G43">
        <v>3653949</v>
      </c>
      <c r="H43">
        <v>3.6539490000000001E-2</v>
      </c>
      <c r="K43" t="s">
        <v>149</v>
      </c>
      <c r="L43" t="s">
        <v>148</v>
      </c>
      <c r="M43">
        <v>18269745000</v>
      </c>
      <c r="N43" s="137"/>
      <c r="O43">
        <f t="shared" si="1"/>
        <v>10</v>
      </c>
      <c r="P43" s="137"/>
      <c r="Q43" s="137"/>
      <c r="R43" t="s">
        <v>150</v>
      </c>
      <c r="S43" t="s">
        <v>148</v>
      </c>
      <c r="T43">
        <v>347715</v>
      </c>
      <c r="U43" t="s">
        <v>152</v>
      </c>
      <c r="V43" t="s">
        <v>148</v>
      </c>
      <c r="W43">
        <v>181710</v>
      </c>
      <c r="X43" t="s">
        <v>153</v>
      </c>
      <c r="Y43" t="s">
        <v>148</v>
      </c>
      <c r="Z43" t="s">
        <v>156</v>
      </c>
      <c r="AA43" t="s">
        <v>154</v>
      </c>
      <c r="AB43" t="s">
        <v>148</v>
      </c>
      <c r="AC43" t="s">
        <v>156</v>
      </c>
      <c r="AD43" t="s">
        <v>155</v>
      </c>
      <c r="AE43" t="s">
        <v>148</v>
      </c>
      <c r="AF43" t="s">
        <v>156</v>
      </c>
    </row>
    <row r="44" spans="1:32">
      <c r="A44" t="s">
        <v>91</v>
      </c>
      <c r="B44" t="s">
        <v>147</v>
      </c>
      <c r="C44">
        <v>10</v>
      </c>
      <c r="F44" t="s">
        <v>148</v>
      </c>
      <c r="G44">
        <v>8525226</v>
      </c>
      <c r="H44">
        <v>8.5252259999999996E-2</v>
      </c>
      <c r="K44" t="s">
        <v>149</v>
      </c>
      <c r="L44" t="s">
        <v>148</v>
      </c>
      <c r="M44">
        <v>48488564500</v>
      </c>
      <c r="N44" s="137"/>
      <c r="O44">
        <f t="shared" si="1"/>
        <v>11.375314742389232</v>
      </c>
      <c r="P44" s="137"/>
      <c r="Q44" s="137"/>
      <c r="R44" t="s">
        <v>150</v>
      </c>
      <c r="S44" t="s">
        <v>148</v>
      </c>
      <c r="T44">
        <v>1107958</v>
      </c>
      <c r="U44" t="s">
        <v>152</v>
      </c>
      <c r="V44" t="s">
        <v>148</v>
      </c>
      <c r="W44">
        <v>2206980</v>
      </c>
      <c r="X44" t="s">
        <v>153</v>
      </c>
      <c r="Y44" t="s">
        <v>148</v>
      </c>
      <c r="Z44" t="s">
        <v>156</v>
      </c>
      <c r="AA44" t="s">
        <v>154</v>
      </c>
      <c r="AB44" t="s">
        <v>148</v>
      </c>
      <c r="AC44" t="s">
        <v>156</v>
      </c>
      <c r="AD44" t="s">
        <v>155</v>
      </c>
      <c r="AE44" t="s">
        <v>148</v>
      </c>
      <c r="AF44" t="s">
        <v>156</v>
      </c>
    </row>
    <row r="45" spans="1:32">
      <c r="A45" t="s">
        <v>91</v>
      </c>
      <c r="B45" t="s">
        <v>147</v>
      </c>
      <c r="C45">
        <v>15</v>
      </c>
      <c r="F45" t="s">
        <v>148</v>
      </c>
      <c r="G45">
        <v>3548593</v>
      </c>
      <c r="H45">
        <v>3.5485929999999999E-2</v>
      </c>
      <c r="K45" t="s">
        <v>149</v>
      </c>
      <c r="L45" t="s">
        <v>148</v>
      </c>
      <c r="M45">
        <v>33894038700</v>
      </c>
      <c r="N45" s="137"/>
      <c r="O45">
        <f t="shared" si="1"/>
        <v>19.102804238186796</v>
      </c>
      <c r="P45" s="137"/>
      <c r="Q45" s="137"/>
      <c r="R45" t="s">
        <v>150</v>
      </c>
      <c r="S45" t="s">
        <v>148</v>
      </c>
      <c r="T45">
        <v>1237267</v>
      </c>
      <c r="U45" t="s">
        <v>152</v>
      </c>
      <c r="V45" t="s">
        <v>148</v>
      </c>
      <c r="W45">
        <v>169198</v>
      </c>
      <c r="X45" t="s">
        <v>153</v>
      </c>
      <c r="Y45" t="s">
        <v>148</v>
      </c>
      <c r="Z45" t="s">
        <v>156</v>
      </c>
      <c r="AA45" t="s">
        <v>154</v>
      </c>
      <c r="AB45" t="s">
        <v>148</v>
      </c>
      <c r="AC45" t="s">
        <v>156</v>
      </c>
      <c r="AD45" t="s">
        <v>155</v>
      </c>
      <c r="AE45" t="s">
        <v>148</v>
      </c>
      <c r="AF45" t="s">
        <v>156</v>
      </c>
    </row>
    <row r="46" spans="1:32">
      <c r="A46" t="s">
        <v>91</v>
      </c>
      <c r="B46" t="s">
        <v>147</v>
      </c>
      <c r="C46">
        <v>20</v>
      </c>
      <c r="F46" t="s">
        <v>148</v>
      </c>
      <c r="G46">
        <v>8102406</v>
      </c>
      <c r="H46">
        <v>8.1024059999999995E-2</v>
      </c>
      <c r="K46" t="s">
        <v>149</v>
      </c>
      <c r="L46" t="s">
        <v>148</v>
      </c>
      <c r="M46">
        <v>85937887300</v>
      </c>
      <c r="N46" s="137"/>
      <c r="O46">
        <f t="shared" si="1"/>
        <v>21.212930406104064</v>
      </c>
      <c r="P46" s="137"/>
      <c r="Q46" s="137"/>
      <c r="R46" t="s">
        <v>150</v>
      </c>
      <c r="S46" t="s">
        <v>148</v>
      </c>
      <c r="T46">
        <v>940777</v>
      </c>
      <c r="U46" t="s">
        <v>152</v>
      </c>
      <c r="V46" t="s">
        <v>148</v>
      </c>
      <c r="W46">
        <v>2188005</v>
      </c>
      <c r="X46" t="s">
        <v>153</v>
      </c>
      <c r="Y46" t="s">
        <v>148</v>
      </c>
      <c r="Z46" t="s">
        <v>156</v>
      </c>
      <c r="AA46" t="s">
        <v>154</v>
      </c>
      <c r="AB46" t="s">
        <v>148</v>
      </c>
      <c r="AC46" t="s">
        <v>156</v>
      </c>
      <c r="AD46" t="s">
        <v>155</v>
      </c>
      <c r="AE46" t="s">
        <v>148</v>
      </c>
      <c r="AF46" t="s">
        <v>156</v>
      </c>
    </row>
    <row r="47" spans="1:32">
      <c r="A47" t="s">
        <v>91</v>
      </c>
      <c r="B47" t="s">
        <v>147</v>
      </c>
      <c r="C47">
        <v>25</v>
      </c>
      <c r="F47" t="s">
        <v>148</v>
      </c>
      <c r="G47">
        <v>1030443</v>
      </c>
      <c r="H47">
        <v>1.030443E-2</v>
      </c>
      <c r="K47" t="s">
        <v>149</v>
      </c>
      <c r="L47" t="s">
        <v>148</v>
      </c>
      <c r="M47">
        <v>14876877900</v>
      </c>
      <c r="N47" s="137"/>
      <c r="O47">
        <f t="shared" si="1"/>
        <v>28.874722619300634</v>
      </c>
      <c r="P47" s="137"/>
      <c r="Q47" s="137"/>
      <c r="R47" t="s">
        <v>150</v>
      </c>
      <c r="S47" t="s">
        <v>148</v>
      </c>
      <c r="T47">
        <v>716830</v>
      </c>
      <c r="U47" t="s">
        <v>152</v>
      </c>
      <c r="V47" t="s">
        <v>148</v>
      </c>
      <c r="W47">
        <v>82282</v>
      </c>
      <c r="X47" t="s">
        <v>153</v>
      </c>
      <c r="Y47" t="s">
        <v>148</v>
      </c>
      <c r="Z47" t="s">
        <v>156</v>
      </c>
      <c r="AA47" t="s">
        <v>154</v>
      </c>
      <c r="AB47" t="s">
        <v>148</v>
      </c>
      <c r="AC47" t="s">
        <v>156</v>
      </c>
      <c r="AD47" t="s">
        <v>155</v>
      </c>
      <c r="AE47" t="s">
        <v>148</v>
      </c>
      <c r="AF47" t="s">
        <v>156</v>
      </c>
    </row>
    <row r="48" spans="1:32">
      <c r="A48" t="s">
        <v>91</v>
      </c>
      <c r="B48" t="s">
        <v>147</v>
      </c>
      <c r="C48">
        <v>30</v>
      </c>
      <c r="F48" t="s">
        <v>148</v>
      </c>
      <c r="G48">
        <v>2116281</v>
      </c>
      <c r="H48">
        <v>2.1162810000000001E-2</v>
      </c>
      <c r="K48" t="s">
        <v>149</v>
      </c>
      <c r="L48" t="s">
        <v>148</v>
      </c>
      <c r="M48">
        <v>32963395000</v>
      </c>
      <c r="N48" s="137"/>
      <c r="O48">
        <f t="shared" si="1"/>
        <v>31.152191037012571</v>
      </c>
      <c r="P48" s="137"/>
      <c r="Q48" s="137"/>
      <c r="R48" t="s">
        <v>150</v>
      </c>
      <c r="S48" t="s">
        <v>148</v>
      </c>
      <c r="T48">
        <v>1005301</v>
      </c>
      <c r="U48" t="s">
        <v>152</v>
      </c>
      <c r="V48" t="s">
        <v>148</v>
      </c>
      <c r="W48">
        <v>647337</v>
      </c>
      <c r="X48" t="s">
        <v>153</v>
      </c>
      <c r="Y48" t="s">
        <v>148</v>
      </c>
      <c r="Z48" t="s">
        <v>156</v>
      </c>
      <c r="AA48" t="s">
        <v>154</v>
      </c>
      <c r="AB48" t="s">
        <v>148</v>
      </c>
      <c r="AC48" t="s">
        <v>156</v>
      </c>
      <c r="AD48" t="s">
        <v>155</v>
      </c>
      <c r="AE48" t="s">
        <v>148</v>
      </c>
      <c r="AF48" t="s">
        <v>156</v>
      </c>
    </row>
    <row r="49" spans="1:32">
      <c r="A49" t="s">
        <v>91</v>
      </c>
      <c r="B49" t="s">
        <v>147</v>
      </c>
      <c r="C49">
        <v>35</v>
      </c>
      <c r="F49" t="s">
        <v>148</v>
      </c>
      <c r="G49">
        <v>689371</v>
      </c>
      <c r="H49">
        <v>6.8937099999999999E-3</v>
      </c>
      <c r="K49" t="s">
        <v>149</v>
      </c>
      <c r="L49" t="s">
        <v>148</v>
      </c>
      <c r="M49">
        <v>13504211500</v>
      </c>
      <c r="N49" s="137"/>
      <c r="O49">
        <f t="shared" si="1"/>
        <v>39.178356791916109</v>
      </c>
      <c r="P49" s="137"/>
      <c r="Q49" s="137"/>
      <c r="R49" t="s">
        <v>150</v>
      </c>
      <c r="S49" t="s">
        <v>148</v>
      </c>
      <c r="T49">
        <v>260635</v>
      </c>
      <c r="U49" t="s">
        <v>152</v>
      </c>
      <c r="V49" t="s">
        <v>148</v>
      </c>
      <c r="W49">
        <v>22850</v>
      </c>
      <c r="X49" t="s">
        <v>153</v>
      </c>
      <c r="Y49" t="s">
        <v>148</v>
      </c>
      <c r="Z49" t="s">
        <v>156</v>
      </c>
      <c r="AA49" t="s">
        <v>154</v>
      </c>
      <c r="AB49" t="s">
        <v>148</v>
      </c>
      <c r="AC49" t="s">
        <v>156</v>
      </c>
      <c r="AD49" t="s">
        <v>155</v>
      </c>
      <c r="AE49" t="s">
        <v>148</v>
      </c>
      <c r="AF49" t="s">
        <v>156</v>
      </c>
    </row>
    <row r="50" spans="1:32">
      <c r="A50" t="s">
        <v>91</v>
      </c>
      <c r="B50" t="s">
        <v>147</v>
      </c>
      <c r="C50">
        <v>40</v>
      </c>
      <c r="F50" t="s">
        <v>148</v>
      </c>
      <c r="G50">
        <v>1430637</v>
      </c>
      <c r="H50">
        <v>1.4306370000000001E-2</v>
      </c>
      <c r="K50" t="s">
        <v>149</v>
      </c>
      <c r="L50" t="s">
        <v>148</v>
      </c>
      <c r="M50">
        <v>29608758700</v>
      </c>
      <c r="N50" s="137"/>
      <c r="O50">
        <f t="shared" si="1"/>
        <v>41.39241289020206</v>
      </c>
      <c r="P50" s="137"/>
      <c r="Q50" s="137"/>
      <c r="R50" t="s">
        <v>150</v>
      </c>
      <c r="S50" t="s">
        <v>148</v>
      </c>
      <c r="T50">
        <v>275097</v>
      </c>
      <c r="U50" t="s">
        <v>152</v>
      </c>
      <c r="V50" t="s">
        <v>148</v>
      </c>
      <c r="W50">
        <v>229251</v>
      </c>
      <c r="X50" t="s">
        <v>153</v>
      </c>
      <c r="Y50" t="s">
        <v>148</v>
      </c>
      <c r="Z50" t="s">
        <v>156</v>
      </c>
      <c r="AA50" t="s">
        <v>154</v>
      </c>
      <c r="AB50" t="s">
        <v>148</v>
      </c>
      <c r="AC50" t="s">
        <v>156</v>
      </c>
      <c r="AD50" t="s">
        <v>155</v>
      </c>
      <c r="AE50" t="s">
        <v>148</v>
      </c>
      <c r="AF50" t="s">
        <v>156</v>
      </c>
    </row>
    <row r="51" spans="1:32">
      <c r="A51" t="s">
        <v>91</v>
      </c>
      <c r="B51" t="s">
        <v>147</v>
      </c>
      <c r="C51">
        <v>45</v>
      </c>
      <c r="F51" t="s">
        <v>148</v>
      </c>
      <c r="G51">
        <v>1002904</v>
      </c>
      <c r="H51">
        <v>1.0029039999999999E-2</v>
      </c>
      <c r="K51" t="s">
        <v>149</v>
      </c>
      <c r="L51" t="s">
        <v>148</v>
      </c>
      <c r="M51">
        <v>24922628000</v>
      </c>
      <c r="N51" s="137"/>
      <c r="O51">
        <f t="shared" si="1"/>
        <v>49.700924515207838</v>
      </c>
      <c r="P51" s="137"/>
      <c r="Q51" s="137"/>
      <c r="R51" t="s">
        <v>150</v>
      </c>
      <c r="S51" t="s">
        <v>148</v>
      </c>
      <c r="T51">
        <v>418838</v>
      </c>
      <c r="U51" t="s">
        <v>152</v>
      </c>
      <c r="V51" t="s">
        <v>148</v>
      </c>
      <c r="W51">
        <v>5854</v>
      </c>
      <c r="X51" t="s">
        <v>153</v>
      </c>
      <c r="Y51" t="s">
        <v>148</v>
      </c>
      <c r="Z51" t="s">
        <v>156</v>
      </c>
      <c r="AA51" t="s">
        <v>154</v>
      </c>
      <c r="AB51" t="s">
        <v>148</v>
      </c>
      <c r="AC51" t="s">
        <v>156</v>
      </c>
      <c r="AD51" t="s">
        <v>155</v>
      </c>
      <c r="AE51" t="s">
        <v>148</v>
      </c>
      <c r="AF51" t="s">
        <v>156</v>
      </c>
    </row>
    <row r="52" spans="1:32">
      <c r="A52" t="s">
        <v>91</v>
      </c>
      <c r="B52" t="s">
        <v>147</v>
      </c>
      <c r="C52">
        <v>50</v>
      </c>
      <c r="F52" t="s">
        <v>148</v>
      </c>
      <c r="G52">
        <v>2049222</v>
      </c>
      <c r="H52">
        <v>2.0492219999999998E-2</v>
      </c>
      <c r="K52" t="s">
        <v>149</v>
      </c>
      <c r="L52" t="s">
        <v>148</v>
      </c>
      <c r="M52">
        <v>53962527600</v>
      </c>
      <c r="N52" s="137"/>
      <c r="O52">
        <f t="shared" si="1"/>
        <v>52.66635591458612</v>
      </c>
      <c r="P52" s="137"/>
      <c r="Q52" s="137"/>
      <c r="R52" t="s">
        <v>150</v>
      </c>
      <c r="S52" t="s">
        <v>148</v>
      </c>
      <c r="T52">
        <v>903883</v>
      </c>
      <c r="U52" t="s">
        <v>152</v>
      </c>
      <c r="V52" t="s">
        <v>148</v>
      </c>
      <c r="W52">
        <v>44856</v>
      </c>
      <c r="X52" t="s">
        <v>153</v>
      </c>
      <c r="Y52" t="s">
        <v>148</v>
      </c>
      <c r="Z52" t="s">
        <v>156</v>
      </c>
      <c r="AA52" t="s">
        <v>154</v>
      </c>
      <c r="AB52" t="s">
        <v>148</v>
      </c>
      <c r="AC52" t="s">
        <v>156</v>
      </c>
      <c r="AD52" t="s">
        <v>155</v>
      </c>
      <c r="AE52" t="s">
        <v>148</v>
      </c>
      <c r="AF52" t="s">
        <v>156</v>
      </c>
    </row>
    <row r="53" spans="1:32">
      <c r="A53" t="s">
        <v>91</v>
      </c>
      <c r="B53" t="s">
        <v>147</v>
      </c>
      <c r="C53">
        <v>60</v>
      </c>
      <c r="F53" t="s">
        <v>148</v>
      </c>
      <c r="G53">
        <v>314112</v>
      </c>
      <c r="H53">
        <v>3.1411199999999998E-3</v>
      </c>
      <c r="K53" t="s">
        <v>149</v>
      </c>
      <c r="L53" t="s">
        <v>148</v>
      </c>
      <c r="M53">
        <v>9790394600</v>
      </c>
      <c r="N53" s="137"/>
      <c r="O53">
        <f t="shared" si="1"/>
        <v>62.336966432355339</v>
      </c>
      <c r="P53" s="137"/>
      <c r="Q53" s="137"/>
      <c r="R53" t="s">
        <v>150</v>
      </c>
      <c r="S53" t="s">
        <v>148</v>
      </c>
      <c r="T53">
        <v>195338</v>
      </c>
      <c r="U53" t="s">
        <v>152</v>
      </c>
      <c r="V53" t="s">
        <v>148</v>
      </c>
      <c r="W53">
        <v>2886</v>
      </c>
      <c r="X53" t="s">
        <v>153</v>
      </c>
      <c r="Y53" t="s">
        <v>148</v>
      </c>
      <c r="Z53" t="s">
        <v>156</v>
      </c>
      <c r="AA53" t="s">
        <v>154</v>
      </c>
      <c r="AB53" t="s">
        <v>148</v>
      </c>
      <c r="AC53" t="s">
        <v>156</v>
      </c>
      <c r="AD53" t="s">
        <v>155</v>
      </c>
      <c r="AE53" t="s">
        <v>148</v>
      </c>
      <c r="AF53" t="s">
        <v>156</v>
      </c>
    </row>
    <row r="54" spans="1:32">
      <c r="A54" t="s">
        <v>91</v>
      </c>
      <c r="B54" t="s">
        <v>147</v>
      </c>
      <c r="C54">
        <v>70</v>
      </c>
      <c r="F54" t="s">
        <v>148</v>
      </c>
      <c r="G54">
        <v>130349</v>
      </c>
      <c r="H54">
        <v>1.30349E-3</v>
      </c>
      <c r="K54" t="s">
        <v>149</v>
      </c>
      <c r="L54" t="s">
        <v>148</v>
      </c>
      <c r="M54">
        <v>4654489400</v>
      </c>
      <c r="N54" s="137"/>
      <c r="O54">
        <f t="shared" si="1"/>
        <v>71.415805261260161</v>
      </c>
      <c r="P54" s="137"/>
      <c r="Q54" s="137"/>
      <c r="R54" t="s">
        <v>150</v>
      </c>
      <c r="S54" t="s">
        <v>148</v>
      </c>
      <c r="T54">
        <v>130349</v>
      </c>
      <c r="U54" t="s">
        <v>152</v>
      </c>
      <c r="V54" t="s">
        <v>148</v>
      </c>
      <c r="W54" t="s">
        <v>156</v>
      </c>
      <c r="X54" t="s">
        <v>153</v>
      </c>
      <c r="Y54" t="s">
        <v>148</v>
      </c>
      <c r="Z54" t="s">
        <v>156</v>
      </c>
      <c r="AA54" t="s">
        <v>154</v>
      </c>
      <c r="AB54" t="s">
        <v>148</v>
      </c>
      <c r="AC54" t="s">
        <v>156</v>
      </c>
      <c r="AD54" t="s">
        <v>155</v>
      </c>
      <c r="AE54" t="s">
        <v>148</v>
      </c>
      <c r="AF54" t="s">
        <v>156</v>
      </c>
    </row>
    <row r="55" spans="1:32">
      <c r="A55" t="s">
        <v>91</v>
      </c>
      <c r="B55" t="s">
        <v>147</v>
      </c>
      <c r="C55">
        <v>80</v>
      </c>
      <c r="F55" t="s">
        <v>148</v>
      </c>
      <c r="G55">
        <v>14331</v>
      </c>
      <c r="H55">
        <v>1.4331000000000001E-4</v>
      </c>
      <c r="K55" t="s">
        <v>149</v>
      </c>
      <c r="L55" t="s">
        <v>148</v>
      </c>
      <c r="M55">
        <v>577549100</v>
      </c>
      <c r="N55" s="137"/>
      <c r="O55">
        <f t="shared" si="1"/>
        <v>80.601367664503528</v>
      </c>
      <c r="P55" s="137"/>
      <c r="Q55" s="137"/>
      <c r="R55" t="s">
        <v>150</v>
      </c>
      <c r="S55" t="s">
        <v>148</v>
      </c>
      <c r="T55">
        <v>14331</v>
      </c>
      <c r="U55" t="s">
        <v>152</v>
      </c>
      <c r="V55" t="s">
        <v>148</v>
      </c>
      <c r="W55" t="s">
        <v>156</v>
      </c>
      <c r="X55" t="s">
        <v>153</v>
      </c>
      <c r="Y55" t="s">
        <v>148</v>
      </c>
      <c r="Z55" t="s">
        <v>156</v>
      </c>
      <c r="AA55" t="s">
        <v>154</v>
      </c>
      <c r="AB55" t="s">
        <v>148</v>
      </c>
      <c r="AC55" t="s">
        <v>156</v>
      </c>
      <c r="AD55" t="s">
        <v>155</v>
      </c>
      <c r="AE55" t="s">
        <v>148</v>
      </c>
      <c r="AF55" t="s">
        <v>156</v>
      </c>
    </row>
    <row r="56" spans="1:32">
      <c r="A56" t="s">
        <v>91</v>
      </c>
      <c r="B56" t="s">
        <v>147</v>
      </c>
      <c r="C56">
        <v>90</v>
      </c>
      <c r="F56" t="s">
        <v>148</v>
      </c>
      <c r="G56">
        <v>1004056</v>
      </c>
      <c r="H56">
        <v>1.004056E-2</v>
      </c>
      <c r="K56" t="s">
        <v>149</v>
      </c>
      <c r="L56" t="s">
        <v>148</v>
      </c>
      <c r="M56">
        <v>50202800000</v>
      </c>
      <c r="N56" s="137"/>
      <c r="O56">
        <f t="shared" si="1"/>
        <v>100</v>
      </c>
      <c r="P56" s="137"/>
      <c r="Q56" s="137"/>
      <c r="R56" t="s">
        <v>150</v>
      </c>
      <c r="S56" t="s">
        <v>148</v>
      </c>
      <c r="T56">
        <v>346815</v>
      </c>
      <c r="U56" t="s">
        <v>152</v>
      </c>
      <c r="V56" t="s">
        <v>148</v>
      </c>
      <c r="W56">
        <v>20239</v>
      </c>
      <c r="X56" t="s">
        <v>153</v>
      </c>
      <c r="Y56" t="s">
        <v>148</v>
      </c>
      <c r="Z56" t="s">
        <v>156</v>
      </c>
      <c r="AA56" t="s">
        <v>154</v>
      </c>
      <c r="AB56" t="s">
        <v>148</v>
      </c>
      <c r="AC56" t="s">
        <v>156</v>
      </c>
      <c r="AD56" t="s">
        <v>155</v>
      </c>
      <c r="AE56" t="s">
        <v>148</v>
      </c>
      <c r="AF56" t="s">
        <v>156</v>
      </c>
    </row>
    <row r="57" spans="1:32">
      <c r="A57" t="s">
        <v>91</v>
      </c>
      <c r="B57" t="s">
        <v>147</v>
      </c>
      <c r="C57">
        <v>100</v>
      </c>
      <c r="F57" t="s">
        <v>148</v>
      </c>
      <c r="G57">
        <v>4837001</v>
      </c>
      <c r="H57">
        <v>4.8370009999999998E-2</v>
      </c>
      <c r="K57" t="s">
        <v>149</v>
      </c>
      <c r="L57" t="s">
        <v>148</v>
      </c>
      <c r="M57">
        <v>254580092100</v>
      </c>
      <c r="N57" s="137"/>
      <c r="O57">
        <f t="shared" si="1"/>
        <v>105.26360945552833</v>
      </c>
      <c r="P57" s="137"/>
      <c r="Q57" s="137"/>
      <c r="R57" t="s">
        <v>150</v>
      </c>
      <c r="S57" t="s">
        <v>148</v>
      </c>
      <c r="T57">
        <v>1106327</v>
      </c>
      <c r="U57" t="s">
        <v>152</v>
      </c>
      <c r="V57" t="s">
        <v>148</v>
      </c>
      <c r="W57">
        <v>899467</v>
      </c>
      <c r="X57" t="s">
        <v>153</v>
      </c>
      <c r="Y57" t="s">
        <v>148</v>
      </c>
      <c r="Z57" t="s">
        <v>156</v>
      </c>
      <c r="AA57" t="s">
        <v>154</v>
      </c>
      <c r="AB57" t="s">
        <v>148</v>
      </c>
      <c r="AC57" t="s">
        <v>156</v>
      </c>
      <c r="AD57" t="s">
        <v>155</v>
      </c>
      <c r="AE57" t="s">
        <v>148</v>
      </c>
      <c r="AF57" t="s">
        <v>156</v>
      </c>
    </row>
    <row r="58" spans="1:32">
      <c r="A58" t="s">
        <v>91</v>
      </c>
      <c r="B58" t="s">
        <v>147</v>
      </c>
      <c r="C58">
        <v>120</v>
      </c>
      <c r="F58" t="s">
        <v>148</v>
      </c>
      <c r="G58">
        <v>496295</v>
      </c>
      <c r="H58">
        <v>4.9629499999999998E-3</v>
      </c>
      <c r="K58" t="s">
        <v>149</v>
      </c>
      <c r="L58" t="s">
        <v>148</v>
      </c>
      <c r="M58">
        <v>30949736800</v>
      </c>
      <c r="N58" s="137"/>
      <c r="O58">
        <f t="shared" si="1"/>
        <v>124.72314570970894</v>
      </c>
      <c r="P58" s="137"/>
      <c r="Q58" s="137"/>
      <c r="R58" t="s">
        <v>150</v>
      </c>
      <c r="S58" t="s">
        <v>148</v>
      </c>
      <c r="T58">
        <v>289714</v>
      </c>
      <c r="U58" t="s">
        <v>152</v>
      </c>
      <c r="V58" t="s">
        <v>148</v>
      </c>
      <c r="W58">
        <v>206581</v>
      </c>
      <c r="X58" t="s">
        <v>153</v>
      </c>
      <c r="Y58" t="s">
        <v>148</v>
      </c>
      <c r="Z58" t="s">
        <v>156</v>
      </c>
      <c r="AA58" t="s">
        <v>154</v>
      </c>
      <c r="AB58" t="s">
        <v>148</v>
      </c>
      <c r="AC58" t="s">
        <v>156</v>
      </c>
      <c r="AD58" t="s">
        <v>155</v>
      </c>
      <c r="AE58" t="s">
        <v>148</v>
      </c>
      <c r="AF58" t="s">
        <v>156</v>
      </c>
    </row>
    <row r="59" spans="1:32">
      <c r="A59" t="s">
        <v>91</v>
      </c>
      <c r="B59" t="s">
        <v>147</v>
      </c>
      <c r="C59">
        <v>140</v>
      </c>
      <c r="F59" t="s">
        <v>148</v>
      </c>
      <c r="G59">
        <v>244017</v>
      </c>
      <c r="H59">
        <v>2.4401700000000002E-3</v>
      </c>
      <c r="K59" t="s">
        <v>149</v>
      </c>
      <c r="L59" t="s">
        <v>148</v>
      </c>
      <c r="M59">
        <v>18448681800</v>
      </c>
      <c r="N59" s="137"/>
      <c r="O59">
        <f t="shared" si="1"/>
        <v>151.20816828335731</v>
      </c>
      <c r="P59" s="137"/>
      <c r="Q59" s="137"/>
      <c r="R59" t="s">
        <v>150</v>
      </c>
      <c r="S59" t="s">
        <v>148</v>
      </c>
      <c r="T59">
        <v>65346</v>
      </c>
      <c r="U59" t="s">
        <v>152</v>
      </c>
      <c r="V59" t="s">
        <v>148</v>
      </c>
      <c r="W59">
        <v>5434</v>
      </c>
      <c r="X59" t="s">
        <v>153</v>
      </c>
      <c r="Y59" t="s">
        <v>148</v>
      </c>
      <c r="Z59" t="s">
        <v>156</v>
      </c>
      <c r="AA59" t="s">
        <v>154</v>
      </c>
      <c r="AB59" t="s">
        <v>148</v>
      </c>
      <c r="AC59" t="s">
        <v>156</v>
      </c>
      <c r="AD59" t="s">
        <v>155</v>
      </c>
      <c r="AE59" t="s">
        <v>148</v>
      </c>
      <c r="AF59" t="s">
        <v>156</v>
      </c>
    </row>
    <row r="60" spans="1:32">
      <c r="A60" t="s">
        <v>91</v>
      </c>
      <c r="B60" t="s">
        <v>147</v>
      </c>
      <c r="C60">
        <v>160</v>
      </c>
      <c r="F60" t="s">
        <v>148</v>
      </c>
      <c r="G60">
        <v>14495</v>
      </c>
      <c r="H60">
        <v>1.4495E-4</v>
      </c>
      <c r="K60" t="s">
        <v>149</v>
      </c>
      <c r="L60" t="s">
        <v>148</v>
      </c>
      <c r="M60">
        <v>1163969500</v>
      </c>
      <c r="N60" s="137"/>
      <c r="O60">
        <f t="shared" si="1"/>
        <v>160.60289755087962</v>
      </c>
      <c r="P60" s="137"/>
      <c r="Q60" s="137"/>
      <c r="R60" t="s">
        <v>150</v>
      </c>
      <c r="S60" t="s">
        <v>148</v>
      </c>
      <c r="T60">
        <v>14495</v>
      </c>
      <c r="U60" t="s">
        <v>152</v>
      </c>
      <c r="V60" t="s">
        <v>148</v>
      </c>
      <c r="W60" t="s">
        <v>156</v>
      </c>
      <c r="X60" t="s">
        <v>153</v>
      </c>
      <c r="Y60" t="s">
        <v>148</v>
      </c>
      <c r="Z60" t="s">
        <v>156</v>
      </c>
      <c r="AA60" t="s">
        <v>154</v>
      </c>
      <c r="AB60" t="s">
        <v>148</v>
      </c>
      <c r="AC60" t="s">
        <v>156</v>
      </c>
      <c r="AD60" t="s">
        <v>155</v>
      </c>
      <c r="AE60" t="s">
        <v>148</v>
      </c>
      <c r="AF60" t="s">
        <v>156</v>
      </c>
    </row>
    <row r="61" spans="1:32">
      <c r="A61" t="s">
        <v>91</v>
      </c>
      <c r="B61" t="s">
        <v>147</v>
      </c>
      <c r="C61">
        <v>180</v>
      </c>
      <c r="F61" t="s">
        <v>148</v>
      </c>
      <c r="G61">
        <v>664879</v>
      </c>
      <c r="H61">
        <v>6.6487899999999999E-3</v>
      </c>
      <c r="K61" t="s">
        <v>149</v>
      </c>
      <c r="L61" t="s">
        <v>148</v>
      </c>
      <c r="M61">
        <v>66487900000</v>
      </c>
      <c r="N61" s="137"/>
      <c r="O61">
        <f t="shared" si="1"/>
        <v>200</v>
      </c>
      <c r="P61" s="137"/>
      <c r="Q61" s="137"/>
      <c r="R61" t="s">
        <v>150</v>
      </c>
      <c r="S61" t="s">
        <v>148</v>
      </c>
      <c r="T61">
        <v>355295</v>
      </c>
      <c r="U61" t="s">
        <v>152</v>
      </c>
      <c r="V61" t="s">
        <v>148</v>
      </c>
      <c r="W61">
        <v>20535</v>
      </c>
      <c r="X61" t="s">
        <v>153</v>
      </c>
      <c r="Y61" t="s">
        <v>148</v>
      </c>
      <c r="Z61" t="s">
        <v>156</v>
      </c>
      <c r="AA61" t="s">
        <v>154</v>
      </c>
      <c r="AB61" t="s">
        <v>148</v>
      </c>
      <c r="AC61" t="s">
        <v>156</v>
      </c>
      <c r="AD61" t="s">
        <v>155</v>
      </c>
      <c r="AE61" t="s">
        <v>148</v>
      </c>
      <c r="AF61" t="s">
        <v>156</v>
      </c>
    </row>
    <row r="62" spans="1:32">
      <c r="A62" t="s">
        <v>91</v>
      </c>
      <c r="B62" t="s">
        <v>147</v>
      </c>
      <c r="C62">
        <v>200</v>
      </c>
      <c r="F62" t="s">
        <v>148</v>
      </c>
      <c r="G62">
        <v>4930591</v>
      </c>
      <c r="H62">
        <v>4.9305910000000001E-2</v>
      </c>
      <c r="K62" t="s">
        <v>149</v>
      </c>
      <c r="L62" t="s">
        <v>148</v>
      </c>
      <c r="M62">
        <v>512833608500</v>
      </c>
      <c r="N62" s="137"/>
      <c r="O62">
        <f t="shared" si="1"/>
        <v>208.0211514197791</v>
      </c>
      <c r="P62" s="137"/>
      <c r="Q62" s="137"/>
      <c r="R62" t="s">
        <v>150</v>
      </c>
      <c r="S62" t="s">
        <v>148</v>
      </c>
      <c r="T62">
        <v>1475960</v>
      </c>
      <c r="U62" t="s">
        <v>152</v>
      </c>
      <c r="V62" t="s">
        <v>148</v>
      </c>
      <c r="W62">
        <v>1140621</v>
      </c>
      <c r="X62" t="s">
        <v>153</v>
      </c>
      <c r="Y62" t="s">
        <v>148</v>
      </c>
      <c r="Z62" t="s">
        <v>156</v>
      </c>
      <c r="AA62" t="s">
        <v>154</v>
      </c>
      <c r="AB62" t="s">
        <v>148</v>
      </c>
      <c r="AC62" t="s">
        <v>156</v>
      </c>
      <c r="AD62" t="s">
        <v>155</v>
      </c>
      <c r="AE62" t="s">
        <v>148</v>
      </c>
      <c r="AF62" t="s">
        <v>156</v>
      </c>
    </row>
    <row r="63" spans="1:32">
      <c r="A63" t="s">
        <v>91</v>
      </c>
      <c r="B63" t="s">
        <v>147</v>
      </c>
      <c r="C63">
        <v>250</v>
      </c>
      <c r="F63" t="s">
        <v>148</v>
      </c>
      <c r="G63">
        <v>72983</v>
      </c>
      <c r="H63">
        <v>7.2983E-4</v>
      </c>
      <c r="K63" t="s">
        <v>149</v>
      </c>
      <c r="L63" t="s">
        <v>148</v>
      </c>
      <c r="M63">
        <v>9643038100</v>
      </c>
      <c r="N63" s="137"/>
      <c r="O63">
        <f t="shared" si="1"/>
        <v>264.25436334488853</v>
      </c>
      <c r="P63" s="137"/>
      <c r="Q63" s="137"/>
      <c r="R63" t="s">
        <v>150</v>
      </c>
      <c r="S63" t="s">
        <v>148</v>
      </c>
      <c r="T63">
        <v>72269</v>
      </c>
      <c r="U63" t="s">
        <v>152</v>
      </c>
      <c r="V63" t="s">
        <v>148</v>
      </c>
      <c r="W63">
        <v>714</v>
      </c>
      <c r="X63" t="s">
        <v>153</v>
      </c>
      <c r="Y63" t="s">
        <v>148</v>
      </c>
      <c r="Z63" t="s">
        <v>156</v>
      </c>
      <c r="AA63" t="s">
        <v>154</v>
      </c>
      <c r="AB63" t="s">
        <v>148</v>
      </c>
      <c r="AC63" t="s">
        <v>156</v>
      </c>
      <c r="AD63" t="s">
        <v>155</v>
      </c>
      <c r="AE63" t="s">
        <v>148</v>
      </c>
      <c r="AF63" t="s">
        <v>156</v>
      </c>
    </row>
    <row r="64" spans="1:32">
      <c r="A64" t="s">
        <v>91</v>
      </c>
      <c r="B64" t="s">
        <v>147</v>
      </c>
      <c r="C64">
        <v>300</v>
      </c>
      <c r="F64" t="s">
        <v>148</v>
      </c>
      <c r="G64">
        <v>171292</v>
      </c>
      <c r="H64">
        <v>1.7129199999999999E-3</v>
      </c>
      <c r="K64" t="s">
        <v>149</v>
      </c>
      <c r="L64" t="s">
        <v>148</v>
      </c>
      <c r="M64">
        <v>26226802100</v>
      </c>
      <c r="N64" s="137"/>
      <c r="O64">
        <f t="shared" si="1"/>
        <v>306.22331574154077</v>
      </c>
      <c r="P64" s="137"/>
      <c r="Q64" s="137"/>
      <c r="R64" t="s">
        <v>150</v>
      </c>
      <c r="S64" t="s">
        <v>148</v>
      </c>
      <c r="T64">
        <v>115862</v>
      </c>
      <c r="U64" t="s">
        <v>152</v>
      </c>
      <c r="V64" t="s">
        <v>148</v>
      </c>
      <c r="W64">
        <v>55430</v>
      </c>
      <c r="X64" t="s">
        <v>153</v>
      </c>
      <c r="Y64" t="s">
        <v>148</v>
      </c>
      <c r="Z64" t="s">
        <v>156</v>
      </c>
      <c r="AA64" t="s">
        <v>154</v>
      </c>
      <c r="AB64" t="s">
        <v>148</v>
      </c>
      <c r="AC64" t="s">
        <v>156</v>
      </c>
      <c r="AD64" t="s">
        <v>155</v>
      </c>
      <c r="AE64" t="s">
        <v>148</v>
      </c>
      <c r="AF64" t="s">
        <v>156</v>
      </c>
    </row>
    <row r="65" spans="1:32">
      <c r="A65" t="s">
        <v>91</v>
      </c>
      <c r="B65" t="s">
        <v>147</v>
      </c>
      <c r="C65">
        <v>350</v>
      </c>
      <c r="F65" t="s">
        <v>148</v>
      </c>
      <c r="G65">
        <v>65685</v>
      </c>
      <c r="H65">
        <v>6.5684999999999995E-4</v>
      </c>
      <c r="K65" t="s">
        <v>149</v>
      </c>
      <c r="L65" t="s">
        <v>148</v>
      </c>
      <c r="M65">
        <v>13137000000</v>
      </c>
      <c r="N65" s="137"/>
      <c r="O65">
        <f t="shared" si="1"/>
        <v>400</v>
      </c>
      <c r="P65" s="137"/>
      <c r="Q65" s="137"/>
      <c r="R65" t="s">
        <v>150</v>
      </c>
      <c r="S65" t="s">
        <v>148</v>
      </c>
      <c r="T65">
        <v>7300</v>
      </c>
      <c r="U65" t="s">
        <v>152</v>
      </c>
      <c r="V65" t="s">
        <v>148</v>
      </c>
      <c r="W65">
        <v>328</v>
      </c>
      <c r="X65" t="s">
        <v>153</v>
      </c>
      <c r="Y65" t="s">
        <v>148</v>
      </c>
      <c r="Z65" t="s">
        <v>156</v>
      </c>
      <c r="AA65" t="s">
        <v>154</v>
      </c>
      <c r="AB65" t="s">
        <v>148</v>
      </c>
      <c r="AC65" t="s">
        <v>156</v>
      </c>
      <c r="AD65" t="s">
        <v>155</v>
      </c>
      <c r="AE65" t="s">
        <v>148</v>
      </c>
      <c r="AF65" t="s">
        <v>156</v>
      </c>
    </row>
    <row r="66" spans="1:32">
      <c r="A66" t="s">
        <v>91</v>
      </c>
      <c r="B66" t="s">
        <v>147</v>
      </c>
      <c r="C66">
        <v>400</v>
      </c>
      <c r="F66" t="s">
        <v>148</v>
      </c>
      <c r="G66">
        <v>548728</v>
      </c>
      <c r="H66">
        <v>5.4872799999999998E-3</v>
      </c>
      <c r="K66" t="s">
        <v>149</v>
      </c>
      <c r="L66" t="s">
        <v>148</v>
      </c>
      <c r="M66">
        <v>112306578700</v>
      </c>
      <c r="N66" s="137"/>
      <c r="O66">
        <f t="shared" si="1"/>
        <v>409.3342373635025</v>
      </c>
      <c r="P66" s="137"/>
      <c r="Q66" s="137"/>
      <c r="R66" t="s">
        <v>150</v>
      </c>
      <c r="S66" t="s">
        <v>148</v>
      </c>
      <c r="T66">
        <v>57878</v>
      </c>
      <c r="U66" t="s">
        <v>152</v>
      </c>
      <c r="V66" t="s">
        <v>148</v>
      </c>
      <c r="W66">
        <v>27531</v>
      </c>
      <c r="X66" t="s">
        <v>153</v>
      </c>
      <c r="Y66" t="s">
        <v>148</v>
      </c>
      <c r="Z66" t="s">
        <v>156</v>
      </c>
      <c r="AA66" t="s">
        <v>154</v>
      </c>
      <c r="AB66" t="s">
        <v>148</v>
      </c>
      <c r="AC66" t="s">
        <v>156</v>
      </c>
      <c r="AD66" t="s">
        <v>155</v>
      </c>
      <c r="AE66" t="s">
        <v>148</v>
      </c>
      <c r="AF66" t="s">
        <v>156</v>
      </c>
    </row>
    <row r="67" spans="1:32">
      <c r="A67" t="s">
        <v>91</v>
      </c>
      <c r="B67" t="s">
        <v>147</v>
      </c>
      <c r="C67">
        <v>450</v>
      </c>
      <c r="F67" t="s">
        <v>148</v>
      </c>
      <c r="G67">
        <v>57902</v>
      </c>
      <c r="H67">
        <v>5.7901999999999997E-4</v>
      </c>
      <c r="K67" t="s">
        <v>149</v>
      </c>
      <c r="L67" t="s">
        <v>148</v>
      </c>
      <c r="M67">
        <v>14475500000</v>
      </c>
      <c r="N67" s="137"/>
      <c r="O67">
        <f t="shared" si="1"/>
        <v>500</v>
      </c>
      <c r="P67" s="137"/>
      <c r="Q67" s="137"/>
      <c r="R67" t="s">
        <v>150</v>
      </c>
      <c r="S67" t="s">
        <v>148</v>
      </c>
      <c r="T67" t="s">
        <v>156</v>
      </c>
      <c r="U67" t="s">
        <v>152</v>
      </c>
      <c r="V67" t="s">
        <v>148</v>
      </c>
      <c r="W67" t="s">
        <v>156</v>
      </c>
      <c r="X67" t="s">
        <v>153</v>
      </c>
      <c r="Y67" t="s">
        <v>148</v>
      </c>
      <c r="Z67" t="s">
        <v>156</v>
      </c>
      <c r="AA67" t="s">
        <v>154</v>
      </c>
      <c r="AB67" t="s">
        <v>148</v>
      </c>
      <c r="AC67" t="s">
        <v>156</v>
      </c>
      <c r="AD67" t="s">
        <v>155</v>
      </c>
      <c r="AE67" t="s">
        <v>148</v>
      </c>
      <c r="AF67" t="s">
        <v>156</v>
      </c>
    </row>
    <row r="68" spans="1:32">
      <c r="A68" t="s">
        <v>91</v>
      </c>
      <c r="B68" t="s">
        <v>147</v>
      </c>
      <c r="C68">
        <v>500</v>
      </c>
      <c r="F68" t="s">
        <v>148</v>
      </c>
      <c r="G68">
        <v>346761</v>
      </c>
      <c r="H68">
        <v>3.4676099999999999E-3</v>
      </c>
      <c r="K68" t="s">
        <v>149</v>
      </c>
      <c r="L68" t="s">
        <v>148</v>
      </c>
      <c r="M68">
        <v>89350724000</v>
      </c>
      <c r="N68" s="137"/>
      <c r="O68">
        <f t="shared" si="1"/>
        <v>515.3447129290779</v>
      </c>
      <c r="P68" s="137"/>
      <c r="Q68" s="137"/>
      <c r="R68" t="s">
        <v>150</v>
      </c>
      <c r="S68" t="s">
        <v>148</v>
      </c>
      <c r="T68" t="s">
        <v>156</v>
      </c>
      <c r="U68" t="s">
        <v>152</v>
      </c>
      <c r="V68" t="s">
        <v>148</v>
      </c>
      <c r="W68" t="s">
        <v>156</v>
      </c>
      <c r="X68" t="s">
        <v>153</v>
      </c>
      <c r="Y68" t="s">
        <v>148</v>
      </c>
      <c r="Z68" t="s">
        <v>156</v>
      </c>
      <c r="AA68" t="s">
        <v>154</v>
      </c>
      <c r="AB68" t="s">
        <v>148</v>
      </c>
      <c r="AC68" t="s">
        <v>156</v>
      </c>
      <c r="AD68" t="s">
        <v>155</v>
      </c>
      <c r="AE68" t="s">
        <v>148</v>
      </c>
      <c r="AF68" t="s">
        <v>156</v>
      </c>
    </row>
    <row r="69" spans="1:32">
      <c r="A69" t="s">
        <v>91</v>
      </c>
      <c r="B69" t="s">
        <v>147</v>
      </c>
      <c r="C69">
        <v>550</v>
      </c>
      <c r="F69" t="s">
        <v>148</v>
      </c>
      <c r="G69">
        <v>115843</v>
      </c>
      <c r="H69">
        <v>1.15843E-3</v>
      </c>
      <c r="K69" t="s">
        <v>149</v>
      </c>
      <c r="L69" t="s">
        <v>148</v>
      </c>
      <c r="M69">
        <v>32030758500</v>
      </c>
      <c r="N69" s="137"/>
      <c r="O69">
        <f t="shared" si="1"/>
        <v>553.00291774211644</v>
      </c>
      <c r="P69" s="137"/>
      <c r="Q69" s="137"/>
      <c r="R69" t="s">
        <v>150</v>
      </c>
      <c r="S69" t="s">
        <v>148</v>
      </c>
      <c r="T69" t="s">
        <v>156</v>
      </c>
      <c r="U69" t="s">
        <v>152</v>
      </c>
      <c r="V69" t="s">
        <v>148</v>
      </c>
      <c r="W69" t="s">
        <v>156</v>
      </c>
      <c r="X69" t="s">
        <v>153</v>
      </c>
      <c r="Y69" t="s">
        <v>148</v>
      </c>
      <c r="Z69" t="s">
        <v>156</v>
      </c>
      <c r="AA69" t="s">
        <v>154</v>
      </c>
      <c r="AB69" t="s">
        <v>148</v>
      </c>
      <c r="AC69" t="s">
        <v>156</v>
      </c>
      <c r="AD69" t="s">
        <v>155</v>
      </c>
      <c r="AE69" t="s">
        <v>148</v>
      </c>
      <c r="AF69" t="s">
        <v>156</v>
      </c>
    </row>
    <row r="70" spans="1:32">
      <c r="A70" t="s">
        <v>91</v>
      </c>
      <c r="B70" t="s">
        <v>147</v>
      </c>
      <c r="C70">
        <v>950</v>
      </c>
      <c r="F70" t="s">
        <v>148</v>
      </c>
      <c r="G70">
        <v>57841</v>
      </c>
      <c r="H70">
        <v>5.7841000000000001E-4</v>
      </c>
      <c r="K70" t="s">
        <v>149</v>
      </c>
      <c r="L70" t="s">
        <v>148</v>
      </c>
      <c r="M70">
        <v>28920500000</v>
      </c>
      <c r="N70" s="137"/>
      <c r="O70">
        <f t="shared" si="1"/>
        <v>1000</v>
      </c>
      <c r="P70" s="137"/>
      <c r="Q70" s="137"/>
      <c r="R70" t="s">
        <v>150</v>
      </c>
      <c r="S70" t="s">
        <v>148</v>
      </c>
      <c r="T70" t="s">
        <v>156</v>
      </c>
      <c r="U70" t="s">
        <v>152</v>
      </c>
      <c r="V70" t="s">
        <v>148</v>
      </c>
      <c r="W70" t="s">
        <v>156</v>
      </c>
      <c r="X70" t="s">
        <v>153</v>
      </c>
      <c r="Y70" t="s">
        <v>148</v>
      </c>
      <c r="Z70" t="s">
        <v>156</v>
      </c>
      <c r="AA70" t="s">
        <v>154</v>
      </c>
      <c r="AB70" t="s">
        <v>148</v>
      </c>
      <c r="AC70" t="s">
        <v>156</v>
      </c>
      <c r="AD70" t="s">
        <v>155</v>
      </c>
      <c r="AE70" t="s">
        <v>148</v>
      </c>
      <c r="AF70" t="s">
        <v>156</v>
      </c>
    </row>
    <row r="71" spans="1:32">
      <c r="A71" t="s">
        <v>91</v>
      </c>
      <c r="B71" t="s">
        <v>147</v>
      </c>
      <c r="C71">
        <v>1000</v>
      </c>
      <c r="F71" t="s">
        <v>148</v>
      </c>
      <c r="G71">
        <v>464072</v>
      </c>
      <c r="H71">
        <v>4.6407200000000001E-3</v>
      </c>
      <c r="K71" t="s">
        <v>149</v>
      </c>
      <c r="L71" t="s">
        <v>148</v>
      </c>
      <c r="M71">
        <v>237767509000</v>
      </c>
      <c r="N71" s="137"/>
      <c r="O71">
        <f t="shared" si="1"/>
        <v>1024.7009472668035</v>
      </c>
      <c r="P71" s="137"/>
      <c r="Q71" s="137"/>
      <c r="R71" t="s">
        <v>150</v>
      </c>
      <c r="S71" t="s">
        <v>148</v>
      </c>
      <c r="T71" t="s">
        <v>156</v>
      </c>
      <c r="U71" t="s">
        <v>152</v>
      </c>
      <c r="V71" t="s">
        <v>148</v>
      </c>
      <c r="W71" t="s">
        <v>156</v>
      </c>
      <c r="X71" t="s">
        <v>153</v>
      </c>
      <c r="Y71" t="s">
        <v>148</v>
      </c>
      <c r="Z71" t="s">
        <v>156</v>
      </c>
      <c r="AA71" t="s">
        <v>154</v>
      </c>
      <c r="AB71" t="s">
        <v>148</v>
      </c>
      <c r="AC71" t="s">
        <v>156</v>
      </c>
      <c r="AD71" t="s">
        <v>155</v>
      </c>
      <c r="AE71" t="s">
        <v>148</v>
      </c>
      <c r="AF71" t="s">
        <v>156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4D9DBE-9518-4AF8-BA00-4BC41FBBD6BD}">
  <dimension ref="B1:AF54"/>
  <sheetViews>
    <sheetView workbookViewId="0">
      <selection activeCell="O26" sqref="O26"/>
    </sheetView>
  </sheetViews>
  <sheetFormatPr defaultRowHeight="16.2"/>
  <cols>
    <col min="3" max="5" width="8.88671875" style="138"/>
    <col min="6" max="8" width="8.88671875" style="180"/>
    <col min="12" max="12" width="8.88671875" style="125"/>
    <col min="13" max="13" width="10.5546875" style="139" bestFit="1" customWidth="1"/>
    <col min="14" max="14" width="13.44140625" bestFit="1" customWidth="1"/>
    <col min="18" max="18" width="11.77734375" style="166" bestFit="1" customWidth="1"/>
    <col min="20" max="20" width="18.88671875" style="103" bestFit="1" customWidth="1"/>
    <col min="21" max="21" width="11.77734375" bestFit="1" customWidth="1"/>
    <col min="22" max="22" width="10.33203125" style="172" customWidth="1"/>
    <col min="23" max="23" width="11.77734375" bestFit="1" customWidth="1"/>
    <col min="28" max="28" width="9.109375" style="273" bestFit="1" customWidth="1"/>
    <col min="30" max="30" width="18.88671875" style="103" bestFit="1" customWidth="1"/>
    <col min="31" max="31" width="11.77734375" bestFit="1" customWidth="1"/>
    <col min="32" max="32" width="10.33203125" style="280" customWidth="1"/>
  </cols>
  <sheetData>
    <row r="1" spans="2:32" ht="16.8" thickBot="1">
      <c r="C1" s="316" t="s">
        <v>158</v>
      </c>
      <c r="D1" s="316"/>
      <c r="E1" s="316"/>
      <c r="F1" s="317" t="s">
        <v>159</v>
      </c>
      <c r="G1" s="317"/>
      <c r="H1" s="317"/>
      <c r="R1" s="163">
        <f>SUM(R3:R54)</f>
        <v>0.64863545163591729</v>
      </c>
      <c r="V1" s="173">
        <f>SUM(V3:V54)</f>
        <v>0.62352587479254495</v>
      </c>
      <c r="AB1" s="270">
        <f>SUM(AB3:AB54)</f>
        <v>0.65349545163591727</v>
      </c>
      <c r="AF1" s="274">
        <f>SUM(AF3:AF54)</f>
        <v>0.65349895293104077</v>
      </c>
    </row>
    <row r="2" spans="2:32" ht="16.8" thickBot="1">
      <c r="B2" s="141" t="s">
        <v>160</v>
      </c>
      <c r="C2" s="192" t="s">
        <v>90</v>
      </c>
      <c r="D2" s="193" t="s">
        <v>91</v>
      </c>
      <c r="E2" s="208" t="s">
        <v>92</v>
      </c>
      <c r="F2" s="194" t="s">
        <v>90</v>
      </c>
      <c r="G2" s="195" t="s">
        <v>91</v>
      </c>
      <c r="H2" s="209" t="s">
        <v>92</v>
      </c>
      <c r="J2" s="153" t="s">
        <v>163</v>
      </c>
      <c r="K2" s="144" t="s">
        <v>160</v>
      </c>
      <c r="L2" s="152" t="s">
        <v>161</v>
      </c>
      <c r="M2" s="188" t="s">
        <v>159</v>
      </c>
      <c r="N2" s="141" t="s">
        <v>162</v>
      </c>
      <c r="O2" s="162" t="s">
        <v>174</v>
      </c>
      <c r="P2" s="162" t="s">
        <v>165</v>
      </c>
      <c r="Q2" s="162" t="s">
        <v>164</v>
      </c>
      <c r="R2" s="164" t="s">
        <v>175</v>
      </c>
      <c r="T2" s="170" t="s">
        <v>169</v>
      </c>
      <c r="U2" s="170" t="s">
        <v>166</v>
      </c>
      <c r="V2" s="171" t="s">
        <v>167</v>
      </c>
      <c r="Y2" s="162" t="s">
        <v>174</v>
      </c>
      <c r="Z2" s="162" t="s">
        <v>165</v>
      </c>
      <c r="AA2" s="162" t="s">
        <v>164</v>
      </c>
      <c r="AB2" s="271" t="s">
        <v>175</v>
      </c>
      <c r="AD2" s="170" t="s">
        <v>169</v>
      </c>
      <c r="AE2" s="170" t="s">
        <v>166</v>
      </c>
      <c r="AF2" s="275" t="s">
        <v>167</v>
      </c>
    </row>
    <row r="3" spans="2:32">
      <c r="B3" s="141">
        <v>-1</v>
      </c>
      <c r="C3" s="154" cm="1">
        <f t="array" ref="C3">_xlfn.IFNA(
   _xlfn._xlws.FILTER(
      Sim_Mul_Bet10!$H$3:$H$82,
      (Sim_Mul_Bet10!$A$3:$A$82=C$2) * (Sim_Mul_Bet10!$C$3:$C$82=$B3),0
   ),
   0
)</f>
        <v>0</v>
      </c>
      <c r="D3" s="154" cm="1">
        <f t="array" ref="D3">_xlfn.IFNA(
   _xlfn._xlws.FILTER(
      Sim_Mul_Bet10!$H$3:$H$82,
      (Sim_Mul_Bet10!$A$3:$A$82=D$2) * (Sim_Mul_Bet10!$C$3:$C$82=$B3),0
   ),
   0
)</f>
        <v>0.17779930999999999</v>
      </c>
      <c r="E3" s="208"/>
      <c r="F3" s="194"/>
      <c r="G3" s="145" cm="1">
        <f t="array" ref="G3">_xlfn.IFNA(
   _xlfn._xlws.FILTER(
      Sim_Mul_Bet10!$O$3:$O$82,
      (Sim_Mul_Bet10!$A$3:$A$82=D$2) * (Sim_Mul_Bet10!$C$3:$C$82=$B3),0
   ),
   0
)</f>
        <v>0</v>
      </c>
      <c r="H3" s="209"/>
      <c r="J3" s="153">
        <v>0</v>
      </c>
      <c r="K3" s="205">
        <v>-1</v>
      </c>
      <c r="L3" s="196" t="s">
        <v>90</v>
      </c>
      <c r="M3" s="215">
        <f>HLOOKUP(L3,$C$2:$E$54,J3+2,FALSE)</f>
        <v>0</v>
      </c>
      <c r="N3" s="159">
        <f>HLOOKUP(L3,$F$2:$H$54,J3+2,FALSE)</f>
        <v>0</v>
      </c>
      <c r="O3" s="174">
        <f>1-SUM(O4:O53)</f>
        <v>0.87123709064170762</v>
      </c>
      <c r="P3" s="174">
        <f>1-SUM(P4:P53)</f>
        <v>0.87118849064170756</v>
      </c>
      <c r="Q3" s="174">
        <f>1-SUM(Q4:Q54)</f>
        <v>0.87097836325018152</v>
      </c>
      <c r="R3" s="165">
        <f t="shared" ref="R3:R54" si="0">N3*O3</f>
        <v>0</v>
      </c>
      <c r="T3" s="183">
        <f>1000000-SUM(T4:T54)</f>
        <v>876426</v>
      </c>
      <c r="U3" s="198" cm="1">
        <f t="array" ref="U3:U54">T3:T54/SUM($T$3:$T$54)</f>
        <v>0.87642600000000004</v>
      </c>
      <c r="V3" s="201">
        <f t="shared" ref="V3:V54" si="1">U3*N3</f>
        <v>0</v>
      </c>
      <c r="Y3" s="174">
        <f>1-SUM(Y4:Y53)</f>
        <v>0.87118849064170756</v>
      </c>
      <c r="Z3" s="174">
        <f>1-SUM(Z4:Z53)</f>
        <v>0.87118849064170756</v>
      </c>
      <c r="AA3" s="174">
        <f>1-SUM(AA4:AA54)</f>
        <v>0.87097836325018152</v>
      </c>
      <c r="AB3" s="272">
        <f>N3*Y3</f>
        <v>0</v>
      </c>
      <c r="AD3" s="183">
        <f>1000000-SUM(AD4:AD54)</f>
        <v>871188</v>
      </c>
      <c r="AE3" s="198" cm="1">
        <f t="array" ref="AE3:AE54">AD3:AD54/SUM($T$3:$T$54)</f>
        <v>0.87118799999999996</v>
      </c>
      <c r="AF3" s="276">
        <f>AE3*N3</f>
        <v>0</v>
      </c>
    </row>
    <row r="4" spans="2:32">
      <c r="B4" s="142">
        <v>0</v>
      </c>
      <c r="C4" s="155" cm="1">
        <f t="array" ref="C4">_xlfn.IFNA(
   _xlfn._xlws.FILTER(
      Sim_Mul_Bet10!$H$3:$H$82,
      (Sim_Mul_Bet10!$A$3:$A$82=C$2) * (Sim_Mul_Bet10!$C$3:$C$82=$B4),0
   ),
   0
)</f>
        <v>0.87009537999999997</v>
      </c>
      <c r="D4" s="156" cm="1">
        <f t="array" ref="D4">_xlfn.IFNA(
   _xlfn._xlws.FILTER(
      Sim_Mul_Bet10!$H$3:$H$82,
      (Sim_Mul_Bet10!$A$3:$A$82=D$2) * (Sim_Mul_Bet10!$C$3:$C$82=$B4),0
   ),
   0
)</f>
        <v>0.24279876</v>
      </c>
      <c r="E4" s="181" cm="1">
        <f t="array" ref="E4">_xlfn.IFNA(
   _xlfn._xlws.FILTER(
      Sim_Mul_Bet10!$H$3:$H$82,
      (Sim_Mul_Bet10!$A$3:$A$82=E$2) * (Sim_Mul_Bet10!$C$3:$C$82=$B4),0
   ),
   0
)</f>
        <v>0</v>
      </c>
      <c r="F4" s="150" cm="1">
        <f t="array" ref="F4">_xlfn.IFNA(
   _xlfn._xlws.FILTER(
      Sim_Mul_Bet10!$O$3:$O$82,
      (Sim_Mul_Bet10!$A$3:$A$82=C$2) * (Sim_Mul_Bet10!$C$3:$C$82=$B4),0
   ),
   0
)</f>
        <v>0</v>
      </c>
      <c r="G4" s="146" cm="1">
        <f t="array" ref="G4">_xlfn.IFNA(
   _xlfn._xlws.FILTER(
      Sim_Mul_Bet10!$O$3:$O$82,
      (Sim_Mul_Bet10!$A$3:$A$82=D$2) * (Sim_Mul_Bet10!$C$3:$C$82=$B4),0
   ),
   0
)</f>
        <v>0.52523963054836031</v>
      </c>
      <c r="H4" s="147" cm="1">
        <f t="array" ref="H4">_xlfn.IFNA(
   _xlfn._xlws.FILTER(
      Sim_Mul_Bet10!$O$3:$O$82,
      (Sim_Mul_Bet10!$A$3:$A$82=E$2) * (Sim_Mul_Bet10!$C$3:$C$82=$B4),0
   ),
   0
)</f>
        <v>0</v>
      </c>
      <c r="J4">
        <v>1</v>
      </c>
      <c r="K4" s="206">
        <v>0</v>
      </c>
      <c r="L4" s="210" t="s">
        <v>90</v>
      </c>
      <c r="M4" s="216">
        <f t="shared" ref="M4:M54" si="2">HLOOKUP(L4,$C$2:$E$54,J4+2,FALSE)</f>
        <v>0.87009537999999997</v>
      </c>
      <c r="N4" s="160">
        <f>HLOOKUP(L4,$F$2:$H$54,J4+2,FALSE)</f>
        <v>0</v>
      </c>
      <c r="O4" s="175">
        <v>2.47067015359205E-2</v>
      </c>
      <c r="P4" s="175">
        <v>2.47067015359205E-2</v>
      </c>
      <c r="Q4" s="175">
        <v>2.47067015359205E-2</v>
      </c>
      <c r="R4" s="197">
        <f t="shared" si="0"/>
        <v>0</v>
      </c>
      <c r="T4" s="184">
        <v>16356</v>
      </c>
      <c r="U4">
        <v>1.6355999999999999E-2</v>
      </c>
      <c r="V4" s="202">
        <f t="shared" si="1"/>
        <v>0</v>
      </c>
      <c r="W4" s="169"/>
      <c r="Y4" s="175">
        <f>Z4</f>
        <v>2.47067015359205E-2</v>
      </c>
      <c r="Z4" s="175">
        <v>2.47067015359205E-2</v>
      </c>
      <c r="AA4" s="175">
        <v>2.47067015359205E-2</v>
      </c>
      <c r="AB4" s="272">
        <f t="shared" ref="AB4:AB54" si="3">N4*Y4</f>
        <v>0</v>
      </c>
      <c r="AD4" s="184">
        <f t="shared" ref="AD4:AD54" si="4">ROUND(Y4*1000000,0)</f>
        <v>24707</v>
      </c>
      <c r="AE4">
        <v>2.4707E-2</v>
      </c>
      <c r="AF4" s="277">
        <f t="shared" ref="AF4:AF54" si="5">AE4*N4</f>
        <v>0</v>
      </c>
    </row>
    <row r="5" spans="2:32">
      <c r="B5" s="142">
        <v>1</v>
      </c>
      <c r="C5" s="155" cm="1">
        <f t="array" ref="C5">_xlfn.IFNA(
   _xlfn._xlws.FILTER(
      Sim_Mul_Bet10!$H$3:$H$82,
      (Sim_Mul_Bet10!$A$3:$A$82=C$2) * (Sim_Mul_Bet10!$C$3:$C$82=$B5),0
   ),
   0
)</f>
        <v>5.8189249999999998E-2</v>
      </c>
      <c r="D5" s="156" cm="1">
        <f t="array" ref="D5">_xlfn.IFNA(
   _xlfn._xlws.FILTER(
      Sim_Mul_Bet10!$H$3:$H$82,
      (Sim_Mul_Bet10!$A$3:$A$82=D$2) * (Sim_Mul_Bet10!$C$3:$C$82=$B5),0
   ),
   0
)</f>
        <v>6.8778969999999995E-2</v>
      </c>
      <c r="E5" s="181" cm="1">
        <f t="array" ref="E5">_xlfn.IFNA(
   _xlfn._xlws.FILTER(
      Sim_Mul_Bet10!$H$3:$H$82,
      (Sim_Mul_Bet10!$A$3:$A$82=E$2) * (Sim_Mul_Bet10!$C$3:$C$82=$B5),0
   ),
   0
)</f>
        <v>0</v>
      </c>
      <c r="F5" s="150" cm="1">
        <f t="array" ref="F5">_xlfn.IFNA(
   _xlfn._xlws.FILTER(
      Sim_Mul_Bet10!$O$3:$O$82,
      (Sim_Mul_Bet10!$A$3:$A$82=C$2) * (Sim_Mul_Bet10!$C$3:$C$82=$B5),0
   ),
   0
)</f>
        <v>1.0118135050718131</v>
      </c>
      <c r="G5" s="146" cm="1">
        <f t="array" ref="G5">_xlfn.IFNA(
   _xlfn._xlws.FILTER(
      Sim_Mul_Bet10!$O$3:$O$82,
      (Sim_Mul_Bet10!$A$3:$A$82=D$2) * (Sim_Mul_Bet10!$C$3:$C$82=$B5),0
   ),
   0
)</f>
        <v>1.4219834929194202</v>
      </c>
      <c r="H5" s="147" cm="1">
        <f t="array" ref="H5">_xlfn.IFNA(
   _xlfn._xlws.FILTER(
      Sim_Mul_Bet10!$O$3:$O$82,
      (Sim_Mul_Bet10!$A$3:$A$82=E$2) * (Sim_Mul_Bet10!$C$3:$C$82=$B5),0
   ),
   0
)</f>
        <v>0</v>
      </c>
      <c r="J5">
        <v>2</v>
      </c>
      <c r="K5" s="206">
        <v>1</v>
      </c>
      <c r="L5" s="210" t="s">
        <v>90</v>
      </c>
      <c r="M5" s="216">
        <f t="shared" si="2"/>
        <v>5.8189249999999998E-2</v>
      </c>
      <c r="N5" s="160">
        <f t="shared" ref="N5:N54" si="6">HLOOKUP(L5,$F$2:$H$54,J5+2,FALSE)</f>
        <v>1.0118135050718131</v>
      </c>
      <c r="O5" s="175">
        <v>3.9300000000000002E-2</v>
      </c>
      <c r="P5" s="175">
        <v>3.9300000000000002E-2</v>
      </c>
      <c r="Q5" s="175">
        <v>3.9380396030518697E-2</v>
      </c>
      <c r="R5" s="197">
        <f t="shared" si="0"/>
        <v>3.9764270749322254E-2</v>
      </c>
      <c r="T5" s="184">
        <v>51040</v>
      </c>
      <c r="U5" s="199">
        <v>5.1040000000000002E-2</v>
      </c>
      <c r="V5" s="203">
        <f t="shared" si="1"/>
        <v>5.1642961298865343E-2</v>
      </c>
      <c r="W5" s="169"/>
      <c r="Y5" s="175">
        <f t="shared" ref="Y5:Y54" si="7">Z5</f>
        <v>3.9300000000000002E-2</v>
      </c>
      <c r="Z5" s="175">
        <v>3.9300000000000002E-2</v>
      </c>
      <c r="AA5" s="175">
        <v>3.9380396030518697E-2</v>
      </c>
      <c r="AB5" s="272">
        <f t="shared" si="3"/>
        <v>3.9764270749322254E-2</v>
      </c>
      <c r="AD5" s="184">
        <f t="shared" si="4"/>
        <v>39300</v>
      </c>
      <c r="AE5" s="199">
        <v>3.9300000000000002E-2</v>
      </c>
      <c r="AF5" s="278">
        <f t="shared" si="5"/>
        <v>3.9764270749322254E-2</v>
      </c>
    </row>
    <row r="6" spans="2:32">
      <c r="B6" s="142">
        <v>2</v>
      </c>
      <c r="C6" s="155" cm="1">
        <f t="array" ref="C6">_xlfn.IFNA(
   _xlfn._xlws.FILTER(
      Sim_Mul_Bet10!$H$3:$H$82,
      (Sim_Mul_Bet10!$A$3:$A$82=C$2) * (Sim_Mul_Bet10!$C$3:$C$82=$B6),0
   ),
   0
)</f>
        <v>1.3850319999999999E-2</v>
      </c>
      <c r="D6" s="156" cm="1">
        <f t="array" ref="D6">_xlfn.IFNA(
   _xlfn._xlws.FILTER(
      Sim_Mul_Bet10!$H$3:$H$82,
      (Sim_Mul_Bet10!$A$3:$A$82=D$2) * (Sim_Mul_Bet10!$C$3:$C$82=$B6),0
   ),
   0
)</f>
        <v>2.4885830000000001E-2</v>
      </c>
      <c r="E6" s="181" cm="1">
        <f t="array" ref="E6">_xlfn.IFNA(
   _xlfn._xlws.FILTER(
      Sim_Mul_Bet10!$H$3:$H$82,
      (Sim_Mul_Bet10!$A$3:$A$82=E$2) * (Sim_Mul_Bet10!$C$3:$C$82=$B6),0
   ),
   0
)</f>
        <v>0</v>
      </c>
      <c r="F6" s="150" cm="1">
        <f t="array" ref="F6">_xlfn.IFNA(
   _xlfn._xlws.FILTER(
      Sim_Mul_Bet10!$O$3:$O$82,
      (Sim_Mul_Bet10!$A$3:$A$82=C$2) * (Sim_Mul_Bet10!$C$3:$C$82=$B6),0
   ),
   0
)</f>
        <v>2.4775264398223289</v>
      </c>
      <c r="G6" s="146" cm="1">
        <f t="array" ref="G6">_xlfn.IFNA(
   _xlfn._xlws.FILTER(
      Sim_Mul_Bet10!$O$3:$O$82,
      (Sim_Mul_Bet10!$A$3:$A$82=D$2) * (Sim_Mul_Bet10!$C$3:$C$82=$B6),0
   ),
   0
)</f>
        <v>2.522591370269748</v>
      </c>
      <c r="H6" s="147" cm="1">
        <f t="array" ref="H6">_xlfn.IFNA(
   _xlfn._xlws.FILTER(
      Sim_Mul_Bet10!$O$3:$O$82,
      (Sim_Mul_Bet10!$A$3:$A$82=E$2) * (Sim_Mul_Bet10!$C$3:$C$82=$B6),0
   ),
   0
)</f>
        <v>0</v>
      </c>
      <c r="J6">
        <v>3</v>
      </c>
      <c r="K6" s="206">
        <v>2</v>
      </c>
      <c r="L6" s="210" t="s">
        <v>91</v>
      </c>
      <c r="M6" s="216">
        <f t="shared" si="2"/>
        <v>2.4885830000000001E-2</v>
      </c>
      <c r="N6" s="160">
        <f t="shared" si="6"/>
        <v>2.522591370269748</v>
      </c>
      <c r="O6" s="175">
        <v>3.3330904360545898E-4</v>
      </c>
      <c r="P6" s="175">
        <v>3.3330904360545898E-4</v>
      </c>
      <c r="Q6" s="175">
        <v>3.3330904360545898E-4</v>
      </c>
      <c r="R6" s="197">
        <f t="shared" si="0"/>
        <v>8.4080251703199391E-4</v>
      </c>
      <c r="T6" s="184">
        <v>307</v>
      </c>
      <c r="U6" s="199">
        <v>3.0699999999999998E-4</v>
      </c>
      <c r="V6" s="203">
        <f t="shared" si="1"/>
        <v>7.7443555067281255E-4</v>
      </c>
      <c r="W6" s="169"/>
      <c r="Y6" s="175">
        <f t="shared" si="7"/>
        <v>3.3330904360545898E-4</v>
      </c>
      <c r="Z6" s="175">
        <v>3.3330904360545898E-4</v>
      </c>
      <c r="AA6" s="175">
        <v>3.3330904360545898E-4</v>
      </c>
      <c r="AB6" s="272">
        <f t="shared" si="3"/>
        <v>8.4080251703199391E-4</v>
      </c>
      <c r="AD6" s="184">
        <f t="shared" si="4"/>
        <v>333</v>
      </c>
      <c r="AE6" s="199">
        <v>3.3300000000000002E-4</v>
      </c>
      <c r="AF6" s="278">
        <f t="shared" si="5"/>
        <v>8.4002292629982618E-4</v>
      </c>
    </row>
    <row r="7" spans="2:32">
      <c r="B7" s="142">
        <v>3</v>
      </c>
      <c r="C7" s="155" cm="1">
        <f t="array" ref="C7">_xlfn.IFNA(
   _xlfn._xlws.FILTER(
      Sim_Mul_Bet10!$H$3:$H$82,
      (Sim_Mul_Bet10!$A$3:$A$82=C$2) * (Sim_Mul_Bet10!$C$3:$C$82=$B7),0
   ),
   0
)</f>
        <v>4.0920000000000001E-5</v>
      </c>
      <c r="D7" s="156" cm="1">
        <f t="array" ref="D7">_xlfn.IFNA(
   _xlfn._xlws.FILTER(
      Sim_Mul_Bet10!$H$3:$H$82,
      (Sim_Mul_Bet10!$A$3:$A$82=D$2) * (Sim_Mul_Bet10!$C$3:$C$82=$B7),0
   ),
   0
)</f>
        <v>0</v>
      </c>
      <c r="E7" s="181" cm="1">
        <f t="array" ref="E7">_xlfn.IFNA(
   _xlfn._xlws.FILTER(
      Sim_Mul_Bet10!$H$3:$H$82,
      (Sim_Mul_Bet10!$A$3:$A$82=E$2) * (Sim_Mul_Bet10!$C$3:$C$82=$B7),0
   ),
   0
)</f>
        <v>0</v>
      </c>
      <c r="F7" s="150" cm="1">
        <f t="array" ref="F7">_xlfn.IFNA(
   _xlfn._xlws.FILTER(
      Sim_Mul_Bet10!$O$3:$O$82,
      (Sim_Mul_Bet10!$A$3:$A$82=C$2) * (Sim_Mul_Bet10!$C$3:$C$82=$B7),0
   ),
   0
)</f>
        <v>3</v>
      </c>
      <c r="G7" s="146" cm="1">
        <f t="array" ref="G7">_xlfn.IFNA(
   _xlfn._xlws.FILTER(
      Sim_Mul_Bet10!$O$3:$O$82,
      (Sim_Mul_Bet10!$A$3:$A$82=D$2) * (Sim_Mul_Bet10!$C$3:$C$82=$B7),0
   ),
   0
)</f>
        <v>0</v>
      </c>
      <c r="H7" s="147" cm="1">
        <f t="array" ref="H7">_xlfn.IFNA(
   _xlfn._xlws.FILTER(
      Sim_Mul_Bet10!$O$3:$O$82,
      (Sim_Mul_Bet10!$A$3:$A$82=E$2) * (Sim_Mul_Bet10!$C$3:$C$82=$B7),0
   ),
   0
)</f>
        <v>0</v>
      </c>
      <c r="J7">
        <v>4</v>
      </c>
      <c r="K7" s="206">
        <v>3</v>
      </c>
      <c r="L7" s="210" t="s">
        <v>90</v>
      </c>
      <c r="M7" s="216">
        <f t="shared" si="2"/>
        <v>4.0920000000000001E-5</v>
      </c>
      <c r="N7" s="160">
        <f t="shared" si="6"/>
        <v>3</v>
      </c>
      <c r="O7" s="175">
        <v>0</v>
      </c>
      <c r="P7" s="175">
        <v>0</v>
      </c>
      <c r="Q7" s="175">
        <v>0</v>
      </c>
      <c r="R7" s="197">
        <f t="shared" si="0"/>
        <v>0</v>
      </c>
      <c r="T7" s="184">
        <v>0</v>
      </c>
      <c r="U7" s="199">
        <v>0</v>
      </c>
      <c r="V7" s="203">
        <f t="shared" si="1"/>
        <v>0</v>
      </c>
      <c r="W7" s="169"/>
      <c r="Y7" s="175">
        <f t="shared" si="7"/>
        <v>0</v>
      </c>
      <c r="Z7" s="175">
        <v>0</v>
      </c>
      <c r="AA7" s="175">
        <v>0</v>
      </c>
      <c r="AB7" s="272">
        <f t="shared" si="3"/>
        <v>0</v>
      </c>
      <c r="AD7" s="184">
        <f t="shared" si="4"/>
        <v>0</v>
      </c>
      <c r="AE7" s="199">
        <v>0</v>
      </c>
      <c r="AF7" s="278">
        <f t="shared" si="5"/>
        <v>0</v>
      </c>
    </row>
    <row r="8" spans="2:32">
      <c r="B8" s="142">
        <v>4</v>
      </c>
      <c r="C8" s="155" cm="1">
        <f t="array" ref="C8">_xlfn.IFNA(
   _xlfn._xlws.FILTER(
      Sim_Mul_Bet10!$H$3:$H$82,
      (Sim_Mul_Bet10!$A$3:$A$82=C$2) * (Sim_Mul_Bet10!$C$3:$C$82=$B8),0
   ),
   0
)</f>
        <v>0</v>
      </c>
      <c r="D8" s="156" cm="1">
        <f t="array" ref="D8">_xlfn.IFNA(
   _xlfn._xlws.FILTER(
      Sim_Mul_Bet10!$H$3:$H$82,
      (Sim_Mul_Bet10!$A$3:$A$82=D$2) * (Sim_Mul_Bet10!$C$3:$C$82=$B8),0
   ),
   0
)</f>
        <v>4.7687159999999999E-2</v>
      </c>
      <c r="E8" s="181" cm="1">
        <f t="array" ref="E8">_xlfn.IFNA(
   _xlfn._xlws.FILTER(
      Sim_Mul_Bet10!$H$3:$H$82,
      (Sim_Mul_Bet10!$A$3:$A$82=E$2) * (Sim_Mul_Bet10!$C$3:$C$82=$B8),0
   ),
   0
)</f>
        <v>0</v>
      </c>
      <c r="F8" s="150" cm="1">
        <f t="array" ref="F8">_xlfn.IFNA(
   _xlfn._xlws.FILTER(
      Sim_Mul_Bet10!$O$3:$O$82,
      (Sim_Mul_Bet10!$A$3:$A$82=C$2) * (Sim_Mul_Bet10!$C$3:$C$82=$B8),0
   ),
   0
)</f>
        <v>0</v>
      </c>
      <c r="G8" s="146" cm="1">
        <f t="array" ref="G8">_xlfn.IFNA(
   _xlfn._xlws.FILTER(
      Sim_Mul_Bet10!$O$3:$O$82,
      (Sim_Mul_Bet10!$A$3:$A$82=D$2) * (Sim_Mul_Bet10!$C$3:$C$82=$B8),0
   ),
   0
)</f>
        <v>5</v>
      </c>
      <c r="H8" s="147" cm="1">
        <f t="array" ref="H8">_xlfn.IFNA(
   _xlfn._xlws.FILTER(
      Sim_Mul_Bet10!$O$3:$O$82,
      (Sim_Mul_Bet10!$A$3:$A$82=E$2) * (Sim_Mul_Bet10!$C$3:$C$82=$B8),0
   ),
   0
)</f>
        <v>0</v>
      </c>
      <c r="J8">
        <v>5</v>
      </c>
      <c r="K8" s="206">
        <v>4</v>
      </c>
      <c r="L8" s="210" t="s">
        <v>90</v>
      </c>
      <c r="M8" s="216">
        <f t="shared" si="2"/>
        <v>0</v>
      </c>
      <c r="N8" s="160">
        <f t="shared" si="6"/>
        <v>0</v>
      </c>
      <c r="O8" s="175">
        <v>1.5364602309683201E-2</v>
      </c>
      <c r="P8" s="175">
        <v>1.5364602309683201E-2</v>
      </c>
      <c r="Q8" s="175">
        <v>1.5364602309683201E-2</v>
      </c>
      <c r="R8" s="197">
        <f t="shared" si="0"/>
        <v>0</v>
      </c>
      <c r="T8" s="184">
        <v>11118</v>
      </c>
      <c r="U8" s="199">
        <v>1.1117999999999999E-2</v>
      </c>
      <c r="V8" s="203">
        <f t="shared" si="1"/>
        <v>0</v>
      </c>
      <c r="W8" s="169"/>
      <c r="Y8" s="175">
        <f t="shared" si="7"/>
        <v>1.5364602309683201E-2</v>
      </c>
      <c r="Z8" s="175">
        <v>1.5364602309683201E-2</v>
      </c>
      <c r="AA8" s="175">
        <v>1.5364602309683201E-2</v>
      </c>
      <c r="AB8" s="272">
        <f t="shared" si="3"/>
        <v>0</v>
      </c>
      <c r="AD8" s="184">
        <f t="shared" si="4"/>
        <v>15365</v>
      </c>
      <c r="AE8" s="199">
        <v>1.5365E-2</v>
      </c>
      <c r="AF8" s="278">
        <f t="shared" si="5"/>
        <v>0</v>
      </c>
    </row>
    <row r="9" spans="2:32">
      <c r="B9" s="142">
        <v>5</v>
      </c>
      <c r="C9" s="155" cm="1">
        <f t="array" ref="C9">_xlfn.IFNA(
   _xlfn._xlws.FILTER(
      Sim_Mul_Bet10!$H$3:$H$82,
      (Sim_Mul_Bet10!$A$3:$A$82=C$2) * (Sim_Mul_Bet10!$C$3:$C$82=$B9),0
   ),
   0
)</f>
        <v>8.0122200000000005E-3</v>
      </c>
      <c r="D9" s="156" cm="1">
        <f t="array" ref="D9">_xlfn.IFNA(
   _xlfn._xlws.FILTER(
      Sim_Mul_Bet10!$H$3:$H$82,
      (Sim_Mul_Bet10!$A$3:$A$82=D$2) * (Sim_Mul_Bet10!$C$3:$C$82=$B9),0
   ),
   0
)</f>
        <v>6.5679779999999993E-2</v>
      </c>
      <c r="E9" s="181" cm="1">
        <f t="array" ref="E9">_xlfn.IFNA(
   _xlfn._xlws.FILTER(
      Sim_Mul_Bet10!$H$3:$H$82,
      (Sim_Mul_Bet10!$A$3:$A$82=E$2) * (Sim_Mul_Bet10!$C$3:$C$82=$B9),0
   ),
   0
)</f>
        <v>0</v>
      </c>
      <c r="F9" s="150" cm="1">
        <f t="array" ref="F9">_xlfn.IFNA(
   _xlfn._xlws.FILTER(
      Sim_Mul_Bet10!$O$3:$O$82,
      (Sim_Mul_Bet10!$A$3:$A$82=C$2) * (Sim_Mul_Bet10!$C$3:$C$82=$B9),0
   ),
   0
)</f>
        <v>5.0991611563337003</v>
      </c>
      <c r="G9" s="146" cm="1">
        <f t="array" ref="G9">_xlfn.IFNA(
   _xlfn._xlws.FILTER(
      Sim_Mul_Bet10!$O$3:$O$82,
      (Sim_Mul_Bet10!$A$3:$A$82=D$2) * (Sim_Mul_Bet10!$C$3:$C$82=$B9),0
   ),
   0
)</f>
        <v>5.3635814249073315</v>
      </c>
      <c r="H9" s="147" cm="1">
        <f t="array" ref="H9">_xlfn.IFNA(
   _xlfn._xlws.FILTER(
      Sim_Mul_Bet10!$O$3:$O$82,
      (Sim_Mul_Bet10!$A$3:$A$82=E$2) * (Sim_Mul_Bet10!$C$3:$C$82=$B9),0
   ),
   0
)</f>
        <v>0</v>
      </c>
      <c r="J9">
        <v>6</v>
      </c>
      <c r="K9" s="206">
        <v>5</v>
      </c>
      <c r="L9" s="210" t="s">
        <v>90</v>
      </c>
      <c r="M9" s="216">
        <f t="shared" si="2"/>
        <v>8.0122200000000005E-3</v>
      </c>
      <c r="N9" s="160">
        <f t="shared" si="6"/>
        <v>5.0991611563337003</v>
      </c>
      <c r="O9" s="175">
        <v>1.8319852534363201E-2</v>
      </c>
      <c r="P9" s="175">
        <v>1.8319852534363201E-2</v>
      </c>
      <c r="Q9" s="175">
        <v>1.8319852534363201E-2</v>
      </c>
      <c r="R9" s="197">
        <f t="shared" si="0"/>
        <v>9.3415880432986334E-2</v>
      </c>
      <c r="T9" s="184">
        <v>14768</v>
      </c>
      <c r="U9" s="199">
        <v>1.4768E-2</v>
      </c>
      <c r="V9" s="203">
        <f t="shared" si="1"/>
        <v>7.5304411956736081E-2</v>
      </c>
      <c r="W9" s="169"/>
      <c r="Y9" s="175">
        <f t="shared" si="7"/>
        <v>1.8319852534363201E-2</v>
      </c>
      <c r="Z9" s="175">
        <v>1.8319852534363201E-2</v>
      </c>
      <c r="AA9" s="175">
        <v>1.8319852534363201E-2</v>
      </c>
      <c r="AB9" s="272">
        <f t="shared" si="3"/>
        <v>9.3415880432986334E-2</v>
      </c>
      <c r="AD9" s="184">
        <f t="shared" si="4"/>
        <v>18320</v>
      </c>
      <c r="AE9" s="199">
        <v>1.8319999999999999E-2</v>
      </c>
      <c r="AF9" s="278">
        <f t="shared" si="5"/>
        <v>9.3416632384033388E-2</v>
      </c>
    </row>
    <row r="10" spans="2:32">
      <c r="B10" s="142">
        <v>6</v>
      </c>
      <c r="C10" s="155" cm="1">
        <f t="array" ref="C10">_xlfn.IFNA(
   _xlfn._xlws.FILTER(
      Sim_Mul_Bet10!$H$3:$H$82,
      (Sim_Mul_Bet10!$A$3:$A$82=C$2) * (Sim_Mul_Bet10!$C$3:$C$82=$B10),0
   ),
   0
)</f>
        <v>6.2830000000000007E-5</v>
      </c>
      <c r="D10" s="156" cm="1">
        <f t="array" ref="D10">_xlfn.IFNA(
   _xlfn._xlws.FILTER(
      Sim_Mul_Bet10!$H$3:$H$82,
      (Sim_Mul_Bet10!$A$3:$A$82=D$2) * (Sim_Mul_Bet10!$C$3:$C$82=$B10),0
   ),
   0
)</f>
        <v>5.5004399999999997E-3</v>
      </c>
      <c r="E10" s="181" cm="1">
        <f t="array" ref="E10">_xlfn.IFNA(
   _xlfn._xlws.FILTER(
      Sim_Mul_Bet10!$H$3:$H$82,
      (Sim_Mul_Bet10!$A$3:$A$82=E$2) * (Sim_Mul_Bet10!$C$3:$C$82=$B10),0
   ),
   0
)</f>
        <v>0</v>
      </c>
      <c r="F10" s="150" cm="1">
        <f t="array" ref="F10">_xlfn.IFNA(
   _xlfn._xlws.FILTER(
      Sim_Mul_Bet10!$O$3:$O$82,
      (Sim_Mul_Bet10!$A$3:$A$82=C$2) * (Sim_Mul_Bet10!$C$3:$C$82=$B10),0
   ),
   0
)</f>
        <v>6.025592869648257</v>
      </c>
      <c r="G10" s="146" cm="1">
        <f t="array" ref="G10">_xlfn.IFNA(
   _xlfn._xlws.FILTER(
      Sim_Mul_Bet10!$O$3:$O$82,
      (Sim_Mul_Bet10!$A$3:$A$82=D$2) * (Sim_Mul_Bet10!$C$3:$C$82=$B10),0
   ),
   0
)</f>
        <v>6.3972129502367077</v>
      </c>
      <c r="H10" s="147" cm="1">
        <f t="array" ref="H10">_xlfn.IFNA(
   _xlfn._xlws.FILTER(
      Sim_Mul_Bet10!$O$3:$O$82,
      (Sim_Mul_Bet10!$A$3:$A$82=E$2) * (Sim_Mul_Bet10!$C$3:$C$82=$B10),0
   ),
   0
)</f>
        <v>0</v>
      </c>
      <c r="J10">
        <v>7</v>
      </c>
      <c r="K10" s="206">
        <v>6</v>
      </c>
      <c r="L10" s="210" t="s">
        <v>91</v>
      </c>
      <c r="M10" s="216">
        <f t="shared" si="2"/>
        <v>5.5004399999999997E-3</v>
      </c>
      <c r="N10" s="160">
        <f t="shared" si="6"/>
        <v>6.3972129502367077</v>
      </c>
      <c r="O10" s="175">
        <v>6.9999999999999994E-5</v>
      </c>
      <c r="P10" s="175">
        <v>6.9999999999999994E-5</v>
      </c>
      <c r="Q10" s="175">
        <v>7.9616330253935599E-5</v>
      </c>
      <c r="R10" s="197">
        <f t="shared" si="0"/>
        <v>4.4780490651656949E-4</v>
      </c>
      <c r="T10" s="184">
        <v>102</v>
      </c>
      <c r="U10" s="199">
        <v>1.02E-4</v>
      </c>
      <c r="V10" s="203">
        <f t="shared" si="1"/>
        <v>6.5251572092414416E-4</v>
      </c>
      <c r="W10" s="169"/>
      <c r="Y10" s="175">
        <f t="shared" si="7"/>
        <v>6.9999999999999994E-5</v>
      </c>
      <c r="Z10" s="175">
        <v>6.9999999999999994E-5</v>
      </c>
      <c r="AA10" s="175">
        <v>7.9616330253935599E-5</v>
      </c>
      <c r="AB10" s="272">
        <f t="shared" si="3"/>
        <v>4.4780490651656949E-4</v>
      </c>
      <c r="AD10" s="184">
        <f t="shared" si="4"/>
        <v>70</v>
      </c>
      <c r="AE10" s="199">
        <v>6.9999999999999994E-5</v>
      </c>
      <c r="AF10" s="278">
        <f t="shared" si="5"/>
        <v>4.4780490651656949E-4</v>
      </c>
    </row>
    <row r="11" spans="2:32">
      <c r="B11" s="142">
        <v>7</v>
      </c>
      <c r="C11" s="155" cm="1">
        <f t="array" ref="C11">_xlfn.IFNA(
   _xlfn._xlws.FILTER(
      Sim_Mul_Bet10!$H$3:$H$82,
      (Sim_Mul_Bet10!$A$3:$A$82=C$2) * (Sim_Mul_Bet10!$C$3:$C$82=$B11),0
   ),
   0
)</f>
        <v>3.1239999999999999E-5</v>
      </c>
      <c r="D11" s="156" cm="1">
        <f t="array" ref="D11">_xlfn.IFNA(
   _xlfn._xlws.FILTER(
      Sim_Mul_Bet10!$H$3:$H$82,
      (Sim_Mul_Bet10!$A$3:$A$82=D$2) * (Sim_Mul_Bet10!$C$3:$C$82=$B11),0
   ),
   0
)</f>
        <v>4.1569700000000003E-3</v>
      </c>
      <c r="E11" s="181" cm="1">
        <f t="array" ref="E11">_xlfn.IFNA(
   _xlfn._xlws.FILTER(
      Sim_Mul_Bet10!$H$3:$H$82,
      (Sim_Mul_Bet10!$A$3:$A$82=E$2) * (Sim_Mul_Bet10!$C$3:$C$82=$B11),0
   ),
   0
)</f>
        <v>0</v>
      </c>
      <c r="F11" s="150" cm="1">
        <f t="array" ref="F11">_xlfn.IFNA(
   _xlfn._xlws.FILTER(
      Sim_Mul_Bet10!$O$3:$O$82,
      (Sim_Mul_Bet10!$A$3:$A$82=C$2) * (Sim_Mul_Bet10!$C$3:$C$82=$B11),0
   ),
   0
)</f>
        <v>7.4991997439180533</v>
      </c>
      <c r="G11" s="146" cm="1">
        <f t="array" ref="G11">_xlfn.IFNA(
   _xlfn._xlws.FILTER(
      Sim_Mul_Bet10!$O$3:$O$82,
      (Sim_Mul_Bet10!$A$3:$A$82=D$2) * (Sim_Mul_Bet10!$C$3:$C$82=$B11),0
   ),
   0
)</f>
        <v>7.5</v>
      </c>
      <c r="H11" s="147" cm="1">
        <f t="array" ref="H11">_xlfn.IFNA(
   _xlfn._xlws.FILTER(
      Sim_Mul_Bet10!$O$3:$O$82,
      (Sim_Mul_Bet10!$A$3:$A$82=E$2) * (Sim_Mul_Bet10!$C$3:$C$82=$B11),0
   ),
   0
)</f>
        <v>0</v>
      </c>
      <c r="J11">
        <v>8</v>
      </c>
      <c r="K11" s="206">
        <v>7</v>
      </c>
      <c r="L11" s="210" t="s">
        <v>91</v>
      </c>
      <c r="M11" s="216">
        <f t="shared" si="2"/>
        <v>4.1569700000000003E-3</v>
      </c>
      <c r="N11" s="160">
        <f t="shared" si="6"/>
        <v>7.5</v>
      </c>
      <c r="O11" s="175">
        <v>0</v>
      </c>
      <c r="P11" s="175">
        <v>0</v>
      </c>
      <c r="Q11" s="175">
        <v>0</v>
      </c>
      <c r="R11" s="197">
        <f t="shared" si="0"/>
        <v>0</v>
      </c>
      <c r="T11" s="184">
        <v>5</v>
      </c>
      <c r="U11" s="199">
        <v>5.0000000000000004E-6</v>
      </c>
      <c r="V11" s="203">
        <f t="shared" si="1"/>
        <v>3.7500000000000003E-5</v>
      </c>
      <c r="W11" s="169"/>
      <c r="Y11" s="175">
        <f t="shared" si="7"/>
        <v>0</v>
      </c>
      <c r="Z11" s="175">
        <v>0</v>
      </c>
      <c r="AA11" s="175">
        <v>0</v>
      </c>
      <c r="AB11" s="272">
        <f t="shared" si="3"/>
        <v>0</v>
      </c>
      <c r="AD11" s="184">
        <f t="shared" si="4"/>
        <v>0</v>
      </c>
      <c r="AE11" s="199">
        <v>0</v>
      </c>
      <c r="AF11" s="278">
        <f t="shared" si="5"/>
        <v>0</v>
      </c>
    </row>
    <row r="12" spans="2:32">
      <c r="B12" s="142">
        <v>8</v>
      </c>
      <c r="C12" s="155" cm="1">
        <f t="array" ref="C12">_xlfn.IFNA(
   _xlfn._xlws.FILTER(
      Sim_Mul_Bet10!$H$3:$H$82,
      (Sim_Mul_Bet10!$A$3:$A$82=C$2) * (Sim_Mul_Bet10!$C$3:$C$82=$B12),0
   ),
   0
)</f>
        <v>0</v>
      </c>
      <c r="D12" s="156" cm="1">
        <f t="array" ref="D12">_xlfn.IFNA(
   _xlfn._xlws.FILTER(
      Sim_Mul_Bet10!$H$3:$H$82,
      (Sim_Mul_Bet10!$A$3:$A$82=D$2) * (Sim_Mul_Bet10!$C$3:$C$82=$B12),0
   ),
   0
)</f>
        <v>0</v>
      </c>
      <c r="E12" s="181" cm="1">
        <f t="array" ref="E12">_xlfn.IFNA(
   _xlfn._xlws.FILTER(
      Sim_Mul_Bet10!$H$3:$H$82,
      (Sim_Mul_Bet10!$A$3:$A$82=E$2) * (Sim_Mul_Bet10!$C$3:$C$82=$B12),0
   ),
   0
)</f>
        <v>0</v>
      </c>
      <c r="F12" s="150" cm="1">
        <f t="array" ref="F12">_xlfn.IFNA(
   _xlfn._xlws.FILTER(
      Sim_Mul_Bet10!$O$3:$O$82,
      (Sim_Mul_Bet10!$A$3:$A$82=C$2) * (Sim_Mul_Bet10!$C$3:$C$82=$B12),0
   ),
   0
)</f>
        <v>0</v>
      </c>
      <c r="G12" s="146" cm="1">
        <f t="array" ref="G12">_xlfn.IFNA(
   _xlfn._xlws.FILTER(
      Sim_Mul_Bet10!$O$3:$O$82,
      (Sim_Mul_Bet10!$A$3:$A$82=D$2) * (Sim_Mul_Bet10!$C$3:$C$82=$B12),0
   ),
   0
)</f>
        <v>0</v>
      </c>
      <c r="H12" s="147" cm="1">
        <f t="array" ref="H12">_xlfn.IFNA(
   _xlfn._xlws.FILTER(
      Sim_Mul_Bet10!$O$3:$O$82,
      (Sim_Mul_Bet10!$A$3:$A$82=E$2) * (Sim_Mul_Bet10!$C$3:$C$82=$B12),0
   ),
   0
)</f>
        <v>0</v>
      </c>
      <c r="J12">
        <v>9</v>
      </c>
      <c r="K12" s="206">
        <v>8</v>
      </c>
      <c r="L12" s="210" t="s">
        <v>90</v>
      </c>
      <c r="M12" s="216">
        <f t="shared" si="2"/>
        <v>0</v>
      </c>
      <c r="N12" s="160">
        <f t="shared" si="6"/>
        <v>0</v>
      </c>
      <c r="O12" s="175">
        <v>0</v>
      </c>
      <c r="P12" s="175">
        <v>0</v>
      </c>
      <c r="Q12" s="175">
        <v>0</v>
      </c>
      <c r="R12" s="197">
        <f t="shared" si="0"/>
        <v>0</v>
      </c>
      <c r="T12" s="184">
        <v>0</v>
      </c>
      <c r="U12" s="199">
        <v>0</v>
      </c>
      <c r="V12" s="203">
        <f t="shared" si="1"/>
        <v>0</v>
      </c>
      <c r="W12" s="169"/>
      <c r="Y12" s="175">
        <f t="shared" si="7"/>
        <v>0</v>
      </c>
      <c r="Z12" s="175">
        <v>0</v>
      </c>
      <c r="AA12" s="175">
        <v>0</v>
      </c>
      <c r="AB12" s="272">
        <f t="shared" si="3"/>
        <v>0</v>
      </c>
      <c r="AD12" s="184">
        <f t="shared" si="4"/>
        <v>0</v>
      </c>
      <c r="AE12" s="199">
        <v>0</v>
      </c>
      <c r="AF12" s="278">
        <f t="shared" si="5"/>
        <v>0</v>
      </c>
    </row>
    <row r="13" spans="2:32">
      <c r="B13" s="142">
        <v>9</v>
      </c>
      <c r="C13" s="155" cm="1">
        <f t="array" ref="C13">_xlfn.IFNA(
   _xlfn._xlws.FILTER(
      Sim_Mul_Bet10!$H$3:$H$82,
      (Sim_Mul_Bet10!$A$3:$A$82=C$2) * (Sim_Mul_Bet10!$C$3:$C$82=$B13),0
   ),
   0
)</f>
        <v>0</v>
      </c>
      <c r="D13" s="156" cm="1">
        <f t="array" ref="D13">_xlfn.IFNA(
   _xlfn._xlws.FILTER(
      Sim_Mul_Bet10!$H$3:$H$82,
      (Sim_Mul_Bet10!$A$3:$A$82=D$2) * (Sim_Mul_Bet10!$C$3:$C$82=$B13),0
   ),
   0
)</f>
        <v>3.3656640000000002E-2</v>
      </c>
      <c r="E13" s="181" cm="1">
        <f t="array" ref="E13">_xlfn.IFNA(
   _xlfn._xlws.FILTER(
      Sim_Mul_Bet10!$H$3:$H$82,
      (Sim_Mul_Bet10!$A$3:$A$82=E$2) * (Sim_Mul_Bet10!$C$3:$C$82=$B13),0
   ),
   0
)</f>
        <v>0</v>
      </c>
      <c r="F13" s="150" cm="1">
        <f t="array" ref="F13">_xlfn.IFNA(
   _xlfn._xlws.FILTER(
      Sim_Mul_Bet10!$O$3:$O$82,
      (Sim_Mul_Bet10!$A$3:$A$82=C$2) * (Sim_Mul_Bet10!$C$3:$C$82=$B13),0
   ),
   0
)</f>
        <v>0</v>
      </c>
      <c r="G13" s="146" cm="1">
        <f t="array" ref="G13">_xlfn.IFNA(
   _xlfn._xlws.FILTER(
      Sim_Mul_Bet10!$O$3:$O$82,
      (Sim_Mul_Bet10!$A$3:$A$82=D$2) * (Sim_Mul_Bet10!$C$3:$C$82=$B13),0
   ),
   0
)</f>
        <v>10</v>
      </c>
      <c r="H13" s="147" cm="1">
        <f t="array" ref="H13">_xlfn.IFNA(
   _xlfn._xlws.FILTER(
      Sim_Mul_Bet10!$O$3:$O$82,
      (Sim_Mul_Bet10!$A$3:$A$82=E$2) * (Sim_Mul_Bet10!$C$3:$C$82=$B13),0
   ),
   0
)</f>
        <v>0</v>
      </c>
      <c r="J13">
        <v>10</v>
      </c>
      <c r="K13" s="206">
        <v>9</v>
      </c>
      <c r="L13" s="210" t="s">
        <v>90</v>
      </c>
      <c r="M13" s="216">
        <f t="shared" si="2"/>
        <v>0</v>
      </c>
      <c r="N13" s="160">
        <f t="shared" si="6"/>
        <v>0</v>
      </c>
      <c r="O13" s="175">
        <v>4.5151905259265901E-3</v>
      </c>
      <c r="P13" s="175">
        <v>4.5151905259265901E-3</v>
      </c>
      <c r="Q13" s="175">
        <v>4.5151905259265901E-3</v>
      </c>
      <c r="R13" s="197">
        <f t="shared" si="0"/>
        <v>0</v>
      </c>
      <c r="T13" s="184">
        <v>4597</v>
      </c>
      <c r="U13" s="199">
        <v>4.5970000000000004E-3</v>
      </c>
      <c r="V13" s="203">
        <f t="shared" si="1"/>
        <v>0</v>
      </c>
      <c r="W13" s="169"/>
      <c r="Y13" s="175">
        <f t="shared" si="7"/>
        <v>4.5151905259265901E-3</v>
      </c>
      <c r="Z13" s="175">
        <v>4.5151905259265901E-3</v>
      </c>
      <c r="AA13" s="175">
        <v>4.5151905259265901E-3</v>
      </c>
      <c r="AB13" s="272">
        <f t="shared" si="3"/>
        <v>0</v>
      </c>
      <c r="AD13" s="184">
        <f t="shared" si="4"/>
        <v>4515</v>
      </c>
      <c r="AE13" s="199">
        <v>4.5149999999999999E-3</v>
      </c>
      <c r="AF13" s="278">
        <f t="shared" si="5"/>
        <v>0</v>
      </c>
    </row>
    <row r="14" spans="2:32">
      <c r="B14" s="142">
        <v>10</v>
      </c>
      <c r="C14" s="155" cm="1">
        <f t="array" ref="C14">_xlfn.IFNA(
   _xlfn._xlws.FILTER(
      Sim_Mul_Bet10!$H$3:$H$82,
      (Sim_Mul_Bet10!$A$3:$A$82=C$2) * (Sim_Mul_Bet10!$C$3:$C$82=$B14),0
   ),
   0
)</f>
        <v>3.0965570000000001E-2</v>
      </c>
      <c r="D14" s="156" cm="1">
        <f t="array" ref="D14">_xlfn.IFNA(
   _xlfn._xlws.FILTER(
      Sim_Mul_Bet10!$H$3:$H$82,
      (Sim_Mul_Bet10!$A$3:$A$82=D$2) * (Sim_Mul_Bet10!$C$3:$C$82=$B14),0
   ),
   0
)</f>
        <v>8.8746859999999997E-2</v>
      </c>
      <c r="E14" s="181" cm="1">
        <f t="array" ref="E14">_xlfn.IFNA(
   _xlfn._xlws.FILTER(
      Sim_Mul_Bet10!$H$3:$H$82,
      (Sim_Mul_Bet10!$A$3:$A$82=E$2) * (Sim_Mul_Bet10!$C$3:$C$82=$B14),0
   ),
   0
)</f>
        <v>0</v>
      </c>
      <c r="F14" s="150" cm="1">
        <f t="array" ref="F14">_xlfn.IFNA(
   _xlfn._xlws.FILTER(
      Sim_Mul_Bet10!$O$3:$O$82,
      (Sim_Mul_Bet10!$A$3:$A$82=C$2) * (Sim_Mul_Bet10!$C$3:$C$82=$B14),0
   ),
   0
)</f>
        <v>10.088963581164499</v>
      </c>
      <c r="G14" s="146" cm="1">
        <f t="array" ref="G14">_xlfn.IFNA(
   _xlfn._xlws.FILTER(
      Sim_Mul_Bet10!$O$3:$O$82,
      (Sim_Mul_Bet10!$A$3:$A$82=D$2) * (Sim_Mul_Bet10!$C$3:$C$82=$B14),0
   ),
   0
)</f>
        <v>11.124840529569161</v>
      </c>
      <c r="H14" s="147" cm="1">
        <f t="array" ref="H14">_xlfn.IFNA(
   _xlfn._xlws.FILTER(
      Sim_Mul_Bet10!$O$3:$O$82,
      (Sim_Mul_Bet10!$A$3:$A$82=E$2) * (Sim_Mul_Bet10!$C$3:$C$82=$B14),0
   ),
   0
)</f>
        <v>0</v>
      </c>
      <c r="J14">
        <v>11</v>
      </c>
      <c r="K14" s="206">
        <v>10</v>
      </c>
      <c r="L14" s="210" t="s">
        <v>90</v>
      </c>
      <c r="M14" s="216">
        <f t="shared" si="2"/>
        <v>3.0965570000000001E-2</v>
      </c>
      <c r="N14" s="160">
        <f t="shared" si="6"/>
        <v>10.088963581164499</v>
      </c>
      <c r="O14" s="175">
        <v>9.5229227559665008E-3</v>
      </c>
      <c r="P14" s="175">
        <v>9.5229227559665008E-3</v>
      </c>
      <c r="Q14" s="175">
        <v>9.5229227559665008E-3</v>
      </c>
      <c r="R14" s="197">
        <f t="shared" si="0"/>
        <v>9.6076420871188686E-2</v>
      </c>
      <c r="T14" s="184">
        <v>9440</v>
      </c>
      <c r="U14" s="199">
        <v>9.4400000000000005E-3</v>
      </c>
      <c r="V14" s="203">
        <f t="shared" si="1"/>
        <v>9.5239816206192873E-2</v>
      </c>
      <c r="W14" s="169"/>
      <c r="Y14" s="175">
        <f t="shared" si="7"/>
        <v>9.5229227559665008E-3</v>
      </c>
      <c r="Z14" s="175">
        <v>9.5229227559665008E-3</v>
      </c>
      <c r="AA14" s="175">
        <v>9.5229227559665008E-3</v>
      </c>
      <c r="AB14" s="272">
        <f t="shared" si="3"/>
        <v>9.6076420871188686E-2</v>
      </c>
      <c r="AD14" s="184">
        <f t="shared" si="4"/>
        <v>9523</v>
      </c>
      <c r="AE14" s="199">
        <v>9.5230000000000002E-3</v>
      </c>
      <c r="AF14" s="278">
        <f t="shared" si="5"/>
        <v>9.6077200183429523E-2</v>
      </c>
    </row>
    <row r="15" spans="2:32">
      <c r="B15" s="142">
        <v>15</v>
      </c>
      <c r="C15" s="155" cm="1">
        <f t="array" ref="C15">_xlfn.IFNA(
   _xlfn._xlws.FILTER(
      Sim_Mul_Bet10!$H$3:$H$82,
      (Sim_Mul_Bet10!$A$3:$A$82=C$2) * (Sim_Mul_Bet10!$C$3:$C$82=$B15),0
   ),
   0
)</f>
        <v>4.3910800000000003E-3</v>
      </c>
      <c r="D15" s="156" cm="1">
        <f t="array" ref="D15">_xlfn.IFNA(
   _xlfn._xlws.FILTER(
      Sim_Mul_Bet10!$H$3:$H$82,
      (Sim_Mul_Bet10!$A$3:$A$82=D$2) * (Sim_Mul_Bet10!$C$3:$C$82=$B15),0
   ),
   0
)</f>
        <v>2.4811139999999999E-2</v>
      </c>
      <c r="E15" s="181" cm="1">
        <f t="array" ref="E15">_xlfn.IFNA(
   _xlfn._xlws.FILTER(
      Sim_Mul_Bet10!$H$3:$H$82,
      (Sim_Mul_Bet10!$A$3:$A$82=E$2) * (Sim_Mul_Bet10!$C$3:$C$82=$B15),0
   ),
   0
)</f>
        <v>0</v>
      </c>
      <c r="F15" s="150" cm="1">
        <f t="array" ref="F15">_xlfn.IFNA(
   _xlfn._xlws.FILTER(
      Sim_Mul_Bet10!$O$3:$O$82,
      (Sim_Mul_Bet10!$A$3:$A$82=C$2) * (Sim_Mul_Bet10!$C$3:$C$82=$B15),0
   ),
   0
)</f>
        <v>15.163797744518433</v>
      </c>
      <c r="G15" s="146" cm="1">
        <f t="array" ref="G15">_xlfn.IFNA(
   _xlfn._xlws.FILTER(
      Sim_Mul_Bet10!$O$3:$O$82,
      (Sim_Mul_Bet10!$A$3:$A$82=D$2) * (Sim_Mul_Bet10!$C$3:$C$82=$B15),0
   ),
   0
)</f>
        <v>16.809543052032272</v>
      </c>
      <c r="H15" s="147" cm="1">
        <f t="array" ref="H15">_xlfn.IFNA(
   _xlfn._xlws.FILTER(
      Sim_Mul_Bet10!$O$3:$O$82,
      (Sim_Mul_Bet10!$A$3:$A$82=E$2) * (Sim_Mul_Bet10!$C$3:$C$82=$B15),0
   ),
   0
)</f>
        <v>0</v>
      </c>
      <c r="J15">
        <v>12</v>
      </c>
      <c r="K15" s="206">
        <v>15</v>
      </c>
      <c r="L15" s="210" t="s">
        <v>90</v>
      </c>
      <c r="M15" s="216">
        <f t="shared" si="2"/>
        <v>4.3910800000000003E-3</v>
      </c>
      <c r="N15" s="160">
        <f t="shared" si="6"/>
        <v>15.163797744518433</v>
      </c>
      <c r="O15" s="175">
        <v>4.91192274786993E-3</v>
      </c>
      <c r="P15" s="175">
        <v>4.91192274786993E-3</v>
      </c>
      <c r="Q15" s="175">
        <v>4.91192274786993E-3</v>
      </c>
      <c r="R15" s="197">
        <f t="shared" si="0"/>
        <v>7.448340308539883E-2</v>
      </c>
      <c r="T15" s="184">
        <v>5477</v>
      </c>
      <c r="U15" s="199">
        <v>5.4770000000000001E-3</v>
      </c>
      <c r="V15" s="203">
        <f t="shared" si="1"/>
        <v>8.3052120246727465E-2</v>
      </c>
      <c r="W15" s="169"/>
      <c r="Y15" s="175">
        <f t="shared" si="7"/>
        <v>4.91192274786993E-3</v>
      </c>
      <c r="Z15" s="175">
        <v>4.91192274786993E-3</v>
      </c>
      <c r="AA15" s="175">
        <v>4.91192274786993E-3</v>
      </c>
      <c r="AB15" s="272">
        <f t="shared" si="3"/>
        <v>7.448340308539883E-2</v>
      </c>
      <c r="AD15" s="184">
        <f t="shared" si="4"/>
        <v>4912</v>
      </c>
      <c r="AE15" s="199">
        <v>4.9119999999999997E-3</v>
      </c>
      <c r="AF15" s="278">
        <f t="shared" si="5"/>
        <v>7.4484574521074542E-2</v>
      </c>
    </row>
    <row r="16" spans="2:32">
      <c r="B16" s="142">
        <v>20</v>
      </c>
      <c r="C16" s="155" cm="1">
        <f t="array" ref="C16">_xlfn.IFNA(
   _xlfn._xlws.FILTER(
      Sim_Mul_Bet10!$H$3:$H$82,
      (Sim_Mul_Bet10!$A$3:$A$82=C$2) * (Sim_Mul_Bet10!$C$3:$C$82=$B16),0
   ),
   0
)</f>
        <v>8.7656000000000001E-3</v>
      </c>
      <c r="D16" s="156" cm="1">
        <f t="array" ref="D16">_xlfn.IFNA(
   _xlfn._xlws.FILTER(
      Sim_Mul_Bet10!$H$3:$H$82,
      (Sim_Mul_Bet10!$A$3:$A$82=D$2) * (Sim_Mul_Bet10!$C$3:$C$82=$B16),0
   ),
   0
)</f>
        <v>2.260943E-2</v>
      </c>
      <c r="E16" s="181" cm="1">
        <f t="array" ref="E16">_xlfn.IFNA(
   _xlfn._xlws.FILTER(
      Sim_Mul_Bet10!$H$3:$H$82,
      (Sim_Mul_Bet10!$A$3:$A$82=E$2) * (Sim_Mul_Bet10!$C$3:$C$82=$B16),0
   ),
   0
)</f>
        <v>0</v>
      </c>
      <c r="F16" s="150" cm="1">
        <f t="array" ref="F16">_xlfn.IFNA(
   _xlfn._xlws.FILTER(
      Sim_Mul_Bet10!$O$3:$O$82,
      (Sim_Mul_Bet10!$A$3:$A$82=C$2) * (Sim_Mul_Bet10!$C$3:$C$82=$B16),0
   ),
   0
)</f>
        <v>20.120673998357212</v>
      </c>
      <c r="G16" s="146" cm="1">
        <f t="array" ref="G16">_xlfn.IFNA(
   _xlfn._xlws.FILTER(
      Sim_Mul_Bet10!$O$3:$O$82,
      (Sim_Mul_Bet10!$A$3:$A$82=D$2) * (Sim_Mul_Bet10!$C$3:$C$82=$B16),0
   ),
   0
)</f>
        <v>21.707798692846303</v>
      </c>
      <c r="H16" s="147" cm="1">
        <f t="array" ref="H16">_xlfn.IFNA(
   _xlfn._xlws.FILTER(
      Sim_Mul_Bet10!$O$3:$O$82,
      (Sim_Mul_Bet10!$A$3:$A$82=E$2) * (Sim_Mul_Bet10!$C$3:$C$82=$B16),0
   ),
   0
)</f>
        <v>0</v>
      </c>
      <c r="J16">
        <v>13</v>
      </c>
      <c r="K16" s="206">
        <v>20</v>
      </c>
      <c r="L16" s="210" t="s">
        <v>90</v>
      </c>
      <c r="M16" s="216">
        <f t="shared" si="2"/>
        <v>8.7656000000000001E-3</v>
      </c>
      <c r="N16" s="160">
        <f t="shared" si="6"/>
        <v>20.120673998357212</v>
      </c>
      <c r="O16" s="175">
        <v>4.4000000000000003E-3</v>
      </c>
      <c r="P16" s="175">
        <v>4.4000000000000003E-3</v>
      </c>
      <c r="Q16" s="175">
        <v>4.4598639235467301E-3</v>
      </c>
      <c r="R16" s="197">
        <f t="shared" si="0"/>
        <v>8.8530965592771738E-2</v>
      </c>
      <c r="T16" s="184">
        <v>1493</v>
      </c>
      <c r="U16" s="199">
        <v>1.493E-3</v>
      </c>
      <c r="V16" s="203">
        <f t="shared" si="1"/>
        <v>3.0040166279547316E-2</v>
      </c>
      <c r="W16" s="169"/>
      <c r="Y16" s="175">
        <f t="shared" si="7"/>
        <v>4.4000000000000003E-3</v>
      </c>
      <c r="Z16" s="175">
        <v>4.4000000000000003E-3</v>
      </c>
      <c r="AA16" s="175">
        <v>4.4598639235467301E-3</v>
      </c>
      <c r="AB16" s="272">
        <f t="shared" si="3"/>
        <v>8.8530965592771738E-2</v>
      </c>
      <c r="AD16" s="184">
        <f t="shared" si="4"/>
        <v>4400</v>
      </c>
      <c r="AE16" s="199">
        <v>4.4000000000000003E-3</v>
      </c>
      <c r="AF16" s="278">
        <f t="shared" si="5"/>
        <v>8.8530965592771738E-2</v>
      </c>
    </row>
    <row r="17" spans="2:32">
      <c r="B17" s="142">
        <v>25</v>
      </c>
      <c r="C17" s="155" cm="1">
        <f t="array" ref="C17">_xlfn.IFNA(
   _xlfn._xlws.FILTER(
      Sim_Mul_Bet10!$H$3:$H$82,
      (Sim_Mul_Bet10!$A$3:$A$82=C$2) * (Sim_Mul_Bet10!$C$3:$C$82=$B17),0
   ),
   0
)</f>
        <v>2.1844E-4</v>
      </c>
      <c r="D17" s="156" cm="1">
        <f t="array" ref="D17">_xlfn.IFNA(
   _xlfn._xlws.FILTER(
      Sim_Mul_Bet10!$H$3:$H$82,
      (Sim_Mul_Bet10!$A$3:$A$82=D$2) * (Sim_Mul_Bet10!$C$3:$C$82=$B17),0
   ),
   0
)</f>
        <v>1.4533839999999999E-2</v>
      </c>
      <c r="E17" s="181" cm="1">
        <f t="array" ref="E17">_xlfn.IFNA(
   _xlfn._xlws.FILTER(
      Sim_Mul_Bet10!$H$3:$H$82,
      (Sim_Mul_Bet10!$A$3:$A$82=E$2) * (Sim_Mul_Bet10!$C$3:$C$82=$B17),0
   ),
   0
)</f>
        <v>0</v>
      </c>
      <c r="F17" s="150" cm="1">
        <f t="array" ref="F17">_xlfn.IFNA(
   _xlfn._xlws.FILTER(
      Sim_Mul_Bet10!$O$3:$O$82,
      (Sim_Mul_Bet10!$A$3:$A$82=C$2) * (Sim_Mul_Bet10!$C$3:$C$82=$B17),0
   ),
   0
)</f>
        <v>25.252485808459987</v>
      </c>
      <c r="G17" s="146" cm="1">
        <f t="array" ref="G17">_xlfn.IFNA(
   _xlfn._xlws.FILTER(
      Sim_Mul_Bet10!$O$3:$O$82,
      (Sim_Mul_Bet10!$A$3:$A$82=D$2) * (Sim_Mul_Bet10!$C$3:$C$82=$B17),0
   ),
   0
)</f>
        <v>27.20412705795578</v>
      </c>
      <c r="H17" s="147" cm="1">
        <f t="array" ref="H17">_xlfn.IFNA(
   _xlfn._xlws.FILTER(
      Sim_Mul_Bet10!$O$3:$O$82,
      (Sim_Mul_Bet10!$A$3:$A$82=E$2) * (Sim_Mul_Bet10!$C$3:$C$82=$B17),0
   ),
   0
)</f>
        <v>0</v>
      </c>
      <c r="J17">
        <v>14</v>
      </c>
      <c r="K17" s="206">
        <v>25</v>
      </c>
      <c r="L17" s="210" t="s">
        <v>90</v>
      </c>
      <c r="M17" s="216">
        <f t="shared" si="2"/>
        <v>2.1844E-4</v>
      </c>
      <c r="N17" s="160">
        <f t="shared" si="6"/>
        <v>25.252485808459987</v>
      </c>
      <c r="O17" s="175">
        <v>1.8379227424722101E-3</v>
      </c>
      <c r="P17" s="175">
        <v>1.8379227424722101E-3</v>
      </c>
      <c r="Q17" s="175">
        <v>1.8379227424722101E-3</v>
      </c>
      <c r="R17" s="197">
        <f t="shared" si="0"/>
        <v>4.6412117971325342E-2</v>
      </c>
      <c r="T17" s="184">
        <v>3904</v>
      </c>
      <c r="U17" s="199">
        <v>3.9039999999999999E-3</v>
      </c>
      <c r="V17" s="203">
        <f t="shared" si="1"/>
        <v>9.8585704596227786E-2</v>
      </c>
      <c r="W17" s="169"/>
      <c r="Y17" s="175">
        <f t="shared" si="7"/>
        <v>1.8379227424722101E-3</v>
      </c>
      <c r="Z17" s="175">
        <v>1.8379227424722101E-3</v>
      </c>
      <c r="AA17" s="175">
        <v>1.8379227424722101E-3</v>
      </c>
      <c r="AB17" s="272">
        <f t="shared" si="3"/>
        <v>4.6412117971325342E-2</v>
      </c>
      <c r="AD17" s="184">
        <f t="shared" si="4"/>
        <v>1838</v>
      </c>
      <c r="AE17" s="199">
        <v>1.838E-3</v>
      </c>
      <c r="AF17" s="278">
        <f t="shared" si="5"/>
        <v>4.6414068915949458E-2</v>
      </c>
    </row>
    <row r="18" spans="2:32">
      <c r="B18" s="142">
        <v>30</v>
      </c>
      <c r="C18" s="155" cm="1">
        <f t="array" ref="C18">_xlfn.IFNA(
   _xlfn._xlws.FILTER(
      Sim_Mul_Bet10!$H$3:$H$82,
      (Sim_Mul_Bet10!$A$3:$A$82=C$2) * (Sim_Mul_Bet10!$C$3:$C$82=$B18),0
   ),
   0
)</f>
        <v>1.5605599999999999E-3</v>
      </c>
      <c r="D18" s="156" cm="1">
        <f t="array" ref="D18">_xlfn.IFNA(
   _xlfn._xlws.FILTER(
      Sim_Mul_Bet10!$H$3:$H$82,
      (Sim_Mul_Bet10!$A$3:$A$82=D$2) * (Sim_Mul_Bet10!$C$3:$C$82=$B18),0
   ),
   0
)</f>
        <v>8.1784000000000006E-3</v>
      </c>
      <c r="E18" s="181" cm="1">
        <f t="array" ref="E18">_xlfn.IFNA(
   _xlfn._xlws.FILTER(
      Sim_Mul_Bet10!$H$3:$H$82,
      (Sim_Mul_Bet10!$A$3:$A$82=E$2) * (Sim_Mul_Bet10!$C$3:$C$82=$B18),0
   ),
   0
)</f>
        <v>0</v>
      </c>
      <c r="F18" s="150" cm="1">
        <f t="array" ref="F18">_xlfn.IFNA(
   _xlfn._xlws.FILTER(
      Sim_Mul_Bet10!$O$3:$O$82,
      (Sim_Mul_Bet10!$A$3:$A$82=C$2) * (Sim_Mul_Bet10!$C$3:$C$82=$B18),0
   ),
   0
)</f>
        <v>30.159872737991492</v>
      </c>
      <c r="G18" s="146" cm="1">
        <f t="array" ref="G18">_xlfn.IFNA(
   _xlfn._xlws.FILTER(
      Sim_Mul_Bet10!$O$3:$O$82,
      (Sim_Mul_Bet10!$A$3:$A$82=D$2) * (Sim_Mul_Bet10!$C$3:$C$82=$B18),0
   ),
   0
)</f>
        <v>30.901788002543285</v>
      </c>
      <c r="H18" s="147" cm="1">
        <f t="array" ref="H18">_xlfn.IFNA(
   _xlfn._xlws.FILTER(
      Sim_Mul_Bet10!$O$3:$O$82,
      (Sim_Mul_Bet10!$A$3:$A$82=E$2) * (Sim_Mul_Bet10!$C$3:$C$82=$B18),0
   ),
   0
)</f>
        <v>0</v>
      </c>
      <c r="J18">
        <v>15</v>
      </c>
      <c r="K18" s="206">
        <v>30</v>
      </c>
      <c r="L18" s="210" t="s">
        <v>91</v>
      </c>
      <c r="M18" s="216">
        <f t="shared" si="2"/>
        <v>8.1784000000000006E-3</v>
      </c>
      <c r="N18" s="160">
        <f t="shared" si="6"/>
        <v>30.901788002543285</v>
      </c>
      <c r="O18" s="175">
        <v>0</v>
      </c>
      <c r="P18" s="175">
        <v>0</v>
      </c>
      <c r="Q18" s="175">
        <v>0</v>
      </c>
      <c r="R18" s="197">
        <f t="shared" si="0"/>
        <v>0</v>
      </c>
      <c r="T18" s="184">
        <v>9</v>
      </c>
      <c r="U18" s="199">
        <v>9.0000000000000002E-6</v>
      </c>
      <c r="V18" s="203">
        <f t="shared" si="1"/>
        <v>2.7811609202288954E-4</v>
      </c>
      <c r="W18" s="169"/>
      <c r="Y18" s="175">
        <f t="shared" si="7"/>
        <v>0</v>
      </c>
      <c r="Z18" s="175">
        <v>0</v>
      </c>
      <c r="AA18" s="175">
        <v>0</v>
      </c>
      <c r="AB18" s="272">
        <f t="shared" si="3"/>
        <v>0</v>
      </c>
      <c r="AD18" s="184">
        <f t="shared" si="4"/>
        <v>0</v>
      </c>
      <c r="AE18" s="199">
        <v>0</v>
      </c>
      <c r="AF18" s="278">
        <f t="shared" si="5"/>
        <v>0</v>
      </c>
    </row>
    <row r="19" spans="2:32">
      <c r="B19" s="142">
        <v>35</v>
      </c>
      <c r="C19" s="155" cm="1">
        <f t="array" ref="C19">_xlfn.IFNA(
   _xlfn._xlws.FILTER(
      Sim_Mul_Bet10!$H$3:$H$82,
      (Sim_Mul_Bet10!$A$3:$A$82=C$2) * (Sim_Mul_Bet10!$C$3:$C$82=$B19),0
   ),
   0
)</f>
        <v>2.7199999999999998E-6</v>
      </c>
      <c r="D19" s="156" cm="1">
        <f t="array" ref="D19">_xlfn.IFNA(
   _xlfn._xlws.FILTER(
      Sim_Mul_Bet10!$H$3:$H$82,
      (Sim_Mul_Bet10!$A$3:$A$82=D$2) * (Sim_Mul_Bet10!$C$3:$C$82=$B19),0
   ),
   0
)</f>
        <v>1.5636300000000001E-3</v>
      </c>
      <c r="E19" s="181" cm="1">
        <f t="array" ref="E19">_xlfn.IFNA(
   _xlfn._xlws.FILTER(
      Sim_Mul_Bet10!$H$3:$H$82,
      (Sim_Mul_Bet10!$A$3:$A$82=E$2) * (Sim_Mul_Bet10!$C$3:$C$82=$B19),0
   ),
   0
)</f>
        <v>0</v>
      </c>
      <c r="F19" s="150" cm="1">
        <f t="array" ref="F19">_xlfn.IFNA(
   _xlfn._xlws.FILTER(
      Sim_Mul_Bet10!$O$3:$O$82,
      (Sim_Mul_Bet10!$A$3:$A$82=C$2) * (Sim_Mul_Bet10!$C$3:$C$82=$B19),0
   ),
   0
)</f>
        <v>35.020955882352936</v>
      </c>
      <c r="G19" s="146" cm="1">
        <f t="array" ref="G19">_xlfn.IFNA(
   _xlfn._xlws.FILTER(
      Sim_Mul_Bet10!$O$3:$O$82,
      (Sim_Mul_Bet10!$A$3:$A$82=D$2) * (Sim_Mul_Bet10!$C$3:$C$82=$B19),0
   ),
   0
)</f>
        <v>36.520342408370261</v>
      </c>
      <c r="H19" s="147" cm="1">
        <f t="array" ref="H19">_xlfn.IFNA(
   _xlfn._xlws.FILTER(
      Sim_Mul_Bet10!$O$3:$O$82,
      (Sim_Mul_Bet10!$A$3:$A$82=E$2) * (Sim_Mul_Bet10!$C$3:$C$82=$B19),0
   ),
   0
)</f>
        <v>0</v>
      </c>
      <c r="J19">
        <v>16</v>
      </c>
      <c r="K19" s="206">
        <v>35</v>
      </c>
      <c r="L19" s="210" t="s">
        <v>91</v>
      </c>
      <c r="M19" s="216">
        <f t="shared" si="2"/>
        <v>1.5636300000000001E-3</v>
      </c>
      <c r="N19" s="160">
        <f t="shared" si="6"/>
        <v>36.520342408370261</v>
      </c>
      <c r="O19" s="175">
        <v>0</v>
      </c>
      <c r="P19" s="175">
        <v>0</v>
      </c>
      <c r="Q19" s="175">
        <v>0</v>
      </c>
      <c r="R19" s="197">
        <f t="shared" si="0"/>
        <v>0</v>
      </c>
      <c r="T19" s="184">
        <v>2</v>
      </c>
      <c r="U19" s="199">
        <v>1.9999999999999999E-6</v>
      </c>
      <c r="V19" s="203">
        <f t="shared" si="1"/>
        <v>7.3040684816740525E-5</v>
      </c>
      <c r="W19" s="169"/>
      <c r="Y19" s="175">
        <f t="shared" si="7"/>
        <v>0</v>
      </c>
      <c r="Z19" s="175">
        <v>0</v>
      </c>
      <c r="AA19" s="175">
        <v>0</v>
      </c>
      <c r="AB19" s="272">
        <f t="shared" si="3"/>
        <v>0</v>
      </c>
      <c r="AD19" s="184">
        <f t="shared" si="4"/>
        <v>0</v>
      </c>
      <c r="AE19" s="199">
        <v>0</v>
      </c>
      <c r="AF19" s="278">
        <f t="shared" si="5"/>
        <v>0</v>
      </c>
    </row>
    <row r="20" spans="2:32">
      <c r="B20" s="142">
        <v>40</v>
      </c>
      <c r="C20" s="155" cm="1">
        <f t="array" ref="C20">_xlfn.IFNA(
   _xlfn._xlws.FILTER(
      Sim_Mul_Bet10!$H$3:$H$82,
      (Sim_Mul_Bet10!$A$3:$A$82=C$2) * (Sim_Mul_Bet10!$C$3:$C$82=$B20),0
   ),
   0
)</f>
        <v>5.1200000000000001E-6</v>
      </c>
      <c r="D20" s="156" cm="1">
        <f t="array" ref="D20">_xlfn.IFNA(
   _xlfn._xlws.FILTER(
      Sim_Mul_Bet10!$H$3:$H$82,
      (Sim_Mul_Bet10!$A$3:$A$82=D$2) * (Sim_Mul_Bet10!$C$3:$C$82=$B20),0
   ),
   0
)</f>
        <v>1.04174E-3</v>
      </c>
      <c r="E20" s="181" cm="1">
        <f t="array" ref="E20">_xlfn.IFNA(
   _xlfn._xlws.FILTER(
      Sim_Mul_Bet10!$H$3:$H$82,
      (Sim_Mul_Bet10!$A$3:$A$82=E$2) * (Sim_Mul_Bet10!$C$3:$C$82=$B20),0
   ),
   0
)</f>
        <v>0</v>
      </c>
      <c r="F20" s="150" cm="1">
        <f t="array" ref="F20">_xlfn.IFNA(
   _xlfn._xlws.FILTER(
      Sim_Mul_Bet10!$O$3:$O$82,
      (Sim_Mul_Bet10!$A$3:$A$82=C$2) * (Sim_Mul_Bet10!$C$3:$C$82=$B20),0
   ),
   0
)</f>
        <v>40.036718749999999</v>
      </c>
      <c r="G20" s="146" cm="1">
        <f t="array" ref="G20">_xlfn.IFNA(
   _xlfn._xlws.FILTER(
      Sim_Mul_Bet10!$O$3:$O$82,
      (Sim_Mul_Bet10!$A$3:$A$82=D$2) * (Sim_Mul_Bet10!$C$3:$C$82=$B20),0
   ),
   0
)</f>
        <v>40.705754794862443</v>
      </c>
      <c r="H20" s="147" cm="1">
        <f t="array" ref="H20">_xlfn.IFNA(
   _xlfn._xlws.FILTER(
      Sim_Mul_Bet10!$O$3:$O$82,
      (Sim_Mul_Bet10!$A$3:$A$82=E$2) * (Sim_Mul_Bet10!$C$3:$C$82=$B20),0
   ),
   0
)</f>
        <v>0</v>
      </c>
      <c r="J20">
        <v>17</v>
      </c>
      <c r="K20" s="206">
        <v>40</v>
      </c>
      <c r="L20" s="210" t="s">
        <v>91</v>
      </c>
      <c r="M20" s="216">
        <f t="shared" si="2"/>
        <v>1.04174E-3</v>
      </c>
      <c r="N20" s="160">
        <f t="shared" si="6"/>
        <v>40.705754794862443</v>
      </c>
      <c r="O20" s="175">
        <v>0</v>
      </c>
      <c r="P20" s="175">
        <v>0</v>
      </c>
      <c r="Q20" s="175">
        <v>0</v>
      </c>
      <c r="R20" s="197">
        <f t="shared" si="0"/>
        <v>0</v>
      </c>
      <c r="T20" s="184">
        <v>1</v>
      </c>
      <c r="U20" s="199">
        <v>9.9999999999999995E-7</v>
      </c>
      <c r="V20" s="203">
        <f t="shared" si="1"/>
        <v>4.070575479486244E-5</v>
      </c>
      <c r="W20" s="169"/>
      <c r="Y20" s="175">
        <f t="shared" si="7"/>
        <v>0</v>
      </c>
      <c r="Z20" s="175">
        <v>0</v>
      </c>
      <c r="AA20" s="175">
        <v>0</v>
      </c>
      <c r="AB20" s="272">
        <f t="shared" si="3"/>
        <v>0</v>
      </c>
      <c r="AD20" s="184">
        <f t="shared" si="4"/>
        <v>0</v>
      </c>
      <c r="AE20" s="199">
        <v>0</v>
      </c>
      <c r="AF20" s="278">
        <f t="shared" si="5"/>
        <v>0</v>
      </c>
    </row>
    <row r="21" spans="2:32">
      <c r="B21" s="142">
        <v>45</v>
      </c>
      <c r="C21" s="155" cm="1">
        <f t="array" ref="C21">_xlfn.IFNA(
   _xlfn._xlws.FILTER(
      Sim_Mul_Bet10!$H$3:$H$82,
      (Sim_Mul_Bet10!$A$3:$A$82=C$2) * (Sim_Mul_Bet10!$C$3:$C$82=$B21),0
   ),
   0
)</f>
        <v>0</v>
      </c>
      <c r="D21" s="156" cm="1">
        <f t="array" ref="D21">_xlfn.IFNA(
   _xlfn._xlws.FILTER(
      Sim_Mul_Bet10!$H$3:$H$82,
      (Sim_Mul_Bet10!$A$3:$A$82=D$2) * (Sim_Mul_Bet10!$C$3:$C$82=$B21),0
   ),
   0
)</f>
        <v>1.282282E-2</v>
      </c>
      <c r="E21" s="181" cm="1">
        <f t="array" ref="E21">_xlfn.IFNA(
   _xlfn._xlws.FILTER(
      Sim_Mul_Bet10!$H$3:$H$82,
      (Sim_Mul_Bet10!$A$3:$A$82=E$2) * (Sim_Mul_Bet10!$C$3:$C$82=$B21),0
   ),
   0
)</f>
        <v>0</v>
      </c>
      <c r="F21" s="150" cm="1">
        <f t="array" ref="F21">_xlfn.IFNA(
   _xlfn._xlws.FILTER(
      Sim_Mul_Bet10!$O$3:$O$82,
      (Sim_Mul_Bet10!$A$3:$A$82=C$2) * (Sim_Mul_Bet10!$C$3:$C$82=$B21),0
   ),
   0
)</f>
        <v>0</v>
      </c>
      <c r="G21" s="146" cm="1">
        <f t="array" ref="G21">_xlfn.IFNA(
   _xlfn._xlws.FILTER(
      Sim_Mul_Bet10!$O$3:$O$82,
      (Sim_Mul_Bet10!$A$3:$A$82=D$2) * (Sim_Mul_Bet10!$C$3:$C$82=$B21),0
   ),
   0
)</f>
        <v>49.95742574566281</v>
      </c>
      <c r="H21" s="147" cm="1">
        <f t="array" ref="H21">_xlfn.IFNA(
   _xlfn._xlws.FILTER(
      Sim_Mul_Bet10!$O$3:$O$82,
      (Sim_Mul_Bet10!$A$3:$A$82=E$2) * (Sim_Mul_Bet10!$C$3:$C$82=$B21),0
   ),
   0
)</f>
        <v>0</v>
      </c>
      <c r="J21">
        <v>18</v>
      </c>
      <c r="K21" s="206">
        <v>45</v>
      </c>
      <c r="L21" s="210" t="s">
        <v>90</v>
      </c>
      <c r="M21" s="216">
        <f t="shared" si="2"/>
        <v>0</v>
      </c>
      <c r="N21" s="160">
        <f t="shared" si="6"/>
        <v>0</v>
      </c>
      <c r="O21" s="175">
        <v>1.74E-3</v>
      </c>
      <c r="P21" s="175">
        <v>1.74E-3</v>
      </c>
      <c r="Q21" s="175">
        <v>1.78394556941869E-3</v>
      </c>
      <c r="R21" s="197">
        <f t="shared" si="0"/>
        <v>0</v>
      </c>
      <c r="T21" s="184">
        <v>2281</v>
      </c>
      <c r="U21" s="199">
        <v>2.281E-3</v>
      </c>
      <c r="V21" s="203">
        <f t="shared" si="1"/>
        <v>0</v>
      </c>
      <c r="W21" s="169"/>
      <c r="Y21" s="175">
        <f t="shared" si="7"/>
        <v>1.74E-3</v>
      </c>
      <c r="Z21" s="175">
        <v>1.74E-3</v>
      </c>
      <c r="AA21" s="175">
        <v>1.78394556941869E-3</v>
      </c>
      <c r="AB21" s="272">
        <f t="shared" si="3"/>
        <v>0</v>
      </c>
      <c r="AD21" s="184">
        <f t="shared" si="4"/>
        <v>1740</v>
      </c>
      <c r="AE21" s="199">
        <v>1.74E-3</v>
      </c>
      <c r="AF21" s="278">
        <f t="shared" si="5"/>
        <v>0</v>
      </c>
    </row>
    <row r="22" spans="2:32">
      <c r="B22" s="142">
        <v>50</v>
      </c>
      <c r="C22" s="155" cm="1">
        <f t="array" ref="C22">_xlfn.IFNA(
   _xlfn._xlws.FILTER(
      Sim_Mul_Bet10!$H$3:$H$82,
      (Sim_Mul_Bet10!$A$3:$A$82=C$2) * (Sim_Mul_Bet10!$C$3:$C$82=$B22),0
   ),
   0
)</f>
        <v>3.29241E-3</v>
      </c>
      <c r="D22" s="156" cm="1">
        <f t="array" ref="D22">_xlfn.IFNA(
   _xlfn._xlws.FILTER(
      Sim_Mul_Bet10!$H$3:$H$82,
      (Sim_Mul_Bet10!$A$3:$A$82=D$2) * (Sim_Mul_Bet10!$C$3:$C$82=$B22),0
   ),
   0
)</f>
        <v>5.0672120000000001E-2</v>
      </c>
      <c r="E22" s="181" cm="1">
        <f t="array" ref="E22">_xlfn.IFNA(
   _xlfn._xlws.FILTER(
      Sim_Mul_Bet10!$H$3:$H$82,
      (Sim_Mul_Bet10!$A$3:$A$82=E$2) * (Sim_Mul_Bet10!$C$3:$C$82=$B22),0
   ),
   0
)</f>
        <v>0</v>
      </c>
      <c r="F22" s="150" cm="1">
        <f t="array" ref="F22">_xlfn.IFNA(
   _xlfn._xlws.FILTER(
      Sim_Mul_Bet10!$O$3:$O$82,
      (Sim_Mul_Bet10!$A$3:$A$82=C$2) * (Sim_Mul_Bet10!$C$3:$C$82=$B22),0
   ),
   0
)</f>
        <v>50.651807034968307</v>
      </c>
      <c r="G22" s="146" cm="1">
        <f t="array" ref="G22">_xlfn.IFNA(
   _xlfn._xlws.FILTER(
      Sim_Mul_Bet10!$O$3:$O$82,
      (Sim_Mul_Bet10!$A$3:$A$82=D$2) * (Sim_Mul_Bet10!$C$3:$C$82=$B22),0
   ),
   0
)</f>
        <v>52.618202810539607</v>
      </c>
      <c r="H22" s="147" cm="1">
        <f t="array" ref="H22">_xlfn.IFNA(
   _xlfn._xlws.FILTER(
      Sim_Mul_Bet10!$O$3:$O$82,
      (Sim_Mul_Bet10!$A$3:$A$82=E$2) * (Sim_Mul_Bet10!$C$3:$C$82=$B22),0
   ),
   0
)</f>
        <v>0</v>
      </c>
      <c r="J22">
        <v>19</v>
      </c>
      <c r="K22" s="206">
        <v>50</v>
      </c>
      <c r="L22" s="210" t="s">
        <v>91</v>
      </c>
      <c r="M22" s="216">
        <f t="shared" si="2"/>
        <v>5.0672120000000001E-2</v>
      </c>
      <c r="N22" s="160">
        <f t="shared" si="6"/>
        <v>52.618202810539607</v>
      </c>
      <c r="O22" s="175">
        <v>3.5799999999999998E-3</v>
      </c>
      <c r="P22" s="175">
        <v>3.5799999999999998E-3</v>
      </c>
      <c r="Q22" s="175">
        <v>3.58408429075344E-3</v>
      </c>
      <c r="R22" s="197">
        <f t="shared" si="0"/>
        <v>0.18837316606173179</v>
      </c>
      <c r="T22" s="184">
        <v>55</v>
      </c>
      <c r="U22" s="199">
        <v>5.5000000000000002E-5</v>
      </c>
      <c r="V22" s="203">
        <f t="shared" si="1"/>
        <v>2.8940011545796787E-3</v>
      </c>
      <c r="W22" s="169"/>
      <c r="Y22" s="175">
        <f t="shared" si="7"/>
        <v>3.5799999999999998E-3</v>
      </c>
      <c r="Z22" s="175">
        <v>3.5799999999999998E-3</v>
      </c>
      <c r="AA22" s="175">
        <v>3.58408429075344E-3</v>
      </c>
      <c r="AB22" s="272">
        <f t="shared" si="3"/>
        <v>0.18837316606173179</v>
      </c>
      <c r="AD22" s="184">
        <f t="shared" si="4"/>
        <v>3580</v>
      </c>
      <c r="AE22" s="199">
        <v>3.5799999999999998E-3</v>
      </c>
      <c r="AF22" s="278">
        <f t="shared" si="5"/>
        <v>0.18837316606173179</v>
      </c>
    </row>
    <row r="23" spans="2:32">
      <c r="B23" s="142">
        <v>60</v>
      </c>
      <c r="C23" s="155" cm="1">
        <f t="array" ref="C23">_xlfn.IFNA(
   _xlfn._xlws.FILTER(
      Sim_Mul_Bet10!$H$3:$H$82,
      (Sim_Mul_Bet10!$A$3:$A$82=C$2) * (Sim_Mul_Bet10!$C$3:$C$82=$B23),0
   ),
   0
)</f>
        <v>9.0000000000000002E-6</v>
      </c>
      <c r="D23" s="156" cm="1">
        <f t="array" ref="D23">_xlfn.IFNA(
   _xlfn._xlws.FILTER(
      Sim_Mul_Bet10!$H$3:$H$82,
      (Sim_Mul_Bet10!$A$3:$A$82=D$2) * (Sim_Mul_Bet10!$C$3:$C$82=$B23),0
   ),
   0
)</f>
        <v>3.8433600000000001E-3</v>
      </c>
      <c r="E23" s="181" cm="1">
        <f t="array" ref="E23">_xlfn.IFNA(
   _xlfn._xlws.FILTER(
      Sim_Mul_Bet10!$H$3:$H$82,
      (Sim_Mul_Bet10!$A$3:$A$82=E$2) * (Sim_Mul_Bet10!$C$3:$C$82=$B23),0
   ),
   0
)</f>
        <v>0</v>
      </c>
      <c r="F23" s="150" cm="1">
        <f t="array" ref="F23">_xlfn.IFNA(
   _xlfn._xlws.FILTER(
      Sim_Mul_Bet10!$O$3:$O$82,
      (Sim_Mul_Bet10!$A$3:$A$82=C$2) * (Sim_Mul_Bet10!$C$3:$C$82=$B23),0
   ),
   0
)</f>
        <v>60.836777777777776</v>
      </c>
      <c r="G23" s="146" cm="1">
        <f t="array" ref="G23">_xlfn.IFNA(
   _xlfn._xlws.FILTER(
      Sim_Mul_Bet10!$O$3:$O$82,
      (Sim_Mul_Bet10!$A$3:$A$82=D$2) * (Sim_Mul_Bet10!$C$3:$C$82=$B23),0
   ),
   0
)</f>
        <v>62.465114899462968</v>
      </c>
      <c r="H23" s="147" cm="1">
        <f t="array" ref="H23">_xlfn.IFNA(
   _xlfn._xlws.FILTER(
      Sim_Mul_Bet10!$O$3:$O$82,
      (Sim_Mul_Bet10!$A$3:$A$82=E$2) * (Sim_Mul_Bet10!$C$3:$C$82=$B23),0
   ),
   0
)</f>
        <v>0</v>
      </c>
      <c r="J23">
        <v>20</v>
      </c>
      <c r="K23" s="206">
        <v>60</v>
      </c>
      <c r="L23" s="210" t="s">
        <v>90</v>
      </c>
      <c r="M23" s="216">
        <f t="shared" si="2"/>
        <v>9.0000000000000002E-6</v>
      </c>
      <c r="N23" s="160">
        <f t="shared" si="6"/>
        <v>60.836777777777776</v>
      </c>
      <c r="O23" s="175">
        <v>0</v>
      </c>
      <c r="P23" s="175">
        <v>0</v>
      </c>
      <c r="Q23" s="175">
        <v>0</v>
      </c>
      <c r="R23" s="197">
        <f t="shared" si="0"/>
        <v>0</v>
      </c>
      <c r="T23" s="184">
        <v>1887</v>
      </c>
      <c r="U23" s="199">
        <v>1.887E-3</v>
      </c>
      <c r="V23" s="203">
        <f t="shared" si="1"/>
        <v>0.11479899966666667</v>
      </c>
      <c r="W23" s="169"/>
      <c r="Y23" s="175">
        <f t="shared" si="7"/>
        <v>0</v>
      </c>
      <c r="Z23" s="175">
        <v>0</v>
      </c>
      <c r="AA23" s="175">
        <v>0</v>
      </c>
      <c r="AB23" s="272">
        <f t="shared" si="3"/>
        <v>0</v>
      </c>
      <c r="AD23" s="184">
        <f t="shared" si="4"/>
        <v>0</v>
      </c>
      <c r="AE23" s="199">
        <v>0</v>
      </c>
      <c r="AF23" s="278">
        <f t="shared" si="5"/>
        <v>0</v>
      </c>
    </row>
    <row r="24" spans="2:32">
      <c r="B24" s="142">
        <v>70</v>
      </c>
      <c r="C24" s="155" cm="1">
        <f t="array" ref="C24">_xlfn.IFNA(
   _xlfn._xlws.FILTER(
      Sim_Mul_Bet10!$H$3:$H$82,
      (Sim_Mul_Bet10!$A$3:$A$82=C$2) * (Sim_Mul_Bet10!$C$3:$C$82=$B24),0
   ),
   0
)</f>
        <v>1.68E-6</v>
      </c>
      <c r="D24" s="156" cm="1">
        <f t="array" ref="D24">_xlfn.IFNA(
   _xlfn._xlws.FILTER(
      Sim_Mul_Bet10!$H$3:$H$82,
      (Sim_Mul_Bet10!$A$3:$A$82=D$2) * (Sim_Mul_Bet10!$C$3:$C$82=$B24),0
   ),
   0
)</f>
        <v>2.06777E-3</v>
      </c>
      <c r="E24" s="181" cm="1">
        <f t="array" ref="E24">_xlfn.IFNA(
   _xlfn._xlws.FILTER(
      Sim_Mul_Bet10!$H$3:$H$82,
      (Sim_Mul_Bet10!$A$3:$A$82=E$2) * (Sim_Mul_Bet10!$C$3:$C$82=$B24),0
   ),
   0
)</f>
        <v>0</v>
      </c>
      <c r="F24" s="150" cm="1">
        <f t="array" ref="F24">_xlfn.IFNA(
   _xlfn._xlws.FILTER(
      Sim_Mul_Bet10!$O$3:$O$82,
      (Sim_Mul_Bet10!$A$3:$A$82=C$2) * (Sim_Mul_Bet10!$C$3:$C$82=$B24),0
   ),
   0
)</f>
        <v>74.970238095238102</v>
      </c>
      <c r="G24" s="146" cm="1">
        <f t="array" ref="G24">_xlfn.IFNA(
   _xlfn._xlws.FILTER(
      Sim_Mul_Bet10!$O$3:$O$82,
      (Sim_Mul_Bet10!$A$3:$A$82=D$2) * (Sim_Mul_Bet10!$C$3:$C$82=$B24),0
   ),
   0
)</f>
        <v>74.892487559061209</v>
      </c>
      <c r="H24" s="147" cm="1">
        <f t="array" ref="H24">_xlfn.IFNA(
   _xlfn._xlws.FILTER(
      Sim_Mul_Bet10!$O$3:$O$82,
      (Sim_Mul_Bet10!$A$3:$A$82=E$2) * (Sim_Mul_Bet10!$C$3:$C$82=$B24),0
   ),
   0
)</f>
        <v>0</v>
      </c>
      <c r="J24">
        <v>21</v>
      </c>
      <c r="K24" s="206">
        <v>70</v>
      </c>
      <c r="L24" s="210" t="s">
        <v>91</v>
      </c>
      <c r="M24" s="216">
        <f t="shared" si="2"/>
        <v>2.06777E-3</v>
      </c>
      <c r="N24" s="160">
        <f t="shared" si="6"/>
        <v>74.892487559061209</v>
      </c>
      <c r="O24" s="175">
        <v>0</v>
      </c>
      <c r="P24" s="175">
        <v>0</v>
      </c>
      <c r="Q24" s="175">
        <v>0</v>
      </c>
      <c r="R24" s="197">
        <f t="shared" si="0"/>
        <v>0</v>
      </c>
      <c r="T24" s="184">
        <v>564</v>
      </c>
      <c r="U24" s="199">
        <v>5.6400000000000005E-4</v>
      </c>
      <c r="V24" s="203">
        <f t="shared" si="1"/>
        <v>4.2239362983310526E-2</v>
      </c>
      <c r="W24" s="169"/>
      <c r="Y24" s="175">
        <f t="shared" si="7"/>
        <v>0</v>
      </c>
      <c r="Z24" s="175">
        <v>0</v>
      </c>
      <c r="AA24" s="175">
        <v>0</v>
      </c>
      <c r="AB24" s="272">
        <f t="shared" si="3"/>
        <v>0</v>
      </c>
      <c r="AD24" s="184">
        <f t="shared" si="4"/>
        <v>0</v>
      </c>
      <c r="AE24" s="199">
        <v>0</v>
      </c>
      <c r="AF24" s="278">
        <f t="shared" si="5"/>
        <v>0</v>
      </c>
    </row>
    <row r="25" spans="2:32">
      <c r="B25" s="142">
        <v>80</v>
      </c>
      <c r="C25" s="155" cm="1">
        <f t="array" ref="C25">_xlfn.IFNA(
   _xlfn._xlws.FILTER(
      Sim_Mul_Bet10!$H$3:$H$82,
      (Sim_Mul_Bet10!$A$3:$A$82=C$2) * (Sim_Mul_Bet10!$C$3:$C$82=$B25),0
   ),
   0
)</f>
        <v>2.9999999999999997E-8</v>
      </c>
      <c r="D25" s="156" cm="1">
        <f t="array" ref="D25">_xlfn.IFNA(
   _xlfn._xlws.FILTER(
      Sim_Mul_Bet10!$H$3:$H$82,
      (Sim_Mul_Bet10!$A$3:$A$82=D$2) * (Sim_Mul_Bet10!$C$3:$C$82=$B25),0
   ),
   0
)</f>
        <v>4.6442E-4</v>
      </c>
      <c r="E25" s="181" cm="1">
        <f t="array" ref="E25">_xlfn.IFNA(
   _xlfn._xlws.FILTER(
      Sim_Mul_Bet10!$H$3:$H$82,
      (Sim_Mul_Bet10!$A$3:$A$82=E$2) * (Sim_Mul_Bet10!$C$3:$C$82=$B25),0
   ),
   0
)</f>
        <v>0</v>
      </c>
      <c r="F25" s="150" cm="1">
        <f t="array" ref="F25">_xlfn.IFNA(
   _xlfn._xlws.FILTER(
      Sim_Mul_Bet10!$O$3:$O$82,
      (Sim_Mul_Bet10!$A$3:$A$82=C$2) * (Sim_Mul_Bet10!$C$3:$C$82=$B25),0
   ),
   0
)</f>
        <v>80</v>
      </c>
      <c r="G25" s="146" cm="1">
        <f t="array" ref="G25">_xlfn.IFNA(
   _xlfn._xlws.FILTER(
      Sim_Mul_Bet10!$O$3:$O$82,
      (Sim_Mul_Bet10!$A$3:$A$82=D$2) * (Sim_Mul_Bet10!$C$3:$C$82=$B25),0
   ),
   0
)</f>
        <v>82.489369536195682</v>
      </c>
      <c r="H25" s="147" cm="1">
        <f t="array" ref="H25">_xlfn.IFNA(
   _xlfn._xlws.FILTER(
      Sim_Mul_Bet10!$O$3:$O$82,
      (Sim_Mul_Bet10!$A$3:$A$82=E$2) * (Sim_Mul_Bet10!$C$3:$C$82=$B25),0
   ),
   0
)</f>
        <v>0</v>
      </c>
      <c r="J25">
        <v>22</v>
      </c>
      <c r="K25" s="206">
        <v>80</v>
      </c>
      <c r="L25" s="210" t="s">
        <v>90</v>
      </c>
      <c r="M25" s="216">
        <f t="shared" si="2"/>
        <v>2.9999999999999997E-8</v>
      </c>
      <c r="N25" s="160">
        <f t="shared" si="6"/>
        <v>80</v>
      </c>
      <c r="O25" s="175">
        <v>0</v>
      </c>
      <c r="P25" s="175">
        <v>0</v>
      </c>
      <c r="Q25" s="175">
        <v>0</v>
      </c>
      <c r="R25" s="197">
        <f t="shared" si="0"/>
        <v>0</v>
      </c>
      <c r="T25" s="184">
        <v>0</v>
      </c>
      <c r="U25" s="199">
        <v>0</v>
      </c>
      <c r="V25" s="203">
        <f t="shared" si="1"/>
        <v>0</v>
      </c>
      <c r="W25" s="169"/>
      <c r="Y25" s="175">
        <f t="shared" si="7"/>
        <v>0</v>
      </c>
      <c r="Z25" s="175">
        <v>0</v>
      </c>
      <c r="AA25" s="175">
        <v>0</v>
      </c>
      <c r="AB25" s="272">
        <f t="shared" si="3"/>
        <v>0</v>
      </c>
      <c r="AD25" s="184">
        <f t="shared" si="4"/>
        <v>0</v>
      </c>
      <c r="AE25" s="199">
        <v>0</v>
      </c>
      <c r="AF25" s="278">
        <f t="shared" si="5"/>
        <v>0</v>
      </c>
    </row>
    <row r="26" spans="2:32">
      <c r="B26" s="142">
        <v>90</v>
      </c>
      <c r="C26" s="155" cm="1">
        <f t="array" ref="C26">_xlfn.IFNA(
   _xlfn._xlws.FILTER(
      Sim_Mul_Bet10!$H$3:$H$82,
      (Sim_Mul_Bet10!$A$3:$A$82=C$2) * (Sim_Mul_Bet10!$C$3:$C$82=$B26),0
   ),
   0
)</f>
        <v>0</v>
      </c>
      <c r="D26" s="156" cm="1">
        <f t="array" ref="D26">_xlfn.IFNA(
   _xlfn._xlws.FILTER(
      Sim_Mul_Bet10!$H$3:$H$82,
      (Sim_Mul_Bet10!$A$3:$A$82=D$2) * (Sim_Mul_Bet10!$C$3:$C$82=$B26),0
   ),
   0
)</f>
        <v>9.0632799999999999E-3</v>
      </c>
      <c r="E26" s="181" cm="1">
        <f t="array" ref="E26">_xlfn.IFNA(
   _xlfn._xlws.FILTER(
      Sim_Mul_Bet10!$H$3:$H$82,
      (Sim_Mul_Bet10!$A$3:$A$82=E$2) * (Sim_Mul_Bet10!$C$3:$C$82=$B26),0
   ),
   0
)</f>
        <v>0</v>
      </c>
      <c r="F26" s="150" cm="1">
        <f t="array" ref="F26">_xlfn.IFNA(
   _xlfn._xlws.FILTER(
      Sim_Mul_Bet10!$O$3:$O$82,
      (Sim_Mul_Bet10!$A$3:$A$82=C$2) * (Sim_Mul_Bet10!$C$3:$C$82=$B26),0
   ),
   0
)</f>
        <v>0</v>
      </c>
      <c r="G26" s="146" cm="1">
        <f t="array" ref="G26">_xlfn.IFNA(
   _xlfn._xlws.FILTER(
      Sim_Mul_Bet10!$O$3:$O$82,
      (Sim_Mul_Bet10!$A$3:$A$82=D$2) * (Sim_Mul_Bet10!$C$3:$C$82=$B26),0
   ),
   0
)</f>
        <v>100</v>
      </c>
      <c r="H26" s="147" cm="1">
        <f t="array" ref="H26">_xlfn.IFNA(
   _xlfn._xlws.FILTER(
      Sim_Mul_Bet10!$O$3:$O$82,
      (Sim_Mul_Bet10!$A$3:$A$82=E$2) * (Sim_Mul_Bet10!$C$3:$C$82=$B26),0
   ),
   0
)</f>
        <v>0</v>
      </c>
      <c r="J26">
        <v>23</v>
      </c>
      <c r="K26" s="206">
        <v>90</v>
      </c>
      <c r="L26" s="210" t="s">
        <v>91</v>
      </c>
      <c r="M26" s="216">
        <f t="shared" si="2"/>
        <v>9.0632799999999999E-3</v>
      </c>
      <c r="N26" s="160">
        <f t="shared" si="6"/>
        <v>100</v>
      </c>
      <c r="O26" s="175">
        <v>2.44E-5</v>
      </c>
      <c r="P26" s="175">
        <v>7.2999999999999999E-5</v>
      </c>
      <c r="Q26" s="175">
        <v>7.5568042274921904E-5</v>
      </c>
      <c r="R26" s="197">
        <f t="shared" si="0"/>
        <v>2.4399999999999999E-3</v>
      </c>
      <c r="T26" s="184">
        <v>10</v>
      </c>
      <c r="U26" s="199">
        <v>1.0000000000000001E-5</v>
      </c>
      <c r="V26" s="203">
        <f t="shared" si="1"/>
        <v>1E-3</v>
      </c>
      <c r="W26" s="169"/>
      <c r="Y26" s="175">
        <f t="shared" si="7"/>
        <v>7.2999999999999999E-5</v>
      </c>
      <c r="Z26" s="175">
        <v>7.2999999999999999E-5</v>
      </c>
      <c r="AA26" s="175">
        <v>7.5568042274921904E-5</v>
      </c>
      <c r="AB26" s="272">
        <f t="shared" si="3"/>
        <v>7.3000000000000001E-3</v>
      </c>
      <c r="AD26" s="184">
        <f t="shared" si="4"/>
        <v>73</v>
      </c>
      <c r="AE26" s="199">
        <v>7.2999999999999999E-5</v>
      </c>
      <c r="AF26" s="278">
        <f t="shared" si="5"/>
        <v>7.3000000000000001E-3</v>
      </c>
    </row>
    <row r="27" spans="2:32">
      <c r="B27" s="142">
        <v>100</v>
      </c>
      <c r="C27" s="155" cm="1">
        <f t="array" ref="C27">_xlfn.IFNA(
   _xlfn._xlws.FILTER(
      Sim_Mul_Bet10!$H$3:$H$82,
      (Sim_Mul_Bet10!$A$3:$A$82=C$2) * (Sim_Mul_Bet10!$C$3:$C$82=$B27),0
   ),
   0
)</f>
        <v>4.7721999999999999E-4</v>
      </c>
      <c r="D27" s="156" cm="1">
        <f t="array" ref="D27">_xlfn.IFNA(
   _xlfn._xlws.FILTER(
      Sim_Mul_Bet10!$H$3:$H$82,
      (Sim_Mul_Bet10!$A$3:$A$82=D$2) * (Sim_Mul_Bet10!$C$3:$C$82=$B27),0
   ),
   0
)</f>
        <v>5.0566010000000002E-2</v>
      </c>
      <c r="E27" s="181" cm="1">
        <f t="array" ref="E27">_xlfn.IFNA(
   _xlfn._xlws.FILTER(
      Sim_Mul_Bet10!$H$3:$H$82,
      (Sim_Mul_Bet10!$A$3:$A$82=E$2) * (Sim_Mul_Bet10!$C$3:$C$82=$B27),0
   ),
   0
)</f>
        <v>0</v>
      </c>
      <c r="F27" s="150" cm="1">
        <f t="array" ref="F27">_xlfn.IFNA(
   _xlfn._xlws.FILTER(
      Sim_Mul_Bet10!$O$3:$O$82,
      (Sim_Mul_Bet10!$A$3:$A$82=C$2) * (Sim_Mul_Bet10!$C$3:$C$82=$B27),0
   ),
   0
)</f>
        <v>100.39336364779346</v>
      </c>
      <c r="G27" s="146" cm="1">
        <f t="array" ref="G27">_xlfn.IFNA(
   _xlfn._xlws.FILTER(
      Sim_Mul_Bet10!$O$3:$O$82,
      (Sim_Mul_Bet10!$A$3:$A$82=D$2) * (Sim_Mul_Bet10!$C$3:$C$82=$B27),0
   ),
   0
)</f>
        <v>103.84301328105579</v>
      </c>
      <c r="H27" s="147" cm="1">
        <f t="array" ref="H27">_xlfn.IFNA(
   _xlfn._xlws.FILTER(
      Sim_Mul_Bet10!$O$3:$O$82,
      (Sim_Mul_Bet10!$A$3:$A$82=E$2) * (Sim_Mul_Bet10!$C$3:$C$82=$B27),0
   ),
   0
)</f>
        <v>0</v>
      </c>
      <c r="J27">
        <v>24</v>
      </c>
      <c r="K27" s="206">
        <v>100</v>
      </c>
      <c r="L27" s="210" t="s">
        <v>91</v>
      </c>
      <c r="M27" s="216">
        <f t="shared" si="2"/>
        <v>5.0566010000000002E-2</v>
      </c>
      <c r="N27" s="160">
        <f t="shared" si="6"/>
        <v>103.84301328105579</v>
      </c>
      <c r="O27" s="175">
        <v>1E-4</v>
      </c>
      <c r="P27" s="175">
        <v>1E-4</v>
      </c>
      <c r="Q27" s="175">
        <v>1.06604916780693E-4</v>
      </c>
      <c r="R27" s="197">
        <f t="shared" si="0"/>
        <v>1.0384301328105579E-2</v>
      </c>
      <c r="T27" s="184">
        <v>55</v>
      </c>
      <c r="U27" s="199">
        <v>5.5000000000000002E-5</v>
      </c>
      <c r="V27" s="203">
        <f t="shared" si="1"/>
        <v>5.7113657304580685E-3</v>
      </c>
      <c r="W27" s="169"/>
      <c r="Y27" s="175">
        <f t="shared" si="7"/>
        <v>1E-4</v>
      </c>
      <c r="Z27" s="175">
        <v>1E-4</v>
      </c>
      <c r="AA27" s="175">
        <v>1.06604916780693E-4</v>
      </c>
      <c r="AB27" s="272">
        <f t="shared" si="3"/>
        <v>1.0384301328105579E-2</v>
      </c>
      <c r="AD27" s="184">
        <f t="shared" si="4"/>
        <v>100</v>
      </c>
      <c r="AE27" s="199">
        <v>1E-4</v>
      </c>
      <c r="AF27" s="278">
        <f t="shared" si="5"/>
        <v>1.0384301328105579E-2</v>
      </c>
    </row>
    <row r="28" spans="2:32">
      <c r="B28" s="142">
        <v>120</v>
      </c>
      <c r="C28" s="155" cm="1">
        <f t="array" ref="C28">_xlfn.IFNA(
   _xlfn._xlws.FILTER(
      Sim_Mul_Bet10!$H$3:$H$82,
      (Sim_Mul_Bet10!$A$3:$A$82=C$2) * (Sim_Mul_Bet10!$C$3:$C$82=$B28),0
   ),
   0
)</f>
        <v>1E-8</v>
      </c>
      <c r="D28" s="156" cm="1">
        <f t="array" ref="D28">_xlfn.IFNA(
   _xlfn._xlws.FILTER(
      Sim_Mul_Bet10!$H$3:$H$82,
      (Sim_Mul_Bet10!$A$3:$A$82=D$2) * (Sim_Mul_Bet10!$C$3:$C$82=$B28),0
   ),
   0
)</f>
        <v>1.1481499999999999E-3</v>
      </c>
      <c r="E28" s="181" cm="1">
        <f t="array" ref="E28">_xlfn.IFNA(
   _xlfn._xlws.FILTER(
      Sim_Mul_Bet10!$H$3:$H$82,
      (Sim_Mul_Bet10!$A$3:$A$82=E$2) * (Sim_Mul_Bet10!$C$3:$C$82=$B28),0
   ),
   0
)</f>
        <v>0</v>
      </c>
      <c r="F28" s="150" cm="1">
        <f t="array" ref="F28">_xlfn.IFNA(
   _xlfn._xlws.FILTER(
      Sim_Mul_Bet10!$O$3:$O$82,
      (Sim_Mul_Bet10!$A$3:$A$82=C$2) * (Sim_Mul_Bet10!$C$3:$C$82=$B28),0
   ),
   0
)</f>
        <v>121</v>
      </c>
      <c r="G28" s="146" cm="1">
        <f t="array" ref="G28">_xlfn.IFNA(
   _xlfn._xlws.FILTER(
      Sim_Mul_Bet10!$O$3:$O$82,
      (Sim_Mul_Bet10!$A$3:$A$82=D$2) * (Sim_Mul_Bet10!$C$3:$C$82=$B28),0
   ),
   0
)</f>
        <v>126.6204851282498</v>
      </c>
      <c r="H28" s="147" cm="1">
        <f t="array" ref="H28">_xlfn.IFNA(
   _xlfn._xlws.FILTER(
      Sim_Mul_Bet10!$O$3:$O$82,
      (Sim_Mul_Bet10!$A$3:$A$82=E$2) * (Sim_Mul_Bet10!$C$3:$C$82=$B28),0
   ),
   0
)</f>
        <v>0</v>
      </c>
      <c r="J28">
        <v>25</v>
      </c>
      <c r="K28" s="206">
        <v>120</v>
      </c>
      <c r="L28" s="210" t="s">
        <v>91</v>
      </c>
      <c r="M28" s="216">
        <f t="shared" si="2"/>
        <v>1.1481499999999999E-3</v>
      </c>
      <c r="N28" s="160">
        <f t="shared" si="6"/>
        <v>126.6204851282498</v>
      </c>
      <c r="O28" s="175">
        <v>0</v>
      </c>
      <c r="P28" s="175">
        <v>0</v>
      </c>
      <c r="Q28" s="175">
        <v>0</v>
      </c>
      <c r="R28" s="197">
        <f t="shared" si="0"/>
        <v>0</v>
      </c>
      <c r="T28" s="184">
        <v>1</v>
      </c>
      <c r="U28" s="199">
        <v>9.9999999999999995E-7</v>
      </c>
      <c r="V28" s="203">
        <f t="shared" si="1"/>
        <v>1.266204851282498E-4</v>
      </c>
      <c r="W28" s="169"/>
      <c r="Y28" s="175">
        <f t="shared" si="7"/>
        <v>0</v>
      </c>
      <c r="Z28" s="175">
        <v>0</v>
      </c>
      <c r="AA28" s="175">
        <v>0</v>
      </c>
      <c r="AB28" s="272">
        <f t="shared" si="3"/>
        <v>0</v>
      </c>
      <c r="AD28" s="184">
        <f t="shared" si="4"/>
        <v>0</v>
      </c>
      <c r="AE28" s="199">
        <v>0</v>
      </c>
      <c r="AF28" s="278">
        <f t="shared" si="5"/>
        <v>0</v>
      </c>
    </row>
    <row r="29" spans="2:32">
      <c r="B29" s="142">
        <v>140</v>
      </c>
      <c r="C29" s="155" cm="1">
        <f t="array" ref="C29">_xlfn.IFNA(
   _xlfn._xlws.FILTER(
      Sim_Mul_Bet10!$H$3:$H$82,
      (Sim_Mul_Bet10!$A$3:$A$82=C$2) * (Sim_Mul_Bet10!$C$3:$C$82=$B29),0
   ),
   0
)</f>
        <v>7.3E-7</v>
      </c>
      <c r="D29" s="156" cm="1">
        <f t="array" ref="D29">_xlfn.IFNA(
   _xlfn._xlws.FILTER(
      Sim_Mul_Bet10!$H$3:$H$82,
      (Sim_Mul_Bet10!$A$3:$A$82=D$2) * (Sim_Mul_Bet10!$C$3:$C$82=$B29),0
   ),
   0
)</f>
        <v>2.8225500000000001E-3</v>
      </c>
      <c r="E29" s="181" cm="1">
        <f t="array" ref="E29">_xlfn.IFNA(
   _xlfn._xlws.FILTER(
      Sim_Mul_Bet10!$H$3:$H$82,
      (Sim_Mul_Bet10!$A$3:$A$82=E$2) * (Sim_Mul_Bet10!$C$3:$C$82=$B29),0
   ),
   0
)</f>
        <v>0</v>
      </c>
      <c r="F29" s="150" cm="1">
        <f t="array" ref="F29">_xlfn.IFNA(
   _xlfn._xlws.FILTER(
      Sim_Mul_Bet10!$O$3:$O$82,
      (Sim_Mul_Bet10!$A$3:$A$82=C$2) * (Sim_Mul_Bet10!$C$3:$C$82=$B29),0
   ),
   0
)</f>
        <v>150.15068493150685</v>
      </c>
      <c r="G29" s="146" cm="1">
        <f t="array" ref="G29">_xlfn.IFNA(
   _xlfn._xlws.FILTER(
      Sim_Mul_Bet10!$O$3:$O$82,
      (Sim_Mul_Bet10!$A$3:$A$82=D$2) * (Sim_Mul_Bet10!$C$3:$C$82=$B29),0
   ),
   0
)</f>
        <v>152.32300791837167</v>
      </c>
      <c r="H29" s="147" cm="1">
        <f t="array" ref="H29">_xlfn.IFNA(
   _xlfn._xlws.FILTER(
      Sim_Mul_Bet10!$O$3:$O$82,
      (Sim_Mul_Bet10!$A$3:$A$82=E$2) * (Sim_Mul_Bet10!$C$3:$C$82=$B29),0
   ),
   0
)</f>
        <v>0</v>
      </c>
      <c r="J29">
        <v>26</v>
      </c>
      <c r="K29" s="206">
        <v>140</v>
      </c>
      <c r="L29" s="210" t="s">
        <v>91</v>
      </c>
      <c r="M29" s="216">
        <f t="shared" si="2"/>
        <v>2.8225500000000001E-3</v>
      </c>
      <c r="N29" s="160">
        <f t="shared" si="6"/>
        <v>152.32300791837167</v>
      </c>
      <c r="O29" s="175">
        <v>1.3494293263378899E-6</v>
      </c>
      <c r="P29" s="175">
        <v>1.3494293263378899E-6</v>
      </c>
      <c r="Q29" s="175">
        <v>1.3494293263378899E-6</v>
      </c>
      <c r="R29" s="197">
        <f t="shared" si="0"/>
        <v>2.0554913396104936E-4</v>
      </c>
      <c r="T29" s="184">
        <v>83</v>
      </c>
      <c r="U29" s="199">
        <v>8.2999999999999998E-5</v>
      </c>
      <c r="V29" s="203">
        <f t="shared" si="1"/>
        <v>1.2642809657224849E-2</v>
      </c>
      <c r="W29" s="169"/>
      <c r="Y29" s="175">
        <f t="shared" si="7"/>
        <v>1.3494293263378899E-6</v>
      </c>
      <c r="Z29" s="175">
        <v>1.3494293263378899E-6</v>
      </c>
      <c r="AA29" s="175">
        <v>1.3494293263378899E-6</v>
      </c>
      <c r="AB29" s="272">
        <f t="shared" si="3"/>
        <v>2.0554913396104936E-4</v>
      </c>
      <c r="AD29" s="184">
        <f t="shared" si="4"/>
        <v>1</v>
      </c>
      <c r="AE29" s="199">
        <v>9.9999999999999995E-7</v>
      </c>
      <c r="AF29" s="278">
        <f t="shared" si="5"/>
        <v>1.5232300791837166E-4</v>
      </c>
    </row>
    <row r="30" spans="2:32">
      <c r="B30" s="142">
        <v>160</v>
      </c>
      <c r="C30" s="155" cm="1">
        <f t="array" ref="C30">_xlfn.IFNA(
   _xlfn._xlws.FILTER(
      Sim_Mul_Bet10!$H$3:$H$82,
      (Sim_Mul_Bet10!$A$3:$A$82=C$2) * (Sim_Mul_Bet10!$C$3:$C$82=$B30),0
   ),
   0
)</f>
        <v>0</v>
      </c>
      <c r="D30" s="156" cm="1">
        <f t="array" ref="D30">_xlfn.IFNA(
   _xlfn._xlws.FILTER(
      Sim_Mul_Bet10!$H$3:$H$82,
      (Sim_Mul_Bet10!$A$3:$A$82=D$2) * (Sim_Mul_Bet10!$C$3:$C$82=$B30),0
   ),
   0
)</f>
        <v>4.401E-5</v>
      </c>
      <c r="E30" s="181" cm="1">
        <f t="array" ref="E30">_xlfn.IFNA(
   _xlfn._xlws.FILTER(
      Sim_Mul_Bet10!$H$3:$H$82,
      (Sim_Mul_Bet10!$A$3:$A$82=E$2) * (Sim_Mul_Bet10!$C$3:$C$82=$B30),0
   ),
   0
)</f>
        <v>0</v>
      </c>
      <c r="F30" s="150" cm="1">
        <f t="array" ref="F30">_xlfn.IFNA(
   _xlfn._xlws.FILTER(
      Sim_Mul_Bet10!$O$3:$O$82,
      (Sim_Mul_Bet10!$A$3:$A$82=C$2) * (Sim_Mul_Bet10!$C$3:$C$82=$B30),0
   ),
   0
)</f>
        <v>0</v>
      </c>
      <c r="G30" s="146" cm="1">
        <f t="array" ref="G30">_xlfn.IFNA(
   _xlfn._xlws.FILTER(
      Sim_Mul_Bet10!$O$3:$O$82,
      (Sim_Mul_Bet10!$A$3:$A$82=D$2) * (Sim_Mul_Bet10!$C$3:$C$82=$B30),0
   ),
   0
)</f>
        <v>160.45062485798681</v>
      </c>
      <c r="H30" s="147" cm="1">
        <f t="array" ref="H30">_xlfn.IFNA(
   _xlfn._xlws.FILTER(
      Sim_Mul_Bet10!$O$3:$O$82,
      (Sim_Mul_Bet10!$A$3:$A$82=E$2) * (Sim_Mul_Bet10!$C$3:$C$82=$B30),0
   ),
   0
)</f>
        <v>0</v>
      </c>
      <c r="J30">
        <v>27</v>
      </c>
      <c r="K30" s="206">
        <v>160</v>
      </c>
      <c r="L30" s="210" t="s">
        <v>90</v>
      </c>
      <c r="M30" s="216">
        <f t="shared" si="2"/>
        <v>0</v>
      </c>
      <c r="N30" s="160">
        <f t="shared" si="6"/>
        <v>0</v>
      </c>
      <c r="O30" s="175">
        <v>0</v>
      </c>
      <c r="P30" s="175">
        <v>0</v>
      </c>
      <c r="Q30" s="175">
        <v>0</v>
      </c>
      <c r="R30" s="197">
        <f t="shared" si="0"/>
        <v>0</v>
      </c>
      <c r="T30" s="184">
        <v>0</v>
      </c>
      <c r="U30" s="199">
        <v>0</v>
      </c>
      <c r="V30" s="203">
        <f t="shared" si="1"/>
        <v>0</v>
      </c>
      <c r="W30" s="169"/>
      <c r="Y30" s="175">
        <f t="shared" si="7"/>
        <v>0</v>
      </c>
      <c r="Z30" s="175">
        <v>0</v>
      </c>
      <c r="AA30" s="175">
        <v>0</v>
      </c>
      <c r="AB30" s="272">
        <f t="shared" si="3"/>
        <v>0</v>
      </c>
      <c r="AD30" s="184">
        <f t="shared" si="4"/>
        <v>0</v>
      </c>
      <c r="AE30" s="199">
        <v>0</v>
      </c>
      <c r="AF30" s="278">
        <f t="shared" si="5"/>
        <v>0</v>
      </c>
    </row>
    <row r="31" spans="2:32">
      <c r="B31" s="142">
        <v>180</v>
      </c>
      <c r="C31" s="155" cm="1">
        <f t="array" ref="C31">_xlfn.IFNA(
   _xlfn._xlws.FILTER(
      Sim_Mul_Bet10!$H$3:$H$82,
      (Sim_Mul_Bet10!$A$3:$A$82=C$2) * (Sim_Mul_Bet10!$C$3:$C$82=$B31),0
   ),
   0
)</f>
        <v>0</v>
      </c>
      <c r="D31" s="156" cm="1">
        <f t="array" ref="D31">_xlfn.IFNA(
   _xlfn._xlws.FILTER(
      Sim_Mul_Bet10!$H$3:$H$82,
      (Sim_Mul_Bet10!$A$3:$A$82=D$2) * (Sim_Mul_Bet10!$C$3:$C$82=$B31),0
   ),
   0
)</f>
        <v>3.2921000000000001E-3</v>
      </c>
      <c r="E31" s="181" cm="1">
        <f t="array" ref="E31">_xlfn.IFNA(
   _xlfn._xlws.FILTER(
      Sim_Mul_Bet10!$H$3:$H$82,
      (Sim_Mul_Bet10!$A$3:$A$82=E$2) * (Sim_Mul_Bet10!$C$3:$C$82=$B31),0
   ),
   0
)</f>
        <v>0</v>
      </c>
      <c r="F31" s="150" cm="1">
        <f t="array" ref="F31">_xlfn.IFNA(
   _xlfn._xlws.FILTER(
      Sim_Mul_Bet10!$O$3:$O$82,
      (Sim_Mul_Bet10!$A$3:$A$82=C$2) * (Sim_Mul_Bet10!$C$3:$C$82=$B31),0
   ),
   0
)</f>
        <v>0</v>
      </c>
      <c r="G31" s="146" cm="1">
        <f t="array" ref="G31">_xlfn.IFNA(
   _xlfn._xlws.FILTER(
      Sim_Mul_Bet10!$O$3:$O$82,
      (Sim_Mul_Bet10!$A$3:$A$82=D$2) * (Sim_Mul_Bet10!$C$3:$C$82=$B31),0
   ),
   0
)</f>
        <v>200</v>
      </c>
      <c r="H31" s="147" cm="1">
        <f t="array" ref="H31">_xlfn.IFNA(
   _xlfn._xlws.FILTER(
      Sim_Mul_Bet10!$O$3:$O$82,
      (Sim_Mul_Bet10!$A$3:$A$82=E$2) * (Sim_Mul_Bet10!$C$3:$C$82=$B31),0
   ),
   0
)</f>
        <v>0</v>
      </c>
      <c r="J31">
        <v>28</v>
      </c>
      <c r="K31" s="206">
        <v>180</v>
      </c>
      <c r="L31" s="210" t="s">
        <v>91</v>
      </c>
      <c r="M31" s="216">
        <f t="shared" si="2"/>
        <v>3.2921000000000001E-3</v>
      </c>
      <c r="N31" s="160">
        <f t="shared" si="6"/>
        <v>200</v>
      </c>
      <c r="O31" s="175">
        <v>3.3735733158447298E-5</v>
      </c>
      <c r="P31" s="175">
        <v>3.3735733158447298E-5</v>
      </c>
      <c r="Q31" s="175">
        <v>3.3735733158447298E-5</v>
      </c>
      <c r="R31" s="197">
        <f t="shared" si="0"/>
        <v>6.7471466316894593E-3</v>
      </c>
      <c r="T31" s="184">
        <v>4</v>
      </c>
      <c r="U31" s="199">
        <v>3.9999999999999998E-6</v>
      </c>
      <c r="V31" s="203">
        <f t="shared" si="1"/>
        <v>7.9999999999999993E-4</v>
      </c>
      <c r="W31" s="169"/>
      <c r="Y31" s="175">
        <f t="shared" si="7"/>
        <v>3.3735733158447298E-5</v>
      </c>
      <c r="Z31" s="175">
        <v>3.3735733158447298E-5</v>
      </c>
      <c r="AA31" s="175">
        <v>3.3735733158447298E-5</v>
      </c>
      <c r="AB31" s="272">
        <f t="shared" si="3"/>
        <v>6.7471466316894593E-3</v>
      </c>
      <c r="AD31" s="184">
        <f t="shared" si="4"/>
        <v>34</v>
      </c>
      <c r="AE31" s="199">
        <v>3.4E-5</v>
      </c>
      <c r="AF31" s="278">
        <f t="shared" si="5"/>
        <v>6.7999999999999996E-3</v>
      </c>
    </row>
    <row r="32" spans="2:32">
      <c r="B32" s="142">
        <v>200</v>
      </c>
      <c r="C32" s="155" cm="1">
        <f t="array" ref="C32">_xlfn.IFNA(
   _xlfn._xlws.FILTER(
      Sim_Mul_Bet10!$H$3:$H$82,
      (Sim_Mul_Bet10!$A$3:$A$82=C$2) * (Sim_Mul_Bet10!$C$3:$C$82=$B32),0
   ),
   0
)</f>
        <v>1.738E-5</v>
      </c>
      <c r="D32" s="156" cm="1">
        <f t="array" ref="D32">_xlfn.IFNA(
   _xlfn._xlws.FILTER(
      Sim_Mul_Bet10!$H$3:$H$82,
      (Sim_Mul_Bet10!$A$3:$A$82=D$2) * (Sim_Mul_Bet10!$C$3:$C$82=$B32),0
   ),
   0
)</f>
        <v>1.358359E-2</v>
      </c>
      <c r="E32" s="181" cm="1">
        <f t="array" ref="E32">_xlfn.IFNA(
   _xlfn._xlws.FILTER(
      Sim_Mul_Bet10!$H$3:$H$82,
      (Sim_Mul_Bet10!$A$3:$A$82=E$2) * (Sim_Mul_Bet10!$C$3:$C$82=$B32),0
   ),
   0
)</f>
        <v>0</v>
      </c>
      <c r="F32" s="150" cm="1">
        <f t="array" ref="F32">_xlfn.IFNA(
   _xlfn._xlws.FILTER(
      Sim_Mul_Bet10!$O$3:$O$82,
      (Sim_Mul_Bet10!$A$3:$A$82=C$2) * (Sim_Mul_Bet10!$C$3:$C$82=$B32),0
   ),
   0
)</f>
        <v>200.2433256616801</v>
      </c>
      <c r="G32" s="146" cm="1">
        <f t="array" ref="G32">_xlfn.IFNA(
   _xlfn._xlws.FILTER(
      Sim_Mul_Bet10!$O$3:$O$82,
      (Sim_Mul_Bet10!$A$3:$A$82=D$2) * (Sim_Mul_Bet10!$C$3:$C$82=$B32),0
   ),
   0
)</f>
        <v>205.52915113015041</v>
      </c>
      <c r="H32" s="147" cm="1">
        <f t="array" ref="H32">_xlfn.IFNA(
   _xlfn._xlws.FILTER(
      Sim_Mul_Bet10!$O$3:$O$82,
      (Sim_Mul_Bet10!$A$3:$A$82=E$2) * (Sim_Mul_Bet10!$C$3:$C$82=$B32),0
   ),
   0
)</f>
        <v>0</v>
      </c>
      <c r="J32">
        <v>29</v>
      </c>
      <c r="K32" s="206">
        <v>200</v>
      </c>
      <c r="L32" s="210" t="s">
        <v>91</v>
      </c>
      <c r="M32" s="216">
        <f t="shared" si="2"/>
        <v>1.358359E-2</v>
      </c>
      <c r="N32" s="160">
        <f t="shared" si="6"/>
        <v>205.52915113015041</v>
      </c>
      <c r="O32" s="175">
        <v>0</v>
      </c>
      <c r="P32" s="175">
        <v>0</v>
      </c>
      <c r="Q32" s="175">
        <v>0</v>
      </c>
      <c r="R32" s="197">
        <f t="shared" si="0"/>
        <v>0</v>
      </c>
      <c r="T32" s="184">
        <v>3</v>
      </c>
      <c r="U32" s="199">
        <v>3.0000000000000001E-6</v>
      </c>
      <c r="V32" s="203">
        <f t="shared" si="1"/>
        <v>6.165874533904512E-4</v>
      </c>
      <c r="W32" s="169"/>
      <c r="Y32" s="175">
        <f t="shared" si="7"/>
        <v>0</v>
      </c>
      <c r="Z32" s="175">
        <v>0</v>
      </c>
      <c r="AA32" s="175">
        <v>0</v>
      </c>
      <c r="AB32" s="272">
        <f t="shared" si="3"/>
        <v>0</v>
      </c>
      <c r="AD32" s="184">
        <f t="shared" si="4"/>
        <v>0</v>
      </c>
      <c r="AE32" s="199">
        <v>0</v>
      </c>
      <c r="AF32" s="278">
        <f t="shared" si="5"/>
        <v>0</v>
      </c>
    </row>
    <row r="33" spans="2:32">
      <c r="B33" s="142">
        <v>250</v>
      </c>
      <c r="C33" s="155" cm="1">
        <f t="array" ref="C33">_xlfn.IFNA(
   _xlfn._xlws.FILTER(
      Sim_Mul_Bet10!$H$3:$H$82,
      (Sim_Mul_Bet10!$A$3:$A$82=C$2) * (Sim_Mul_Bet10!$C$3:$C$82=$B33),0
   ),
   0
)</f>
        <v>6.7399999999999998E-6</v>
      </c>
      <c r="D33" s="156" cm="1">
        <f t="array" ref="D33">_xlfn.IFNA(
   _xlfn._xlws.FILTER(
      Sim_Mul_Bet10!$H$3:$H$82,
      (Sim_Mul_Bet10!$A$3:$A$82=D$2) * (Sim_Mul_Bet10!$C$3:$C$82=$B33),0
   ),
   0
)</f>
        <v>4.22172E-3</v>
      </c>
      <c r="E33" s="181" cm="1">
        <f t="array" ref="E33">_xlfn.IFNA(
   _xlfn._xlws.FILTER(
      Sim_Mul_Bet10!$H$3:$H$82,
      (Sim_Mul_Bet10!$A$3:$A$82=E$2) * (Sim_Mul_Bet10!$C$3:$C$82=$B33),0
   ),
   0
)</f>
        <v>0</v>
      </c>
      <c r="F33" s="150" cm="1">
        <f t="array" ref="F33">_xlfn.IFNA(
   _xlfn._xlws.FILTER(
      Sim_Mul_Bet10!$O$3:$O$82,
      (Sim_Mul_Bet10!$A$3:$A$82=C$2) * (Sim_Mul_Bet10!$C$3:$C$82=$B33),0
   ),
   0
)</f>
        <v>251.07937685459942</v>
      </c>
      <c r="G33" s="146" cm="1">
        <f t="array" ref="G33">_xlfn.IFNA(
   _xlfn._xlws.FILTER(
      Sim_Mul_Bet10!$O$3:$O$82,
      (Sim_Mul_Bet10!$A$3:$A$82=D$2) * (Sim_Mul_Bet10!$C$3:$C$82=$B33),0
   ),
   0
)</f>
        <v>261.81706508247822</v>
      </c>
      <c r="H33" s="147" cm="1">
        <f t="array" ref="H33">_xlfn.IFNA(
   _xlfn._xlws.FILTER(
      Sim_Mul_Bet10!$O$3:$O$82,
      (Sim_Mul_Bet10!$A$3:$A$82=E$2) * (Sim_Mul_Bet10!$C$3:$C$82=$B33),0
   ),
   0
)</f>
        <v>0</v>
      </c>
      <c r="J33">
        <v>30</v>
      </c>
      <c r="K33" s="206">
        <v>250</v>
      </c>
      <c r="L33" s="210" t="s">
        <v>91</v>
      </c>
      <c r="M33" s="216">
        <f t="shared" si="2"/>
        <v>4.22172E-3</v>
      </c>
      <c r="N33" s="160">
        <f t="shared" si="6"/>
        <v>261.81706508247822</v>
      </c>
      <c r="O33" s="175">
        <v>0</v>
      </c>
      <c r="P33" s="175">
        <v>0</v>
      </c>
      <c r="Q33" s="175">
        <v>0</v>
      </c>
      <c r="R33" s="197">
        <f t="shared" si="0"/>
        <v>0</v>
      </c>
      <c r="T33" s="184">
        <v>5</v>
      </c>
      <c r="U33" s="199">
        <v>5.0000000000000004E-6</v>
      </c>
      <c r="V33" s="203">
        <f t="shared" si="1"/>
        <v>1.3090853254123912E-3</v>
      </c>
      <c r="W33" s="169"/>
      <c r="Y33" s="175">
        <f t="shared" si="7"/>
        <v>0</v>
      </c>
      <c r="Z33" s="175">
        <v>0</v>
      </c>
      <c r="AA33" s="175">
        <v>0</v>
      </c>
      <c r="AB33" s="272">
        <f t="shared" si="3"/>
        <v>0</v>
      </c>
      <c r="AD33" s="184">
        <f t="shared" si="4"/>
        <v>0</v>
      </c>
      <c r="AE33" s="199">
        <v>0</v>
      </c>
      <c r="AF33" s="278">
        <f t="shared" si="5"/>
        <v>0</v>
      </c>
    </row>
    <row r="34" spans="2:32">
      <c r="B34" s="142">
        <v>300</v>
      </c>
      <c r="C34" s="155" cm="1">
        <f t="array" ref="C34">_xlfn.IFNA(
   _xlfn._xlws.FILTER(
      Sim_Mul_Bet10!$H$3:$H$82,
      (Sim_Mul_Bet10!$A$3:$A$82=C$2) * (Sim_Mul_Bet10!$C$3:$C$82=$B34),0
   ),
   0
)</f>
        <v>0</v>
      </c>
      <c r="D34" s="156" cm="1">
        <f t="array" ref="D34">_xlfn.IFNA(
   _xlfn._xlws.FILTER(
      Sim_Mul_Bet10!$H$3:$H$82,
      (Sim_Mul_Bet10!$A$3:$A$82=D$2) * (Sim_Mul_Bet10!$C$3:$C$82=$B34),0
   ),
   0
)</f>
        <v>4.6202999999999999E-4</v>
      </c>
      <c r="E34" s="181" cm="1">
        <f t="array" ref="E34">_xlfn.IFNA(
   _xlfn._xlws.FILTER(
      Sim_Mul_Bet10!$H$3:$H$82,
      (Sim_Mul_Bet10!$A$3:$A$82=E$2) * (Sim_Mul_Bet10!$C$3:$C$82=$B34),0
   ),
   0
)</f>
        <v>0</v>
      </c>
      <c r="F34" s="150" cm="1">
        <f t="array" ref="F34">_xlfn.IFNA(
   _xlfn._xlws.FILTER(
      Sim_Mul_Bet10!$O$3:$O$82,
      (Sim_Mul_Bet10!$A$3:$A$82=C$2) * (Sim_Mul_Bet10!$C$3:$C$82=$B34),0
   ),
   0
)</f>
        <v>0</v>
      </c>
      <c r="G34" s="146" cm="1">
        <f t="array" ref="G34">_xlfn.IFNA(
   _xlfn._xlws.FILTER(
      Sim_Mul_Bet10!$O$3:$O$82,
      (Sim_Mul_Bet10!$A$3:$A$82=D$2) * (Sim_Mul_Bet10!$C$3:$C$82=$B34),0
   ),
   0
)</f>
        <v>302.47571802696797</v>
      </c>
      <c r="H34" s="147" cm="1">
        <f t="array" ref="H34">_xlfn.IFNA(
   _xlfn._xlws.FILTER(
      Sim_Mul_Bet10!$O$3:$O$82,
      (Sim_Mul_Bet10!$A$3:$A$82=E$2) * (Sim_Mul_Bet10!$C$3:$C$82=$B34),0
   ),
   0
)</f>
        <v>0</v>
      </c>
      <c r="J34">
        <v>31</v>
      </c>
      <c r="K34" s="206">
        <v>300</v>
      </c>
      <c r="L34" s="210" t="s">
        <v>90</v>
      </c>
      <c r="M34" s="216">
        <f t="shared" si="2"/>
        <v>0</v>
      </c>
      <c r="N34" s="160">
        <f t="shared" si="6"/>
        <v>0</v>
      </c>
      <c r="O34" s="175">
        <v>0</v>
      </c>
      <c r="P34" s="175">
        <v>0</v>
      </c>
      <c r="Q34" s="175">
        <v>0</v>
      </c>
      <c r="R34" s="197">
        <f t="shared" si="0"/>
        <v>0</v>
      </c>
      <c r="T34" s="184">
        <v>0</v>
      </c>
      <c r="U34" s="199">
        <v>0</v>
      </c>
      <c r="V34" s="203">
        <f t="shared" si="1"/>
        <v>0</v>
      </c>
      <c r="W34" s="169"/>
      <c r="Y34" s="175">
        <f t="shared" si="7"/>
        <v>0</v>
      </c>
      <c r="Z34" s="175">
        <v>0</v>
      </c>
      <c r="AA34" s="175">
        <v>0</v>
      </c>
      <c r="AB34" s="272">
        <f t="shared" si="3"/>
        <v>0</v>
      </c>
      <c r="AD34" s="184">
        <f t="shared" si="4"/>
        <v>0</v>
      </c>
      <c r="AE34" s="199">
        <v>0</v>
      </c>
      <c r="AF34" s="278">
        <f t="shared" si="5"/>
        <v>0</v>
      </c>
    </row>
    <row r="35" spans="2:32">
      <c r="B35" s="142">
        <v>350</v>
      </c>
      <c r="C35" s="155" cm="1">
        <f t="array" ref="C35">_xlfn.IFNA(
   _xlfn._xlws.FILTER(
      Sim_Mul_Bet10!$H$3:$H$82,
      (Sim_Mul_Bet10!$A$3:$A$82=C$2) * (Sim_Mul_Bet10!$C$3:$C$82=$B35),0
   ),
   0
)</f>
        <v>0</v>
      </c>
      <c r="D35" s="156" cm="1">
        <f t="array" ref="D35">_xlfn.IFNA(
   _xlfn._xlws.FILTER(
      Sim_Mul_Bet10!$H$3:$H$82,
      (Sim_Mul_Bet10!$A$3:$A$82=D$2) * (Sim_Mul_Bet10!$C$3:$C$82=$B35),0
   ),
   0
)</f>
        <v>0</v>
      </c>
      <c r="E35" s="181" cm="1">
        <f t="array" ref="E35">_xlfn.IFNA(
   _xlfn._xlws.FILTER(
      Sim_Mul_Bet10!$H$3:$H$82,
      (Sim_Mul_Bet10!$A$3:$A$82=E$2) * (Sim_Mul_Bet10!$C$3:$C$82=$B35),0
   ),
   0
)</f>
        <v>0</v>
      </c>
      <c r="F35" s="150" cm="1">
        <f t="array" ref="F35">_xlfn.IFNA(
   _xlfn._xlws.FILTER(
      Sim_Mul_Bet10!$O$3:$O$82,
      (Sim_Mul_Bet10!$A$3:$A$82=C$2) * (Sim_Mul_Bet10!$C$3:$C$82=$B35),0
   ),
   0
)</f>
        <v>0</v>
      </c>
      <c r="G35" s="146" cm="1">
        <f t="array" ref="G35">_xlfn.IFNA(
   _xlfn._xlws.FILTER(
      Sim_Mul_Bet10!$O$3:$O$82,
      (Sim_Mul_Bet10!$A$3:$A$82=D$2) * (Sim_Mul_Bet10!$C$3:$C$82=$B35),0
   ),
   0
)</f>
        <v>0</v>
      </c>
      <c r="H35" s="147" cm="1">
        <f t="array" ref="H35">_xlfn.IFNA(
   _xlfn._xlws.FILTER(
      Sim_Mul_Bet10!$O$3:$O$82,
      (Sim_Mul_Bet10!$A$3:$A$82=E$2) * (Sim_Mul_Bet10!$C$3:$C$82=$B35),0
   ),
   0
)</f>
        <v>0</v>
      </c>
      <c r="J35">
        <v>32</v>
      </c>
      <c r="K35" s="206">
        <v>350</v>
      </c>
      <c r="L35" s="210" t="s">
        <v>90</v>
      </c>
      <c r="M35" s="216">
        <f t="shared" si="2"/>
        <v>0</v>
      </c>
      <c r="N35" s="160">
        <f t="shared" si="6"/>
        <v>0</v>
      </c>
      <c r="O35" s="175">
        <v>0</v>
      </c>
      <c r="P35" s="175">
        <v>0</v>
      </c>
      <c r="Q35" s="175">
        <v>0</v>
      </c>
      <c r="R35" s="197">
        <f t="shared" si="0"/>
        <v>0</v>
      </c>
      <c r="T35" s="184">
        <v>0</v>
      </c>
      <c r="U35" s="199">
        <v>0</v>
      </c>
      <c r="V35" s="203">
        <f t="shared" si="1"/>
        <v>0</v>
      </c>
      <c r="W35" s="169"/>
      <c r="Y35" s="175">
        <f t="shared" si="7"/>
        <v>0</v>
      </c>
      <c r="Z35" s="175">
        <v>0</v>
      </c>
      <c r="AA35" s="175">
        <v>0</v>
      </c>
      <c r="AB35" s="272">
        <f t="shared" si="3"/>
        <v>0</v>
      </c>
      <c r="AD35" s="184">
        <f t="shared" si="4"/>
        <v>0</v>
      </c>
      <c r="AE35" s="199">
        <v>0</v>
      </c>
      <c r="AF35" s="278">
        <f t="shared" si="5"/>
        <v>0</v>
      </c>
    </row>
    <row r="36" spans="2:32">
      <c r="B36" s="142">
        <v>400</v>
      </c>
      <c r="C36" s="155" cm="1">
        <f t="array" ref="C36">_xlfn.IFNA(
   _xlfn._xlws.FILTER(
      Sim_Mul_Bet10!$H$3:$H$82,
      (Sim_Mul_Bet10!$A$3:$A$82=C$2) * (Sim_Mul_Bet10!$C$3:$C$82=$B36),0
   ),
   0
)</f>
        <v>0</v>
      </c>
      <c r="D36" s="156" cm="1">
        <f t="array" ref="D36">_xlfn.IFNA(
   _xlfn._xlws.FILTER(
      Sim_Mul_Bet10!$H$3:$H$82,
      (Sim_Mul_Bet10!$A$3:$A$82=D$2) * (Sim_Mul_Bet10!$C$3:$C$82=$B36),0
   ),
   0
)</f>
        <v>0</v>
      </c>
      <c r="E36" s="181" cm="1">
        <f t="array" ref="E36">_xlfn.IFNA(
   _xlfn._xlws.FILTER(
      Sim_Mul_Bet10!$H$3:$H$82,
      (Sim_Mul_Bet10!$A$3:$A$82=E$2) * (Sim_Mul_Bet10!$C$3:$C$82=$B36),0
   ),
   0
)</f>
        <v>0</v>
      </c>
      <c r="F36" s="150" cm="1">
        <f t="array" ref="F36">_xlfn.IFNA(
   _xlfn._xlws.FILTER(
      Sim_Mul_Bet10!$O$3:$O$82,
      (Sim_Mul_Bet10!$A$3:$A$82=C$2) * (Sim_Mul_Bet10!$C$3:$C$82=$B36),0
   ),
   0
)</f>
        <v>0</v>
      </c>
      <c r="G36" s="146" cm="1">
        <f t="array" ref="G36">_xlfn.IFNA(
   _xlfn._xlws.FILTER(
      Sim_Mul_Bet10!$O$3:$O$82,
      (Sim_Mul_Bet10!$A$3:$A$82=D$2) * (Sim_Mul_Bet10!$C$3:$C$82=$B36),0
   ),
   0
)</f>
        <v>0</v>
      </c>
      <c r="H36" s="147" cm="1">
        <f t="array" ref="H36">_xlfn.IFNA(
   _xlfn._xlws.FILTER(
      Sim_Mul_Bet10!$O$3:$O$82,
      (Sim_Mul_Bet10!$A$3:$A$82=E$2) * (Sim_Mul_Bet10!$C$3:$C$82=$B36),0
   ),
   0
)</f>
        <v>0</v>
      </c>
      <c r="J36">
        <v>33</v>
      </c>
      <c r="K36" s="206">
        <v>400</v>
      </c>
      <c r="L36" s="210" t="s">
        <v>90</v>
      </c>
      <c r="M36" s="216">
        <f t="shared" si="2"/>
        <v>0</v>
      </c>
      <c r="N36" s="160">
        <f t="shared" si="6"/>
        <v>0</v>
      </c>
      <c r="O36" s="175">
        <v>0</v>
      </c>
      <c r="P36" s="175">
        <v>0</v>
      </c>
      <c r="Q36" s="175">
        <v>0</v>
      </c>
      <c r="R36" s="197">
        <f t="shared" si="0"/>
        <v>0</v>
      </c>
      <c r="T36" s="184">
        <v>0</v>
      </c>
      <c r="U36" s="199">
        <v>0</v>
      </c>
      <c r="V36" s="203">
        <f t="shared" si="1"/>
        <v>0</v>
      </c>
      <c r="W36" s="169"/>
      <c r="Y36" s="175">
        <f t="shared" si="7"/>
        <v>0</v>
      </c>
      <c r="Z36" s="175">
        <v>0</v>
      </c>
      <c r="AA36" s="175">
        <v>0</v>
      </c>
      <c r="AB36" s="272">
        <f t="shared" si="3"/>
        <v>0</v>
      </c>
      <c r="AD36" s="184">
        <f t="shared" si="4"/>
        <v>0</v>
      </c>
      <c r="AE36" s="199">
        <v>0</v>
      </c>
      <c r="AF36" s="278">
        <f t="shared" si="5"/>
        <v>0</v>
      </c>
    </row>
    <row r="37" spans="2:32">
      <c r="B37" s="142">
        <v>450</v>
      </c>
      <c r="C37" s="155" cm="1">
        <f t="array" ref="C37">_xlfn.IFNA(
   _xlfn._xlws.FILTER(
      Sim_Mul_Bet10!$H$3:$H$82,
      (Sim_Mul_Bet10!$A$3:$A$82=C$2) * (Sim_Mul_Bet10!$C$3:$C$82=$B37),0
   ),
   0
)</f>
        <v>0</v>
      </c>
      <c r="D37" s="156" cm="1">
        <f t="array" ref="D37">_xlfn.IFNA(
   _xlfn._xlws.FILTER(
      Sim_Mul_Bet10!$H$3:$H$82,
      (Sim_Mul_Bet10!$A$3:$A$82=D$2) * (Sim_Mul_Bet10!$C$3:$C$82=$B37),0
   ),
   0
)</f>
        <v>9.2400999999999996E-4</v>
      </c>
      <c r="E37" s="181" cm="1">
        <f t="array" ref="E37">_xlfn.IFNA(
   _xlfn._xlws.FILTER(
      Sim_Mul_Bet10!$H$3:$H$82,
      (Sim_Mul_Bet10!$A$3:$A$82=E$2) * (Sim_Mul_Bet10!$C$3:$C$82=$B37),0
   ),
   0
)</f>
        <v>0</v>
      </c>
      <c r="F37" s="150" cm="1">
        <f t="array" ref="F37">_xlfn.IFNA(
   _xlfn._xlws.FILTER(
      Sim_Mul_Bet10!$O$3:$O$82,
      (Sim_Mul_Bet10!$A$3:$A$82=C$2) * (Sim_Mul_Bet10!$C$3:$C$82=$B37),0
   ),
   0
)</f>
        <v>0</v>
      </c>
      <c r="G37" s="146" cm="1">
        <f t="array" ref="G37">_xlfn.IFNA(
   _xlfn._xlws.FILTER(
      Sim_Mul_Bet10!$O$3:$O$82,
      (Sim_Mul_Bet10!$A$3:$A$82=D$2) * (Sim_Mul_Bet10!$C$3:$C$82=$B37),0
   ),
   0
)</f>
        <v>500</v>
      </c>
      <c r="H37" s="147" cm="1">
        <f t="array" ref="H37">_xlfn.IFNA(
   _xlfn._xlws.FILTER(
      Sim_Mul_Bet10!$O$3:$O$82,
      (Sim_Mul_Bet10!$A$3:$A$82=E$2) * (Sim_Mul_Bet10!$C$3:$C$82=$B37),0
   ),
   0
)</f>
        <v>0</v>
      </c>
      <c r="J37">
        <v>34</v>
      </c>
      <c r="K37" s="206">
        <v>450</v>
      </c>
      <c r="L37" s="210" t="s">
        <v>91</v>
      </c>
      <c r="M37" s="216">
        <f t="shared" si="2"/>
        <v>9.2400999999999996E-4</v>
      </c>
      <c r="N37" s="160">
        <f t="shared" si="6"/>
        <v>500</v>
      </c>
      <c r="O37" s="175">
        <v>0</v>
      </c>
      <c r="P37" s="175">
        <v>0</v>
      </c>
      <c r="Q37" s="175">
        <v>0</v>
      </c>
      <c r="R37" s="197">
        <f t="shared" si="0"/>
        <v>0</v>
      </c>
      <c r="T37" s="184">
        <v>1</v>
      </c>
      <c r="U37" s="199">
        <v>9.9999999999999995E-7</v>
      </c>
      <c r="V37" s="203">
        <f t="shared" si="1"/>
        <v>5.0000000000000001E-4</v>
      </c>
      <c r="W37" s="169"/>
      <c r="Y37" s="175">
        <f t="shared" si="7"/>
        <v>0</v>
      </c>
      <c r="Z37" s="175">
        <v>0</v>
      </c>
      <c r="AA37" s="175">
        <v>0</v>
      </c>
      <c r="AB37" s="272">
        <f t="shared" si="3"/>
        <v>0</v>
      </c>
      <c r="AD37" s="184">
        <f t="shared" si="4"/>
        <v>0</v>
      </c>
      <c r="AE37" s="199">
        <v>0</v>
      </c>
      <c r="AF37" s="278">
        <f t="shared" si="5"/>
        <v>0</v>
      </c>
    </row>
    <row r="38" spans="2:32">
      <c r="B38" s="142">
        <v>500</v>
      </c>
      <c r="C38" s="155" cm="1">
        <f t="array" ref="C38">_xlfn.IFNA(
   _xlfn._xlws.FILTER(
      Sim_Mul_Bet10!$H$3:$H$82,
      (Sim_Mul_Bet10!$A$3:$A$82=C$2) * (Sim_Mul_Bet10!$C$3:$C$82=$B38),0
   ),
   0
)</f>
        <v>3.3100000000000001E-6</v>
      </c>
      <c r="D38" s="156" cm="1">
        <f t="array" ref="D38">_xlfn.IFNA(
   _xlfn._xlws.FILTER(
      Sim_Mul_Bet10!$H$3:$H$82,
      (Sim_Mul_Bet10!$A$3:$A$82=D$2) * (Sim_Mul_Bet10!$C$3:$C$82=$B38),0
   ),
   0
)</f>
        <v>6.48782E-3</v>
      </c>
      <c r="E38" s="181" cm="1">
        <f t="array" ref="E38">_xlfn.IFNA(
   _xlfn._xlws.FILTER(
      Sim_Mul_Bet10!$H$3:$H$82,
      (Sim_Mul_Bet10!$A$3:$A$82=E$2) * (Sim_Mul_Bet10!$C$3:$C$82=$B38),0
   ),
   0
)</f>
        <v>0</v>
      </c>
      <c r="F38" s="150" cm="1">
        <f t="array" ref="F38">_xlfn.IFNA(
   _xlfn._xlws.FILTER(
      Sim_Mul_Bet10!$O$3:$O$82,
      (Sim_Mul_Bet10!$A$3:$A$82=C$2) * (Sim_Mul_Bet10!$C$3:$C$82=$B38),0
   ),
   0
)</f>
        <v>500.607250755287</v>
      </c>
      <c r="G38" s="146" cm="1">
        <f t="array" ref="G38">_xlfn.IFNA(
   _xlfn._xlws.FILTER(
      Sim_Mul_Bet10!$O$3:$O$82,
      (Sim_Mul_Bet10!$A$3:$A$82=D$2) * (Sim_Mul_Bet10!$C$3:$C$82=$B38),0
   ),
   0
)</f>
        <v>513.62235388774661</v>
      </c>
      <c r="H38" s="147" cm="1">
        <f t="array" ref="H38">_xlfn.IFNA(
   _xlfn._xlws.FILTER(
      Sim_Mul_Bet10!$O$3:$O$82,
      (Sim_Mul_Bet10!$A$3:$A$82=E$2) * (Sim_Mul_Bet10!$C$3:$C$82=$B38),0
   ),
   0
)</f>
        <v>0</v>
      </c>
      <c r="J38">
        <v>35</v>
      </c>
      <c r="K38" s="206">
        <v>500</v>
      </c>
      <c r="L38" s="210" t="s">
        <v>91</v>
      </c>
      <c r="M38" s="216">
        <f t="shared" si="2"/>
        <v>6.48782E-3</v>
      </c>
      <c r="N38" s="160">
        <f t="shared" si="6"/>
        <v>513.62235388774661</v>
      </c>
      <c r="O38" s="175">
        <v>9.9999999999999995E-7</v>
      </c>
      <c r="P38" s="175">
        <v>9.9999999999999995E-7</v>
      </c>
      <c r="Q38" s="175">
        <v>1.3494293263378899E-6</v>
      </c>
      <c r="R38" s="197">
        <f t="shared" si="0"/>
        <v>5.1362235388774662E-4</v>
      </c>
      <c r="T38" s="184">
        <v>1</v>
      </c>
      <c r="U38" s="199">
        <v>9.9999999999999995E-7</v>
      </c>
      <c r="V38" s="203">
        <f t="shared" si="1"/>
        <v>5.1362235388774662E-4</v>
      </c>
      <c r="W38" s="169"/>
      <c r="Y38" s="175">
        <f t="shared" si="7"/>
        <v>9.9999999999999995E-7</v>
      </c>
      <c r="Z38" s="175">
        <v>9.9999999999999995E-7</v>
      </c>
      <c r="AA38" s="175">
        <v>1.3494293263378899E-6</v>
      </c>
      <c r="AB38" s="272">
        <f t="shared" si="3"/>
        <v>5.1362235388774662E-4</v>
      </c>
      <c r="AD38" s="184">
        <f t="shared" si="4"/>
        <v>1</v>
      </c>
      <c r="AE38" s="199">
        <v>9.9999999999999995E-7</v>
      </c>
      <c r="AF38" s="278">
        <f t="shared" si="5"/>
        <v>5.1362235388774662E-4</v>
      </c>
    </row>
    <row r="39" spans="2:32">
      <c r="B39" s="142">
        <v>550</v>
      </c>
      <c r="C39" s="155" cm="1">
        <f t="array" ref="C39">_xlfn.IFNA(
   _xlfn._xlws.FILTER(
      Sim_Mul_Bet10!$H$3:$H$82,
      (Sim_Mul_Bet10!$A$3:$A$82=C$2) * (Sim_Mul_Bet10!$C$3:$C$82=$B39),0
   ),
   0
)</f>
        <v>1.1000000000000001E-7</v>
      </c>
      <c r="D39" s="156" cm="1">
        <f t="array" ref="D39">_xlfn.IFNA(
   _xlfn._xlws.FILTER(
      Sim_Mul_Bet10!$H$3:$H$82,
      (Sim_Mul_Bet10!$A$3:$A$82=D$2) * (Sim_Mul_Bet10!$C$3:$C$82=$B39),0
   ),
   0
)</f>
        <v>9.2031999999999997E-4</v>
      </c>
      <c r="E39" s="181" cm="1">
        <f t="array" ref="E39">_xlfn.IFNA(
   _xlfn._xlws.FILTER(
      Sim_Mul_Bet10!$H$3:$H$82,
      (Sim_Mul_Bet10!$A$3:$A$82=E$2) * (Sim_Mul_Bet10!$C$3:$C$82=$B39),0
   ),
   0
)</f>
        <v>0</v>
      </c>
      <c r="F39" s="150" cm="1">
        <f t="array" ref="F39">_xlfn.IFNA(
   _xlfn._xlws.FILTER(
      Sim_Mul_Bet10!$O$3:$O$82,
      (Sim_Mul_Bet10!$A$3:$A$82=C$2) * (Sim_Mul_Bet10!$C$3:$C$82=$B39),0
   ),
   0
)</f>
        <v>550.4545454545455</v>
      </c>
      <c r="G39" s="146" cm="1">
        <f t="array" ref="G39">_xlfn.IFNA(
   _xlfn._xlws.FILTER(
      Sim_Mul_Bet10!$O$3:$O$82,
      (Sim_Mul_Bet10!$A$3:$A$82=D$2) * (Sim_Mul_Bet10!$C$3:$C$82=$B39),0
   ),
   0
)</f>
        <v>552.99591446453405</v>
      </c>
      <c r="H39" s="147" cm="1">
        <f t="array" ref="H39">_xlfn.IFNA(
   _xlfn._xlws.FILTER(
      Sim_Mul_Bet10!$O$3:$O$82,
      (Sim_Mul_Bet10!$A$3:$A$82=E$2) * (Sim_Mul_Bet10!$C$3:$C$82=$B39),0
   ),
   0
)</f>
        <v>0</v>
      </c>
      <c r="J39">
        <v>36</v>
      </c>
      <c r="K39" s="206">
        <v>550</v>
      </c>
      <c r="L39" s="210" t="s">
        <v>91</v>
      </c>
      <c r="M39" s="216">
        <f t="shared" si="2"/>
        <v>9.2031999999999997E-4</v>
      </c>
      <c r="N39" s="160">
        <f t="shared" si="6"/>
        <v>552.99591446453405</v>
      </c>
      <c r="O39" s="175">
        <v>0</v>
      </c>
      <c r="P39" s="175">
        <v>0</v>
      </c>
      <c r="Q39" s="175">
        <v>0</v>
      </c>
      <c r="R39" s="197">
        <f t="shared" si="0"/>
        <v>0</v>
      </c>
      <c r="T39" s="184">
        <v>1</v>
      </c>
      <c r="U39" s="199">
        <v>9.9999999999999995E-7</v>
      </c>
      <c r="V39" s="203">
        <f t="shared" si="1"/>
        <v>5.5299591446453407E-4</v>
      </c>
      <c r="W39" s="169"/>
      <c r="Y39" s="175">
        <f t="shared" si="7"/>
        <v>0</v>
      </c>
      <c r="Z39" s="175">
        <v>0</v>
      </c>
      <c r="AA39" s="175">
        <v>0</v>
      </c>
      <c r="AB39" s="272">
        <f t="shared" si="3"/>
        <v>0</v>
      </c>
      <c r="AD39" s="184">
        <f t="shared" si="4"/>
        <v>0</v>
      </c>
      <c r="AE39" s="199">
        <v>0</v>
      </c>
      <c r="AF39" s="278">
        <f t="shared" si="5"/>
        <v>0</v>
      </c>
    </row>
    <row r="40" spans="2:32">
      <c r="B40" s="142">
        <v>600</v>
      </c>
      <c r="C40" s="155" cm="1">
        <f t="array" ref="C40">_xlfn.IFNA(
   _xlfn._xlws.FILTER(
      Sim_Mul_Bet10!$H$3:$H$82,
      (Sim_Mul_Bet10!$A$3:$A$82=C$2) * (Sim_Mul_Bet10!$C$3:$C$82=$B40),0
   ),
   0
)</f>
        <v>0</v>
      </c>
      <c r="D40" s="156" cm="1">
        <f t="array" ref="D40">_xlfn.IFNA(
   _xlfn._xlws.FILTER(
      Sim_Mul_Bet10!$H$3:$H$82,
      (Sim_Mul_Bet10!$A$3:$A$82=D$2) * (Sim_Mul_Bet10!$C$3:$C$82=$B40),0
   ),
   0
)</f>
        <v>0</v>
      </c>
      <c r="E40" s="181" cm="1">
        <f t="array" ref="E40">_xlfn.IFNA(
   _xlfn._xlws.FILTER(
      Sim_Mul_Bet10!$H$3:$H$82,
      (Sim_Mul_Bet10!$A$3:$A$82=E$2) * (Sim_Mul_Bet10!$C$3:$C$82=$B40),0
   ),
   0
)</f>
        <v>0</v>
      </c>
      <c r="F40" s="150" cm="1">
        <f t="array" ref="F40">_xlfn.IFNA(
   _xlfn._xlws.FILTER(
      Sim_Mul_Bet10!$O$3:$O$82,
      (Sim_Mul_Bet10!$A$3:$A$82=C$2) * (Sim_Mul_Bet10!$C$3:$C$82=$B40),0
   ),
   0
)</f>
        <v>0</v>
      </c>
      <c r="G40" s="146" cm="1">
        <f t="array" ref="G40">_xlfn.IFNA(
   _xlfn._xlws.FILTER(
      Sim_Mul_Bet10!$O$3:$O$82,
      (Sim_Mul_Bet10!$A$3:$A$82=D$2) * (Sim_Mul_Bet10!$C$3:$C$82=$B40),0
   ),
   0
)</f>
        <v>0</v>
      </c>
      <c r="H40" s="147" cm="1">
        <f t="array" ref="H40">_xlfn.IFNA(
   _xlfn._xlws.FILTER(
      Sim_Mul_Bet10!$O$3:$O$82,
      (Sim_Mul_Bet10!$A$3:$A$82=E$2) * (Sim_Mul_Bet10!$C$3:$C$82=$B40),0
   ),
   0
)</f>
        <v>0</v>
      </c>
      <c r="J40">
        <v>37</v>
      </c>
      <c r="K40" s="206">
        <v>600</v>
      </c>
      <c r="L40" s="210" t="s">
        <v>90</v>
      </c>
      <c r="M40" s="216">
        <f t="shared" si="2"/>
        <v>0</v>
      </c>
      <c r="N40" s="160">
        <f t="shared" si="6"/>
        <v>0</v>
      </c>
      <c r="O40" s="175">
        <v>0</v>
      </c>
      <c r="P40" s="175">
        <v>0</v>
      </c>
      <c r="Q40" s="175">
        <v>1.3494293263378899E-6</v>
      </c>
      <c r="R40" s="197">
        <f t="shared" si="0"/>
        <v>0</v>
      </c>
      <c r="T40" s="184">
        <v>0</v>
      </c>
      <c r="U40" s="199">
        <v>0</v>
      </c>
      <c r="V40" s="203">
        <f t="shared" si="1"/>
        <v>0</v>
      </c>
      <c r="W40" s="169"/>
      <c r="Y40" s="175">
        <f t="shared" si="7"/>
        <v>0</v>
      </c>
      <c r="Z40" s="175">
        <v>0</v>
      </c>
      <c r="AA40" s="175">
        <v>1.3494293263378899E-6</v>
      </c>
      <c r="AB40" s="272">
        <f t="shared" si="3"/>
        <v>0</v>
      </c>
      <c r="AD40" s="184">
        <f t="shared" si="4"/>
        <v>0</v>
      </c>
      <c r="AE40" s="199">
        <v>0</v>
      </c>
      <c r="AF40" s="278">
        <f t="shared" si="5"/>
        <v>0</v>
      </c>
    </row>
    <row r="41" spans="2:32">
      <c r="B41" s="142">
        <v>650</v>
      </c>
      <c r="C41" s="155" cm="1">
        <f t="array" ref="C41">_xlfn.IFNA(
   _xlfn._xlws.FILTER(
      Sim_Mul_Bet10!$H$3:$H$82,
      (Sim_Mul_Bet10!$A$3:$A$82=C$2) * (Sim_Mul_Bet10!$C$3:$C$82=$B41),0
   ),
   0
)</f>
        <v>0</v>
      </c>
      <c r="D41" s="156" cm="1">
        <f t="array" ref="D41">_xlfn.IFNA(
   _xlfn._xlws.FILTER(
      Sim_Mul_Bet10!$H$3:$H$82,
      (Sim_Mul_Bet10!$A$3:$A$82=D$2) * (Sim_Mul_Bet10!$C$3:$C$82=$B41),0
   ),
   0
)</f>
        <v>0</v>
      </c>
      <c r="E41" s="181" cm="1">
        <f t="array" ref="E41">_xlfn.IFNA(
   _xlfn._xlws.FILTER(
      Sim_Mul_Bet10!$H$3:$H$82,
      (Sim_Mul_Bet10!$A$3:$A$82=E$2) * (Sim_Mul_Bet10!$C$3:$C$82=$B41),0
   ),
   0
)</f>
        <v>0</v>
      </c>
      <c r="F41" s="150" cm="1">
        <f t="array" ref="F41">_xlfn.IFNA(
   _xlfn._xlws.FILTER(
      Sim_Mul_Bet10!$O$3:$O$82,
      (Sim_Mul_Bet10!$A$3:$A$82=C$2) * (Sim_Mul_Bet10!$C$3:$C$82=$B41),0
   ),
   0
)</f>
        <v>0</v>
      </c>
      <c r="G41" s="146" cm="1">
        <f t="array" ref="G41">_xlfn.IFNA(
   _xlfn._xlws.FILTER(
      Sim_Mul_Bet10!$O$3:$O$82,
      (Sim_Mul_Bet10!$A$3:$A$82=D$2) * (Sim_Mul_Bet10!$C$3:$C$82=$B41),0
   ),
   0
)</f>
        <v>0</v>
      </c>
      <c r="H41" s="147" cm="1">
        <f t="array" ref="H41">_xlfn.IFNA(
   _xlfn._xlws.FILTER(
      Sim_Mul_Bet10!$O$3:$O$82,
      (Sim_Mul_Bet10!$A$3:$A$82=E$2) * (Sim_Mul_Bet10!$C$3:$C$82=$B41),0
   ),
   0
)</f>
        <v>0</v>
      </c>
      <c r="J41">
        <v>38</v>
      </c>
      <c r="K41" s="206">
        <v>650</v>
      </c>
      <c r="L41" s="210" t="s">
        <v>90</v>
      </c>
      <c r="M41" s="216">
        <f t="shared" si="2"/>
        <v>0</v>
      </c>
      <c r="N41" s="160">
        <f t="shared" si="6"/>
        <v>0</v>
      </c>
      <c r="O41" s="175">
        <v>0</v>
      </c>
      <c r="P41" s="175">
        <v>0</v>
      </c>
      <c r="Q41" s="175">
        <v>0</v>
      </c>
      <c r="R41" s="197">
        <f t="shared" si="0"/>
        <v>0</v>
      </c>
      <c r="T41" s="184">
        <v>0</v>
      </c>
      <c r="U41" s="199">
        <v>0</v>
      </c>
      <c r="V41" s="203">
        <f t="shared" si="1"/>
        <v>0</v>
      </c>
      <c r="W41" s="169"/>
      <c r="Y41" s="175">
        <f t="shared" si="7"/>
        <v>0</v>
      </c>
      <c r="Z41" s="175">
        <v>0</v>
      </c>
      <c r="AA41" s="175">
        <v>0</v>
      </c>
      <c r="AB41" s="272">
        <f t="shared" si="3"/>
        <v>0</v>
      </c>
      <c r="AD41" s="184">
        <f t="shared" si="4"/>
        <v>0</v>
      </c>
      <c r="AE41" s="199">
        <v>0</v>
      </c>
      <c r="AF41" s="278">
        <f t="shared" si="5"/>
        <v>0</v>
      </c>
    </row>
    <row r="42" spans="2:32">
      <c r="B42" s="142">
        <v>700</v>
      </c>
      <c r="C42" s="155" cm="1">
        <f t="array" ref="C42">_xlfn.IFNA(
   _xlfn._xlws.FILTER(
      Sim_Mul_Bet10!$H$3:$H$82,
      (Sim_Mul_Bet10!$A$3:$A$82=C$2) * (Sim_Mul_Bet10!$C$3:$C$82=$B42),0
   ),
   0
)</f>
        <v>0</v>
      </c>
      <c r="D42" s="156" cm="1">
        <f t="array" ref="D42">_xlfn.IFNA(
   _xlfn._xlws.FILTER(
      Sim_Mul_Bet10!$H$3:$H$82,
      (Sim_Mul_Bet10!$A$3:$A$82=D$2) * (Sim_Mul_Bet10!$C$3:$C$82=$B42),0
   ),
   0
)</f>
        <v>0</v>
      </c>
      <c r="E42" s="181" cm="1">
        <f t="array" ref="E42">_xlfn.IFNA(
   _xlfn._xlws.FILTER(
      Sim_Mul_Bet10!$H$3:$H$82,
      (Sim_Mul_Bet10!$A$3:$A$82=E$2) * (Sim_Mul_Bet10!$C$3:$C$82=$B42),0
   ),
   0
)</f>
        <v>0</v>
      </c>
      <c r="F42" s="150" cm="1">
        <f t="array" ref="F42">_xlfn.IFNA(
   _xlfn._xlws.FILTER(
      Sim_Mul_Bet10!$O$3:$O$82,
      (Sim_Mul_Bet10!$A$3:$A$82=C$2) * (Sim_Mul_Bet10!$C$3:$C$82=$B42),0
   ),
   0
)</f>
        <v>0</v>
      </c>
      <c r="G42" s="146" cm="1">
        <f t="array" ref="G42">_xlfn.IFNA(
   _xlfn._xlws.FILTER(
      Sim_Mul_Bet10!$O$3:$O$82,
      (Sim_Mul_Bet10!$A$3:$A$82=D$2) * (Sim_Mul_Bet10!$C$3:$C$82=$B42),0
   ),
   0
)</f>
        <v>0</v>
      </c>
      <c r="H42" s="147" cm="1">
        <f t="array" ref="H42">_xlfn.IFNA(
   _xlfn._xlws.FILTER(
      Sim_Mul_Bet10!$O$3:$O$82,
      (Sim_Mul_Bet10!$A$3:$A$82=E$2) * (Sim_Mul_Bet10!$C$3:$C$82=$B42),0
   ),
   0
)</f>
        <v>0</v>
      </c>
      <c r="J42">
        <v>39</v>
      </c>
      <c r="K42" s="206">
        <v>700</v>
      </c>
      <c r="L42" s="210" t="s">
        <v>90</v>
      </c>
      <c r="M42" s="216">
        <f t="shared" si="2"/>
        <v>0</v>
      </c>
      <c r="N42" s="160">
        <f t="shared" si="6"/>
        <v>0</v>
      </c>
      <c r="O42" s="175">
        <v>0</v>
      </c>
      <c r="P42" s="175">
        <v>0</v>
      </c>
      <c r="Q42" s="175">
        <v>0</v>
      </c>
      <c r="R42" s="197">
        <f t="shared" si="0"/>
        <v>0</v>
      </c>
      <c r="T42" s="184">
        <v>0</v>
      </c>
      <c r="U42" s="199">
        <v>0</v>
      </c>
      <c r="V42" s="203">
        <f t="shared" si="1"/>
        <v>0</v>
      </c>
      <c r="W42" s="169"/>
      <c r="Y42" s="175">
        <f t="shared" si="7"/>
        <v>0</v>
      </c>
      <c r="Z42" s="175">
        <v>0</v>
      </c>
      <c r="AA42" s="175">
        <v>0</v>
      </c>
      <c r="AB42" s="272">
        <f t="shared" si="3"/>
        <v>0</v>
      </c>
      <c r="AD42" s="184">
        <f t="shared" si="4"/>
        <v>0</v>
      </c>
      <c r="AE42" s="199">
        <v>0</v>
      </c>
      <c r="AF42" s="278">
        <f t="shared" si="5"/>
        <v>0</v>
      </c>
    </row>
    <row r="43" spans="2:32">
      <c r="B43" s="142">
        <v>750</v>
      </c>
      <c r="C43" s="155" cm="1">
        <f t="array" ref="C43">_xlfn.IFNA(
   _xlfn._xlws.FILTER(
      Sim_Mul_Bet10!$H$3:$H$82,
      (Sim_Mul_Bet10!$A$3:$A$82=C$2) * (Sim_Mul_Bet10!$C$3:$C$82=$B43),0
   ),
   0
)</f>
        <v>0</v>
      </c>
      <c r="D43" s="156" cm="1">
        <f t="array" ref="D43">_xlfn.IFNA(
   _xlfn._xlws.FILTER(
      Sim_Mul_Bet10!$H$3:$H$82,
      (Sim_Mul_Bet10!$A$3:$A$82=D$2) * (Sim_Mul_Bet10!$C$3:$C$82=$B43),0
   ),
   0
)</f>
        <v>0</v>
      </c>
      <c r="E43" s="181" cm="1">
        <f t="array" ref="E43">_xlfn.IFNA(
   _xlfn._xlws.FILTER(
      Sim_Mul_Bet10!$H$3:$H$82,
      (Sim_Mul_Bet10!$A$3:$A$82=E$2) * (Sim_Mul_Bet10!$C$3:$C$82=$B43),0
   ),
   0
)</f>
        <v>0</v>
      </c>
      <c r="F43" s="150" cm="1">
        <f t="array" ref="F43">_xlfn.IFNA(
   _xlfn._xlws.FILTER(
      Sim_Mul_Bet10!$O$3:$O$82,
      (Sim_Mul_Bet10!$A$3:$A$82=C$2) * (Sim_Mul_Bet10!$C$3:$C$82=$B43),0
   ),
   0
)</f>
        <v>0</v>
      </c>
      <c r="G43" s="146" cm="1">
        <f t="array" ref="G43">_xlfn.IFNA(
   _xlfn._xlws.FILTER(
      Sim_Mul_Bet10!$O$3:$O$82,
      (Sim_Mul_Bet10!$A$3:$A$82=D$2) * (Sim_Mul_Bet10!$C$3:$C$82=$B43),0
   ),
   0
)</f>
        <v>0</v>
      </c>
      <c r="H43" s="147" cm="1">
        <f t="array" ref="H43">_xlfn.IFNA(
   _xlfn._xlws.FILTER(
      Sim_Mul_Bet10!$O$3:$O$82,
      (Sim_Mul_Bet10!$A$3:$A$82=E$2) * (Sim_Mul_Bet10!$C$3:$C$82=$B43),0
   ),
   0
)</f>
        <v>0</v>
      </c>
      <c r="J43">
        <v>40</v>
      </c>
      <c r="K43" s="206">
        <v>750</v>
      </c>
      <c r="L43" s="210" t="s">
        <v>90</v>
      </c>
      <c r="M43" s="216">
        <f t="shared" si="2"/>
        <v>0</v>
      </c>
      <c r="N43" s="160">
        <f t="shared" si="6"/>
        <v>0</v>
      </c>
      <c r="O43" s="175">
        <v>0</v>
      </c>
      <c r="P43" s="175">
        <v>0</v>
      </c>
      <c r="Q43" s="175">
        <v>1.3494293263378899E-6</v>
      </c>
      <c r="R43" s="197">
        <f t="shared" si="0"/>
        <v>0</v>
      </c>
      <c r="T43" s="184">
        <v>0</v>
      </c>
      <c r="U43" s="199">
        <v>0</v>
      </c>
      <c r="V43" s="203">
        <f t="shared" si="1"/>
        <v>0</v>
      </c>
      <c r="W43" s="169"/>
      <c r="Y43" s="175">
        <f t="shared" si="7"/>
        <v>0</v>
      </c>
      <c r="Z43" s="175">
        <v>0</v>
      </c>
      <c r="AA43" s="175">
        <v>1.3494293263378899E-6</v>
      </c>
      <c r="AB43" s="272">
        <f t="shared" si="3"/>
        <v>0</v>
      </c>
      <c r="AD43" s="184">
        <f t="shared" si="4"/>
        <v>0</v>
      </c>
      <c r="AE43" s="199">
        <v>0</v>
      </c>
      <c r="AF43" s="278">
        <f t="shared" si="5"/>
        <v>0</v>
      </c>
    </row>
    <row r="44" spans="2:32">
      <c r="B44" s="142">
        <v>800</v>
      </c>
      <c r="C44" s="155" cm="1">
        <f t="array" ref="C44">_xlfn.IFNA(
   _xlfn._xlws.FILTER(
      Sim_Mul_Bet10!$H$3:$H$82,
      (Sim_Mul_Bet10!$A$3:$A$82=C$2) * (Sim_Mul_Bet10!$C$3:$C$82=$B44),0
   ),
   0
)</f>
        <v>0</v>
      </c>
      <c r="D44" s="156" cm="1">
        <f t="array" ref="D44">_xlfn.IFNA(
   _xlfn._xlws.FILTER(
      Sim_Mul_Bet10!$H$3:$H$82,
      (Sim_Mul_Bet10!$A$3:$A$82=D$2) * (Sim_Mul_Bet10!$C$3:$C$82=$B44),0
   ),
   0
)</f>
        <v>0</v>
      </c>
      <c r="E44" s="181" cm="1">
        <f t="array" ref="E44">_xlfn.IFNA(
   _xlfn._xlws.FILTER(
      Sim_Mul_Bet10!$H$3:$H$82,
      (Sim_Mul_Bet10!$A$3:$A$82=E$2) * (Sim_Mul_Bet10!$C$3:$C$82=$B44),0
   ),
   0
)</f>
        <v>0</v>
      </c>
      <c r="F44" s="150" cm="1">
        <f t="array" ref="F44">_xlfn.IFNA(
   _xlfn._xlws.FILTER(
      Sim_Mul_Bet10!$O$3:$O$82,
      (Sim_Mul_Bet10!$A$3:$A$82=C$2) * (Sim_Mul_Bet10!$C$3:$C$82=$B44),0
   ),
   0
)</f>
        <v>0</v>
      </c>
      <c r="G44" s="146" cm="1">
        <f t="array" ref="G44">_xlfn.IFNA(
   _xlfn._xlws.FILTER(
      Sim_Mul_Bet10!$O$3:$O$82,
      (Sim_Mul_Bet10!$A$3:$A$82=D$2) * (Sim_Mul_Bet10!$C$3:$C$82=$B44),0
   ),
   0
)</f>
        <v>0</v>
      </c>
      <c r="H44" s="147" cm="1">
        <f t="array" ref="H44">_xlfn.IFNA(
   _xlfn._xlws.FILTER(
      Sim_Mul_Bet10!$O$3:$O$82,
      (Sim_Mul_Bet10!$A$3:$A$82=E$2) * (Sim_Mul_Bet10!$C$3:$C$82=$B44),0
   ),
   0
)</f>
        <v>0</v>
      </c>
      <c r="J44">
        <v>41</v>
      </c>
      <c r="K44" s="206">
        <v>800</v>
      </c>
      <c r="L44" s="210" t="s">
        <v>90</v>
      </c>
      <c r="M44" s="216">
        <f t="shared" si="2"/>
        <v>0</v>
      </c>
      <c r="N44" s="160">
        <f t="shared" si="6"/>
        <v>0</v>
      </c>
      <c r="O44" s="175">
        <v>0</v>
      </c>
      <c r="P44" s="175">
        <v>0</v>
      </c>
      <c r="Q44" s="175">
        <v>0</v>
      </c>
      <c r="R44" s="197">
        <f t="shared" si="0"/>
        <v>0</v>
      </c>
      <c r="T44" s="184">
        <v>0</v>
      </c>
      <c r="U44" s="199">
        <v>0</v>
      </c>
      <c r="V44" s="203">
        <f t="shared" si="1"/>
        <v>0</v>
      </c>
      <c r="W44" s="169"/>
      <c r="Y44" s="175">
        <f t="shared" si="7"/>
        <v>0</v>
      </c>
      <c r="Z44" s="175">
        <v>0</v>
      </c>
      <c r="AA44" s="175">
        <v>0</v>
      </c>
      <c r="AB44" s="272">
        <f t="shared" si="3"/>
        <v>0</v>
      </c>
      <c r="AD44" s="184">
        <f t="shared" si="4"/>
        <v>0</v>
      </c>
      <c r="AE44" s="199">
        <v>0</v>
      </c>
      <c r="AF44" s="278">
        <f t="shared" si="5"/>
        <v>0</v>
      </c>
    </row>
    <row r="45" spans="2:32">
      <c r="B45" s="142">
        <v>850</v>
      </c>
      <c r="C45" s="155" cm="1">
        <f t="array" ref="C45">_xlfn.IFNA(
   _xlfn._xlws.FILTER(
      Sim_Mul_Bet10!$H$3:$H$82,
      (Sim_Mul_Bet10!$A$3:$A$82=C$2) * (Sim_Mul_Bet10!$C$3:$C$82=$B45),0
   ),
   0
)</f>
        <v>0</v>
      </c>
      <c r="D45" s="156" cm="1">
        <f t="array" ref="D45">_xlfn.IFNA(
   _xlfn._xlws.FILTER(
      Sim_Mul_Bet10!$H$3:$H$82,
      (Sim_Mul_Bet10!$A$3:$A$82=D$2) * (Sim_Mul_Bet10!$C$3:$C$82=$B45),0
   ),
   0
)</f>
        <v>0</v>
      </c>
      <c r="E45" s="181" cm="1">
        <f t="array" ref="E45">_xlfn.IFNA(
   _xlfn._xlws.FILTER(
      Sim_Mul_Bet10!$H$3:$H$82,
      (Sim_Mul_Bet10!$A$3:$A$82=E$2) * (Sim_Mul_Bet10!$C$3:$C$82=$B45),0
   ),
   0
)</f>
        <v>0</v>
      </c>
      <c r="F45" s="150" cm="1">
        <f t="array" ref="F45">_xlfn.IFNA(
   _xlfn._xlws.FILTER(
      Sim_Mul_Bet10!$O$3:$O$82,
      (Sim_Mul_Bet10!$A$3:$A$82=C$2) * (Sim_Mul_Bet10!$C$3:$C$82=$B45),0
   ),
   0
)</f>
        <v>0</v>
      </c>
      <c r="G45" s="146" cm="1">
        <f t="array" ref="G45">_xlfn.IFNA(
   _xlfn._xlws.FILTER(
      Sim_Mul_Bet10!$O$3:$O$82,
      (Sim_Mul_Bet10!$A$3:$A$82=D$2) * (Sim_Mul_Bet10!$C$3:$C$82=$B45),0
   ),
   0
)</f>
        <v>0</v>
      </c>
      <c r="H45" s="147" cm="1">
        <f t="array" ref="H45">_xlfn.IFNA(
   _xlfn._xlws.FILTER(
      Sim_Mul_Bet10!$O$3:$O$82,
      (Sim_Mul_Bet10!$A$3:$A$82=E$2) * (Sim_Mul_Bet10!$C$3:$C$82=$B45),0
   ),
   0
)</f>
        <v>0</v>
      </c>
      <c r="J45">
        <v>42</v>
      </c>
      <c r="K45" s="206">
        <v>850</v>
      </c>
      <c r="L45" s="210" t="s">
        <v>90</v>
      </c>
      <c r="M45" s="216">
        <f t="shared" si="2"/>
        <v>0</v>
      </c>
      <c r="N45" s="160">
        <f t="shared" si="6"/>
        <v>0</v>
      </c>
      <c r="O45" s="175">
        <v>0</v>
      </c>
      <c r="P45" s="175">
        <v>0</v>
      </c>
      <c r="Q45" s="175">
        <v>0</v>
      </c>
      <c r="R45" s="197">
        <f t="shared" si="0"/>
        <v>0</v>
      </c>
      <c r="T45" s="184">
        <v>0</v>
      </c>
      <c r="U45" s="199">
        <v>0</v>
      </c>
      <c r="V45" s="203">
        <f t="shared" si="1"/>
        <v>0</v>
      </c>
      <c r="W45" s="169"/>
      <c r="Y45" s="175">
        <f t="shared" si="7"/>
        <v>0</v>
      </c>
      <c r="Z45" s="175">
        <v>0</v>
      </c>
      <c r="AA45" s="175">
        <v>0</v>
      </c>
      <c r="AB45" s="272">
        <f t="shared" si="3"/>
        <v>0</v>
      </c>
      <c r="AD45" s="184">
        <f t="shared" si="4"/>
        <v>0</v>
      </c>
      <c r="AE45" s="199">
        <v>0</v>
      </c>
      <c r="AF45" s="278">
        <f t="shared" si="5"/>
        <v>0</v>
      </c>
    </row>
    <row r="46" spans="2:32">
      <c r="B46" s="142">
        <v>900</v>
      </c>
      <c r="C46" s="155" cm="1">
        <f t="array" ref="C46">_xlfn.IFNA(
   _xlfn._xlws.FILTER(
      Sim_Mul_Bet10!$H$3:$H$82,
      (Sim_Mul_Bet10!$A$3:$A$82=C$2) * (Sim_Mul_Bet10!$C$3:$C$82=$B46),0
   ),
   0
)</f>
        <v>0</v>
      </c>
      <c r="D46" s="156" cm="1">
        <f t="array" ref="D46">_xlfn.IFNA(
   _xlfn._xlws.FILTER(
      Sim_Mul_Bet10!$H$3:$H$82,
      (Sim_Mul_Bet10!$A$3:$A$82=D$2) * (Sim_Mul_Bet10!$C$3:$C$82=$B46),0
   ),
   0
)</f>
        <v>0</v>
      </c>
      <c r="E46" s="181" cm="1">
        <f t="array" ref="E46">_xlfn.IFNA(
   _xlfn._xlws.FILTER(
      Sim_Mul_Bet10!$H$3:$H$82,
      (Sim_Mul_Bet10!$A$3:$A$82=E$2) * (Sim_Mul_Bet10!$C$3:$C$82=$B46),0
   ),
   0
)</f>
        <v>0</v>
      </c>
      <c r="F46" s="150" cm="1">
        <f t="array" ref="F46">_xlfn.IFNA(
   _xlfn._xlws.FILTER(
      Sim_Mul_Bet10!$O$3:$O$82,
      (Sim_Mul_Bet10!$A$3:$A$82=C$2) * (Sim_Mul_Bet10!$C$3:$C$82=$B46),0
   ),
   0
)</f>
        <v>0</v>
      </c>
      <c r="G46" s="146" cm="1">
        <f t="array" ref="G46">_xlfn.IFNA(
   _xlfn._xlws.FILTER(
      Sim_Mul_Bet10!$O$3:$O$82,
      (Sim_Mul_Bet10!$A$3:$A$82=D$2) * (Sim_Mul_Bet10!$C$3:$C$82=$B46),0
   ),
   0
)</f>
        <v>0</v>
      </c>
      <c r="H46" s="147" cm="1">
        <f t="array" ref="H46">_xlfn.IFNA(
   _xlfn._xlws.FILTER(
      Sim_Mul_Bet10!$O$3:$O$82,
      (Sim_Mul_Bet10!$A$3:$A$82=E$2) * (Sim_Mul_Bet10!$C$3:$C$82=$B46),0
   ),
   0
)</f>
        <v>0</v>
      </c>
      <c r="J46">
        <v>43</v>
      </c>
      <c r="K46" s="206">
        <v>900</v>
      </c>
      <c r="L46" s="210" t="s">
        <v>90</v>
      </c>
      <c r="M46" s="216">
        <f t="shared" si="2"/>
        <v>0</v>
      </c>
      <c r="N46" s="160">
        <f t="shared" si="6"/>
        <v>0</v>
      </c>
      <c r="O46" s="175">
        <v>0</v>
      </c>
      <c r="P46" s="175">
        <v>0</v>
      </c>
      <c r="Q46" s="175">
        <v>0</v>
      </c>
      <c r="R46" s="197">
        <f t="shared" si="0"/>
        <v>0</v>
      </c>
      <c r="T46" s="184">
        <v>0</v>
      </c>
      <c r="U46" s="199">
        <v>0</v>
      </c>
      <c r="V46" s="203">
        <f t="shared" si="1"/>
        <v>0</v>
      </c>
      <c r="W46" s="169"/>
      <c r="Y46" s="175">
        <f t="shared" si="7"/>
        <v>0</v>
      </c>
      <c r="Z46" s="175">
        <v>0</v>
      </c>
      <c r="AA46" s="175">
        <v>0</v>
      </c>
      <c r="AB46" s="272">
        <f t="shared" si="3"/>
        <v>0</v>
      </c>
      <c r="AD46" s="184">
        <f t="shared" si="4"/>
        <v>0</v>
      </c>
      <c r="AE46" s="199">
        <v>0</v>
      </c>
      <c r="AF46" s="278">
        <f t="shared" si="5"/>
        <v>0</v>
      </c>
    </row>
    <row r="47" spans="2:32">
      <c r="B47" s="142">
        <v>950</v>
      </c>
      <c r="C47" s="155" cm="1">
        <f t="array" ref="C47">_xlfn.IFNA(
   _xlfn._xlws.FILTER(
      Sim_Mul_Bet10!$H$3:$H$82,
      (Sim_Mul_Bet10!$A$3:$A$82=C$2) * (Sim_Mul_Bet10!$C$3:$C$82=$B47),0
   ),
   0
)</f>
        <v>0</v>
      </c>
      <c r="D47" s="156" cm="1">
        <f t="array" ref="D47">_xlfn.IFNA(
   _xlfn._xlws.FILTER(
      Sim_Mul_Bet10!$H$3:$H$82,
      (Sim_Mul_Bet10!$A$3:$A$82=D$2) * (Sim_Mul_Bet10!$C$3:$C$82=$B47),0
   ),
   0
)</f>
        <v>4.6306E-4</v>
      </c>
      <c r="E47" s="181" cm="1">
        <f t="array" ref="E47">_xlfn.IFNA(
   _xlfn._xlws.FILTER(
      Sim_Mul_Bet10!$H$3:$H$82,
      (Sim_Mul_Bet10!$A$3:$A$82=E$2) * (Sim_Mul_Bet10!$C$3:$C$82=$B47),0
   ),
   0
)</f>
        <v>0</v>
      </c>
      <c r="F47" s="150" cm="1">
        <f t="array" ref="F47">_xlfn.IFNA(
   _xlfn._xlws.FILTER(
      Sim_Mul_Bet10!$O$3:$O$82,
      (Sim_Mul_Bet10!$A$3:$A$82=C$2) * (Sim_Mul_Bet10!$C$3:$C$82=$B47),0
   ),
   0
)</f>
        <v>0</v>
      </c>
      <c r="G47" s="146" cm="1">
        <f t="array" ref="G47">_xlfn.IFNA(
   _xlfn._xlws.FILTER(
      Sim_Mul_Bet10!$O$3:$O$82,
      (Sim_Mul_Bet10!$A$3:$A$82=D$2) * (Sim_Mul_Bet10!$C$3:$C$82=$B47),0
   ),
   0
)</f>
        <v>1000</v>
      </c>
      <c r="H47" s="147" cm="1">
        <f t="array" ref="H47">_xlfn.IFNA(
   _xlfn._xlws.FILTER(
      Sim_Mul_Bet10!$O$3:$O$82,
      (Sim_Mul_Bet10!$A$3:$A$82=E$2) * (Sim_Mul_Bet10!$C$3:$C$82=$B47),0
   ),
   0
)</f>
        <v>0</v>
      </c>
      <c r="J47">
        <v>44</v>
      </c>
      <c r="K47" s="206">
        <v>950</v>
      </c>
      <c r="L47" s="210" t="s">
        <v>90</v>
      </c>
      <c r="M47" s="216">
        <f t="shared" si="2"/>
        <v>0</v>
      </c>
      <c r="N47" s="160">
        <f t="shared" si="6"/>
        <v>0</v>
      </c>
      <c r="O47" s="175">
        <v>0</v>
      </c>
      <c r="P47" s="175">
        <v>0</v>
      </c>
      <c r="Q47" s="175">
        <v>0</v>
      </c>
      <c r="R47" s="197">
        <f t="shared" si="0"/>
        <v>0</v>
      </c>
      <c r="T47" s="184">
        <v>0</v>
      </c>
      <c r="U47" s="199">
        <v>0</v>
      </c>
      <c r="V47" s="203">
        <f t="shared" si="1"/>
        <v>0</v>
      </c>
      <c r="W47" s="169"/>
      <c r="Y47" s="175">
        <f t="shared" si="7"/>
        <v>0</v>
      </c>
      <c r="Z47" s="175">
        <v>0</v>
      </c>
      <c r="AA47" s="175">
        <v>0</v>
      </c>
      <c r="AB47" s="272">
        <f t="shared" si="3"/>
        <v>0</v>
      </c>
      <c r="AD47" s="184">
        <f t="shared" si="4"/>
        <v>0</v>
      </c>
      <c r="AE47" s="199">
        <v>0</v>
      </c>
      <c r="AF47" s="278">
        <f t="shared" si="5"/>
        <v>0</v>
      </c>
    </row>
    <row r="48" spans="2:32">
      <c r="B48" s="142">
        <v>1000</v>
      </c>
      <c r="C48" s="155" cm="1">
        <f t="array" ref="C48">_xlfn.IFNA(
   _xlfn._xlws.FILTER(
      Sim_Mul_Bet10!$H$3:$H$82,
      (Sim_Mul_Bet10!$A$3:$A$82=C$2) * (Sim_Mul_Bet10!$C$3:$C$82=$B48),0
   ),
   0
)</f>
        <v>1.3E-7</v>
      </c>
      <c r="D48" s="156" cm="1">
        <f t="array" ref="D48">_xlfn.IFNA(
   _xlfn._xlws.FILTER(
      Sim_Mul_Bet10!$H$3:$H$82,
      (Sim_Mul_Bet10!$A$3:$A$82=D$2) * (Sim_Mul_Bet10!$C$3:$C$82=$B48),0
   ),
   0
)</f>
        <v>3.7019599999999998E-3</v>
      </c>
      <c r="E48" s="181" cm="1">
        <f t="array" ref="E48">_xlfn.IFNA(
   _xlfn._xlws.FILTER(
      Sim_Mul_Bet10!$H$3:$H$82,
      (Sim_Mul_Bet10!$A$3:$A$82=E$2) * (Sim_Mul_Bet10!$C$3:$C$82=$B48),0
   ),
   0
)</f>
        <v>0</v>
      </c>
      <c r="F48" s="150" cm="1">
        <f t="array" ref="F48">_xlfn.IFNA(
   _xlfn._xlws.FILTER(
      Sim_Mul_Bet10!$O$3:$O$82,
      (Sim_Mul_Bet10!$A$3:$A$82=C$2) * (Sim_Mul_Bet10!$C$3:$C$82=$B48),0
   ),
   0
)</f>
        <v>1000.4615384615385</v>
      </c>
      <c r="G48" s="146" cm="1">
        <f t="array" ref="G48">_xlfn.IFNA(
   _xlfn._xlws.FILTER(
      Sim_Mul_Bet10!$O$3:$O$82,
      (Sim_Mul_Bet10!$A$3:$A$82=D$2) * (Sim_Mul_Bet10!$C$3:$C$82=$B48),0
   ),
   0
)</f>
        <v>1024.7324201233941</v>
      </c>
      <c r="H48" s="147" cm="1">
        <f t="array" ref="H48">_xlfn.IFNA(
   _xlfn._xlws.FILTER(
      Sim_Mul_Bet10!$O$3:$O$82,
      (Sim_Mul_Bet10!$A$3:$A$82=E$2) * (Sim_Mul_Bet10!$C$3:$C$82=$B48),0
   ),
   0
)</f>
        <v>0</v>
      </c>
      <c r="J48">
        <v>45</v>
      </c>
      <c r="K48" s="206">
        <v>1000</v>
      </c>
      <c r="L48" s="210" t="s">
        <v>91</v>
      </c>
      <c r="M48" s="216">
        <f t="shared" si="2"/>
        <v>3.7019599999999998E-3</v>
      </c>
      <c r="N48" s="160">
        <f t="shared" si="6"/>
        <v>1024.7324201233941</v>
      </c>
      <c r="O48" s="175">
        <v>0</v>
      </c>
      <c r="P48" s="175">
        <v>0</v>
      </c>
      <c r="Q48" s="175">
        <v>0</v>
      </c>
      <c r="R48" s="197">
        <f t="shared" si="0"/>
        <v>0</v>
      </c>
      <c r="T48" s="184">
        <v>4</v>
      </c>
      <c r="U48" s="199">
        <v>3.9999999999999998E-6</v>
      </c>
      <c r="V48" s="203">
        <f t="shared" si="1"/>
        <v>4.0989296804935767E-3</v>
      </c>
      <c r="W48" s="169"/>
      <c r="Y48" s="175">
        <f t="shared" si="7"/>
        <v>0</v>
      </c>
      <c r="Z48" s="175">
        <v>0</v>
      </c>
      <c r="AA48" s="175">
        <v>0</v>
      </c>
      <c r="AB48" s="272">
        <f t="shared" si="3"/>
        <v>0</v>
      </c>
      <c r="AD48" s="184">
        <f t="shared" si="4"/>
        <v>0</v>
      </c>
      <c r="AE48" s="199">
        <v>0</v>
      </c>
      <c r="AF48" s="278">
        <f t="shared" si="5"/>
        <v>0</v>
      </c>
    </row>
    <row r="49" spans="2:32">
      <c r="B49" s="142">
        <v>2000</v>
      </c>
      <c r="C49" s="155" cm="1">
        <f t="array" ref="C49">_xlfn.IFNA(
   _xlfn._xlws.FILTER(
      Sim_Mul_Bet10!$H$3:$H$82,
      (Sim_Mul_Bet10!$A$3:$A$82=C$2) * (Sim_Mul_Bet10!$C$3:$C$82=$B49),0
   ),
   0
)</f>
        <v>0</v>
      </c>
      <c r="D49" s="156" cm="1">
        <f t="array" ref="D49">_xlfn.IFNA(
   _xlfn._xlws.FILTER(
      Sim_Mul_Bet10!$H$3:$H$82,
      (Sim_Mul_Bet10!$A$3:$A$82=D$2) * (Sim_Mul_Bet10!$C$3:$C$82=$B49),0
   ),
   0
)</f>
        <v>0</v>
      </c>
      <c r="E49" s="181" cm="1">
        <f t="array" ref="E49">_xlfn.IFNA(
   _xlfn._xlws.FILTER(
      Sim_Mul_Bet10!$H$3:$H$82,
      (Sim_Mul_Bet10!$A$3:$A$82=E$2) * (Sim_Mul_Bet10!$C$3:$C$82=$B49),0
   ),
   0
)</f>
        <v>0</v>
      </c>
      <c r="F49" s="150" cm="1">
        <f t="array" ref="F49">_xlfn.IFNA(
   _xlfn._xlws.FILTER(
      Sim_Mul_Bet10!$O$3:$O$82,
      (Sim_Mul_Bet10!$A$3:$A$82=C$2) * (Sim_Mul_Bet10!$C$3:$C$82=$B49),0
   ),
   0
)</f>
        <v>0</v>
      </c>
      <c r="G49" s="146" cm="1">
        <f t="array" ref="G49">_xlfn.IFNA(
   _xlfn._xlws.FILTER(
      Sim_Mul_Bet10!$O$3:$O$82,
      (Sim_Mul_Bet10!$A$3:$A$82=D$2) * (Sim_Mul_Bet10!$C$3:$C$82=$B49),0
   ),
   0
)</f>
        <v>0</v>
      </c>
      <c r="H49" s="147" cm="1">
        <f t="array" ref="H49">_xlfn.IFNA(
   _xlfn._xlws.FILTER(
      Sim_Mul_Bet10!$O$3:$O$82,
      (Sim_Mul_Bet10!$A$3:$A$82=E$2) * (Sim_Mul_Bet10!$C$3:$C$82=$B49),0
   ),
   0
)</f>
        <v>0</v>
      </c>
      <c r="J49">
        <v>46</v>
      </c>
      <c r="K49" s="206">
        <v>2000</v>
      </c>
      <c r="L49" s="210" t="s">
        <v>90</v>
      </c>
      <c r="M49" s="216">
        <f t="shared" si="2"/>
        <v>0</v>
      </c>
      <c r="N49" s="160">
        <f t="shared" si="6"/>
        <v>0</v>
      </c>
      <c r="O49" s="175">
        <v>0</v>
      </c>
      <c r="P49" s="175">
        <v>0</v>
      </c>
      <c r="Q49" s="175">
        <v>0</v>
      </c>
      <c r="R49" s="197">
        <f t="shared" si="0"/>
        <v>0</v>
      </c>
      <c r="T49" s="184">
        <v>0</v>
      </c>
      <c r="U49" s="199">
        <v>0</v>
      </c>
      <c r="V49" s="203">
        <f t="shared" si="1"/>
        <v>0</v>
      </c>
      <c r="W49" s="169"/>
      <c r="Y49" s="175">
        <f t="shared" si="7"/>
        <v>0</v>
      </c>
      <c r="Z49" s="175">
        <v>0</v>
      </c>
      <c r="AA49" s="175">
        <v>0</v>
      </c>
      <c r="AB49" s="272">
        <f t="shared" si="3"/>
        <v>0</v>
      </c>
      <c r="AD49" s="184">
        <f t="shared" si="4"/>
        <v>0</v>
      </c>
      <c r="AE49" s="199">
        <v>0</v>
      </c>
      <c r="AF49" s="278">
        <f t="shared" si="5"/>
        <v>0</v>
      </c>
    </row>
    <row r="50" spans="2:32">
      <c r="B50" s="142">
        <v>3000</v>
      </c>
      <c r="C50" s="155" cm="1">
        <f t="array" ref="C50">_xlfn.IFNA(
   _xlfn._xlws.FILTER(
      Sim_Mul_Bet10!$H$3:$H$82,
      (Sim_Mul_Bet10!$A$3:$A$82=C$2) * (Sim_Mul_Bet10!$C$3:$C$82=$B50),0
   ),
   0
)</f>
        <v>0</v>
      </c>
      <c r="D50" s="156" cm="1">
        <f t="array" ref="D50">_xlfn.IFNA(
   _xlfn._xlws.FILTER(
      Sim_Mul_Bet10!$H$3:$H$82,
      (Sim_Mul_Bet10!$A$3:$A$82=D$2) * (Sim_Mul_Bet10!$C$3:$C$82=$B50),0
   ),
   0
)</f>
        <v>0</v>
      </c>
      <c r="E50" s="181" cm="1">
        <f t="array" ref="E50">_xlfn.IFNA(
   _xlfn._xlws.FILTER(
      Sim_Mul_Bet10!$H$3:$H$82,
      (Sim_Mul_Bet10!$A$3:$A$82=E$2) * (Sim_Mul_Bet10!$C$3:$C$82=$B50),0
   ),
   0
)</f>
        <v>0</v>
      </c>
      <c r="F50" s="150" cm="1">
        <f t="array" ref="F50">_xlfn.IFNA(
   _xlfn._xlws.FILTER(
      Sim_Mul_Bet10!$O$3:$O$82,
      (Sim_Mul_Bet10!$A$3:$A$82=C$2) * (Sim_Mul_Bet10!$C$3:$C$82=$B50),0
   ),
   0
)</f>
        <v>0</v>
      </c>
      <c r="G50" s="146" cm="1">
        <f t="array" ref="G50">_xlfn.IFNA(
   _xlfn._xlws.FILTER(
      Sim_Mul_Bet10!$O$3:$O$82,
      (Sim_Mul_Bet10!$A$3:$A$82=D$2) * (Sim_Mul_Bet10!$C$3:$C$82=$B50),0
   ),
   0
)</f>
        <v>0</v>
      </c>
      <c r="H50" s="147" cm="1">
        <f t="array" ref="H50">_xlfn.IFNA(
   _xlfn._xlws.FILTER(
      Sim_Mul_Bet10!$O$3:$O$82,
      (Sim_Mul_Bet10!$A$3:$A$82=E$2) * (Sim_Mul_Bet10!$C$3:$C$82=$B50),0
   ),
   0
)</f>
        <v>0</v>
      </c>
      <c r="J50">
        <v>47</v>
      </c>
      <c r="K50" s="206">
        <v>3000</v>
      </c>
      <c r="L50" s="210" t="s">
        <v>90</v>
      </c>
      <c r="M50" s="216">
        <f t="shared" si="2"/>
        <v>0</v>
      </c>
      <c r="N50" s="160">
        <f t="shared" si="6"/>
        <v>0</v>
      </c>
      <c r="O50" s="175">
        <v>0</v>
      </c>
      <c r="P50" s="175">
        <v>0</v>
      </c>
      <c r="Q50" s="175">
        <v>0</v>
      </c>
      <c r="R50" s="197">
        <f t="shared" si="0"/>
        <v>0</v>
      </c>
      <c r="T50" s="184">
        <v>0</v>
      </c>
      <c r="U50" s="199">
        <v>0</v>
      </c>
      <c r="V50" s="203">
        <f t="shared" si="1"/>
        <v>0</v>
      </c>
      <c r="W50" s="169"/>
      <c r="Y50" s="175">
        <f t="shared" si="7"/>
        <v>0</v>
      </c>
      <c r="Z50" s="175">
        <v>0</v>
      </c>
      <c r="AA50" s="175">
        <v>0</v>
      </c>
      <c r="AB50" s="272">
        <f t="shared" si="3"/>
        <v>0</v>
      </c>
      <c r="AD50" s="184">
        <f t="shared" si="4"/>
        <v>0</v>
      </c>
      <c r="AE50" s="199">
        <v>0</v>
      </c>
      <c r="AF50" s="278">
        <f t="shared" si="5"/>
        <v>0</v>
      </c>
    </row>
    <row r="51" spans="2:32">
      <c r="B51" s="142">
        <v>4000</v>
      </c>
      <c r="C51" s="155" cm="1">
        <f t="array" ref="C51">_xlfn.IFNA(
   _xlfn._xlws.FILTER(
      Sim_Mul_Bet10!$H$3:$H$82,
      (Sim_Mul_Bet10!$A$3:$A$82=C$2) * (Sim_Mul_Bet10!$C$3:$C$82=$B51),0
   ),
   0
)</f>
        <v>0</v>
      </c>
      <c r="D51" s="156" cm="1">
        <f t="array" ref="D51">_xlfn.IFNA(
   _xlfn._xlws.FILTER(
      Sim_Mul_Bet10!$H$3:$H$82,
      (Sim_Mul_Bet10!$A$3:$A$82=D$2) * (Sim_Mul_Bet10!$C$3:$C$82=$B51),0
   ),
   0
)</f>
        <v>0</v>
      </c>
      <c r="E51" s="181" cm="1">
        <f t="array" ref="E51">_xlfn.IFNA(
   _xlfn._xlws.FILTER(
      Sim_Mul_Bet10!$H$3:$H$82,
      (Sim_Mul_Bet10!$A$3:$A$82=E$2) * (Sim_Mul_Bet10!$C$3:$C$82=$B51),0
   ),
   0
)</f>
        <v>0</v>
      </c>
      <c r="F51" s="150" cm="1">
        <f t="array" ref="F51">_xlfn.IFNA(
   _xlfn._xlws.FILTER(
      Sim_Mul_Bet10!$O$3:$O$82,
      (Sim_Mul_Bet10!$A$3:$A$82=C$2) * (Sim_Mul_Bet10!$C$3:$C$82=$B51),0
   ),
   0
)</f>
        <v>0</v>
      </c>
      <c r="G51" s="146" cm="1">
        <f t="array" ref="G51">_xlfn.IFNA(
   _xlfn._xlws.FILTER(
      Sim_Mul_Bet10!$O$3:$O$82,
      (Sim_Mul_Bet10!$A$3:$A$82=D$2) * (Sim_Mul_Bet10!$C$3:$C$82=$B51),0
   ),
   0
)</f>
        <v>0</v>
      </c>
      <c r="H51" s="147" cm="1">
        <f t="array" ref="H51">_xlfn.IFNA(
   _xlfn._xlws.FILTER(
      Sim_Mul_Bet10!$O$3:$O$82,
      (Sim_Mul_Bet10!$A$3:$A$82=E$2) * (Sim_Mul_Bet10!$C$3:$C$82=$B51),0
   ),
   0
)</f>
        <v>0</v>
      </c>
      <c r="J51">
        <v>48</v>
      </c>
      <c r="K51" s="206">
        <v>4000</v>
      </c>
      <c r="L51" s="210" t="s">
        <v>90</v>
      </c>
      <c r="M51" s="216">
        <f t="shared" si="2"/>
        <v>0</v>
      </c>
      <c r="N51" s="160">
        <f t="shared" si="6"/>
        <v>0</v>
      </c>
      <c r="O51" s="175">
        <v>0</v>
      </c>
      <c r="P51" s="175">
        <v>0</v>
      </c>
      <c r="Q51" s="175">
        <v>0</v>
      </c>
      <c r="R51" s="197">
        <f t="shared" si="0"/>
        <v>0</v>
      </c>
      <c r="T51" s="184">
        <v>0</v>
      </c>
      <c r="U51" s="199">
        <v>0</v>
      </c>
      <c r="V51" s="203">
        <f t="shared" si="1"/>
        <v>0</v>
      </c>
      <c r="W51" s="169"/>
      <c r="Y51" s="175">
        <f t="shared" si="7"/>
        <v>0</v>
      </c>
      <c r="Z51" s="175">
        <v>0</v>
      </c>
      <c r="AA51" s="175">
        <v>0</v>
      </c>
      <c r="AB51" s="272">
        <f t="shared" si="3"/>
        <v>0</v>
      </c>
      <c r="AD51" s="184">
        <f t="shared" si="4"/>
        <v>0</v>
      </c>
      <c r="AE51" s="199">
        <v>0</v>
      </c>
      <c r="AF51" s="278">
        <f t="shared" si="5"/>
        <v>0</v>
      </c>
    </row>
    <row r="52" spans="2:32">
      <c r="B52" s="142">
        <v>5000</v>
      </c>
      <c r="C52" s="155" cm="1">
        <f t="array" ref="C52">_xlfn.IFNA(
   _xlfn._xlws.FILTER(
      Sim_Mul_Bet10!$H$3:$H$82,
      (Sim_Mul_Bet10!$A$3:$A$82=C$2) * (Sim_Mul_Bet10!$C$3:$C$82=$B52),0
   ),
   0
)</f>
        <v>0</v>
      </c>
      <c r="D52" s="156" cm="1">
        <f t="array" ref="D52">_xlfn.IFNA(
   _xlfn._xlws.FILTER(
      Sim_Mul_Bet10!$H$3:$H$82,
      (Sim_Mul_Bet10!$A$3:$A$82=D$2) * (Sim_Mul_Bet10!$C$3:$C$82=$B52),0
   ),
   0
)</f>
        <v>0</v>
      </c>
      <c r="E52" s="181" cm="1">
        <f t="array" ref="E52">_xlfn.IFNA(
   _xlfn._xlws.FILTER(
      Sim_Mul_Bet10!$H$3:$H$82,
      (Sim_Mul_Bet10!$A$3:$A$82=E$2) * (Sim_Mul_Bet10!$C$3:$C$82=$B52),0
   ),
   0
)</f>
        <v>0</v>
      </c>
      <c r="F52" s="150" cm="1">
        <f t="array" ref="F52">_xlfn.IFNA(
   _xlfn._xlws.FILTER(
      Sim_Mul_Bet10!$O$3:$O$82,
      (Sim_Mul_Bet10!$A$3:$A$82=C$2) * (Sim_Mul_Bet10!$C$3:$C$82=$B52),0
   ),
   0
)</f>
        <v>0</v>
      </c>
      <c r="G52" s="146" cm="1">
        <f t="array" ref="G52">_xlfn.IFNA(
   _xlfn._xlws.FILTER(
      Sim_Mul_Bet10!$O$3:$O$82,
      (Sim_Mul_Bet10!$A$3:$A$82=D$2) * (Sim_Mul_Bet10!$C$3:$C$82=$B52),0
   ),
   0
)</f>
        <v>0</v>
      </c>
      <c r="H52" s="147" cm="1">
        <f t="array" ref="H52">_xlfn.IFNA(
   _xlfn._xlws.FILTER(
      Sim_Mul_Bet10!$O$3:$O$82,
      (Sim_Mul_Bet10!$A$3:$A$82=E$2) * (Sim_Mul_Bet10!$C$3:$C$82=$B52),0
   ),
   0
)</f>
        <v>0</v>
      </c>
      <c r="J52">
        <v>49</v>
      </c>
      <c r="K52" s="206">
        <v>5000</v>
      </c>
      <c r="L52" s="210" t="s">
        <v>90</v>
      </c>
      <c r="M52" s="216">
        <f t="shared" si="2"/>
        <v>0</v>
      </c>
      <c r="N52" s="160">
        <f t="shared" si="6"/>
        <v>0</v>
      </c>
      <c r="O52" s="175">
        <v>0</v>
      </c>
      <c r="P52" s="175">
        <v>0</v>
      </c>
      <c r="Q52" s="175">
        <v>0</v>
      </c>
      <c r="R52" s="197">
        <f t="shared" si="0"/>
        <v>0</v>
      </c>
      <c r="T52" s="184">
        <v>0</v>
      </c>
      <c r="U52" s="199">
        <v>0</v>
      </c>
      <c r="V52" s="203">
        <f t="shared" si="1"/>
        <v>0</v>
      </c>
      <c r="W52" s="169"/>
      <c r="Y52" s="175">
        <f t="shared" si="7"/>
        <v>0</v>
      </c>
      <c r="Z52" s="175">
        <v>0</v>
      </c>
      <c r="AA52" s="175">
        <v>0</v>
      </c>
      <c r="AB52" s="272">
        <f t="shared" si="3"/>
        <v>0</v>
      </c>
      <c r="AD52" s="184">
        <f t="shared" si="4"/>
        <v>0</v>
      </c>
      <c r="AE52" s="199">
        <v>0</v>
      </c>
      <c r="AF52" s="278">
        <f t="shared" si="5"/>
        <v>0</v>
      </c>
    </row>
    <row r="53" spans="2:32">
      <c r="B53" s="142">
        <v>6000</v>
      </c>
      <c r="C53" s="155" cm="1">
        <f t="array" ref="C53">_xlfn.IFNA(
   _xlfn._xlws.FILTER(
      Sim_Mul_Bet10!$H$3:$H$82,
      (Sim_Mul_Bet10!$A$3:$A$82=C$2) * (Sim_Mul_Bet10!$C$3:$C$82=$B53),0
   ),
   0
)</f>
        <v>0</v>
      </c>
      <c r="D53" s="156" cm="1">
        <f t="array" ref="D53">_xlfn.IFNA(
   _xlfn._xlws.FILTER(
      Sim_Mul_Bet10!$H$3:$H$82,
      (Sim_Mul_Bet10!$A$3:$A$82=D$2) * (Sim_Mul_Bet10!$C$3:$C$82=$B53),0
   ),
   0
)</f>
        <v>0</v>
      </c>
      <c r="E53" s="181" cm="1">
        <f t="array" ref="E53">_xlfn.IFNA(
   _xlfn._xlws.FILTER(
      Sim_Mul_Bet10!$H$3:$H$82,
      (Sim_Mul_Bet10!$A$3:$A$82=E$2) * (Sim_Mul_Bet10!$C$3:$C$82=$B53),0
   ),
   0
)</f>
        <v>0</v>
      </c>
      <c r="F53" s="150" cm="1">
        <f t="array" ref="F53">_xlfn.IFNA(
   _xlfn._xlws.FILTER(
      Sim_Mul_Bet10!$O$3:$O$82,
      (Sim_Mul_Bet10!$A$3:$A$82=C$2) * (Sim_Mul_Bet10!$C$3:$C$82=$B53),0
   ),
   0
)</f>
        <v>0</v>
      </c>
      <c r="G53" s="146" cm="1">
        <f t="array" ref="G53">_xlfn.IFNA(
   _xlfn._xlws.FILTER(
      Sim_Mul_Bet10!$O$3:$O$82,
      (Sim_Mul_Bet10!$A$3:$A$82=D$2) * (Sim_Mul_Bet10!$C$3:$C$82=$B53),0
   ),
   0
)</f>
        <v>0</v>
      </c>
      <c r="H53" s="147" cm="1">
        <f t="array" ref="H53">_xlfn.IFNA(
   _xlfn._xlws.FILTER(
      Sim_Mul_Bet10!$O$3:$O$82,
      (Sim_Mul_Bet10!$A$3:$A$82=E$2) * (Sim_Mul_Bet10!$C$3:$C$82=$B53),0
   ),
   0
)</f>
        <v>0</v>
      </c>
      <c r="J53">
        <v>50</v>
      </c>
      <c r="K53" s="206">
        <v>6000</v>
      </c>
      <c r="L53" s="210" t="s">
        <v>90</v>
      </c>
      <c r="M53" s="216">
        <f t="shared" si="2"/>
        <v>0</v>
      </c>
      <c r="N53" s="160">
        <f t="shared" si="6"/>
        <v>0</v>
      </c>
      <c r="O53" s="175">
        <v>0</v>
      </c>
      <c r="P53" s="175">
        <v>0</v>
      </c>
      <c r="Q53" s="175">
        <v>0</v>
      </c>
      <c r="R53" s="197">
        <f t="shared" si="0"/>
        <v>0</v>
      </c>
      <c r="T53" s="184">
        <v>0</v>
      </c>
      <c r="U53" s="199">
        <v>0</v>
      </c>
      <c r="V53" s="203">
        <f t="shared" si="1"/>
        <v>0</v>
      </c>
      <c r="W53" s="169"/>
      <c r="Y53" s="175">
        <f t="shared" si="7"/>
        <v>0</v>
      </c>
      <c r="Z53" s="175">
        <v>0</v>
      </c>
      <c r="AA53" s="175">
        <v>0</v>
      </c>
      <c r="AB53" s="272">
        <f t="shared" si="3"/>
        <v>0</v>
      </c>
      <c r="AD53" s="184">
        <f t="shared" si="4"/>
        <v>0</v>
      </c>
      <c r="AE53" s="199">
        <v>0</v>
      </c>
      <c r="AF53" s="278">
        <f t="shared" si="5"/>
        <v>0</v>
      </c>
    </row>
    <row r="54" spans="2:32" ht="16.8" thickBot="1">
      <c r="B54" s="143">
        <v>7000</v>
      </c>
      <c r="C54" s="157" cm="1">
        <f t="array" ref="C54">_xlfn.IFNA(
   _xlfn._xlws.FILTER(
      Sim_Mul_Bet10!$H$3:$H$82,
      (Sim_Mul_Bet10!$A$3:$A$82=C$2) * (Sim_Mul_Bet10!$C$3:$C$82=$B54),0
   ),
   0
)</f>
        <v>0</v>
      </c>
      <c r="D54" s="158" cm="1">
        <f t="array" ref="D54">_xlfn.IFNA(
   _xlfn._xlws.FILTER(
      Sim_Mul_Bet10!$H$3:$H$82,
      (Sim_Mul_Bet10!$A$3:$A$82=D$2) * (Sim_Mul_Bet10!$C$3:$C$82=$B54),0
   ),
   0
)</f>
        <v>0</v>
      </c>
      <c r="E54" s="182" cm="1">
        <f t="array" ref="E54">_xlfn.IFNA(
   _xlfn._xlws.FILTER(
      Sim_Mul_Bet10!$H$3:$H$82,
      (Sim_Mul_Bet10!$A$3:$A$82=E$2) * (Sim_Mul_Bet10!$C$3:$C$82=$B54),0
   ),
   0
)</f>
        <v>0</v>
      </c>
      <c r="F54" s="151" cm="1">
        <f t="array" ref="F54">_xlfn.IFNA(
   _xlfn._xlws.FILTER(
      Sim_Mul_Bet10!$O$3:$O$82,
      (Sim_Mul_Bet10!$A$3:$A$82=C$2) * (Sim_Mul_Bet10!$C$3:$C$82=$B54),0
   ),
   0
)</f>
        <v>0</v>
      </c>
      <c r="G54" s="148" cm="1">
        <f t="array" ref="G54">_xlfn.IFNA(
   _xlfn._xlws.FILTER(
      Sim_Mul_Bet10!$O$3:$O$82,
      (Sim_Mul_Bet10!$A$3:$A$82=D$2) * (Sim_Mul_Bet10!$C$3:$C$82=$B54),0
   ),
   0
)</f>
        <v>0</v>
      </c>
      <c r="H54" s="149" cm="1">
        <f t="array" ref="H54">_xlfn.IFNA(
   _xlfn._xlws.FILTER(
      Sim_Mul_Bet10!$O$3:$O$82,
      (Sim_Mul_Bet10!$A$3:$A$82=E$2) * (Sim_Mul_Bet10!$C$3:$C$82=$B54),0
   ),
   0
)</f>
        <v>0</v>
      </c>
      <c r="J54">
        <v>51</v>
      </c>
      <c r="K54" s="207">
        <v>7000</v>
      </c>
      <c r="L54" s="211" t="s">
        <v>90</v>
      </c>
      <c r="M54" s="217">
        <f t="shared" si="2"/>
        <v>0</v>
      </c>
      <c r="N54" s="161">
        <f t="shared" si="6"/>
        <v>0</v>
      </c>
      <c r="O54" s="176">
        <v>0</v>
      </c>
      <c r="P54" s="176">
        <v>0</v>
      </c>
      <c r="Q54" s="176">
        <v>0</v>
      </c>
      <c r="R54" s="197">
        <f t="shared" si="0"/>
        <v>0</v>
      </c>
      <c r="T54" s="185">
        <v>0</v>
      </c>
      <c r="U54" s="200">
        <v>0</v>
      </c>
      <c r="V54" s="204">
        <f t="shared" si="1"/>
        <v>0</v>
      </c>
      <c r="W54" s="169"/>
      <c r="Y54" s="175">
        <f t="shared" si="7"/>
        <v>0</v>
      </c>
      <c r="Z54" s="176">
        <v>0</v>
      </c>
      <c r="AA54" s="176">
        <v>0</v>
      </c>
      <c r="AB54" s="272">
        <f t="shared" si="3"/>
        <v>0</v>
      </c>
      <c r="AD54" s="185">
        <f t="shared" si="4"/>
        <v>0</v>
      </c>
      <c r="AE54" s="200">
        <v>0</v>
      </c>
      <c r="AF54" s="279">
        <f t="shared" si="5"/>
        <v>0</v>
      </c>
    </row>
  </sheetData>
  <mergeCells count="2">
    <mergeCell ref="C1:E1"/>
    <mergeCell ref="F1:H1"/>
  </mergeCells>
  <phoneticPr fontId="1" type="noConversion"/>
  <conditionalFormatting sqref="F4:H54 G3">
    <cfRule type="cellIs" dxfId="2059" priority="20" operator="equal">
      <formula>0</formula>
    </cfRule>
  </conditionalFormatting>
  <conditionalFormatting sqref="C4:E54 T1:T1048576 O1:O2 C3:D3 O55:O1048576 Q55:Q1048576 Q1:Q2">
    <cfRule type="cellIs" dxfId="2058" priority="22" operator="equal">
      <formula>0</formula>
    </cfRule>
  </conditionalFormatting>
  <conditionalFormatting sqref="N1:N1048576">
    <cfRule type="cellIs" dxfId="2057" priority="21" operator="equal">
      <formula>0</formula>
    </cfRule>
  </conditionalFormatting>
  <conditionalFormatting sqref="O3">
    <cfRule type="cellIs" dxfId="2056" priority="18" operator="equal">
      <formula>0</formula>
    </cfRule>
  </conditionalFormatting>
  <conditionalFormatting sqref="Q3:Q54">
    <cfRule type="cellIs" dxfId="2055" priority="17" operator="equal">
      <formula>0</formula>
    </cfRule>
  </conditionalFormatting>
  <conditionalFormatting sqref="O44:O54">
    <cfRule type="cellIs" dxfId="2054" priority="15" operator="equal">
      <formula>0</formula>
    </cfRule>
  </conditionalFormatting>
  <conditionalFormatting sqref="M1:M1048576">
    <cfRule type="cellIs" dxfId="2053" priority="19" operator="lessThan">
      <formula>0.001</formula>
    </cfRule>
  </conditionalFormatting>
  <conditionalFormatting sqref="O4:O43">
    <cfRule type="cellIs" dxfId="2052" priority="13" operator="equal">
      <formula>0</formula>
    </cfRule>
  </conditionalFormatting>
  <conditionalFormatting sqref="P1:P2 P55:P1048576">
    <cfRule type="cellIs" dxfId="2051" priority="12" operator="equal">
      <formula>0</formula>
    </cfRule>
  </conditionalFormatting>
  <conditionalFormatting sqref="P3">
    <cfRule type="cellIs" dxfId="2050" priority="11" operator="equal">
      <formula>0</formula>
    </cfRule>
  </conditionalFormatting>
  <conditionalFormatting sqref="P44:P54">
    <cfRule type="cellIs" dxfId="2049" priority="10" operator="equal">
      <formula>0</formula>
    </cfRule>
  </conditionalFormatting>
  <conditionalFormatting sqref="P4:P43">
    <cfRule type="cellIs" dxfId="2048" priority="9" operator="equal">
      <formula>0</formula>
    </cfRule>
  </conditionalFormatting>
  <conditionalFormatting sqref="AD1:AD1048576 Y1:Y2 Y55:Y1048576 AA55:AA1048576 AA1:AA2">
    <cfRule type="cellIs" dxfId="2047" priority="8" operator="equal">
      <formula>0</formula>
    </cfRule>
  </conditionalFormatting>
  <conditionalFormatting sqref="Y3:Y54">
    <cfRule type="cellIs" dxfId="2046" priority="7" operator="equal">
      <formula>0</formula>
    </cfRule>
  </conditionalFormatting>
  <conditionalFormatting sqref="AA3">
    <cfRule type="cellIs" dxfId="2045" priority="6" operator="equal">
      <formula>0</formula>
    </cfRule>
  </conditionalFormatting>
  <conditionalFormatting sqref="Z1:Z2 Z55:Z1048576">
    <cfRule type="cellIs" dxfId="2044" priority="5" operator="equal">
      <formula>0</formula>
    </cfRule>
  </conditionalFormatting>
  <conditionalFormatting sqref="Z3">
    <cfRule type="cellIs" dxfId="2043" priority="4" operator="equal">
      <formula>0</formula>
    </cfRule>
  </conditionalFormatting>
  <conditionalFormatting sqref="AA4:AA54">
    <cfRule type="cellIs" dxfId="2042" priority="3" operator="equal">
      <formula>0</formula>
    </cfRule>
  </conditionalFormatting>
  <conditionalFormatting sqref="Z44:Z54">
    <cfRule type="cellIs" dxfId="2041" priority="2" operator="equal">
      <formula>0</formula>
    </cfRule>
  </conditionalFormatting>
  <conditionalFormatting sqref="Z4:Z43">
    <cfRule type="cellIs" dxfId="2040" priority="1" operator="equal">
      <formula>0</formula>
    </cfRule>
  </conditionalFormatting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749B35-76C1-48F1-93E8-3D01F1A967FA}">
  <dimension ref="A1:AI107"/>
  <sheetViews>
    <sheetView workbookViewId="0">
      <selection sqref="A1:C1"/>
    </sheetView>
  </sheetViews>
  <sheetFormatPr defaultRowHeight="16.2"/>
  <cols>
    <col min="8" max="8" width="8.88671875" style="137"/>
    <col min="15" max="15" width="8.88671875" style="167"/>
    <col min="21" max="21" width="10.5546875" bestFit="1" customWidth="1"/>
  </cols>
  <sheetData>
    <row r="1" spans="1:35">
      <c r="O1" s="167">
        <v>10</v>
      </c>
    </row>
    <row r="3" spans="1:35">
      <c r="H3" s="137" t="s">
        <v>158</v>
      </c>
      <c r="O3" s="167" t="s">
        <v>157</v>
      </c>
      <c r="U3" t="s">
        <v>158</v>
      </c>
    </row>
    <row r="4" spans="1:35">
      <c r="A4" t="s">
        <v>90</v>
      </c>
      <c r="B4" t="s">
        <v>147</v>
      </c>
      <c r="C4">
        <v>0</v>
      </c>
      <c r="F4" t="s">
        <v>148</v>
      </c>
      <c r="G4">
        <v>87009538</v>
      </c>
      <c r="H4" s="137" cm="1">
        <f t="array" ref="H4:H29">G4:G29/SUM(G4:$G$29)</f>
        <v>0.87009537999999997</v>
      </c>
      <c r="K4" t="s">
        <v>149</v>
      </c>
      <c r="L4" t="s">
        <v>148</v>
      </c>
      <c r="M4">
        <v>0</v>
      </c>
      <c r="O4" s="167">
        <f>M4/G4/$O$1</f>
        <v>0</v>
      </c>
      <c r="R4" t="s">
        <v>150</v>
      </c>
      <c r="S4" t="s">
        <v>148</v>
      </c>
      <c r="T4" t="s">
        <v>156</v>
      </c>
      <c r="U4" s="137" cm="1">
        <f t="array" ref="U4">_xlfn.IFS(T4="null",0,T4="","",T4/G4&gt;=0,T4/G4)</f>
        <v>0</v>
      </c>
      <c r="X4" t="s">
        <v>152</v>
      </c>
      <c r="Y4" t="s">
        <v>148</v>
      </c>
      <c r="Z4" t="s">
        <v>156</v>
      </c>
      <c r="AA4" t="s">
        <v>153</v>
      </c>
      <c r="AB4" t="s">
        <v>148</v>
      </c>
      <c r="AC4" t="s">
        <v>156</v>
      </c>
      <c r="AD4" t="s">
        <v>154</v>
      </c>
      <c r="AE4" t="s">
        <v>148</v>
      </c>
      <c r="AF4" t="s">
        <v>156</v>
      </c>
      <c r="AG4" t="s">
        <v>155</v>
      </c>
      <c r="AH4" t="s">
        <v>148</v>
      </c>
      <c r="AI4" t="s">
        <v>156</v>
      </c>
    </row>
    <row r="5" spans="1:35">
      <c r="A5" t="s">
        <v>90</v>
      </c>
      <c r="B5" t="s">
        <v>147</v>
      </c>
      <c r="C5">
        <v>1</v>
      </c>
      <c r="F5" t="s">
        <v>148</v>
      </c>
      <c r="G5">
        <v>5818925</v>
      </c>
      <c r="H5" s="137">
        <v>5.8189249999999998E-2</v>
      </c>
      <c r="K5" t="s">
        <v>149</v>
      </c>
      <c r="L5" t="s">
        <v>148</v>
      </c>
      <c r="M5">
        <v>58876669</v>
      </c>
      <c r="O5" s="167">
        <f t="shared" ref="O5:O29" si="0">M5/G5/$O$1</f>
        <v>1.0118135050718131</v>
      </c>
      <c r="R5" t="s">
        <v>150</v>
      </c>
      <c r="S5" t="s">
        <v>148</v>
      </c>
      <c r="T5" t="s">
        <v>156</v>
      </c>
      <c r="U5" s="137" cm="1">
        <f t="array" ref="U5">_xlfn.IFS(T5="null",0,T5="","",T5/G5&gt;=0,T5/G5)</f>
        <v>0</v>
      </c>
      <c r="X5" t="s">
        <v>152</v>
      </c>
      <c r="Y5" t="s">
        <v>148</v>
      </c>
      <c r="Z5" t="s">
        <v>156</v>
      </c>
      <c r="AA5" t="s">
        <v>153</v>
      </c>
      <c r="AB5" t="s">
        <v>148</v>
      </c>
      <c r="AC5" t="s">
        <v>156</v>
      </c>
      <c r="AD5" t="s">
        <v>154</v>
      </c>
      <c r="AE5" t="s">
        <v>148</v>
      </c>
      <c r="AF5" t="s">
        <v>156</v>
      </c>
      <c r="AG5" t="s">
        <v>155</v>
      </c>
      <c r="AH5" t="s">
        <v>148</v>
      </c>
      <c r="AI5" t="s">
        <v>156</v>
      </c>
    </row>
    <row r="6" spans="1:35">
      <c r="A6" t="s">
        <v>90</v>
      </c>
      <c r="B6" t="s">
        <v>147</v>
      </c>
      <c r="C6">
        <v>2</v>
      </c>
      <c r="F6" t="s">
        <v>148</v>
      </c>
      <c r="G6">
        <v>1385032</v>
      </c>
      <c r="H6" s="137">
        <v>1.3850319999999999E-2</v>
      </c>
      <c r="K6" t="s">
        <v>149</v>
      </c>
      <c r="L6" t="s">
        <v>148</v>
      </c>
      <c r="M6">
        <v>34314534</v>
      </c>
      <c r="O6" s="167">
        <f t="shared" si="0"/>
        <v>2.4775264398223289</v>
      </c>
      <c r="R6" t="s">
        <v>150</v>
      </c>
      <c r="S6" t="s">
        <v>148</v>
      </c>
      <c r="T6" t="s">
        <v>156</v>
      </c>
      <c r="U6" s="137" cm="1">
        <f t="array" ref="U6">_xlfn.IFS(T6="null",0,T6="","",T6/G6&gt;=0,T6/G6)</f>
        <v>0</v>
      </c>
      <c r="X6" t="s">
        <v>152</v>
      </c>
      <c r="Y6" t="s">
        <v>148</v>
      </c>
      <c r="Z6" t="s">
        <v>156</v>
      </c>
      <c r="AA6" t="s">
        <v>153</v>
      </c>
      <c r="AB6" t="s">
        <v>148</v>
      </c>
      <c r="AC6" t="s">
        <v>156</v>
      </c>
      <c r="AD6" t="s">
        <v>154</v>
      </c>
      <c r="AE6" t="s">
        <v>148</v>
      </c>
      <c r="AF6" t="s">
        <v>156</v>
      </c>
      <c r="AG6" t="s">
        <v>155</v>
      </c>
      <c r="AH6" t="s">
        <v>148</v>
      </c>
      <c r="AI6" t="s">
        <v>156</v>
      </c>
    </row>
    <row r="7" spans="1:35">
      <c r="A7" t="s">
        <v>90</v>
      </c>
      <c r="B7" t="s">
        <v>147</v>
      </c>
      <c r="C7">
        <v>3</v>
      </c>
      <c r="F7" t="s">
        <v>148</v>
      </c>
      <c r="G7">
        <v>4092</v>
      </c>
      <c r="H7" s="137">
        <v>4.0920000000000001E-5</v>
      </c>
      <c r="K7" t="s">
        <v>149</v>
      </c>
      <c r="L7" t="s">
        <v>148</v>
      </c>
      <c r="M7">
        <v>122760</v>
      </c>
      <c r="O7" s="167">
        <f t="shared" si="0"/>
        <v>3</v>
      </c>
      <c r="R7" t="s">
        <v>150</v>
      </c>
      <c r="S7" t="s">
        <v>148</v>
      </c>
      <c r="T7" t="s">
        <v>156</v>
      </c>
      <c r="U7" s="137" cm="1">
        <f t="array" ref="U7">_xlfn.IFS(T7="null",0,T7="","",T7/G7&gt;=0,T7/G7)</f>
        <v>0</v>
      </c>
      <c r="X7" t="s">
        <v>152</v>
      </c>
      <c r="Y7" t="s">
        <v>148</v>
      </c>
      <c r="Z7" t="s">
        <v>156</v>
      </c>
      <c r="AA7" t="s">
        <v>153</v>
      </c>
      <c r="AB7" t="s">
        <v>148</v>
      </c>
      <c r="AC7" t="s">
        <v>156</v>
      </c>
      <c r="AD7" t="s">
        <v>154</v>
      </c>
      <c r="AE7" t="s">
        <v>148</v>
      </c>
      <c r="AF7" t="s">
        <v>156</v>
      </c>
      <c r="AG7" t="s">
        <v>155</v>
      </c>
      <c r="AH7" t="s">
        <v>148</v>
      </c>
      <c r="AI7" t="s">
        <v>156</v>
      </c>
    </row>
    <row r="8" spans="1:35">
      <c r="A8" t="s">
        <v>90</v>
      </c>
      <c r="B8" t="s">
        <v>147</v>
      </c>
      <c r="C8">
        <v>5</v>
      </c>
      <c r="F8" t="s">
        <v>148</v>
      </c>
      <c r="G8">
        <v>801222</v>
      </c>
      <c r="H8" s="137">
        <v>8.0122200000000005E-3</v>
      </c>
      <c r="K8" t="s">
        <v>149</v>
      </c>
      <c r="L8" t="s">
        <v>148</v>
      </c>
      <c r="M8">
        <v>40855601</v>
      </c>
      <c r="O8" s="167">
        <f t="shared" si="0"/>
        <v>5.0991611563337003</v>
      </c>
      <c r="R8" t="s">
        <v>150</v>
      </c>
      <c r="S8" t="s">
        <v>148</v>
      </c>
      <c r="T8">
        <v>173623</v>
      </c>
      <c r="U8" s="137" cm="1">
        <f t="array" ref="U8">_xlfn.IFS(T8="null",0,T8="","",T8/G8&gt;=0,T8/G8)</f>
        <v>0.216697744195741</v>
      </c>
      <c r="X8" t="s">
        <v>152</v>
      </c>
      <c r="Y8" t="s">
        <v>148</v>
      </c>
      <c r="Z8" t="s">
        <v>156</v>
      </c>
      <c r="AA8" t="s">
        <v>153</v>
      </c>
      <c r="AB8" t="s">
        <v>148</v>
      </c>
      <c r="AC8" t="s">
        <v>156</v>
      </c>
      <c r="AD8" t="s">
        <v>154</v>
      </c>
      <c r="AE8" t="s">
        <v>148</v>
      </c>
      <c r="AF8" t="s">
        <v>156</v>
      </c>
      <c r="AG8" t="s">
        <v>155</v>
      </c>
      <c r="AH8" t="s">
        <v>148</v>
      </c>
      <c r="AI8" t="s">
        <v>156</v>
      </c>
    </row>
    <row r="9" spans="1:35">
      <c r="A9" t="s">
        <v>90</v>
      </c>
      <c r="B9" t="s">
        <v>147</v>
      </c>
      <c r="C9">
        <v>6</v>
      </c>
      <c r="F9" t="s">
        <v>148</v>
      </c>
      <c r="G9">
        <v>6283</v>
      </c>
      <c r="H9" s="137">
        <v>6.2830000000000007E-5</v>
      </c>
      <c r="K9" t="s">
        <v>149</v>
      </c>
      <c r="L9" t="s">
        <v>148</v>
      </c>
      <c r="M9">
        <v>378588</v>
      </c>
      <c r="O9" s="167">
        <f t="shared" si="0"/>
        <v>6.025592869648257</v>
      </c>
      <c r="R9" t="s">
        <v>150</v>
      </c>
      <c r="S9" t="s">
        <v>148</v>
      </c>
      <c r="T9">
        <v>855</v>
      </c>
      <c r="U9" s="137" cm="1">
        <f t="array" ref="U9">_xlfn.IFS(T9="null",0,T9="","",T9/G9&gt;=0,T9/G9)</f>
        <v>0.13608148973420339</v>
      </c>
      <c r="X9" t="s">
        <v>152</v>
      </c>
      <c r="Y9" t="s">
        <v>148</v>
      </c>
      <c r="Z9" t="s">
        <v>156</v>
      </c>
      <c r="AA9" t="s">
        <v>153</v>
      </c>
      <c r="AB9" t="s">
        <v>148</v>
      </c>
      <c r="AC9" t="s">
        <v>156</v>
      </c>
      <c r="AD9" t="s">
        <v>154</v>
      </c>
      <c r="AE9" t="s">
        <v>148</v>
      </c>
      <c r="AF9" t="s">
        <v>156</v>
      </c>
      <c r="AG9" t="s">
        <v>155</v>
      </c>
      <c r="AH9" t="s">
        <v>148</v>
      </c>
      <c r="AI9" t="s">
        <v>156</v>
      </c>
    </row>
    <row r="10" spans="1:35">
      <c r="A10" t="s">
        <v>90</v>
      </c>
      <c r="B10" t="s">
        <v>147</v>
      </c>
      <c r="C10">
        <v>7</v>
      </c>
      <c r="F10" t="s">
        <v>148</v>
      </c>
      <c r="G10">
        <v>3124</v>
      </c>
      <c r="H10" s="137">
        <v>3.1239999999999999E-5</v>
      </c>
      <c r="K10" t="s">
        <v>149</v>
      </c>
      <c r="L10" t="s">
        <v>148</v>
      </c>
      <c r="M10">
        <v>234275</v>
      </c>
      <c r="O10" s="167">
        <f t="shared" si="0"/>
        <v>7.4991997439180533</v>
      </c>
      <c r="R10" t="s">
        <v>150</v>
      </c>
      <c r="S10" t="s">
        <v>148</v>
      </c>
      <c r="T10" t="s">
        <v>156</v>
      </c>
      <c r="U10" s="137" cm="1">
        <f t="array" ref="U10">_xlfn.IFS(T10="null",0,T10="","",T10/G10&gt;=0,T10/G10)</f>
        <v>0</v>
      </c>
      <c r="X10" t="s">
        <v>152</v>
      </c>
      <c r="Y10" t="s">
        <v>148</v>
      </c>
      <c r="Z10" t="s">
        <v>156</v>
      </c>
      <c r="AA10" t="s">
        <v>153</v>
      </c>
      <c r="AB10" t="s">
        <v>148</v>
      </c>
      <c r="AC10" t="s">
        <v>156</v>
      </c>
      <c r="AD10" t="s">
        <v>154</v>
      </c>
      <c r="AE10" t="s">
        <v>148</v>
      </c>
      <c r="AF10" t="s">
        <v>156</v>
      </c>
      <c r="AG10" t="s">
        <v>155</v>
      </c>
      <c r="AH10" t="s">
        <v>148</v>
      </c>
      <c r="AI10" t="s">
        <v>156</v>
      </c>
    </row>
    <row r="11" spans="1:35">
      <c r="A11" t="s">
        <v>90</v>
      </c>
      <c r="B11" t="s">
        <v>147</v>
      </c>
      <c r="C11">
        <v>10</v>
      </c>
      <c r="F11" t="s">
        <v>148</v>
      </c>
      <c r="G11">
        <v>3096557</v>
      </c>
      <c r="H11" s="137">
        <v>3.0965570000000001E-2</v>
      </c>
      <c r="K11" t="s">
        <v>149</v>
      </c>
      <c r="L11" t="s">
        <v>148</v>
      </c>
      <c r="M11">
        <v>312410508</v>
      </c>
      <c r="O11" s="167">
        <f t="shared" si="0"/>
        <v>10.088963581164499</v>
      </c>
      <c r="R11" t="s">
        <v>150</v>
      </c>
      <c r="S11" t="s">
        <v>148</v>
      </c>
      <c r="T11">
        <v>336679</v>
      </c>
      <c r="U11" s="137" cm="1">
        <f t="array" ref="U11">_xlfn.IFS(T11="null",0,T11="","",T11/G11&gt;=0,T11/G11)</f>
        <v>0.1087268860221207</v>
      </c>
      <c r="X11" t="s">
        <v>152</v>
      </c>
      <c r="Y11" t="s">
        <v>148</v>
      </c>
      <c r="Z11" t="s">
        <v>156</v>
      </c>
      <c r="AA11" t="s">
        <v>153</v>
      </c>
      <c r="AB11" t="s">
        <v>148</v>
      </c>
      <c r="AC11" t="s">
        <v>156</v>
      </c>
      <c r="AD11" t="s">
        <v>154</v>
      </c>
      <c r="AE11" t="s">
        <v>148</v>
      </c>
      <c r="AF11" t="s">
        <v>156</v>
      </c>
      <c r="AG11" t="s">
        <v>155</v>
      </c>
      <c r="AH11" t="s">
        <v>148</v>
      </c>
      <c r="AI11" t="s">
        <v>156</v>
      </c>
    </row>
    <row r="12" spans="1:35">
      <c r="A12" t="s">
        <v>90</v>
      </c>
      <c r="B12" t="s">
        <v>147</v>
      </c>
      <c r="C12">
        <v>15</v>
      </c>
      <c r="F12" t="s">
        <v>148</v>
      </c>
      <c r="G12">
        <v>439108</v>
      </c>
      <c r="H12" s="137">
        <v>4.3910800000000003E-3</v>
      </c>
      <c r="K12" t="s">
        <v>149</v>
      </c>
      <c r="L12" t="s">
        <v>148</v>
      </c>
      <c r="M12">
        <v>66585449</v>
      </c>
      <c r="O12" s="167">
        <f t="shared" si="0"/>
        <v>15.163797744518433</v>
      </c>
      <c r="R12" t="s">
        <v>150</v>
      </c>
      <c r="S12" t="s">
        <v>148</v>
      </c>
      <c r="T12">
        <v>416555</v>
      </c>
      <c r="U12" s="137" cm="1">
        <f t="array" ref="U12">_xlfn.IFS(T12="null",0,T12="","",T12/G12&gt;=0,T12/G12)</f>
        <v>0.94863905918361768</v>
      </c>
      <c r="X12" t="s">
        <v>152</v>
      </c>
      <c r="Y12" t="s">
        <v>148</v>
      </c>
      <c r="Z12" t="s">
        <v>156</v>
      </c>
      <c r="AA12" t="s">
        <v>153</v>
      </c>
      <c r="AB12" t="s">
        <v>148</v>
      </c>
      <c r="AC12" t="s">
        <v>156</v>
      </c>
      <c r="AD12" t="s">
        <v>154</v>
      </c>
      <c r="AE12" t="s">
        <v>148</v>
      </c>
      <c r="AF12" t="s">
        <v>156</v>
      </c>
      <c r="AG12" t="s">
        <v>155</v>
      </c>
      <c r="AH12" t="s">
        <v>148</v>
      </c>
      <c r="AI12" t="s">
        <v>156</v>
      </c>
    </row>
    <row r="13" spans="1:35">
      <c r="A13" t="s">
        <v>90</v>
      </c>
      <c r="B13" t="s">
        <v>147</v>
      </c>
      <c r="C13">
        <v>20</v>
      </c>
      <c r="F13" t="s">
        <v>148</v>
      </c>
      <c r="G13">
        <v>876560</v>
      </c>
      <c r="H13" s="137">
        <v>8.7656000000000001E-3</v>
      </c>
      <c r="K13" t="s">
        <v>149</v>
      </c>
      <c r="L13" t="s">
        <v>148</v>
      </c>
      <c r="M13">
        <v>176369780</v>
      </c>
      <c r="O13" s="167">
        <f t="shared" si="0"/>
        <v>20.120673998357212</v>
      </c>
      <c r="R13" t="s">
        <v>150</v>
      </c>
      <c r="S13" t="s">
        <v>148</v>
      </c>
      <c r="T13">
        <v>469018</v>
      </c>
      <c r="U13" s="137" cm="1">
        <f t="array" ref="U13">_xlfn.IFS(T13="null",0,T13="","",T13/G13&gt;=0,T13/G13)</f>
        <v>0.53506662407593319</v>
      </c>
      <c r="X13" t="s">
        <v>152</v>
      </c>
      <c r="Y13" t="s">
        <v>148</v>
      </c>
      <c r="Z13" t="s">
        <v>156</v>
      </c>
      <c r="AA13" t="s">
        <v>153</v>
      </c>
      <c r="AB13" t="s">
        <v>148</v>
      </c>
      <c r="AC13" t="s">
        <v>156</v>
      </c>
      <c r="AD13" t="s">
        <v>154</v>
      </c>
      <c r="AE13" t="s">
        <v>148</v>
      </c>
      <c r="AF13" t="s">
        <v>156</v>
      </c>
      <c r="AG13" t="s">
        <v>155</v>
      </c>
      <c r="AH13" t="s">
        <v>148</v>
      </c>
      <c r="AI13" t="s">
        <v>156</v>
      </c>
    </row>
    <row r="14" spans="1:35">
      <c r="A14" t="s">
        <v>90</v>
      </c>
      <c r="B14" t="s">
        <v>147</v>
      </c>
      <c r="C14">
        <v>25</v>
      </c>
      <c r="F14" t="s">
        <v>148</v>
      </c>
      <c r="G14">
        <v>21844</v>
      </c>
      <c r="H14" s="137">
        <v>2.1844E-4</v>
      </c>
      <c r="K14" t="s">
        <v>149</v>
      </c>
      <c r="L14" t="s">
        <v>148</v>
      </c>
      <c r="M14">
        <v>5516153</v>
      </c>
      <c r="O14" s="167">
        <f t="shared" si="0"/>
        <v>25.252485808459987</v>
      </c>
      <c r="R14" t="s">
        <v>150</v>
      </c>
      <c r="S14" t="s">
        <v>148</v>
      </c>
      <c r="T14">
        <v>2341</v>
      </c>
      <c r="U14" s="137" cm="1">
        <f t="array" ref="U14">_xlfn.IFS(T14="null",0,T14="","",T14/G14&gt;=0,T14/G14)</f>
        <v>0.10716901666361472</v>
      </c>
      <c r="X14" t="s">
        <v>152</v>
      </c>
      <c r="Y14" t="s">
        <v>148</v>
      </c>
      <c r="Z14" t="s">
        <v>156</v>
      </c>
      <c r="AA14" t="s">
        <v>153</v>
      </c>
      <c r="AB14" t="s">
        <v>148</v>
      </c>
      <c r="AC14" t="s">
        <v>156</v>
      </c>
      <c r="AD14" t="s">
        <v>154</v>
      </c>
      <c r="AE14" t="s">
        <v>148</v>
      </c>
      <c r="AF14" t="s">
        <v>156</v>
      </c>
      <c r="AG14" t="s">
        <v>155</v>
      </c>
      <c r="AH14" t="s">
        <v>148</v>
      </c>
      <c r="AI14" t="s">
        <v>156</v>
      </c>
    </row>
    <row r="15" spans="1:35">
      <c r="A15" t="s">
        <v>90</v>
      </c>
      <c r="B15" t="s">
        <v>147</v>
      </c>
      <c r="C15">
        <v>30</v>
      </c>
      <c r="F15" t="s">
        <v>148</v>
      </c>
      <c r="G15">
        <v>156056</v>
      </c>
      <c r="H15" s="137">
        <v>1.5605599999999999E-3</v>
      </c>
      <c r="K15" t="s">
        <v>149</v>
      </c>
      <c r="L15" t="s">
        <v>148</v>
      </c>
      <c r="M15">
        <v>47066291</v>
      </c>
      <c r="O15" s="167">
        <f t="shared" si="0"/>
        <v>30.159872737991492</v>
      </c>
      <c r="R15" t="s">
        <v>150</v>
      </c>
      <c r="S15" t="s">
        <v>148</v>
      </c>
      <c r="T15">
        <v>155354</v>
      </c>
      <c r="U15" s="137" cm="1">
        <f t="array" ref="U15">_xlfn.IFS(T15="null",0,T15="","",T15/G15&gt;=0,T15/G15)</f>
        <v>0.99550161480494181</v>
      </c>
      <c r="X15" t="s">
        <v>152</v>
      </c>
      <c r="Y15" t="s">
        <v>148</v>
      </c>
      <c r="Z15" t="s">
        <v>156</v>
      </c>
      <c r="AA15" t="s">
        <v>153</v>
      </c>
      <c r="AB15" t="s">
        <v>148</v>
      </c>
      <c r="AC15" t="s">
        <v>156</v>
      </c>
      <c r="AD15" t="s">
        <v>154</v>
      </c>
      <c r="AE15" t="s">
        <v>148</v>
      </c>
      <c r="AF15" t="s">
        <v>156</v>
      </c>
      <c r="AG15" t="s">
        <v>155</v>
      </c>
      <c r="AH15" t="s">
        <v>148</v>
      </c>
      <c r="AI15" t="s">
        <v>156</v>
      </c>
    </row>
    <row r="16" spans="1:35">
      <c r="A16" t="s">
        <v>90</v>
      </c>
      <c r="B16" t="s">
        <v>147</v>
      </c>
      <c r="C16">
        <v>35</v>
      </c>
      <c r="F16" t="s">
        <v>148</v>
      </c>
      <c r="G16">
        <v>272</v>
      </c>
      <c r="H16" s="137">
        <v>2.7199999999999998E-6</v>
      </c>
      <c r="K16" t="s">
        <v>149</v>
      </c>
      <c r="L16" t="s">
        <v>148</v>
      </c>
      <c r="M16">
        <v>95257</v>
      </c>
      <c r="O16" s="167">
        <f t="shared" si="0"/>
        <v>35.020955882352936</v>
      </c>
      <c r="R16" t="s">
        <v>150</v>
      </c>
      <c r="S16" t="s">
        <v>148</v>
      </c>
      <c r="T16">
        <v>272</v>
      </c>
      <c r="U16" s="137" cm="1">
        <f t="array" ref="U16">_xlfn.IFS(T16="null",0,T16="","",T16/G16&gt;=0,T16/G16)</f>
        <v>1</v>
      </c>
      <c r="X16" t="s">
        <v>152</v>
      </c>
      <c r="Y16" t="s">
        <v>148</v>
      </c>
      <c r="Z16" t="s">
        <v>156</v>
      </c>
      <c r="AA16" t="s">
        <v>153</v>
      </c>
      <c r="AB16" t="s">
        <v>148</v>
      </c>
      <c r="AC16" t="s">
        <v>156</v>
      </c>
      <c r="AD16" t="s">
        <v>154</v>
      </c>
      <c r="AE16" t="s">
        <v>148</v>
      </c>
      <c r="AF16" t="s">
        <v>156</v>
      </c>
      <c r="AG16" t="s">
        <v>155</v>
      </c>
      <c r="AH16" t="s">
        <v>148</v>
      </c>
      <c r="AI16" t="s">
        <v>156</v>
      </c>
    </row>
    <row r="17" spans="1:35">
      <c r="A17" t="s">
        <v>90</v>
      </c>
      <c r="B17" t="s">
        <v>147</v>
      </c>
      <c r="C17">
        <v>40</v>
      </c>
      <c r="F17" t="s">
        <v>148</v>
      </c>
      <c r="G17">
        <v>512</v>
      </c>
      <c r="H17" s="137">
        <v>5.1200000000000001E-6</v>
      </c>
      <c r="K17" t="s">
        <v>149</v>
      </c>
      <c r="L17" t="s">
        <v>148</v>
      </c>
      <c r="M17">
        <v>204988</v>
      </c>
      <c r="O17" s="167">
        <f t="shared" si="0"/>
        <v>40.036718749999999</v>
      </c>
      <c r="R17" t="s">
        <v>150</v>
      </c>
      <c r="S17" t="s">
        <v>148</v>
      </c>
      <c r="T17">
        <v>512</v>
      </c>
      <c r="U17" s="137" cm="1">
        <f t="array" ref="U17">_xlfn.IFS(T17="null",0,T17="","",T17/G17&gt;=0,T17/G17)</f>
        <v>1</v>
      </c>
      <c r="X17" t="s">
        <v>152</v>
      </c>
      <c r="Y17" t="s">
        <v>148</v>
      </c>
      <c r="Z17" t="s">
        <v>156</v>
      </c>
      <c r="AA17" t="s">
        <v>153</v>
      </c>
      <c r="AB17" t="s">
        <v>148</v>
      </c>
      <c r="AC17" t="s">
        <v>156</v>
      </c>
      <c r="AD17" t="s">
        <v>154</v>
      </c>
      <c r="AE17" t="s">
        <v>148</v>
      </c>
      <c r="AF17" t="s">
        <v>156</v>
      </c>
      <c r="AG17" t="s">
        <v>155</v>
      </c>
      <c r="AH17" t="s">
        <v>148</v>
      </c>
      <c r="AI17" t="s">
        <v>156</v>
      </c>
    </row>
    <row r="18" spans="1:35">
      <c r="A18" t="s">
        <v>90</v>
      </c>
      <c r="B18" t="s">
        <v>147</v>
      </c>
      <c r="C18">
        <v>50</v>
      </c>
      <c r="F18" t="s">
        <v>148</v>
      </c>
      <c r="G18">
        <v>329241</v>
      </c>
      <c r="H18" s="137">
        <v>3.29241E-3</v>
      </c>
      <c r="K18" t="s">
        <v>149</v>
      </c>
      <c r="L18" t="s">
        <v>148</v>
      </c>
      <c r="M18">
        <v>166766516</v>
      </c>
      <c r="O18" s="167">
        <f t="shared" si="0"/>
        <v>50.651807034968307</v>
      </c>
      <c r="R18" t="s">
        <v>150</v>
      </c>
      <c r="S18" t="s">
        <v>148</v>
      </c>
      <c r="T18">
        <v>33460</v>
      </c>
      <c r="U18" s="137" cm="1">
        <f t="array" ref="U18">_xlfn.IFS(T18="null",0,T18="","",T18/G18&gt;=0,T18/G18)</f>
        <v>0.10162768306498887</v>
      </c>
      <c r="X18" t="s">
        <v>152</v>
      </c>
      <c r="Y18" t="s">
        <v>148</v>
      </c>
      <c r="Z18" t="s">
        <v>156</v>
      </c>
      <c r="AA18" t="s">
        <v>153</v>
      </c>
      <c r="AB18" t="s">
        <v>148</v>
      </c>
      <c r="AC18" t="s">
        <v>156</v>
      </c>
      <c r="AD18" t="s">
        <v>154</v>
      </c>
      <c r="AE18" t="s">
        <v>148</v>
      </c>
      <c r="AF18" t="s">
        <v>156</v>
      </c>
      <c r="AG18" t="s">
        <v>155</v>
      </c>
      <c r="AH18" t="s">
        <v>148</v>
      </c>
      <c r="AI18" t="s">
        <v>156</v>
      </c>
    </row>
    <row r="19" spans="1:35">
      <c r="A19" t="s">
        <v>90</v>
      </c>
      <c r="B19" t="s">
        <v>147</v>
      </c>
      <c r="C19">
        <v>60</v>
      </c>
      <c r="F19" t="s">
        <v>148</v>
      </c>
      <c r="G19">
        <v>900</v>
      </c>
      <c r="H19" s="137">
        <v>9.0000000000000002E-6</v>
      </c>
      <c r="K19" t="s">
        <v>149</v>
      </c>
      <c r="L19" t="s">
        <v>148</v>
      </c>
      <c r="M19">
        <v>547531</v>
      </c>
      <c r="O19" s="167">
        <f t="shared" si="0"/>
        <v>60.836777777777776</v>
      </c>
      <c r="R19" t="s">
        <v>150</v>
      </c>
      <c r="S19" t="s">
        <v>148</v>
      </c>
      <c r="T19">
        <v>156</v>
      </c>
      <c r="U19" s="137" cm="1">
        <f t="array" ref="U19">_xlfn.IFS(T19="null",0,T19="","",T19/G19&gt;=0,T19/G19)</f>
        <v>0.17333333333333334</v>
      </c>
      <c r="X19" t="s">
        <v>152</v>
      </c>
      <c r="Y19" t="s">
        <v>148</v>
      </c>
      <c r="Z19" t="s">
        <v>156</v>
      </c>
      <c r="AA19" t="s">
        <v>153</v>
      </c>
      <c r="AB19" t="s">
        <v>148</v>
      </c>
      <c r="AC19" t="s">
        <v>156</v>
      </c>
      <c r="AD19" t="s">
        <v>154</v>
      </c>
      <c r="AE19" t="s">
        <v>148</v>
      </c>
      <c r="AF19" t="s">
        <v>156</v>
      </c>
      <c r="AG19" t="s">
        <v>155</v>
      </c>
      <c r="AH19" t="s">
        <v>148</v>
      </c>
      <c r="AI19" t="s">
        <v>156</v>
      </c>
    </row>
    <row r="20" spans="1:35">
      <c r="A20" t="s">
        <v>90</v>
      </c>
      <c r="B20" t="s">
        <v>147</v>
      </c>
      <c r="C20">
        <v>70</v>
      </c>
      <c r="F20" t="s">
        <v>148</v>
      </c>
      <c r="G20">
        <v>168</v>
      </c>
      <c r="H20" s="137">
        <v>1.68E-6</v>
      </c>
      <c r="K20" t="s">
        <v>149</v>
      </c>
      <c r="L20" t="s">
        <v>148</v>
      </c>
      <c r="M20">
        <v>125950</v>
      </c>
      <c r="O20" s="167">
        <f t="shared" si="0"/>
        <v>74.970238095238102</v>
      </c>
      <c r="R20" t="s">
        <v>150</v>
      </c>
      <c r="S20" t="s">
        <v>148</v>
      </c>
      <c r="T20">
        <v>8</v>
      </c>
      <c r="U20" s="137" cm="1">
        <f t="array" ref="U20">_xlfn.IFS(T20="null",0,T20="","",T20/G20&gt;=0,T20/G20)</f>
        <v>4.7619047619047616E-2</v>
      </c>
      <c r="X20" t="s">
        <v>152</v>
      </c>
      <c r="Y20" t="s">
        <v>148</v>
      </c>
      <c r="Z20" t="s">
        <v>156</v>
      </c>
      <c r="AA20" t="s">
        <v>153</v>
      </c>
      <c r="AB20" t="s">
        <v>148</v>
      </c>
      <c r="AC20" t="s">
        <v>156</v>
      </c>
      <c r="AD20" t="s">
        <v>154</v>
      </c>
      <c r="AE20" t="s">
        <v>148</v>
      </c>
      <c r="AF20" t="s">
        <v>156</v>
      </c>
      <c r="AG20" t="s">
        <v>155</v>
      </c>
      <c r="AH20" t="s">
        <v>148</v>
      </c>
      <c r="AI20" t="s">
        <v>156</v>
      </c>
    </row>
    <row r="21" spans="1:35">
      <c r="A21" t="s">
        <v>90</v>
      </c>
      <c r="B21" t="s">
        <v>147</v>
      </c>
      <c r="C21">
        <v>80</v>
      </c>
      <c r="F21" t="s">
        <v>148</v>
      </c>
      <c r="G21">
        <v>3</v>
      </c>
      <c r="H21" s="137">
        <v>2.9999999999999997E-8</v>
      </c>
      <c r="K21" t="s">
        <v>149</v>
      </c>
      <c r="L21" t="s">
        <v>148</v>
      </c>
      <c r="M21">
        <v>2400</v>
      </c>
      <c r="O21" s="167">
        <f t="shared" si="0"/>
        <v>80</v>
      </c>
      <c r="R21" t="s">
        <v>150</v>
      </c>
      <c r="S21" t="s">
        <v>148</v>
      </c>
      <c r="T21">
        <v>3</v>
      </c>
      <c r="U21" s="137" cm="1">
        <f t="array" ref="U21">_xlfn.IFS(T21="null",0,T21="","",T21/G21&gt;=0,T21/G21)</f>
        <v>1</v>
      </c>
      <c r="X21" t="s">
        <v>152</v>
      </c>
      <c r="Y21" t="s">
        <v>148</v>
      </c>
      <c r="Z21" t="s">
        <v>156</v>
      </c>
      <c r="AA21" t="s">
        <v>153</v>
      </c>
      <c r="AB21" t="s">
        <v>148</v>
      </c>
      <c r="AC21" t="s">
        <v>156</v>
      </c>
      <c r="AD21" t="s">
        <v>154</v>
      </c>
      <c r="AE21" t="s">
        <v>148</v>
      </c>
      <c r="AF21" t="s">
        <v>156</v>
      </c>
      <c r="AG21" t="s">
        <v>155</v>
      </c>
      <c r="AH21" t="s">
        <v>148</v>
      </c>
      <c r="AI21" t="s">
        <v>156</v>
      </c>
    </row>
    <row r="22" spans="1:35">
      <c r="A22" t="s">
        <v>90</v>
      </c>
      <c r="B22" t="s">
        <v>147</v>
      </c>
      <c r="C22">
        <v>100</v>
      </c>
      <c r="F22" t="s">
        <v>148</v>
      </c>
      <c r="G22">
        <v>47722</v>
      </c>
      <c r="H22" s="137">
        <v>4.7721999999999999E-4</v>
      </c>
      <c r="K22" t="s">
        <v>149</v>
      </c>
      <c r="L22" t="s">
        <v>148</v>
      </c>
      <c r="M22">
        <v>47909721</v>
      </c>
      <c r="O22" s="167">
        <f t="shared" si="0"/>
        <v>100.39336364779346</v>
      </c>
      <c r="R22" t="s">
        <v>150</v>
      </c>
      <c r="S22" t="s">
        <v>148</v>
      </c>
      <c r="T22">
        <v>1602</v>
      </c>
      <c r="U22" s="137" cm="1">
        <f t="array" ref="U22">_xlfn.IFS(T22="null",0,T22="","",T22/G22&gt;=0,T22/G22)</f>
        <v>3.3569422907673611E-2</v>
      </c>
      <c r="X22" t="s">
        <v>152</v>
      </c>
      <c r="Y22" t="s">
        <v>148</v>
      </c>
      <c r="Z22" t="s">
        <v>156</v>
      </c>
      <c r="AA22" t="s">
        <v>153</v>
      </c>
      <c r="AB22" t="s">
        <v>148</v>
      </c>
      <c r="AC22" t="s">
        <v>156</v>
      </c>
      <c r="AD22" t="s">
        <v>154</v>
      </c>
      <c r="AE22" t="s">
        <v>148</v>
      </c>
      <c r="AF22" t="s">
        <v>156</v>
      </c>
      <c r="AG22" t="s">
        <v>155</v>
      </c>
      <c r="AH22" t="s">
        <v>148</v>
      </c>
      <c r="AI22" t="s">
        <v>156</v>
      </c>
    </row>
    <row r="23" spans="1:35">
      <c r="A23" t="s">
        <v>90</v>
      </c>
      <c r="B23" t="s">
        <v>147</v>
      </c>
      <c r="C23">
        <v>120</v>
      </c>
      <c r="F23" t="s">
        <v>148</v>
      </c>
      <c r="G23">
        <v>1</v>
      </c>
      <c r="H23" s="137">
        <v>1E-8</v>
      </c>
      <c r="K23" t="s">
        <v>149</v>
      </c>
      <c r="L23" t="s">
        <v>148</v>
      </c>
      <c r="M23">
        <v>1210</v>
      </c>
      <c r="O23" s="167">
        <f t="shared" si="0"/>
        <v>121</v>
      </c>
      <c r="R23" t="s">
        <v>150</v>
      </c>
      <c r="S23" t="s">
        <v>148</v>
      </c>
      <c r="T23">
        <v>1</v>
      </c>
      <c r="U23" s="137" cm="1">
        <f t="array" ref="U23">_xlfn.IFS(T23="null",0,T23="","",T23/G23&gt;=0,T23/G23)</f>
        <v>1</v>
      </c>
      <c r="X23" t="s">
        <v>152</v>
      </c>
      <c r="Y23" t="s">
        <v>148</v>
      </c>
      <c r="Z23" t="s">
        <v>156</v>
      </c>
      <c r="AA23" t="s">
        <v>153</v>
      </c>
      <c r="AB23" t="s">
        <v>148</v>
      </c>
      <c r="AC23" t="s">
        <v>156</v>
      </c>
      <c r="AD23" t="s">
        <v>154</v>
      </c>
      <c r="AE23" t="s">
        <v>148</v>
      </c>
      <c r="AF23" t="s">
        <v>156</v>
      </c>
      <c r="AG23" t="s">
        <v>155</v>
      </c>
      <c r="AH23" t="s">
        <v>148</v>
      </c>
      <c r="AI23" t="s">
        <v>156</v>
      </c>
    </row>
    <row r="24" spans="1:35">
      <c r="A24" t="s">
        <v>90</v>
      </c>
      <c r="B24" t="s">
        <v>147</v>
      </c>
      <c r="C24">
        <v>140</v>
      </c>
      <c r="F24" t="s">
        <v>148</v>
      </c>
      <c r="G24">
        <v>73</v>
      </c>
      <c r="H24" s="137">
        <v>7.3E-7</v>
      </c>
      <c r="K24" t="s">
        <v>149</v>
      </c>
      <c r="L24" t="s">
        <v>148</v>
      </c>
      <c r="M24">
        <v>109610</v>
      </c>
      <c r="O24" s="167">
        <f t="shared" si="0"/>
        <v>150.15068493150685</v>
      </c>
      <c r="R24" t="s">
        <v>150</v>
      </c>
      <c r="S24" t="s">
        <v>148</v>
      </c>
      <c r="T24" t="s">
        <v>156</v>
      </c>
      <c r="U24" s="137" cm="1">
        <f t="array" ref="U24">_xlfn.IFS(T24="null",0,T24="","",T24/G24&gt;=0,T24/G24)</f>
        <v>0</v>
      </c>
      <c r="X24" t="s">
        <v>152</v>
      </c>
      <c r="Y24" t="s">
        <v>148</v>
      </c>
      <c r="Z24" t="s">
        <v>156</v>
      </c>
      <c r="AA24" t="s">
        <v>153</v>
      </c>
      <c r="AB24" t="s">
        <v>148</v>
      </c>
      <c r="AC24" t="s">
        <v>156</v>
      </c>
      <c r="AD24" t="s">
        <v>154</v>
      </c>
      <c r="AE24" t="s">
        <v>148</v>
      </c>
      <c r="AF24" t="s">
        <v>156</v>
      </c>
      <c r="AG24" t="s">
        <v>155</v>
      </c>
      <c r="AH24" t="s">
        <v>148</v>
      </c>
      <c r="AI24" t="s">
        <v>156</v>
      </c>
    </row>
    <row r="25" spans="1:35">
      <c r="A25" t="s">
        <v>90</v>
      </c>
      <c r="B25" t="s">
        <v>147</v>
      </c>
      <c r="C25">
        <v>200</v>
      </c>
      <c r="F25" t="s">
        <v>148</v>
      </c>
      <c r="G25">
        <v>1738</v>
      </c>
      <c r="H25" s="137">
        <v>1.738E-5</v>
      </c>
      <c r="K25" t="s">
        <v>149</v>
      </c>
      <c r="L25" t="s">
        <v>148</v>
      </c>
      <c r="M25">
        <v>3480229</v>
      </c>
      <c r="O25" s="167">
        <f t="shared" si="0"/>
        <v>200.2433256616801</v>
      </c>
      <c r="R25" t="s">
        <v>150</v>
      </c>
      <c r="S25" t="s">
        <v>148</v>
      </c>
      <c r="T25">
        <v>1607</v>
      </c>
      <c r="U25" s="137" cm="1">
        <f t="array" ref="U25">_xlfn.IFS(T25="null",0,T25="","",T25/G25&gt;=0,T25/G25)</f>
        <v>0.92462600690448793</v>
      </c>
      <c r="X25" t="s">
        <v>152</v>
      </c>
      <c r="Y25" t="s">
        <v>148</v>
      </c>
      <c r="Z25" t="s">
        <v>156</v>
      </c>
      <c r="AA25" t="s">
        <v>153</v>
      </c>
      <c r="AB25" t="s">
        <v>148</v>
      </c>
      <c r="AC25" t="s">
        <v>156</v>
      </c>
      <c r="AD25" t="s">
        <v>154</v>
      </c>
      <c r="AE25" t="s">
        <v>148</v>
      </c>
      <c r="AF25" t="s">
        <v>156</v>
      </c>
      <c r="AG25" t="s">
        <v>155</v>
      </c>
      <c r="AH25" t="s">
        <v>148</v>
      </c>
      <c r="AI25" t="s">
        <v>156</v>
      </c>
    </row>
    <row r="26" spans="1:35">
      <c r="A26" t="s">
        <v>90</v>
      </c>
      <c r="B26" t="s">
        <v>147</v>
      </c>
      <c r="C26">
        <v>250</v>
      </c>
      <c r="F26" t="s">
        <v>148</v>
      </c>
      <c r="G26">
        <v>674</v>
      </c>
      <c r="H26" s="137">
        <v>6.7399999999999998E-6</v>
      </c>
      <c r="K26" t="s">
        <v>149</v>
      </c>
      <c r="L26" t="s">
        <v>148</v>
      </c>
      <c r="M26">
        <v>1692275</v>
      </c>
      <c r="O26" s="167">
        <f t="shared" si="0"/>
        <v>251.07937685459942</v>
      </c>
      <c r="R26" t="s">
        <v>150</v>
      </c>
      <c r="S26" t="s">
        <v>148</v>
      </c>
      <c r="T26" t="s">
        <v>156</v>
      </c>
      <c r="U26" s="137" cm="1">
        <f t="array" ref="U26">_xlfn.IFS(T26="null",0,T26="","",T26/G26&gt;=0,T26/G26)</f>
        <v>0</v>
      </c>
      <c r="X26" t="s">
        <v>152</v>
      </c>
      <c r="Y26" t="s">
        <v>148</v>
      </c>
      <c r="Z26" t="s">
        <v>156</v>
      </c>
      <c r="AA26" t="s">
        <v>153</v>
      </c>
      <c r="AB26" t="s">
        <v>148</v>
      </c>
      <c r="AC26" t="s">
        <v>156</v>
      </c>
      <c r="AD26" t="s">
        <v>154</v>
      </c>
      <c r="AE26" t="s">
        <v>148</v>
      </c>
      <c r="AF26" t="s">
        <v>156</v>
      </c>
      <c r="AG26" t="s">
        <v>155</v>
      </c>
      <c r="AH26" t="s">
        <v>148</v>
      </c>
      <c r="AI26" t="s">
        <v>156</v>
      </c>
    </row>
    <row r="27" spans="1:35">
      <c r="A27" t="s">
        <v>90</v>
      </c>
      <c r="B27" t="s">
        <v>147</v>
      </c>
      <c r="C27">
        <v>500</v>
      </c>
      <c r="F27" t="s">
        <v>148</v>
      </c>
      <c r="G27">
        <v>331</v>
      </c>
      <c r="H27" s="137">
        <v>3.3100000000000001E-6</v>
      </c>
      <c r="K27" t="s">
        <v>149</v>
      </c>
      <c r="L27" t="s">
        <v>148</v>
      </c>
      <c r="M27">
        <v>1657010</v>
      </c>
      <c r="O27" s="167">
        <f t="shared" si="0"/>
        <v>500.607250755287</v>
      </c>
      <c r="R27" t="s">
        <v>150</v>
      </c>
      <c r="S27" t="s">
        <v>148</v>
      </c>
      <c r="T27" t="s">
        <v>156</v>
      </c>
      <c r="U27" s="137" cm="1">
        <f t="array" ref="U27">_xlfn.IFS(T27="null",0,T27="","",T27/G27&gt;=0,T27/G27)</f>
        <v>0</v>
      </c>
      <c r="X27" t="s">
        <v>152</v>
      </c>
      <c r="Y27" t="s">
        <v>148</v>
      </c>
      <c r="Z27" t="s">
        <v>156</v>
      </c>
      <c r="AA27" t="s">
        <v>153</v>
      </c>
      <c r="AB27" t="s">
        <v>148</v>
      </c>
      <c r="AC27" t="s">
        <v>156</v>
      </c>
      <c r="AD27" t="s">
        <v>154</v>
      </c>
      <c r="AE27" t="s">
        <v>148</v>
      </c>
      <c r="AF27" t="s">
        <v>156</v>
      </c>
      <c r="AG27" t="s">
        <v>155</v>
      </c>
      <c r="AH27" t="s">
        <v>148</v>
      </c>
      <c r="AI27" t="s">
        <v>156</v>
      </c>
    </row>
    <row r="28" spans="1:35">
      <c r="A28" t="s">
        <v>90</v>
      </c>
      <c r="B28" t="s">
        <v>147</v>
      </c>
      <c r="C28">
        <v>550</v>
      </c>
      <c r="F28" t="s">
        <v>148</v>
      </c>
      <c r="G28">
        <v>11</v>
      </c>
      <c r="H28" s="137">
        <v>1.1000000000000001E-7</v>
      </c>
      <c r="K28" t="s">
        <v>149</v>
      </c>
      <c r="L28" t="s">
        <v>148</v>
      </c>
      <c r="M28">
        <v>60550</v>
      </c>
      <c r="O28" s="167">
        <f t="shared" si="0"/>
        <v>550.4545454545455</v>
      </c>
      <c r="R28" t="s">
        <v>150</v>
      </c>
      <c r="S28" t="s">
        <v>148</v>
      </c>
      <c r="T28" t="s">
        <v>156</v>
      </c>
      <c r="U28" s="137" cm="1">
        <f t="array" ref="U28">_xlfn.IFS(T28="null",0,T28="","",T28/G28&gt;=0,T28/G28)</f>
        <v>0</v>
      </c>
      <c r="X28" t="s">
        <v>152</v>
      </c>
      <c r="Y28" t="s">
        <v>148</v>
      </c>
      <c r="Z28" t="s">
        <v>156</v>
      </c>
      <c r="AA28" t="s">
        <v>153</v>
      </c>
      <c r="AB28" t="s">
        <v>148</v>
      </c>
      <c r="AC28" t="s">
        <v>156</v>
      </c>
      <c r="AD28" t="s">
        <v>154</v>
      </c>
      <c r="AE28" t="s">
        <v>148</v>
      </c>
      <c r="AF28" t="s">
        <v>156</v>
      </c>
      <c r="AG28" t="s">
        <v>155</v>
      </c>
      <c r="AH28" t="s">
        <v>148</v>
      </c>
      <c r="AI28" t="s">
        <v>156</v>
      </c>
    </row>
    <row r="29" spans="1:35">
      <c r="A29" t="s">
        <v>90</v>
      </c>
      <c r="B29" t="s">
        <v>147</v>
      </c>
      <c r="C29">
        <v>1000</v>
      </c>
      <c r="F29" t="s">
        <v>148</v>
      </c>
      <c r="G29">
        <v>13</v>
      </c>
      <c r="H29" s="137">
        <v>1.3E-7</v>
      </c>
      <c r="K29" t="s">
        <v>149</v>
      </c>
      <c r="L29" t="s">
        <v>148</v>
      </c>
      <c r="M29">
        <v>130060</v>
      </c>
      <c r="O29" s="167">
        <f t="shared" si="0"/>
        <v>1000.4615384615385</v>
      </c>
      <c r="R29" t="s">
        <v>150</v>
      </c>
      <c r="S29" t="s">
        <v>148</v>
      </c>
      <c r="T29" t="s">
        <v>156</v>
      </c>
      <c r="U29" s="137" cm="1">
        <f t="array" ref="U29">_xlfn.IFS(T29="null",0,T29="","",T29/G29&gt;=0,T29/G29)</f>
        <v>0</v>
      </c>
      <c r="X29" t="s">
        <v>152</v>
      </c>
      <c r="Y29" t="s">
        <v>148</v>
      </c>
      <c r="Z29" t="s">
        <v>156</v>
      </c>
      <c r="AA29" t="s">
        <v>153</v>
      </c>
      <c r="AB29" t="s">
        <v>148</v>
      </c>
      <c r="AC29" t="s">
        <v>156</v>
      </c>
      <c r="AD29" t="s">
        <v>154</v>
      </c>
      <c r="AE29" t="s">
        <v>148</v>
      </c>
      <c r="AF29" t="s">
        <v>156</v>
      </c>
      <c r="AG29" t="s">
        <v>155</v>
      </c>
      <c r="AH29" t="s">
        <v>148</v>
      </c>
      <c r="AI29" t="s">
        <v>156</v>
      </c>
    </row>
    <row r="30" spans="1:35">
      <c r="U30" s="137" t="str" cm="1">
        <f t="array" ref="U30">_xlfn.IFS(T30="null",0,T30="","",T30/G30&gt;=0,T30/G30)</f>
        <v/>
      </c>
    </row>
    <row r="31" spans="1:35">
      <c r="U31" s="137" t="str" cm="1">
        <f t="array" ref="U31">_xlfn.IFS(T31="null",0,T31="","",T31/G31&gt;=0,T31/G31)</f>
        <v/>
      </c>
    </row>
    <row r="32" spans="1:35">
      <c r="A32" t="s">
        <v>91</v>
      </c>
      <c r="B32" t="s">
        <v>147</v>
      </c>
      <c r="C32">
        <v>-1</v>
      </c>
      <c r="F32" t="s">
        <v>148</v>
      </c>
      <c r="G32">
        <v>17779931</v>
      </c>
      <c r="H32" cm="1">
        <f t="array" ref="H32:H66">G32:G66/SUM(G32:G66)</f>
        <v>0.17779930999999999</v>
      </c>
      <c r="N32" s="137"/>
      <c r="O32"/>
      <c r="U32" s="167"/>
      <c r="AA32" s="137"/>
    </row>
    <row r="33" spans="1:32">
      <c r="A33" t="s">
        <v>91</v>
      </c>
      <c r="B33" t="s">
        <v>147</v>
      </c>
      <c r="C33">
        <v>0</v>
      </c>
      <c r="F33" t="s">
        <v>148</v>
      </c>
      <c r="G33">
        <v>24279876</v>
      </c>
      <c r="H33">
        <v>0.24279876</v>
      </c>
      <c r="K33" t="s">
        <v>149</v>
      </c>
      <c r="L33" t="s">
        <v>148</v>
      </c>
      <c r="M33">
        <v>12752753100</v>
      </c>
      <c r="O33" s="167">
        <f>M33/G33/$O$1/100</f>
        <v>0.52523963054836031</v>
      </c>
      <c r="R33" s="137" t="s">
        <v>150</v>
      </c>
      <c r="S33" t="s">
        <v>148</v>
      </c>
      <c r="T33" t="s">
        <v>156</v>
      </c>
      <c r="U33" t="s">
        <v>152</v>
      </c>
      <c r="V33" t="s">
        <v>148</v>
      </c>
      <c r="W33">
        <v>673215</v>
      </c>
      <c r="X33" t="s">
        <v>153</v>
      </c>
      <c r="Y33" s="167" t="s">
        <v>148</v>
      </c>
      <c r="Z33" t="s">
        <v>156</v>
      </c>
      <c r="AA33" t="s">
        <v>154</v>
      </c>
      <c r="AB33" t="s">
        <v>148</v>
      </c>
      <c r="AC33" t="s">
        <v>156</v>
      </c>
      <c r="AD33" t="s">
        <v>155</v>
      </c>
      <c r="AE33" s="137" t="s">
        <v>148</v>
      </c>
      <c r="AF33" t="s">
        <v>156</v>
      </c>
    </row>
    <row r="34" spans="1:32">
      <c r="A34" t="s">
        <v>91</v>
      </c>
      <c r="B34" t="s">
        <v>147</v>
      </c>
      <c r="C34">
        <v>1</v>
      </c>
      <c r="F34" t="s">
        <v>148</v>
      </c>
      <c r="G34">
        <v>6877897</v>
      </c>
      <c r="H34">
        <v>6.8778969999999995E-2</v>
      </c>
      <c r="K34" t="s">
        <v>149</v>
      </c>
      <c r="L34" t="s">
        <v>148</v>
      </c>
      <c r="M34">
        <v>9780256000</v>
      </c>
      <c r="O34" s="167">
        <f t="shared" ref="O34:O66" si="1">M34/G34/$O$1/100</f>
        <v>1.4219834929194202</v>
      </c>
      <c r="R34" s="137" t="s">
        <v>150</v>
      </c>
      <c r="S34" t="s">
        <v>148</v>
      </c>
      <c r="T34" t="s">
        <v>156</v>
      </c>
      <c r="U34" t="s">
        <v>152</v>
      </c>
      <c r="V34" t="s">
        <v>148</v>
      </c>
      <c r="W34">
        <v>1880714</v>
      </c>
      <c r="X34" t="s">
        <v>153</v>
      </c>
      <c r="Y34" s="167" t="s">
        <v>148</v>
      </c>
      <c r="Z34" t="s">
        <v>156</v>
      </c>
      <c r="AA34" t="s">
        <v>154</v>
      </c>
      <c r="AB34" t="s">
        <v>148</v>
      </c>
      <c r="AC34" t="s">
        <v>156</v>
      </c>
      <c r="AD34" t="s">
        <v>155</v>
      </c>
      <c r="AE34" s="137" t="s">
        <v>148</v>
      </c>
      <c r="AF34" t="s">
        <v>156</v>
      </c>
    </row>
    <row r="35" spans="1:32">
      <c r="A35" t="s">
        <v>91</v>
      </c>
      <c r="B35" t="s">
        <v>147</v>
      </c>
      <c r="C35">
        <v>2</v>
      </c>
      <c r="F35" t="s">
        <v>148</v>
      </c>
      <c r="G35">
        <v>2488583</v>
      </c>
      <c r="H35">
        <v>2.4885830000000001E-2</v>
      </c>
      <c r="K35" t="s">
        <v>149</v>
      </c>
      <c r="L35" t="s">
        <v>148</v>
      </c>
      <c r="M35">
        <v>6277678000</v>
      </c>
      <c r="O35" s="167">
        <f t="shared" si="1"/>
        <v>2.522591370269748</v>
      </c>
      <c r="R35" s="137" t="s">
        <v>150</v>
      </c>
      <c r="S35" t="s">
        <v>148</v>
      </c>
      <c r="T35" t="s">
        <v>156</v>
      </c>
      <c r="U35" t="s">
        <v>152</v>
      </c>
      <c r="V35" t="s">
        <v>148</v>
      </c>
      <c r="W35">
        <v>268001</v>
      </c>
      <c r="X35" t="s">
        <v>153</v>
      </c>
      <c r="Y35" s="167" t="s">
        <v>148</v>
      </c>
      <c r="Z35" t="s">
        <v>156</v>
      </c>
      <c r="AA35" t="s">
        <v>154</v>
      </c>
      <c r="AB35" t="s">
        <v>148</v>
      </c>
      <c r="AC35" t="s">
        <v>156</v>
      </c>
      <c r="AD35" t="s">
        <v>155</v>
      </c>
      <c r="AE35" s="137" t="s">
        <v>148</v>
      </c>
      <c r="AF35" t="s">
        <v>156</v>
      </c>
    </row>
    <row r="36" spans="1:32">
      <c r="A36" t="s">
        <v>91</v>
      </c>
      <c r="B36" t="s">
        <v>147</v>
      </c>
      <c r="C36">
        <v>4</v>
      </c>
      <c r="F36" t="s">
        <v>148</v>
      </c>
      <c r="G36">
        <v>4768716</v>
      </c>
      <c r="H36">
        <v>4.7687159999999999E-2</v>
      </c>
      <c r="K36" t="s">
        <v>149</v>
      </c>
      <c r="L36" t="s">
        <v>148</v>
      </c>
      <c r="M36">
        <v>23843580000</v>
      </c>
      <c r="O36" s="167">
        <f t="shared" si="1"/>
        <v>5</v>
      </c>
      <c r="R36" s="137" t="s">
        <v>150</v>
      </c>
      <c r="S36" t="s">
        <v>148</v>
      </c>
      <c r="T36">
        <v>277656</v>
      </c>
      <c r="U36" t="s">
        <v>152</v>
      </c>
      <c r="V36" t="s">
        <v>148</v>
      </c>
      <c r="W36">
        <v>185437</v>
      </c>
      <c r="X36" t="s">
        <v>153</v>
      </c>
      <c r="Y36" s="167" t="s">
        <v>148</v>
      </c>
      <c r="Z36" t="s">
        <v>156</v>
      </c>
      <c r="AA36" t="s">
        <v>154</v>
      </c>
      <c r="AB36" t="s">
        <v>148</v>
      </c>
      <c r="AC36" t="s">
        <v>156</v>
      </c>
      <c r="AD36" t="s">
        <v>155</v>
      </c>
      <c r="AE36" s="137" t="s">
        <v>148</v>
      </c>
      <c r="AF36" t="s">
        <v>156</v>
      </c>
    </row>
    <row r="37" spans="1:32">
      <c r="A37" t="s">
        <v>91</v>
      </c>
      <c r="B37" t="s">
        <v>147</v>
      </c>
      <c r="C37">
        <v>5</v>
      </c>
      <c r="F37" t="s">
        <v>148</v>
      </c>
      <c r="G37">
        <v>6567978</v>
      </c>
      <c r="H37">
        <v>6.5679779999999993E-2</v>
      </c>
      <c r="K37" t="s">
        <v>149</v>
      </c>
      <c r="L37" t="s">
        <v>148</v>
      </c>
      <c r="M37">
        <v>35227884800</v>
      </c>
      <c r="O37" s="167">
        <f t="shared" si="1"/>
        <v>5.3635814249073315</v>
      </c>
      <c r="R37" s="137" t="s">
        <v>150</v>
      </c>
      <c r="S37" t="s">
        <v>148</v>
      </c>
      <c r="T37">
        <v>452884</v>
      </c>
      <c r="U37" t="s">
        <v>152</v>
      </c>
      <c r="V37" t="s">
        <v>148</v>
      </c>
      <c r="W37">
        <v>1526400</v>
      </c>
      <c r="X37" t="s">
        <v>153</v>
      </c>
      <c r="Y37" s="167" t="s">
        <v>148</v>
      </c>
      <c r="Z37" t="s">
        <v>156</v>
      </c>
      <c r="AA37" t="s">
        <v>154</v>
      </c>
      <c r="AB37" t="s">
        <v>148</v>
      </c>
      <c r="AC37" t="s">
        <v>156</v>
      </c>
      <c r="AD37" t="s">
        <v>155</v>
      </c>
      <c r="AE37" s="137" t="s">
        <v>148</v>
      </c>
      <c r="AF37" t="s">
        <v>156</v>
      </c>
    </row>
    <row r="38" spans="1:32">
      <c r="A38" t="s">
        <v>91</v>
      </c>
      <c r="B38" t="s">
        <v>147</v>
      </c>
      <c r="C38">
        <v>6</v>
      </c>
      <c r="F38" t="s">
        <v>148</v>
      </c>
      <c r="G38">
        <v>550044</v>
      </c>
      <c r="H38">
        <v>5.5004399999999997E-3</v>
      </c>
      <c r="K38" t="s">
        <v>149</v>
      </c>
      <c r="L38" t="s">
        <v>148</v>
      </c>
      <c r="M38">
        <v>3518748600</v>
      </c>
      <c r="O38" s="167">
        <f t="shared" si="1"/>
        <v>6.3972129502367077</v>
      </c>
      <c r="R38" s="137" t="s">
        <v>150</v>
      </c>
      <c r="S38" t="s">
        <v>148</v>
      </c>
      <c r="T38">
        <v>104094</v>
      </c>
      <c r="U38" t="s">
        <v>152</v>
      </c>
      <c r="V38" t="s">
        <v>148</v>
      </c>
      <c r="W38">
        <v>445950</v>
      </c>
      <c r="X38" t="s">
        <v>153</v>
      </c>
      <c r="Y38" s="167" t="s">
        <v>148</v>
      </c>
      <c r="Z38" t="s">
        <v>156</v>
      </c>
      <c r="AA38" t="s">
        <v>154</v>
      </c>
      <c r="AB38" t="s">
        <v>148</v>
      </c>
      <c r="AC38" t="s">
        <v>156</v>
      </c>
      <c r="AD38" t="s">
        <v>155</v>
      </c>
      <c r="AE38" s="137" t="s">
        <v>148</v>
      </c>
      <c r="AF38" t="s">
        <v>156</v>
      </c>
    </row>
    <row r="39" spans="1:32">
      <c r="A39" t="s">
        <v>91</v>
      </c>
      <c r="B39" t="s">
        <v>147</v>
      </c>
      <c r="C39">
        <v>7</v>
      </c>
      <c r="F39" t="s">
        <v>148</v>
      </c>
      <c r="G39">
        <v>415697</v>
      </c>
      <c r="H39">
        <v>4.1569700000000003E-3</v>
      </c>
      <c r="K39" t="s">
        <v>149</v>
      </c>
      <c r="L39" t="s">
        <v>148</v>
      </c>
      <c r="M39">
        <v>3117727500</v>
      </c>
      <c r="O39" s="167">
        <f t="shared" si="1"/>
        <v>7.5</v>
      </c>
      <c r="R39" s="137" t="s">
        <v>150</v>
      </c>
      <c r="S39" t="s">
        <v>148</v>
      </c>
      <c r="T39" t="s">
        <v>156</v>
      </c>
      <c r="U39" t="s">
        <v>152</v>
      </c>
      <c r="V39" t="s">
        <v>148</v>
      </c>
      <c r="W39" t="s">
        <v>156</v>
      </c>
      <c r="X39" t="s">
        <v>153</v>
      </c>
      <c r="Y39" s="167" t="s">
        <v>148</v>
      </c>
      <c r="Z39" t="s">
        <v>156</v>
      </c>
      <c r="AA39" t="s">
        <v>154</v>
      </c>
      <c r="AB39" t="s">
        <v>148</v>
      </c>
      <c r="AC39" t="s">
        <v>156</v>
      </c>
      <c r="AD39" t="s">
        <v>155</v>
      </c>
      <c r="AE39" s="137" t="s">
        <v>148</v>
      </c>
      <c r="AF39" t="s">
        <v>156</v>
      </c>
    </row>
    <row r="40" spans="1:32">
      <c r="A40" t="s">
        <v>91</v>
      </c>
      <c r="B40" t="s">
        <v>147</v>
      </c>
      <c r="C40">
        <v>9</v>
      </c>
      <c r="F40" t="s">
        <v>148</v>
      </c>
      <c r="G40">
        <v>3365664</v>
      </c>
      <c r="H40">
        <v>3.3656640000000002E-2</v>
      </c>
      <c r="K40" t="s">
        <v>149</v>
      </c>
      <c r="L40" t="s">
        <v>148</v>
      </c>
      <c r="M40">
        <v>33656640000</v>
      </c>
      <c r="O40" s="167">
        <f t="shared" si="1"/>
        <v>10</v>
      </c>
      <c r="R40" s="137" t="s">
        <v>150</v>
      </c>
      <c r="S40" t="s">
        <v>148</v>
      </c>
      <c r="T40">
        <v>329586</v>
      </c>
      <c r="U40" t="s">
        <v>152</v>
      </c>
      <c r="V40" t="s">
        <v>148</v>
      </c>
      <c r="W40">
        <v>168016</v>
      </c>
      <c r="X40" t="s">
        <v>153</v>
      </c>
      <c r="Y40" s="167" t="s">
        <v>148</v>
      </c>
      <c r="Z40" t="s">
        <v>156</v>
      </c>
      <c r="AA40" t="s">
        <v>154</v>
      </c>
      <c r="AB40" t="s">
        <v>148</v>
      </c>
      <c r="AC40" t="s">
        <v>156</v>
      </c>
      <c r="AD40" t="s">
        <v>155</v>
      </c>
      <c r="AE40" s="137" t="s">
        <v>148</v>
      </c>
      <c r="AF40" t="s">
        <v>156</v>
      </c>
    </row>
    <row r="41" spans="1:32">
      <c r="A41" t="s">
        <v>91</v>
      </c>
      <c r="B41" t="s">
        <v>147</v>
      </c>
      <c r="C41">
        <v>10</v>
      </c>
      <c r="F41" t="s">
        <v>148</v>
      </c>
      <c r="G41">
        <v>8874686</v>
      </c>
      <c r="H41">
        <v>8.8746859999999997E-2</v>
      </c>
      <c r="K41" t="s">
        <v>149</v>
      </c>
      <c r="L41" t="s">
        <v>148</v>
      </c>
      <c r="M41">
        <v>98729466500</v>
      </c>
      <c r="O41" s="167">
        <f t="shared" si="1"/>
        <v>11.124840529569161</v>
      </c>
      <c r="R41" s="137" t="s">
        <v>150</v>
      </c>
      <c r="S41" t="s">
        <v>148</v>
      </c>
      <c r="T41">
        <v>1028572</v>
      </c>
      <c r="U41" t="s">
        <v>152</v>
      </c>
      <c r="V41" t="s">
        <v>148</v>
      </c>
      <c r="W41">
        <v>2008509</v>
      </c>
      <c r="X41" t="s">
        <v>153</v>
      </c>
      <c r="Y41" s="167" t="s">
        <v>148</v>
      </c>
      <c r="Z41" t="s">
        <v>156</v>
      </c>
      <c r="AA41" t="s">
        <v>154</v>
      </c>
      <c r="AB41" t="s">
        <v>148</v>
      </c>
      <c r="AC41" t="s">
        <v>156</v>
      </c>
      <c r="AD41" t="s">
        <v>155</v>
      </c>
      <c r="AE41" s="137" t="s">
        <v>148</v>
      </c>
      <c r="AF41" t="s">
        <v>156</v>
      </c>
    </row>
    <row r="42" spans="1:32">
      <c r="A42" t="s">
        <v>91</v>
      </c>
      <c r="B42" t="s">
        <v>147</v>
      </c>
      <c r="C42">
        <v>15</v>
      </c>
      <c r="F42" t="s">
        <v>148</v>
      </c>
      <c r="G42">
        <v>2481114</v>
      </c>
      <c r="H42">
        <v>2.4811139999999999E-2</v>
      </c>
      <c r="K42" t="s">
        <v>149</v>
      </c>
      <c r="L42" t="s">
        <v>148</v>
      </c>
      <c r="M42">
        <v>41706392600</v>
      </c>
      <c r="O42" s="167">
        <f t="shared" si="1"/>
        <v>16.809543052032272</v>
      </c>
      <c r="R42" s="137" t="s">
        <v>150</v>
      </c>
      <c r="S42" t="s">
        <v>148</v>
      </c>
      <c r="T42">
        <v>1134320</v>
      </c>
      <c r="U42" t="s">
        <v>152</v>
      </c>
      <c r="V42" t="s">
        <v>148</v>
      </c>
      <c r="W42">
        <v>560669</v>
      </c>
      <c r="X42" t="s">
        <v>153</v>
      </c>
      <c r="Y42" s="167" t="s">
        <v>148</v>
      </c>
      <c r="Z42" t="s">
        <v>156</v>
      </c>
      <c r="AA42" t="s">
        <v>154</v>
      </c>
      <c r="AB42" t="s">
        <v>148</v>
      </c>
      <c r="AC42" t="s">
        <v>156</v>
      </c>
      <c r="AD42" t="s">
        <v>155</v>
      </c>
      <c r="AE42" t="s">
        <v>148</v>
      </c>
      <c r="AF42" t="s">
        <v>156</v>
      </c>
    </row>
    <row r="43" spans="1:32">
      <c r="A43" t="s">
        <v>91</v>
      </c>
      <c r="B43" t="s">
        <v>147</v>
      </c>
      <c r="C43">
        <v>20</v>
      </c>
      <c r="F43" t="s">
        <v>148</v>
      </c>
      <c r="G43">
        <v>2260943</v>
      </c>
      <c r="H43">
        <v>2.260943E-2</v>
      </c>
      <c r="K43" t="s">
        <v>149</v>
      </c>
      <c r="L43" t="s">
        <v>148</v>
      </c>
      <c r="M43">
        <v>49080095500</v>
      </c>
      <c r="O43" s="167">
        <f t="shared" si="1"/>
        <v>21.707798692846303</v>
      </c>
      <c r="R43" s="137" t="s">
        <v>150</v>
      </c>
      <c r="S43" t="s">
        <v>148</v>
      </c>
      <c r="T43">
        <v>867436</v>
      </c>
      <c r="U43" t="s">
        <v>152</v>
      </c>
      <c r="V43" t="s">
        <v>148</v>
      </c>
      <c r="W43">
        <v>189354</v>
      </c>
      <c r="X43" t="s">
        <v>153</v>
      </c>
      <c r="Y43" s="167" t="s">
        <v>148</v>
      </c>
      <c r="Z43" t="s">
        <v>156</v>
      </c>
      <c r="AA43" t="s">
        <v>154</v>
      </c>
      <c r="AB43" t="s">
        <v>148</v>
      </c>
      <c r="AC43" t="s">
        <v>156</v>
      </c>
      <c r="AD43" t="s">
        <v>155</v>
      </c>
      <c r="AE43" t="s">
        <v>148</v>
      </c>
      <c r="AF43" t="s">
        <v>156</v>
      </c>
    </row>
    <row r="44" spans="1:32">
      <c r="A44" t="s">
        <v>91</v>
      </c>
      <c r="B44" t="s">
        <v>147</v>
      </c>
      <c r="C44">
        <v>25</v>
      </c>
      <c r="F44" t="s">
        <v>148</v>
      </c>
      <c r="G44">
        <v>1453384</v>
      </c>
      <c r="H44">
        <v>1.4533839999999999E-2</v>
      </c>
      <c r="K44" t="s">
        <v>149</v>
      </c>
      <c r="L44" t="s">
        <v>148</v>
      </c>
      <c r="M44">
        <v>39538043000</v>
      </c>
      <c r="O44" s="167">
        <f t="shared" si="1"/>
        <v>27.20412705795578</v>
      </c>
      <c r="R44" s="137" t="s">
        <v>150</v>
      </c>
      <c r="S44" t="s">
        <v>148</v>
      </c>
      <c r="T44">
        <v>538773</v>
      </c>
      <c r="U44" t="s">
        <v>152</v>
      </c>
      <c r="V44" t="s">
        <v>148</v>
      </c>
      <c r="W44">
        <v>36259</v>
      </c>
      <c r="X44" t="s">
        <v>153</v>
      </c>
      <c r="Y44" s="167" t="s">
        <v>148</v>
      </c>
      <c r="Z44" t="s">
        <v>156</v>
      </c>
      <c r="AA44" t="s">
        <v>154</v>
      </c>
      <c r="AB44" t="s">
        <v>148</v>
      </c>
      <c r="AC44" t="s">
        <v>156</v>
      </c>
      <c r="AD44" t="s">
        <v>155</v>
      </c>
      <c r="AE44" t="s">
        <v>148</v>
      </c>
      <c r="AF44" t="s">
        <v>156</v>
      </c>
    </row>
    <row r="45" spans="1:32">
      <c r="A45" t="s">
        <v>91</v>
      </c>
      <c r="B45" t="s">
        <v>147</v>
      </c>
      <c r="C45">
        <v>30</v>
      </c>
      <c r="F45" t="s">
        <v>148</v>
      </c>
      <c r="G45">
        <v>817840</v>
      </c>
      <c r="H45">
        <v>8.1784000000000006E-3</v>
      </c>
      <c r="K45" t="s">
        <v>149</v>
      </c>
      <c r="L45" t="s">
        <v>148</v>
      </c>
      <c r="M45">
        <v>25272718300</v>
      </c>
      <c r="O45" s="167">
        <f t="shared" si="1"/>
        <v>30.901788002543285</v>
      </c>
      <c r="R45" s="137" t="s">
        <v>150</v>
      </c>
      <c r="S45" t="s">
        <v>148</v>
      </c>
      <c r="T45">
        <v>723385</v>
      </c>
      <c r="U45" t="s">
        <v>152</v>
      </c>
      <c r="V45" t="s">
        <v>148</v>
      </c>
      <c r="W45">
        <v>2151</v>
      </c>
      <c r="X45" t="s">
        <v>153</v>
      </c>
      <c r="Y45" s="167" t="s">
        <v>148</v>
      </c>
      <c r="Z45" t="s">
        <v>156</v>
      </c>
      <c r="AA45" t="s">
        <v>154</v>
      </c>
      <c r="AB45" t="s">
        <v>148</v>
      </c>
      <c r="AC45" t="s">
        <v>156</v>
      </c>
      <c r="AD45" t="s">
        <v>155</v>
      </c>
      <c r="AE45" t="s">
        <v>148</v>
      </c>
      <c r="AF45" t="s">
        <v>156</v>
      </c>
    </row>
    <row r="46" spans="1:32">
      <c r="A46" t="s">
        <v>91</v>
      </c>
      <c r="B46" t="s">
        <v>147</v>
      </c>
      <c r="C46">
        <v>35</v>
      </c>
      <c r="F46" t="s">
        <v>148</v>
      </c>
      <c r="G46">
        <v>156363</v>
      </c>
      <c r="H46">
        <v>1.5636300000000001E-3</v>
      </c>
      <c r="K46" t="s">
        <v>149</v>
      </c>
      <c r="L46" t="s">
        <v>148</v>
      </c>
      <c r="M46">
        <v>5710430300</v>
      </c>
      <c r="O46" s="167">
        <f t="shared" si="1"/>
        <v>36.520342408370261</v>
      </c>
      <c r="R46" s="137" t="s">
        <v>150</v>
      </c>
      <c r="S46" t="s">
        <v>148</v>
      </c>
      <c r="T46">
        <v>156363</v>
      </c>
      <c r="U46" t="s">
        <v>152</v>
      </c>
      <c r="V46" t="s">
        <v>148</v>
      </c>
      <c r="W46" t="s">
        <v>156</v>
      </c>
      <c r="X46" t="s">
        <v>153</v>
      </c>
      <c r="Y46" s="167" t="s">
        <v>148</v>
      </c>
      <c r="Z46" t="s">
        <v>156</v>
      </c>
      <c r="AA46" t="s">
        <v>154</v>
      </c>
      <c r="AB46" t="s">
        <v>148</v>
      </c>
      <c r="AC46" t="s">
        <v>156</v>
      </c>
      <c r="AD46" t="s">
        <v>155</v>
      </c>
      <c r="AE46" t="s">
        <v>148</v>
      </c>
      <c r="AF46" t="s">
        <v>156</v>
      </c>
    </row>
    <row r="47" spans="1:32">
      <c r="A47" t="s">
        <v>91</v>
      </c>
      <c r="B47" t="s">
        <v>147</v>
      </c>
      <c r="C47">
        <v>40</v>
      </c>
      <c r="F47" t="s">
        <v>148</v>
      </c>
      <c r="G47">
        <v>104174</v>
      </c>
      <c r="H47">
        <v>1.04174E-3</v>
      </c>
      <c r="K47" t="s">
        <v>149</v>
      </c>
      <c r="L47" t="s">
        <v>148</v>
      </c>
      <c r="M47">
        <v>4240481300</v>
      </c>
      <c r="O47" s="167">
        <f t="shared" si="1"/>
        <v>40.705754794862443</v>
      </c>
      <c r="R47" s="137" t="s">
        <v>150</v>
      </c>
      <c r="S47" t="s">
        <v>148</v>
      </c>
      <c r="T47">
        <v>104174</v>
      </c>
      <c r="U47" t="s">
        <v>152</v>
      </c>
      <c r="V47" t="s">
        <v>148</v>
      </c>
      <c r="W47" t="s">
        <v>156</v>
      </c>
      <c r="X47" t="s">
        <v>153</v>
      </c>
      <c r="Y47" s="167" t="s">
        <v>148</v>
      </c>
      <c r="Z47" t="s">
        <v>156</v>
      </c>
      <c r="AA47" t="s">
        <v>154</v>
      </c>
      <c r="AB47" t="s">
        <v>148</v>
      </c>
      <c r="AC47" t="s">
        <v>156</v>
      </c>
      <c r="AD47" t="s">
        <v>155</v>
      </c>
      <c r="AE47" t="s">
        <v>148</v>
      </c>
      <c r="AF47" t="s">
        <v>156</v>
      </c>
    </row>
    <row r="48" spans="1:32">
      <c r="A48" t="s">
        <v>91</v>
      </c>
      <c r="B48" t="s">
        <v>147</v>
      </c>
      <c r="C48">
        <v>45</v>
      </c>
      <c r="F48" t="s">
        <v>148</v>
      </c>
      <c r="G48">
        <v>1282282</v>
      </c>
      <c r="H48">
        <v>1.282282E-2</v>
      </c>
      <c r="K48" t="s">
        <v>149</v>
      </c>
      <c r="L48" t="s">
        <v>148</v>
      </c>
      <c r="M48">
        <v>64059507800</v>
      </c>
      <c r="O48" s="167">
        <f t="shared" si="1"/>
        <v>49.95742574566281</v>
      </c>
      <c r="R48" s="137" t="s">
        <v>150</v>
      </c>
      <c r="S48" t="s">
        <v>148</v>
      </c>
      <c r="T48">
        <v>289415</v>
      </c>
      <c r="U48" t="s">
        <v>152</v>
      </c>
      <c r="V48" t="s">
        <v>148</v>
      </c>
      <c r="W48">
        <v>20572</v>
      </c>
      <c r="X48" t="s">
        <v>153</v>
      </c>
      <c r="Y48" s="167" t="s">
        <v>148</v>
      </c>
      <c r="Z48" t="s">
        <v>156</v>
      </c>
      <c r="AA48" t="s">
        <v>154</v>
      </c>
      <c r="AB48" t="s">
        <v>148</v>
      </c>
      <c r="AC48" t="s">
        <v>156</v>
      </c>
      <c r="AD48" t="s">
        <v>155</v>
      </c>
      <c r="AE48" t="s">
        <v>148</v>
      </c>
      <c r="AF48" t="s">
        <v>156</v>
      </c>
    </row>
    <row r="49" spans="1:32">
      <c r="A49" t="s">
        <v>91</v>
      </c>
      <c r="B49" t="s">
        <v>147</v>
      </c>
      <c r="C49">
        <v>50</v>
      </c>
      <c r="F49" t="s">
        <v>148</v>
      </c>
      <c r="G49">
        <v>5067212</v>
      </c>
      <c r="H49">
        <v>5.0672120000000001E-2</v>
      </c>
      <c r="K49" t="s">
        <v>149</v>
      </c>
      <c r="L49" t="s">
        <v>148</v>
      </c>
      <c r="M49">
        <v>266627588700</v>
      </c>
      <c r="O49" s="167">
        <f t="shared" si="1"/>
        <v>52.618202810539607</v>
      </c>
      <c r="R49" s="137" t="s">
        <v>150</v>
      </c>
      <c r="S49" t="s">
        <v>148</v>
      </c>
      <c r="T49">
        <v>798198</v>
      </c>
      <c r="U49" t="s">
        <v>152</v>
      </c>
      <c r="V49" t="s">
        <v>148</v>
      </c>
      <c r="W49">
        <v>795808</v>
      </c>
      <c r="X49" t="s">
        <v>153</v>
      </c>
      <c r="Y49" s="167" t="s">
        <v>148</v>
      </c>
      <c r="Z49" t="s">
        <v>156</v>
      </c>
      <c r="AA49" t="s">
        <v>154</v>
      </c>
      <c r="AB49" t="s">
        <v>148</v>
      </c>
      <c r="AC49" t="s">
        <v>156</v>
      </c>
      <c r="AD49" t="s">
        <v>155</v>
      </c>
      <c r="AE49" t="s">
        <v>148</v>
      </c>
      <c r="AF49" t="s">
        <v>156</v>
      </c>
    </row>
    <row r="50" spans="1:32">
      <c r="A50" t="s">
        <v>91</v>
      </c>
      <c r="B50" t="s">
        <v>147</v>
      </c>
      <c r="C50">
        <v>60</v>
      </c>
      <c r="F50" t="s">
        <v>148</v>
      </c>
      <c r="G50">
        <v>384336</v>
      </c>
      <c r="H50">
        <v>3.8433600000000001E-3</v>
      </c>
      <c r="K50" t="s">
        <v>149</v>
      </c>
      <c r="L50" t="s">
        <v>148</v>
      </c>
      <c r="M50">
        <v>24007592400</v>
      </c>
      <c r="O50" s="167">
        <f t="shared" si="1"/>
        <v>62.465114899462968</v>
      </c>
      <c r="R50" s="137" t="s">
        <v>150</v>
      </c>
      <c r="S50" t="s">
        <v>148</v>
      </c>
      <c r="T50">
        <v>219566</v>
      </c>
      <c r="U50" t="s">
        <v>152</v>
      </c>
      <c r="V50" t="s">
        <v>148</v>
      </c>
      <c r="W50">
        <v>164770</v>
      </c>
      <c r="X50" t="s">
        <v>153</v>
      </c>
      <c r="Y50" s="167" t="s">
        <v>148</v>
      </c>
      <c r="Z50" t="s">
        <v>156</v>
      </c>
      <c r="AA50" t="s">
        <v>154</v>
      </c>
      <c r="AB50" t="s">
        <v>148</v>
      </c>
      <c r="AC50" t="s">
        <v>156</v>
      </c>
      <c r="AD50" t="s">
        <v>155</v>
      </c>
      <c r="AE50" t="s">
        <v>148</v>
      </c>
      <c r="AF50" t="s">
        <v>156</v>
      </c>
    </row>
    <row r="51" spans="1:32">
      <c r="A51" t="s">
        <v>91</v>
      </c>
      <c r="B51" t="s">
        <v>147</v>
      </c>
      <c r="C51">
        <v>70</v>
      </c>
      <c r="F51" t="s">
        <v>148</v>
      </c>
      <c r="G51">
        <v>206777</v>
      </c>
      <c r="H51">
        <v>2.06777E-3</v>
      </c>
      <c r="K51" t="s">
        <v>149</v>
      </c>
      <c r="L51" t="s">
        <v>148</v>
      </c>
      <c r="M51">
        <v>15486043900</v>
      </c>
      <c r="O51" s="167">
        <f t="shared" si="1"/>
        <v>74.892487559061209</v>
      </c>
      <c r="R51" s="137" t="s">
        <v>150</v>
      </c>
      <c r="S51" t="s">
        <v>148</v>
      </c>
      <c r="T51">
        <v>63403</v>
      </c>
      <c r="U51" t="s">
        <v>152</v>
      </c>
      <c r="V51" t="s">
        <v>148</v>
      </c>
      <c r="W51">
        <v>4353</v>
      </c>
      <c r="X51" t="s">
        <v>153</v>
      </c>
      <c r="Y51" s="167" t="s">
        <v>148</v>
      </c>
      <c r="Z51" t="s">
        <v>156</v>
      </c>
      <c r="AA51" t="s">
        <v>154</v>
      </c>
      <c r="AB51" t="s">
        <v>148</v>
      </c>
      <c r="AC51" t="s">
        <v>156</v>
      </c>
      <c r="AD51" t="s">
        <v>155</v>
      </c>
      <c r="AE51" t="s">
        <v>148</v>
      </c>
      <c r="AF51" t="s">
        <v>156</v>
      </c>
    </row>
    <row r="52" spans="1:32">
      <c r="A52" t="s">
        <v>91</v>
      </c>
      <c r="B52" t="s">
        <v>147</v>
      </c>
      <c r="C52">
        <v>80</v>
      </c>
      <c r="F52" t="s">
        <v>148</v>
      </c>
      <c r="G52">
        <v>46442</v>
      </c>
      <c r="H52">
        <v>4.6442E-4</v>
      </c>
      <c r="K52" t="s">
        <v>149</v>
      </c>
      <c r="L52" t="s">
        <v>148</v>
      </c>
      <c r="M52">
        <v>3830971300</v>
      </c>
      <c r="O52" s="167">
        <f t="shared" si="1"/>
        <v>82.489369536195682</v>
      </c>
      <c r="R52" s="137" t="s">
        <v>150</v>
      </c>
      <c r="S52" t="s">
        <v>148</v>
      </c>
      <c r="T52">
        <v>46442</v>
      </c>
      <c r="U52" t="s">
        <v>152</v>
      </c>
      <c r="V52" t="s">
        <v>148</v>
      </c>
      <c r="W52" t="s">
        <v>156</v>
      </c>
      <c r="X52" t="s">
        <v>153</v>
      </c>
      <c r="Y52" s="167" t="s">
        <v>148</v>
      </c>
      <c r="Z52" t="s">
        <v>156</v>
      </c>
      <c r="AA52" t="s">
        <v>154</v>
      </c>
      <c r="AB52" t="s">
        <v>148</v>
      </c>
      <c r="AC52" t="s">
        <v>156</v>
      </c>
      <c r="AD52" t="s">
        <v>155</v>
      </c>
      <c r="AE52" t="s">
        <v>148</v>
      </c>
      <c r="AF52" t="s">
        <v>156</v>
      </c>
    </row>
    <row r="53" spans="1:32">
      <c r="A53" t="s">
        <v>91</v>
      </c>
      <c r="B53" t="s">
        <v>147</v>
      </c>
      <c r="C53">
        <v>90</v>
      </c>
      <c r="F53" t="s">
        <v>148</v>
      </c>
      <c r="G53">
        <v>906328</v>
      </c>
      <c r="H53">
        <v>9.0632799999999999E-3</v>
      </c>
      <c r="K53" t="s">
        <v>149</v>
      </c>
      <c r="L53" t="s">
        <v>148</v>
      </c>
      <c r="M53">
        <v>90632800000</v>
      </c>
      <c r="O53" s="167">
        <f t="shared" si="1"/>
        <v>100</v>
      </c>
      <c r="R53" s="137" t="s">
        <v>150</v>
      </c>
      <c r="S53" t="s">
        <v>148</v>
      </c>
      <c r="T53">
        <v>283093</v>
      </c>
      <c r="U53" t="s">
        <v>152</v>
      </c>
      <c r="V53" t="s">
        <v>148</v>
      </c>
      <c r="W53">
        <v>20878</v>
      </c>
      <c r="X53" t="s">
        <v>153</v>
      </c>
      <c r="Y53" s="167" t="s">
        <v>148</v>
      </c>
      <c r="Z53" t="s">
        <v>156</v>
      </c>
      <c r="AA53" t="s">
        <v>154</v>
      </c>
      <c r="AB53" t="s">
        <v>148</v>
      </c>
      <c r="AC53" t="s">
        <v>156</v>
      </c>
      <c r="AD53" t="s">
        <v>155</v>
      </c>
      <c r="AE53" t="s">
        <v>148</v>
      </c>
      <c r="AF53" t="s">
        <v>156</v>
      </c>
    </row>
    <row r="54" spans="1:32">
      <c r="A54" t="s">
        <v>91</v>
      </c>
      <c r="B54" t="s">
        <v>147</v>
      </c>
      <c r="C54">
        <v>100</v>
      </c>
      <c r="F54" t="s">
        <v>148</v>
      </c>
      <c r="G54">
        <v>5056601</v>
      </c>
      <c r="H54">
        <v>5.0566010000000002E-2</v>
      </c>
      <c r="K54" t="s">
        <v>149</v>
      </c>
      <c r="L54" t="s">
        <v>148</v>
      </c>
      <c r="M54">
        <v>525092684800</v>
      </c>
      <c r="O54" s="167">
        <f t="shared" si="1"/>
        <v>103.84301328105579</v>
      </c>
      <c r="R54" s="137" t="s">
        <v>150</v>
      </c>
      <c r="S54" t="s">
        <v>148</v>
      </c>
      <c r="T54">
        <v>1063627</v>
      </c>
      <c r="U54" t="s">
        <v>152</v>
      </c>
      <c r="V54" t="s">
        <v>148</v>
      </c>
      <c r="W54">
        <v>984337</v>
      </c>
      <c r="X54" t="s">
        <v>153</v>
      </c>
      <c r="Y54" s="167" t="s">
        <v>148</v>
      </c>
      <c r="Z54" t="s">
        <v>156</v>
      </c>
      <c r="AA54" t="s">
        <v>154</v>
      </c>
      <c r="AB54" t="s">
        <v>148</v>
      </c>
      <c r="AC54" t="s">
        <v>156</v>
      </c>
      <c r="AD54" t="s">
        <v>155</v>
      </c>
      <c r="AE54" t="s">
        <v>148</v>
      </c>
      <c r="AF54" t="s">
        <v>156</v>
      </c>
    </row>
    <row r="55" spans="1:32">
      <c r="A55" t="s">
        <v>91</v>
      </c>
      <c r="B55" t="s">
        <v>147</v>
      </c>
      <c r="C55">
        <v>120</v>
      </c>
      <c r="F55" t="s">
        <v>148</v>
      </c>
      <c r="G55">
        <v>114815</v>
      </c>
      <c r="H55">
        <v>1.1481499999999999E-3</v>
      </c>
      <c r="K55" t="s">
        <v>149</v>
      </c>
      <c r="L55" t="s">
        <v>148</v>
      </c>
      <c r="M55">
        <v>14537931000</v>
      </c>
      <c r="O55" s="167">
        <f t="shared" si="1"/>
        <v>126.6204851282498</v>
      </c>
      <c r="R55" s="137" t="s">
        <v>150</v>
      </c>
      <c r="S55" t="s">
        <v>148</v>
      </c>
      <c r="T55">
        <v>110358</v>
      </c>
      <c r="U55" t="s">
        <v>152</v>
      </c>
      <c r="V55" t="s">
        <v>148</v>
      </c>
      <c r="W55">
        <v>4457</v>
      </c>
      <c r="X55" t="s">
        <v>153</v>
      </c>
      <c r="Y55" s="167" t="s">
        <v>148</v>
      </c>
      <c r="Z55" t="s">
        <v>156</v>
      </c>
      <c r="AA55" t="s">
        <v>154</v>
      </c>
      <c r="AB55" t="s">
        <v>148</v>
      </c>
      <c r="AC55" t="s">
        <v>156</v>
      </c>
      <c r="AD55" t="s">
        <v>155</v>
      </c>
      <c r="AE55" t="s">
        <v>148</v>
      </c>
      <c r="AF55" t="s">
        <v>156</v>
      </c>
    </row>
    <row r="56" spans="1:32">
      <c r="A56" t="s">
        <v>91</v>
      </c>
      <c r="B56" t="s">
        <v>147</v>
      </c>
      <c r="C56">
        <v>140</v>
      </c>
      <c r="F56" t="s">
        <v>148</v>
      </c>
      <c r="G56">
        <v>282255</v>
      </c>
      <c r="H56">
        <v>2.8225500000000001E-3</v>
      </c>
      <c r="K56" t="s">
        <v>149</v>
      </c>
      <c r="L56" t="s">
        <v>148</v>
      </c>
      <c r="M56">
        <v>42993930600</v>
      </c>
      <c r="O56" s="167">
        <f t="shared" si="1"/>
        <v>152.32300791837167</v>
      </c>
      <c r="R56" s="137" t="s">
        <v>150</v>
      </c>
      <c r="S56" t="s">
        <v>148</v>
      </c>
      <c r="T56">
        <v>103457</v>
      </c>
      <c r="U56" t="s">
        <v>152</v>
      </c>
      <c r="V56" t="s">
        <v>148</v>
      </c>
      <c r="W56">
        <v>40075</v>
      </c>
      <c r="X56" t="s">
        <v>153</v>
      </c>
      <c r="Y56" s="167" t="s">
        <v>148</v>
      </c>
      <c r="Z56" t="s">
        <v>156</v>
      </c>
      <c r="AA56" t="s">
        <v>154</v>
      </c>
      <c r="AB56" t="s">
        <v>148</v>
      </c>
      <c r="AC56" t="s">
        <v>156</v>
      </c>
      <c r="AD56" t="s">
        <v>155</v>
      </c>
      <c r="AE56" t="s">
        <v>148</v>
      </c>
      <c r="AF56" t="s">
        <v>156</v>
      </c>
    </row>
    <row r="57" spans="1:32">
      <c r="A57" t="s">
        <v>91</v>
      </c>
      <c r="B57" t="s">
        <v>147</v>
      </c>
      <c r="C57">
        <v>160</v>
      </c>
      <c r="F57" t="s">
        <v>148</v>
      </c>
      <c r="G57">
        <v>4401</v>
      </c>
      <c r="H57">
        <v>4.401E-5</v>
      </c>
      <c r="K57" t="s">
        <v>149</v>
      </c>
      <c r="L57" t="s">
        <v>148</v>
      </c>
      <c r="M57">
        <v>706143200</v>
      </c>
      <c r="O57" s="167">
        <f t="shared" si="1"/>
        <v>160.45062485798681</v>
      </c>
      <c r="R57" s="137" t="s">
        <v>150</v>
      </c>
      <c r="S57" t="s">
        <v>148</v>
      </c>
      <c r="T57" t="s">
        <v>156</v>
      </c>
      <c r="U57" t="s">
        <v>152</v>
      </c>
      <c r="V57" t="s">
        <v>148</v>
      </c>
      <c r="W57">
        <v>4401</v>
      </c>
      <c r="X57" t="s">
        <v>153</v>
      </c>
      <c r="Y57" s="167" t="s">
        <v>148</v>
      </c>
      <c r="Z57" t="s">
        <v>156</v>
      </c>
      <c r="AA57" t="s">
        <v>154</v>
      </c>
      <c r="AB57" t="s">
        <v>148</v>
      </c>
      <c r="AC57" t="s">
        <v>156</v>
      </c>
      <c r="AD57" t="s">
        <v>155</v>
      </c>
      <c r="AE57" t="s">
        <v>148</v>
      </c>
      <c r="AF57" t="s">
        <v>156</v>
      </c>
    </row>
    <row r="58" spans="1:32">
      <c r="A58" t="s">
        <v>91</v>
      </c>
      <c r="B58" t="s">
        <v>147</v>
      </c>
      <c r="C58">
        <v>180</v>
      </c>
      <c r="F58" t="s">
        <v>148</v>
      </c>
      <c r="G58">
        <v>329210</v>
      </c>
      <c r="H58">
        <v>3.2921000000000001E-3</v>
      </c>
      <c r="K58" t="s">
        <v>149</v>
      </c>
      <c r="L58" t="s">
        <v>148</v>
      </c>
      <c r="M58">
        <v>65842000000</v>
      </c>
      <c r="O58" s="167">
        <f t="shared" si="1"/>
        <v>200</v>
      </c>
      <c r="R58" s="137" t="s">
        <v>150</v>
      </c>
      <c r="S58" t="s">
        <v>148</v>
      </c>
      <c r="T58">
        <v>282884</v>
      </c>
      <c r="U58" t="s">
        <v>152</v>
      </c>
      <c r="V58" t="s">
        <v>148</v>
      </c>
      <c r="W58">
        <v>262</v>
      </c>
      <c r="X58" t="s">
        <v>153</v>
      </c>
      <c r="Y58" s="167" t="s">
        <v>148</v>
      </c>
      <c r="Z58" t="s">
        <v>156</v>
      </c>
      <c r="AA58" t="s">
        <v>154</v>
      </c>
      <c r="AB58" t="s">
        <v>148</v>
      </c>
      <c r="AC58" t="s">
        <v>156</v>
      </c>
      <c r="AD58" t="s">
        <v>155</v>
      </c>
      <c r="AE58" t="s">
        <v>148</v>
      </c>
      <c r="AF58" t="s">
        <v>156</v>
      </c>
    </row>
    <row r="59" spans="1:32">
      <c r="A59" t="s">
        <v>91</v>
      </c>
      <c r="B59" t="s">
        <v>147</v>
      </c>
      <c r="C59">
        <v>200</v>
      </c>
      <c r="F59" t="s">
        <v>148</v>
      </c>
      <c r="G59">
        <v>1358359</v>
      </c>
      <c r="H59">
        <v>1.358359E-2</v>
      </c>
      <c r="K59" t="s">
        <v>149</v>
      </c>
      <c r="L59" t="s">
        <v>148</v>
      </c>
      <c r="M59">
        <v>279182372200</v>
      </c>
      <c r="O59" s="167">
        <f t="shared" si="1"/>
        <v>205.52915113015041</v>
      </c>
      <c r="R59" s="137" t="s">
        <v>150</v>
      </c>
      <c r="S59" t="s">
        <v>148</v>
      </c>
      <c r="T59">
        <v>918851</v>
      </c>
      <c r="U59" t="s">
        <v>152</v>
      </c>
      <c r="V59" t="s">
        <v>148</v>
      </c>
      <c r="W59">
        <v>22141</v>
      </c>
      <c r="X59" t="s">
        <v>153</v>
      </c>
      <c r="Y59" s="167" t="s">
        <v>148</v>
      </c>
      <c r="Z59" t="s">
        <v>156</v>
      </c>
      <c r="AA59" t="s">
        <v>154</v>
      </c>
      <c r="AB59" t="s">
        <v>148</v>
      </c>
      <c r="AC59" t="s">
        <v>156</v>
      </c>
      <c r="AD59" t="s">
        <v>155</v>
      </c>
      <c r="AE59" t="s">
        <v>148</v>
      </c>
      <c r="AF59" t="s">
        <v>156</v>
      </c>
    </row>
    <row r="60" spans="1:32">
      <c r="A60" t="s">
        <v>91</v>
      </c>
      <c r="B60" t="s">
        <v>147</v>
      </c>
      <c r="C60">
        <v>250</v>
      </c>
      <c r="F60" t="s">
        <v>148</v>
      </c>
      <c r="G60">
        <v>422172</v>
      </c>
      <c r="H60">
        <v>4.22172E-3</v>
      </c>
      <c r="K60" t="s">
        <v>149</v>
      </c>
      <c r="L60" t="s">
        <v>148</v>
      </c>
      <c r="M60">
        <v>110531834000</v>
      </c>
      <c r="O60" s="167">
        <f t="shared" si="1"/>
        <v>261.81706508247822</v>
      </c>
      <c r="R60" s="137" t="s">
        <v>150</v>
      </c>
      <c r="S60" t="s">
        <v>148</v>
      </c>
      <c r="T60">
        <v>52194</v>
      </c>
      <c r="U60" t="s">
        <v>152</v>
      </c>
      <c r="V60" t="s">
        <v>148</v>
      </c>
      <c r="W60" t="s">
        <v>156</v>
      </c>
      <c r="X60" t="s">
        <v>153</v>
      </c>
      <c r="Y60" s="167" t="s">
        <v>148</v>
      </c>
      <c r="Z60" t="s">
        <v>156</v>
      </c>
      <c r="AA60" t="s">
        <v>154</v>
      </c>
      <c r="AB60" t="s">
        <v>148</v>
      </c>
      <c r="AC60" t="s">
        <v>156</v>
      </c>
      <c r="AD60" t="s">
        <v>155</v>
      </c>
      <c r="AE60" t="s">
        <v>148</v>
      </c>
      <c r="AF60" t="s">
        <v>156</v>
      </c>
    </row>
    <row r="61" spans="1:32">
      <c r="A61" t="s">
        <v>91</v>
      </c>
      <c r="B61" t="s">
        <v>147</v>
      </c>
      <c r="C61">
        <v>300</v>
      </c>
      <c r="F61" t="s">
        <v>148</v>
      </c>
      <c r="G61">
        <v>46203</v>
      </c>
      <c r="H61">
        <v>4.6202999999999999E-4</v>
      </c>
      <c r="K61" t="s">
        <v>149</v>
      </c>
      <c r="L61" t="s">
        <v>148</v>
      </c>
      <c r="M61">
        <v>13975285600</v>
      </c>
      <c r="O61" s="167">
        <f t="shared" si="1"/>
        <v>302.47571802696797</v>
      </c>
      <c r="R61" s="137" t="s">
        <v>150</v>
      </c>
      <c r="S61" t="s">
        <v>148</v>
      </c>
      <c r="T61">
        <v>46203</v>
      </c>
      <c r="U61" t="s">
        <v>152</v>
      </c>
      <c r="V61" t="s">
        <v>148</v>
      </c>
      <c r="W61" t="s">
        <v>156</v>
      </c>
      <c r="X61" t="s">
        <v>153</v>
      </c>
      <c r="Y61" s="167" t="s">
        <v>148</v>
      </c>
      <c r="Z61" t="s">
        <v>156</v>
      </c>
      <c r="AA61" t="s">
        <v>154</v>
      </c>
      <c r="AB61" t="s">
        <v>148</v>
      </c>
      <c r="AC61" t="s">
        <v>156</v>
      </c>
      <c r="AD61" t="s">
        <v>155</v>
      </c>
      <c r="AE61" t="s">
        <v>148</v>
      </c>
      <c r="AF61" t="s">
        <v>156</v>
      </c>
    </row>
    <row r="62" spans="1:32">
      <c r="A62" t="s">
        <v>91</v>
      </c>
      <c r="B62" t="s">
        <v>147</v>
      </c>
      <c r="C62">
        <v>450</v>
      </c>
      <c r="F62" t="s">
        <v>148</v>
      </c>
      <c r="G62">
        <v>92401</v>
      </c>
      <c r="H62">
        <v>9.2400999999999996E-4</v>
      </c>
      <c r="K62" t="s">
        <v>149</v>
      </c>
      <c r="L62" t="s">
        <v>148</v>
      </c>
      <c r="M62">
        <v>46200500000</v>
      </c>
      <c r="O62" s="167">
        <f t="shared" si="1"/>
        <v>500</v>
      </c>
      <c r="R62" s="137" t="s">
        <v>150</v>
      </c>
      <c r="S62" t="s">
        <v>148</v>
      </c>
      <c r="T62" t="s">
        <v>156</v>
      </c>
      <c r="U62" t="s">
        <v>152</v>
      </c>
      <c r="V62" t="s">
        <v>148</v>
      </c>
      <c r="W62" t="s">
        <v>156</v>
      </c>
      <c r="X62" t="s">
        <v>153</v>
      </c>
      <c r="Y62" s="167" t="s">
        <v>148</v>
      </c>
      <c r="Z62" t="s">
        <v>156</v>
      </c>
      <c r="AA62" t="s">
        <v>154</v>
      </c>
      <c r="AB62" t="s">
        <v>148</v>
      </c>
      <c r="AC62" t="s">
        <v>156</v>
      </c>
      <c r="AD62" t="s">
        <v>155</v>
      </c>
      <c r="AE62" t="s">
        <v>148</v>
      </c>
      <c r="AF62" t="s">
        <v>156</v>
      </c>
    </row>
    <row r="63" spans="1:32">
      <c r="A63" t="s">
        <v>91</v>
      </c>
      <c r="B63" t="s">
        <v>147</v>
      </c>
      <c r="C63">
        <v>500</v>
      </c>
      <c r="F63" t="s">
        <v>148</v>
      </c>
      <c r="G63">
        <v>648782</v>
      </c>
      <c r="H63">
        <v>6.48782E-3</v>
      </c>
      <c r="K63" t="s">
        <v>149</v>
      </c>
      <c r="L63" t="s">
        <v>148</v>
      </c>
      <c r="M63">
        <v>333228938000</v>
      </c>
      <c r="O63" s="167">
        <f t="shared" si="1"/>
        <v>513.62235388774661</v>
      </c>
      <c r="R63" s="137" t="s">
        <v>150</v>
      </c>
      <c r="S63" t="s">
        <v>148</v>
      </c>
      <c r="T63" t="s">
        <v>156</v>
      </c>
      <c r="U63" t="s">
        <v>152</v>
      </c>
      <c r="V63" t="s">
        <v>148</v>
      </c>
      <c r="W63" t="s">
        <v>156</v>
      </c>
      <c r="X63" t="s">
        <v>153</v>
      </c>
      <c r="Y63" s="167" t="s">
        <v>148</v>
      </c>
      <c r="Z63" t="s">
        <v>156</v>
      </c>
      <c r="AA63" t="s">
        <v>154</v>
      </c>
      <c r="AB63" t="s">
        <v>148</v>
      </c>
      <c r="AC63" t="s">
        <v>156</v>
      </c>
      <c r="AD63" t="s">
        <v>155</v>
      </c>
      <c r="AE63" t="s">
        <v>148</v>
      </c>
      <c r="AF63" t="s">
        <v>156</v>
      </c>
    </row>
    <row r="64" spans="1:32">
      <c r="A64" t="s">
        <v>91</v>
      </c>
      <c r="B64" t="s">
        <v>147</v>
      </c>
      <c r="C64">
        <v>550</v>
      </c>
      <c r="F64" t="s">
        <v>148</v>
      </c>
      <c r="G64">
        <v>92032</v>
      </c>
      <c r="H64">
        <v>9.2031999999999997E-4</v>
      </c>
      <c r="K64" t="s">
        <v>149</v>
      </c>
      <c r="L64" t="s">
        <v>148</v>
      </c>
      <c r="M64">
        <v>50893320000</v>
      </c>
      <c r="O64" s="167">
        <f t="shared" si="1"/>
        <v>552.99591446453405</v>
      </c>
      <c r="R64" s="137" t="s">
        <v>150</v>
      </c>
      <c r="S64" t="s">
        <v>148</v>
      </c>
      <c r="T64" t="s">
        <v>156</v>
      </c>
      <c r="U64" t="s">
        <v>152</v>
      </c>
      <c r="V64" t="s">
        <v>148</v>
      </c>
      <c r="W64" t="s">
        <v>156</v>
      </c>
      <c r="X64" t="s">
        <v>153</v>
      </c>
      <c r="Y64" s="167" t="s">
        <v>148</v>
      </c>
      <c r="Z64" t="s">
        <v>156</v>
      </c>
      <c r="AA64" t="s">
        <v>154</v>
      </c>
      <c r="AB64" t="s">
        <v>148</v>
      </c>
      <c r="AC64" t="s">
        <v>156</v>
      </c>
      <c r="AD64" t="s">
        <v>155</v>
      </c>
      <c r="AE64" t="s">
        <v>148</v>
      </c>
      <c r="AF64" t="s">
        <v>156</v>
      </c>
    </row>
    <row r="65" spans="1:32">
      <c r="A65" t="s">
        <v>91</v>
      </c>
      <c r="B65" t="s">
        <v>147</v>
      </c>
      <c r="C65">
        <v>950</v>
      </c>
      <c r="F65" t="s">
        <v>148</v>
      </c>
      <c r="G65">
        <v>46306</v>
      </c>
      <c r="H65">
        <v>4.6306E-4</v>
      </c>
      <c r="K65" t="s">
        <v>149</v>
      </c>
      <c r="L65" t="s">
        <v>148</v>
      </c>
      <c r="M65">
        <v>46306000000</v>
      </c>
      <c r="O65" s="167">
        <f t="shared" si="1"/>
        <v>1000</v>
      </c>
      <c r="R65" s="137" t="s">
        <v>150</v>
      </c>
      <c r="S65" t="s">
        <v>148</v>
      </c>
      <c r="T65" t="s">
        <v>156</v>
      </c>
      <c r="U65" t="s">
        <v>152</v>
      </c>
      <c r="V65" t="s">
        <v>148</v>
      </c>
      <c r="W65" t="s">
        <v>156</v>
      </c>
      <c r="X65" t="s">
        <v>153</v>
      </c>
      <c r="Y65" s="167" t="s">
        <v>148</v>
      </c>
      <c r="Z65" t="s">
        <v>156</v>
      </c>
      <c r="AA65" t="s">
        <v>154</v>
      </c>
      <c r="AB65" t="s">
        <v>148</v>
      </c>
      <c r="AC65" t="s">
        <v>156</v>
      </c>
      <c r="AD65" t="s">
        <v>155</v>
      </c>
      <c r="AE65" t="s">
        <v>148</v>
      </c>
      <c r="AF65" t="s">
        <v>156</v>
      </c>
    </row>
    <row r="66" spans="1:32">
      <c r="A66" t="s">
        <v>91</v>
      </c>
      <c r="B66" t="s">
        <v>147</v>
      </c>
      <c r="C66">
        <v>1000</v>
      </c>
      <c r="F66" t="s">
        <v>148</v>
      </c>
      <c r="G66">
        <v>370196</v>
      </c>
      <c r="H66">
        <v>3.7019599999999998E-3</v>
      </c>
      <c r="K66" t="s">
        <v>149</v>
      </c>
      <c r="L66" t="s">
        <v>148</v>
      </c>
      <c r="M66">
        <v>379351843000</v>
      </c>
      <c r="O66" s="167">
        <f t="shared" si="1"/>
        <v>1024.7324201233941</v>
      </c>
      <c r="R66" s="137" t="s">
        <v>150</v>
      </c>
      <c r="S66" t="s">
        <v>148</v>
      </c>
      <c r="T66" t="s">
        <v>156</v>
      </c>
      <c r="U66" t="s">
        <v>152</v>
      </c>
      <c r="V66" t="s">
        <v>148</v>
      </c>
      <c r="W66" t="s">
        <v>156</v>
      </c>
      <c r="X66" t="s">
        <v>153</v>
      </c>
      <c r="Y66" s="167" t="s">
        <v>148</v>
      </c>
      <c r="Z66" t="s">
        <v>156</v>
      </c>
      <c r="AA66" t="s">
        <v>154</v>
      </c>
      <c r="AB66" t="s">
        <v>148</v>
      </c>
      <c r="AC66" t="s">
        <v>156</v>
      </c>
      <c r="AD66" t="s">
        <v>155</v>
      </c>
      <c r="AE66" t="s">
        <v>148</v>
      </c>
      <c r="AF66" t="s">
        <v>156</v>
      </c>
    </row>
    <row r="69" spans="1:32">
      <c r="H69"/>
      <c r="M69" s="137"/>
      <c r="O69"/>
      <c r="T69" s="167"/>
    </row>
    <row r="70" spans="1:32">
      <c r="H70"/>
      <c r="N70" s="137"/>
      <c r="P70" s="137"/>
      <c r="Q70" s="137"/>
      <c r="X70" s="167"/>
    </row>
    <row r="71" spans="1:32">
      <c r="H71"/>
      <c r="N71" s="137"/>
      <c r="P71" s="137"/>
      <c r="Q71" s="137"/>
      <c r="X71" s="167"/>
    </row>
    <row r="72" spans="1:32">
      <c r="H72"/>
      <c r="N72" s="137"/>
      <c r="P72" s="137"/>
      <c r="Q72" s="137"/>
      <c r="X72" s="167"/>
    </row>
    <row r="73" spans="1:32">
      <c r="H73"/>
      <c r="N73" s="137"/>
      <c r="P73" s="137"/>
      <c r="Q73" s="137"/>
      <c r="X73" s="167"/>
    </row>
    <row r="74" spans="1:32">
      <c r="H74"/>
      <c r="N74" s="137"/>
      <c r="P74" s="137"/>
      <c r="Q74" s="137"/>
      <c r="X74" s="167"/>
    </row>
    <row r="75" spans="1:32">
      <c r="H75"/>
      <c r="N75" s="137"/>
      <c r="P75" s="137"/>
      <c r="Q75" s="137"/>
      <c r="X75" s="167"/>
    </row>
    <row r="76" spans="1:32">
      <c r="H76"/>
      <c r="N76" s="137"/>
      <c r="P76" s="137"/>
      <c r="Q76" s="137"/>
      <c r="X76" s="167"/>
    </row>
    <row r="77" spans="1:32">
      <c r="H77"/>
      <c r="N77" s="137"/>
      <c r="P77" s="137"/>
      <c r="Q77" s="137"/>
      <c r="X77" s="167"/>
    </row>
    <row r="78" spans="1:32">
      <c r="H78"/>
      <c r="N78" s="137"/>
      <c r="P78" s="137"/>
      <c r="Q78" s="137"/>
      <c r="X78" s="167"/>
    </row>
    <row r="79" spans="1:32">
      <c r="H79"/>
      <c r="N79" s="137"/>
      <c r="P79" s="137"/>
      <c r="Q79" s="137"/>
      <c r="X79" s="167"/>
    </row>
    <row r="80" spans="1:32">
      <c r="H80"/>
      <c r="N80" s="137"/>
      <c r="P80" s="137"/>
      <c r="Q80" s="137"/>
      <c r="X80" s="167"/>
    </row>
    <row r="81" spans="8:24">
      <c r="H81"/>
      <c r="N81" s="137"/>
      <c r="P81" s="137"/>
      <c r="Q81" s="137"/>
      <c r="X81" s="167"/>
    </row>
    <row r="82" spans="8:24">
      <c r="H82"/>
      <c r="N82" s="137"/>
      <c r="P82" s="137"/>
      <c r="Q82" s="137"/>
      <c r="X82" s="167"/>
    </row>
    <row r="83" spans="8:24">
      <c r="H83"/>
      <c r="N83" s="137"/>
      <c r="P83" s="137"/>
      <c r="Q83" s="137"/>
      <c r="X83" s="167"/>
    </row>
    <row r="84" spans="8:24">
      <c r="H84"/>
      <c r="N84" s="137"/>
      <c r="P84" s="137"/>
      <c r="Q84" s="137"/>
      <c r="X84" s="167"/>
    </row>
    <row r="85" spans="8:24">
      <c r="H85"/>
      <c r="N85" s="137"/>
      <c r="P85" s="137"/>
      <c r="Q85" s="137"/>
      <c r="X85" s="167"/>
    </row>
    <row r="86" spans="8:24">
      <c r="H86"/>
      <c r="N86" s="137"/>
      <c r="P86" s="137"/>
      <c r="Q86" s="137"/>
      <c r="X86" s="167"/>
    </row>
    <row r="87" spans="8:24">
      <c r="H87"/>
      <c r="N87" s="137"/>
      <c r="P87" s="137"/>
      <c r="Q87" s="137"/>
      <c r="X87" s="167"/>
    </row>
    <row r="88" spans="8:24">
      <c r="H88"/>
      <c r="N88" s="137"/>
      <c r="P88" s="137"/>
      <c r="Q88" s="137"/>
      <c r="X88" s="167"/>
    </row>
    <row r="89" spans="8:24">
      <c r="H89"/>
      <c r="N89" s="137"/>
      <c r="P89" s="137"/>
      <c r="Q89" s="137"/>
      <c r="X89" s="167"/>
    </row>
    <row r="90" spans="8:24">
      <c r="H90"/>
      <c r="N90" s="137"/>
      <c r="P90" s="137"/>
      <c r="Q90" s="137"/>
      <c r="X90" s="167"/>
    </row>
    <row r="91" spans="8:24">
      <c r="H91"/>
      <c r="N91" s="137"/>
      <c r="P91" s="137"/>
      <c r="Q91" s="137"/>
      <c r="X91" s="167"/>
    </row>
    <row r="92" spans="8:24">
      <c r="H92"/>
      <c r="N92" s="137"/>
      <c r="P92" s="137"/>
      <c r="Q92" s="137"/>
      <c r="X92" s="167"/>
    </row>
    <row r="93" spans="8:24">
      <c r="H93"/>
      <c r="N93" s="137"/>
      <c r="P93" s="137"/>
      <c r="Q93" s="137"/>
      <c r="X93" s="167"/>
    </row>
    <row r="94" spans="8:24">
      <c r="H94"/>
      <c r="N94" s="137"/>
      <c r="P94" s="137"/>
      <c r="Q94" s="137"/>
      <c r="X94" s="167"/>
    </row>
    <row r="95" spans="8:24">
      <c r="H95"/>
      <c r="N95" s="137"/>
      <c r="P95" s="137"/>
      <c r="Q95" s="137"/>
      <c r="X95" s="167"/>
    </row>
    <row r="96" spans="8:24">
      <c r="H96"/>
      <c r="N96" s="137"/>
      <c r="P96" s="137"/>
      <c r="Q96" s="137"/>
      <c r="X96" s="167"/>
    </row>
    <row r="97" spans="8:24">
      <c r="H97"/>
      <c r="N97" s="137"/>
      <c r="P97" s="137"/>
      <c r="Q97" s="137"/>
      <c r="X97" s="167"/>
    </row>
    <row r="98" spans="8:24">
      <c r="H98"/>
      <c r="N98" s="137"/>
      <c r="P98" s="137"/>
      <c r="Q98" s="137"/>
      <c r="X98" s="167"/>
    </row>
    <row r="99" spans="8:24">
      <c r="H99"/>
      <c r="N99" s="137"/>
      <c r="P99" s="137"/>
      <c r="Q99" s="137"/>
      <c r="X99" s="167"/>
    </row>
    <row r="100" spans="8:24">
      <c r="H100"/>
      <c r="N100" s="137"/>
      <c r="P100" s="137"/>
      <c r="Q100" s="137"/>
      <c r="X100" s="167"/>
    </row>
    <row r="101" spans="8:24">
      <c r="H101"/>
      <c r="N101" s="137"/>
      <c r="P101" s="137"/>
      <c r="Q101" s="137"/>
      <c r="X101" s="167"/>
    </row>
    <row r="102" spans="8:24">
      <c r="H102"/>
      <c r="N102" s="137"/>
      <c r="P102" s="137"/>
      <c r="Q102" s="137"/>
      <c r="X102" s="167"/>
    </row>
    <row r="103" spans="8:24">
      <c r="H103"/>
      <c r="N103" s="137"/>
      <c r="P103" s="137"/>
      <c r="Q103" s="137"/>
      <c r="X103" s="167"/>
    </row>
    <row r="104" spans="8:24">
      <c r="H104"/>
      <c r="N104" s="137"/>
      <c r="P104" s="137"/>
      <c r="Q104" s="137"/>
      <c r="X104" s="167"/>
    </row>
    <row r="105" spans="8:24">
      <c r="H105"/>
      <c r="N105" s="137"/>
      <c r="P105" s="137"/>
      <c r="Q105" s="137"/>
      <c r="X105" s="167"/>
    </row>
    <row r="106" spans="8:24">
      <c r="H106"/>
      <c r="N106" s="137"/>
      <c r="P106" s="137"/>
      <c r="Q106" s="137"/>
      <c r="X106" s="167"/>
    </row>
    <row r="107" spans="8:24">
      <c r="H107"/>
      <c r="N107" s="137"/>
      <c r="P107" s="137"/>
      <c r="Q107" s="137"/>
      <c r="X107" s="167"/>
    </row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615BF8-A556-43E7-9BB0-184158EA2EE3}">
  <dimension ref="B1:AF54"/>
  <sheetViews>
    <sheetView workbookViewId="0">
      <selection activeCell="R1" sqref="R1"/>
    </sheetView>
  </sheetViews>
  <sheetFormatPr defaultRowHeight="16.2"/>
  <cols>
    <col min="3" max="5" width="8.88671875" style="138"/>
    <col min="6" max="8" width="8.88671875" style="180"/>
    <col min="12" max="12" width="8.88671875" style="125"/>
    <col min="13" max="13" width="10.5546875" style="139" bestFit="1" customWidth="1"/>
    <col min="14" max="14" width="13.44140625" bestFit="1" customWidth="1"/>
    <col min="18" max="18" width="10.6640625" style="166" bestFit="1" customWidth="1"/>
    <col min="20" max="20" width="18.88671875" style="103" bestFit="1" customWidth="1"/>
    <col min="21" max="21" width="11.77734375" bestFit="1" customWidth="1"/>
    <col min="22" max="22" width="10.33203125" style="172" customWidth="1"/>
    <col min="23" max="23" width="11.77734375" bestFit="1" customWidth="1"/>
    <col min="28" max="28" width="9.109375" style="273" bestFit="1" customWidth="1"/>
    <col min="30" max="30" width="18.88671875" style="103" bestFit="1" customWidth="1"/>
    <col min="31" max="31" width="11.77734375" bestFit="1" customWidth="1"/>
    <col min="32" max="32" width="10.33203125" style="280" customWidth="1"/>
  </cols>
  <sheetData>
    <row r="1" spans="2:32" ht="16.8" thickBot="1">
      <c r="C1" s="316" t="s">
        <v>158</v>
      </c>
      <c r="D1" s="316"/>
      <c r="E1" s="316"/>
      <c r="F1" s="317" t="s">
        <v>159</v>
      </c>
      <c r="G1" s="317"/>
      <c r="H1" s="317"/>
      <c r="R1" s="163">
        <f>SUM(R3:R54)</f>
        <v>0.76320119843712741</v>
      </c>
      <c r="V1" s="173">
        <f>SUM(V3:V54)</f>
        <v>0.80424060060136104</v>
      </c>
      <c r="AB1" s="270">
        <f>SUM(AB3:AB54)</f>
        <v>0.75172075841449437</v>
      </c>
      <c r="AF1" s="274">
        <f>SUM(AF3:AF54)</f>
        <v>0.75172061173453342</v>
      </c>
    </row>
    <row r="2" spans="2:32" ht="16.8" thickBot="1">
      <c r="B2" s="141" t="s">
        <v>160</v>
      </c>
      <c r="C2" s="192" t="s">
        <v>90</v>
      </c>
      <c r="D2" s="193" t="s">
        <v>91</v>
      </c>
      <c r="E2" s="208" t="s">
        <v>92</v>
      </c>
      <c r="F2" s="194" t="s">
        <v>90</v>
      </c>
      <c r="G2" s="195" t="s">
        <v>91</v>
      </c>
      <c r="H2" s="209" t="s">
        <v>92</v>
      </c>
      <c r="J2" s="153" t="s">
        <v>163</v>
      </c>
      <c r="K2" s="144" t="s">
        <v>160</v>
      </c>
      <c r="L2" s="152" t="s">
        <v>161</v>
      </c>
      <c r="M2" s="188" t="s">
        <v>159</v>
      </c>
      <c r="N2" s="141" t="s">
        <v>162</v>
      </c>
      <c r="O2" s="162" t="s">
        <v>174</v>
      </c>
      <c r="P2" s="162" t="s">
        <v>165</v>
      </c>
      <c r="Q2" s="162" t="s">
        <v>164</v>
      </c>
      <c r="R2" s="164" t="s">
        <v>175</v>
      </c>
      <c r="T2" s="170" t="s">
        <v>169</v>
      </c>
      <c r="U2" s="170" t="s">
        <v>166</v>
      </c>
      <c r="V2" s="171" t="s">
        <v>167</v>
      </c>
      <c r="Y2" s="162" t="s">
        <v>174</v>
      </c>
      <c r="Z2" s="162" t="s">
        <v>165</v>
      </c>
      <c r="AA2" s="162" t="s">
        <v>164</v>
      </c>
      <c r="AB2" s="271" t="s">
        <v>175</v>
      </c>
      <c r="AD2" s="170" t="s">
        <v>169</v>
      </c>
      <c r="AE2" s="170" t="s">
        <v>166</v>
      </c>
      <c r="AF2" s="275" t="s">
        <v>167</v>
      </c>
    </row>
    <row r="3" spans="2:32">
      <c r="B3" s="141">
        <v>-1</v>
      </c>
      <c r="C3" s="154" cm="1">
        <f t="array" ref="C3">_xlfn.IFNA(
   _xlfn._xlws.FILTER(
      Sim_Mul_Bet50!$H$3:$H$100,
      (Sim_Mul_Bet50!$A$3:$A$100=C$2) * (Sim_Mul_Bet50!$C$3:$C$100=$B3),0
   ),
   0
)</f>
        <v>0</v>
      </c>
      <c r="D3" s="154" cm="1">
        <f t="array" ref="D3">_xlfn.IFNA(
   _xlfn._xlws.FILTER(
      Sim_Mul_Bet50!$H$3:$H$100,
      (Sim_Mul_Bet50!$A$3:$A$100=D$2) * (Sim_Mul_Bet50!$C$3:$C$100=$B3),0
   ),
   0
)</f>
        <v>0.18670804999999999</v>
      </c>
      <c r="E3" s="208"/>
      <c r="F3" s="194"/>
      <c r="G3" s="145" cm="1">
        <f t="array" ref="G3">_xlfn.IFNA(
   _xlfn._xlws.FILTER(
      Sim_Mul_Bet50!$O$3:$O$100,
      (Sim_Mul_Bet50!$A$3:$A$100=D$2) * (Sim_Mul_Bet50!$C$3:$C$100=$B3),0
   ),
   0
)</f>
        <v>0</v>
      </c>
      <c r="H3" s="209"/>
      <c r="J3" s="153">
        <v>0</v>
      </c>
      <c r="K3" s="205">
        <v>-1</v>
      </c>
      <c r="L3" s="196" t="s">
        <v>90</v>
      </c>
      <c r="M3" s="215">
        <f>HLOOKUP(L3,$C$2:$E$54,J3+2,FALSE)</f>
        <v>0</v>
      </c>
      <c r="N3" s="159">
        <f>HLOOKUP(L3,$F$2:$H$54,J3+2,FALSE)</f>
        <v>0</v>
      </c>
      <c r="O3" s="174">
        <f>1-SUM(O4:O53)</f>
        <v>0.85585257291596695</v>
      </c>
      <c r="P3" s="174">
        <f>1-SUM(P4:P53)</f>
        <v>0.85573427291596704</v>
      </c>
      <c r="Q3" s="174">
        <f>1-SUM(Q4:Q54)</f>
        <v>0.85905995358855425</v>
      </c>
      <c r="R3" s="165">
        <f t="shared" ref="R3:R54" si="0">N3*O3</f>
        <v>0</v>
      </c>
      <c r="T3" s="183">
        <f>1000000-SUM(T4:T54)</f>
        <v>869589</v>
      </c>
      <c r="U3" s="198" cm="1">
        <f t="array" ref="U3:U54">T3:T54/SUM($T$3:$T$54)</f>
        <v>0.86958899999999995</v>
      </c>
      <c r="V3" s="201">
        <f t="shared" ref="V3:V54" si="1">U3*N3</f>
        <v>0</v>
      </c>
      <c r="Y3" s="174">
        <f>1-SUM(Y4:Y53)</f>
        <v>0.86313517203261025</v>
      </c>
      <c r="Z3" s="174">
        <f>1-SUM(Z4:Z53)</f>
        <v>0.86313517203261025</v>
      </c>
      <c r="AA3" s="174">
        <f>1-SUM(AA4:AA54)</f>
        <v>0.87113099350559631</v>
      </c>
      <c r="AB3" s="272">
        <f>N3*Y3</f>
        <v>0</v>
      </c>
      <c r="AD3" s="183">
        <f>1000000-SUM(AD4:AD54)</f>
        <v>863135</v>
      </c>
      <c r="AE3" s="198" cm="1">
        <f t="array" ref="AE3:AE54">AD3:AD54/SUM($T$3:$T$54)</f>
        <v>0.86313499999999999</v>
      </c>
      <c r="AF3" s="276">
        <f>AE3*N3</f>
        <v>0</v>
      </c>
    </row>
    <row r="4" spans="2:32">
      <c r="B4" s="142">
        <v>0</v>
      </c>
      <c r="C4" s="155" cm="1">
        <f t="array" ref="C4">_xlfn.IFNA(
   _xlfn._xlws.FILTER(
      Sim_Mul_Bet50!$H$3:$H$100,
      (Sim_Mul_Bet50!$A$3:$A$100=C$2) * (Sim_Mul_Bet50!$C$3:$C$100=$B4),0
   ),
   0
)</f>
        <v>0.87046402</v>
      </c>
      <c r="D4" s="156" cm="1">
        <f t="array" ref="D4">_xlfn.IFNA(
   _xlfn._xlws.FILTER(
      Sim_Mul_Bet50!$H$3:$H$100,
      (Sim_Mul_Bet50!$A$3:$A$100=D$2) * (Sim_Mul_Bet50!$C$3:$C$100=$B4),0
   ),
   0
)</f>
        <v>0.32194191</v>
      </c>
      <c r="E4" s="181" cm="1">
        <f t="array" ref="E4">_xlfn.IFNA(
   _xlfn._xlws.FILTER(
      Sim_Mul_Bet50!$H$3:$H$100,
      (Sim_Mul_Bet50!$A$3:$A$100=E$2) * (Sim_Mul_Bet50!$C$3:$C$100=$B4),0
   ),
   0
)</f>
        <v>0</v>
      </c>
      <c r="F4" s="150" cm="1">
        <f t="array" ref="F4">_xlfn.IFNA(
   _xlfn._xlws.FILTER(
      Sim_Mul_Bet50!$O$3:$O$100,
      (Sim_Mul_Bet50!$A$3:$A$100=C$2) * (Sim_Mul_Bet50!$C$3:$C$100=$B4),0
   ),
   0
)</f>
        <v>0</v>
      </c>
      <c r="G4" s="146" cm="1">
        <f t="array" ref="G4">_xlfn.IFNA(
   _xlfn._xlws.FILTER(
      Sim_Mul_Bet50!$O$3:$O$100,
      (Sim_Mul_Bet50!$A$3:$A$100=D$2) * (Sim_Mul_Bet50!$C$3:$C$100=$B4),0
   ),
   0
)</f>
        <v>0.26300686108248533</v>
      </c>
      <c r="H4" s="147" cm="1">
        <f t="array" ref="H4">_xlfn.IFNA(
   _xlfn._xlws.FILTER(
      Sim_Mul_Bet50!$O$3:$O$100,
      (Sim_Mul_Bet50!$A$3:$A$100=E$2) * (Sim_Mul_Bet50!$C$3:$C$100=$B4),0
   ),
   0
)</f>
        <v>0</v>
      </c>
      <c r="J4">
        <v>1</v>
      </c>
      <c r="K4" s="206">
        <v>0</v>
      </c>
      <c r="L4" s="210" t="s">
        <v>90</v>
      </c>
      <c r="M4" s="216">
        <f t="shared" ref="M4:M54" si="2">HLOOKUP(L4,$C$2:$E$54,J4+2,FALSE)</f>
        <v>0.87046402</v>
      </c>
      <c r="N4" s="160">
        <f>HLOOKUP(L4,$F$2:$H$54,J4+2,FALSE)</f>
        <v>0</v>
      </c>
      <c r="O4" s="175">
        <v>6.5046727084033001E-2</v>
      </c>
      <c r="P4" s="175">
        <v>6.5046727084033001E-2</v>
      </c>
      <c r="Q4" s="175">
        <v>6.5046727084033001E-2</v>
      </c>
      <c r="R4" s="197">
        <f t="shared" si="0"/>
        <v>0</v>
      </c>
      <c r="T4" s="184">
        <v>21320</v>
      </c>
      <c r="U4">
        <v>2.1319999999999999E-2</v>
      </c>
      <c r="V4" s="202">
        <f t="shared" si="1"/>
        <v>0</v>
      </c>
      <c r="W4" s="169"/>
      <c r="Y4" s="175">
        <f>Z4</f>
        <v>4.9753005388973301E-2</v>
      </c>
      <c r="Z4" s="175">
        <v>4.9753005388973301E-2</v>
      </c>
      <c r="AA4" s="175">
        <v>4.9753005388973301E-2</v>
      </c>
      <c r="AB4" s="272">
        <f t="shared" ref="AB4:AB54" si="3">N4*Y4</f>
        <v>0</v>
      </c>
      <c r="AD4" s="184">
        <f t="shared" ref="AD4:AD54" si="4">ROUND(Y4*1000000,0)</f>
        <v>49753</v>
      </c>
      <c r="AE4">
        <v>4.9752999999999999E-2</v>
      </c>
      <c r="AF4" s="277">
        <f t="shared" ref="AF4:AF54" si="5">AE4*N4</f>
        <v>0</v>
      </c>
    </row>
    <row r="5" spans="2:32">
      <c r="B5" s="142">
        <v>1</v>
      </c>
      <c r="C5" s="155" cm="1">
        <f t="array" ref="C5">_xlfn.IFNA(
   _xlfn._xlws.FILTER(
      Sim_Mul_Bet50!$H$3:$H$100,
      (Sim_Mul_Bet50!$A$3:$A$100=C$2) * (Sim_Mul_Bet50!$C$3:$C$100=$B5),0
   ),
   0
)</f>
        <v>6.9005520000000001E-2</v>
      </c>
      <c r="D5" s="156" cm="1">
        <f t="array" ref="D5">_xlfn.IFNA(
   _xlfn._xlws.FILTER(
      Sim_Mul_Bet50!$H$3:$H$100,
      (Sim_Mul_Bet50!$A$3:$A$100=D$2) * (Sim_Mul_Bet50!$C$3:$C$100=$B5),0
   ),
   0
)</f>
        <v>9.2511689999999994E-2</v>
      </c>
      <c r="E5" s="181" cm="1">
        <f t="array" ref="E5">_xlfn.IFNA(
   _xlfn._xlws.FILTER(
      Sim_Mul_Bet50!$H$3:$H$100,
      (Sim_Mul_Bet50!$A$3:$A$100=E$2) * (Sim_Mul_Bet50!$C$3:$C$100=$B5),0
   ),
   0
)</f>
        <v>0</v>
      </c>
      <c r="F5" s="150" cm="1">
        <f t="array" ref="F5">_xlfn.IFNA(
   _xlfn._xlws.FILTER(
      Sim_Mul_Bet50!$O$3:$O$100,
      (Sim_Mul_Bet50!$A$3:$A$100=C$2) * (Sim_Mul_Bet50!$C$3:$C$100=$B5),0
   ),
   0
)</f>
        <v>1.0023593127042592</v>
      </c>
      <c r="G5" s="146" cm="1">
        <f t="array" ref="G5">_xlfn.IFNA(
   _xlfn._xlws.FILTER(
      Sim_Mul_Bet50!$O$3:$O$100,
      (Sim_Mul_Bet50!$A$3:$A$100=D$2) * (Sim_Mul_Bet50!$C$3:$C$100=$B5),0
   ),
   0
)</f>
        <v>1.465518932796493</v>
      </c>
      <c r="H5" s="147" cm="1">
        <f t="array" ref="H5">_xlfn.IFNA(
   _xlfn._xlws.FILTER(
      Sim_Mul_Bet50!$O$3:$O$100,
      (Sim_Mul_Bet50!$A$3:$A$100=E$2) * (Sim_Mul_Bet50!$C$3:$C$100=$B5),0
   ),
   0
)</f>
        <v>0</v>
      </c>
      <c r="J5">
        <v>2</v>
      </c>
      <c r="K5" s="206">
        <v>1</v>
      </c>
      <c r="L5" s="210" t="s">
        <v>90</v>
      </c>
      <c r="M5" s="216">
        <f t="shared" si="2"/>
        <v>6.9005520000000001E-2</v>
      </c>
      <c r="N5" s="160">
        <f t="shared" ref="N5:N54" si="6">HLOOKUP(L5,$F$2:$H$54,J5+2,FALSE)</f>
        <v>1.0023593127042592</v>
      </c>
      <c r="O5" s="175">
        <v>1E-3</v>
      </c>
      <c r="P5" s="175">
        <v>1E-3</v>
      </c>
      <c r="Q5" s="175">
        <v>1.01551340873299E-3</v>
      </c>
      <c r="R5" s="197">
        <f t="shared" si="0"/>
        <v>1.0023593127042592E-3</v>
      </c>
      <c r="T5" s="184">
        <v>51342</v>
      </c>
      <c r="U5" s="199">
        <v>5.1341999999999999E-2</v>
      </c>
      <c r="V5" s="203">
        <f t="shared" si="1"/>
        <v>5.1463131832862073E-2</v>
      </c>
      <c r="W5" s="169"/>
      <c r="Y5" s="175">
        <f t="shared" ref="Y5:Y54" si="7">Z5</f>
        <v>1.5838745336465399E-2</v>
      </c>
      <c r="Z5" s="175">
        <v>1.5838745336465399E-2</v>
      </c>
      <c r="AA5" s="175">
        <v>1.5838745336465399E-2</v>
      </c>
      <c r="AB5" s="272">
        <f t="shared" si="3"/>
        <v>1.5876113889557248E-2</v>
      </c>
      <c r="AD5" s="184">
        <f t="shared" si="4"/>
        <v>15839</v>
      </c>
      <c r="AE5" s="199">
        <v>1.5838999999999999E-2</v>
      </c>
      <c r="AF5" s="278">
        <f t="shared" si="5"/>
        <v>1.5876369153922761E-2</v>
      </c>
    </row>
    <row r="6" spans="2:32">
      <c r="B6" s="142">
        <v>2</v>
      </c>
      <c r="C6" s="155" cm="1">
        <f t="array" ref="C6">_xlfn.IFNA(
   _xlfn._xlws.FILTER(
      Sim_Mul_Bet50!$H$3:$H$100,
      (Sim_Mul_Bet50!$A$3:$A$100=C$2) * (Sim_Mul_Bet50!$C$3:$C$100=$B6),0
   ),
   0
)</f>
        <v>1.362186E-2</v>
      </c>
      <c r="D6" s="156" cm="1">
        <f t="array" ref="D6">_xlfn.IFNA(
   _xlfn._xlws.FILTER(
      Sim_Mul_Bet50!$H$3:$H$100,
      (Sim_Mul_Bet50!$A$3:$A$100=D$2) * (Sim_Mul_Bet50!$C$3:$C$100=$B6),0
   ),
   0
)</f>
        <v>8.3305770000000001E-2</v>
      </c>
      <c r="E6" s="181" cm="1">
        <f t="array" ref="E6">_xlfn.IFNA(
   _xlfn._xlws.FILTER(
      Sim_Mul_Bet50!$H$3:$H$100,
      (Sim_Mul_Bet50!$A$3:$A$100=E$2) * (Sim_Mul_Bet50!$C$3:$C$100=$B6),0
   ),
   0
)</f>
        <v>0</v>
      </c>
      <c r="F6" s="150" cm="1">
        <f t="array" ref="F6">_xlfn.IFNA(
   _xlfn._xlws.FILTER(
      Sim_Mul_Bet50!$O$3:$O$100,
      (Sim_Mul_Bet50!$A$3:$A$100=C$2) * (Sim_Mul_Bet50!$C$3:$C$100=$B6),0
   ),
   0
)</f>
        <v>2.0283286276617143</v>
      </c>
      <c r="G6" s="146" cm="1">
        <f t="array" ref="G6">_xlfn.IFNA(
   _xlfn._xlws.FILTER(
      Sim_Mul_Bet50!$O$3:$O$100,
      (Sim_Mul_Bet50!$A$3:$A$100=D$2) * (Sim_Mul_Bet50!$C$3:$C$100=$B6),0
   ),
   0
)</f>
        <v>2.1751332182632725</v>
      </c>
      <c r="H6" s="147" cm="1">
        <f t="array" ref="H6">_xlfn.IFNA(
   _xlfn._xlws.FILTER(
      Sim_Mul_Bet50!$O$3:$O$100,
      (Sim_Mul_Bet50!$A$3:$A$100=E$2) * (Sim_Mul_Bet50!$C$3:$C$100=$B6),0
   ),
   0
)</f>
        <v>0</v>
      </c>
      <c r="J6">
        <v>3</v>
      </c>
      <c r="K6" s="206">
        <v>2</v>
      </c>
      <c r="L6" s="210" t="s">
        <v>90</v>
      </c>
      <c r="M6" s="216">
        <f t="shared" si="2"/>
        <v>1.362186E-2</v>
      </c>
      <c r="N6" s="160">
        <f t="shared" si="6"/>
        <v>2.0283286276617143</v>
      </c>
      <c r="O6" s="175">
        <v>0</v>
      </c>
      <c r="P6" s="175">
        <v>0</v>
      </c>
      <c r="Q6" s="175">
        <v>0</v>
      </c>
      <c r="R6" s="197">
        <f t="shared" si="0"/>
        <v>0</v>
      </c>
      <c r="T6" s="184">
        <v>345</v>
      </c>
      <c r="U6" s="199">
        <v>3.4499999999999998E-4</v>
      </c>
      <c r="V6" s="203">
        <f t="shared" si="1"/>
        <v>6.9977337654329144E-4</v>
      </c>
      <c r="W6" s="169"/>
      <c r="Y6" s="175">
        <f t="shared" si="7"/>
        <v>2.9881166229100498E-3</v>
      </c>
      <c r="Z6" s="175">
        <v>2.9881166229100498E-3</v>
      </c>
      <c r="AA6" s="175">
        <v>2.9881166229100498E-3</v>
      </c>
      <c r="AB6" s="272">
        <f t="shared" si="3"/>
        <v>6.0608824890402979E-3</v>
      </c>
      <c r="AD6" s="184">
        <f t="shared" si="4"/>
        <v>2988</v>
      </c>
      <c r="AE6" s="199">
        <v>2.9880000000000002E-3</v>
      </c>
      <c r="AF6" s="278">
        <f t="shared" si="5"/>
        <v>6.0606459394532027E-3</v>
      </c>
    </row>
    <row r="7" spans="2:32">
      <c r="B7" s="142">
        <v>3</v>
      </c>
      <c r="C7" s="155" cm="1">
        <f t="array" ref="C7">_xlfn.IFNA(
   _xlfn._xlws.FILTER(
      Sim_Mul_Bet50!$H$3:$H$100,
      (Sim_Mul_Bet50!$A$3:$A$100=C$2) * (Sim_Mul_Bet50!$C$3:$C$100=$B7),0
   ),
   0
)</f>
        <v>9.6654E-4</v>
      </c>
      <c r="D7" s="156" cm="1">
        <f t="array" ref="D7">_xlfn.IFNA(
   _xlfn._xlws.FILTER(
      Sim_Mul_Bet50!$H$3:$H$100,
      (Sim_Mul_Bet50!$A$3:$A$100=D$2) * (Sim_Mul_Bet50!$C$3:$C$100=$B7),0
   ),
   0
)</f>
        <v>1.157851E-2</v>
      </c>
      <c r="E7" s="181" cm="1">
        <f t="array" ref="E7">_xlfn.IFNA(
   _xlfn._xlws.FILTER(
      Sim_Mul_Bet50!$H$3:$H$100,
      (Sim_Mul_Bet50!$A$3:$A$100=E$2) * (Sim_Mul_Bet50!$C$3:$C$100=$B7),0
   ),
   0
)</f>
        <v>0</v>
      </c>
      <c r="F7" s="150" cm="1">
        <f t="array" ref="F7">_xlfn.IFNA(
   _xlfn._xlws.FILTER(
      Sim_Mul_Bet50!$O$3:$O$100,
      (Sim_Mul_Bet50!$A$3:$A$100=C$2) * (Sim_Mul_Bet50!$C$3:$C$100=$B7),0
   ),
   0
)</f>
        <v>3.0352119932956731</v>
      </c>
      <c r="G7" s="146" cm="1">
        <f t="array" ref="G7">_xlfn.IFNA(
   _xlfn._xlws.FILTER(
      Sim_Mul_Bet50!$O$3:$O$100,
      (Sim_Mul_Bet50!$A$3:$A$100=D$2) * (Sim_Mul_Bet50!$C$3:$C$100=$B7),0
   ),
   0
)</f>
        <v>3.4430832464626278</v>
      </c>
      <c r="H7" s="147" cm="1">
        <f t="array" ref="H7">_xlfn.IFNA(
   _xlfn._xlws.FILTER(
      Sim_Mul_Bet50!$O$3:$O$100,
      (Sim_Mul_Bet50!$A$3:$A$100=E$2) * (Sim_Mul_Bet50!$C$3:$C$100=$B7),0
   ),
   0
)</f>
        <v>0</v>
      </c>
      <c r="J7">
        <v>4</v>
      </c>
      <c r="K7" s="206">
        <v>3</v>
      </c>
      <c r="L7" s="210" t="s">
        <v>91</v>
      </c>
      <c r="M7" s="216">
        <f t="shared" si="2"/>
        <v>1.157851E-2</v>
      </c>
      <c r="N7" s="160">
        <f t="shared" si="6"/>
        <v>3.4430832464626278</v>
      </c>
      <c r="O7" s="175">
        <v>0</v>
      </c>
      <c r="P7" s="175">
        <v>0</v>
      </c>
      <c r="Q7" s="175">
        <v>0</v>
      </c>
      <c r="R7" s="197">
        <f t="shared" si="0"/>
        <v>0</v>
      </c>
      <c r="T7" s="184">
        <v>21</v>
      </c>
      <c r="U7" s="199">
        <v>2.0999999999999999E-5</v>
      </c>
      <c r="V7" s="203">
        <f t="shared" si="1"/>
        <v>7.2304748175715179E-5</v>
      </c>
      <c r="W7" s="169"/>
      <c r="Y7" s="175">
        <f t="shared" si="7"/>
        <v>8.1180046980793095E-4</v>
      </c>
      <c r="Z7" s="175">
        <v>8.1180046980793095E-4</v>
      </c>
      <c r="AA7" s="175">
        <v>8.1180046980793095E-4</v>
      </c>
      <c r="AB7" s="272">
        <f t="shared" si="3"/>
        <v>2.7950965970661773E-3</v>
      </c>
      <c r="AD7" s="184">
        <f t="shared" si="4"/>
        <v>812</v>
      </c>
      <c r="AE7" s="199">
        <v>8.12E-4</v>
      </c>
      <c r="AF7" s="278">
        <f t="shared" si="5"/>
        <v>2.7957835961276538E-3</v>
      </c>
    </row>
    <row r="8" spans="2:32">
      <c r="B8" s="142">
        <v>4</v>
      </c>
      <c r="C8" s="155" cm="1">
        <f t="array" ref="C8">_xlfn.IFNA(
   _xlfn._xlws.FILTER(
      Sim_Mul_Bet50!$H$3:$H$100,
      (Sim_Mul_Bet50!$A$3:$A$100=C$2) * (Sim_Mul_Bet50!$C$3:$C$100=$B8),0
   ),
   0
)</f>
        <v>9.8397000000000003E-4</v>
      </c>
      <c r="D8" s="156" cm="1">
        <f t="array" ref="D8">_xlfn.IFNA(
   _xlfn._xlws.FILTER(
      Sim_Mul_Bet50!$H$3:$H$100,
      (Sim_Mul_Bet50!$A$3:$A$100=D$2) * (Sim_Mul_Bet50!$C$3:$C$100=$B8),0
   ),
   0
)</f>
        <v>1.342262E-2</v>
      </c>
      <c r="E8" s="181" cm="1">
        <f t="array" ref="E8">_xlfn.IFNA(
   _xlfn._xlws.FILTER(
      Sim_Mul_Bet50!$H$3:$H$100,
      (Sim_Mul_Bet50!$A$3:$A$100=E$2) * (Sim_Mul_Bet50!$C$3:$C$100=$B8),0
   ),
   0
)</f>
        <v>0</v>
      </c>
      <c r="F8" s="150" cm="1">
        <f t="array" ref="F8">_xlfn.IFNA(
   _xlfn._xlws.FILTER(
      Sim_Mul_Bet50!$O$3:$O$100,
      (Sim_Mul_Bet50!$A$3:$A$100=C$2) * (Sim_Mul_Bet50!$C$3:$C$100=$B8),0
   ),
   0
)</f>
        <v>4.022528532373955</v>
      </c>
      <c r="G8" s="146" cm="1">
        <f t="array" ref="G8">_xlfn.IFNA(
   _xlfn._xlws.FILTER(
      Sim_Mul_Bet50!$O$3:$O$100,
      (Sim_Mul_Bet50!$A$3:$A$100=D$2) * (Sim_Mul_Bet50!$C$3:$C$100=$B8),0
   ),
   0
)</f>
        <v>4.3642235420506577</v>
      </c>
      <c r="H8" s="147" cm="1">
        <f t="array" ref="H8">_xlfn.IFNA(
   _xlfn._xlws.FILTER(
      Sim_Mul_Bet50!$O$3:$O$100,
      (Sim_Mul_Bet50!$A$3:$A$100=E$2) * (Sim_Mul_Bet50!$C$3:$C$100=$B8),0
   ),
   0
)</f>
        <v>0</v>
      </c>
      <c r="J8">
        <v>5</v>
      </c>
      <c r="K8" s="206">
        <v>4</v>
      </c>
      <c r="L8" s="210" t="s">
        <v>90</v>
      </c>
      <c r="M8" s="216">
        <f t="shared" si="2"/>
        <v>9.8397000000000003E-4</v>
      </c>
      <c r="N8" s="160">
        <f t="shared" si="6"/>
        <v>4.022528532373955</v>
      </c>
      <c r="O8" s="175">
        <v>4.4040000000000003E-2</v>
      </c>
      <c r="P8" s="175">
        <v>4.4040000000000003E-2</v>
      </c>
      <c r="Q8" s="175">
        <v>4.28295831302727E-2</v>
      </c>
      <c r="R8" s="197">
        <f t="shared" si="0"/>
        <v>0.17715215656574898</v>
      </c>
      <c r="T8" s="184">
        <v>10531</v>
      </c>
      <c r="U8" s="199">
        <v>1.0531E-2</v>
      </c>
      <c r="V8" s="203">
        <f t="shared" si="1"/>
        <v>4.2361247974430125E-2</v>
      </c>
      <c r="W8" s="169"/>
      <c r="Y8" s="175">
        <f t="shared" si="7"/>
        <v>0.03</v>
      </c>
      <c r="Z8" s="175">
        <v>0.03</v>
      </c>
      <c r="AA8" s="175">
        <v>2.9492538344617899E-2</v>
      </c>
      <c r="AB8" s="272">
        <f t="shared" si="3"/>
        <v>0.12067585597121865</v>
      </c>
      <c r="AD8" s="184">
        <f t="shared" si="4"/>
        <v>30000</v>
      </c>
      <c r="AE8" s="199">
        <v>0.03</v>
      </c>
      <c r="AF8" s="278">
        <f t="shared" si="5"/>
        <v>0.12067585597121865</v>
      </c>
    </row>
    <row r="9" spans="2:32">
      <c r="B9" s="142">
        <v>5</v>
      </c>
      <c r="C9" s="155" cm="1">
        <f t="array" ref="C9">_xlfn.IFNA(
   _xlfn._xlws.FILTER(
      Sim_Mul_Bet50!$H$3:$H$100,
      (Sim_Mul_Bet50!$A$3:$A$100=C$2) * (Sim_Mul_Bet50!$C$3:$C$100=$B9),0
   ),
   0
)</f>
        <v>3.7858999999999999E-4</v>
      </c>
      <c r="D9" s="156" cm="1">
        <f t="array" ref="D9">_xlfn.IFNA(
   _xlfn._xlws.FILTER(
      Sim_Mul_Bet50!$H$3:$H$100,
      (Sim_Mul_Bet50!$A$3:$A$100=D$2) * (Sim_Mul_Bet50!$C$3:$C$100=$B9),0
   ),
   0
)</f>
        <v>6.6342399999999996E-3</v>
      </c>
      <c r="E9" s="181" cm="1">
        <f t="array" ref="E9">_xlfn.IFNA(
   _xlfn._xlws.FILTER(
      Sim_Mul_Bet50!$H$3:$H$100,
      (Sim_Mul_Bet50!$A$3:$A$100=E$2) * (Sim_Mul_Bet50!$C$3:$C$100=$B9),0
   ),
   0
)</f>
        <v>0</v>
      </c>
      <c r="F9" s="150" cm="1">
        <f t="array" ref="F9">_xlfn.IFNA(
   _xlfn._xlws.FILTER(
      Sim_Mul_Bet50!$O$3:$O$100,
      (Sim_Mul_Bet50!$A$3:$A$100=C$2) * (Sim_Mul_Bet50!$C$3:$C$100=$B9),0
   ),
   0
)</f>
        <v>5.0357003618690399</v>
      </c>
      <c r="G9" s="146" cm="1">
        <f t="array" ref="G9">_xlfn.IFNA(
   _xlfn._xlws.FILTER(
      Sim_Mul_Bet50!$O$3:$O$100,
      (Sim_Mul_Bet50!$A$3:$A$100=D$2) * (Sim_Mul_Bet50!$C$3:$C$100=$B9),0
   ),
   0
)</f>
        <v>5.3224969250434118</v>
      </c>
      <c r="H9" s="147" cm="1">
        <f t="array" ref="H9">_xlfn.IFNA(
   _xlfn._xlws.FILTER(
      Sim_Mul_Bet50!$O$3:$O$100,
      (Sim_Mul_Bet50!$A$3:$A$100=E$2) * (Sim_Mul_Bet50!$C$3:$C$100=$B9),0
   ),
   0
)</f>
        <v>0</v>
      </c>
      <c r="J9">
        <v>6</v>
      </c>
      <c r="K9" s="206">
        <v>5</v>
      </c>
      <c r="L9" s="210" t="s">
        <v>91</v>
      </c>
      <c r="M9" s="216">
        <f t="shared" si="2"/>
        <v>6.6342399999999996E-3</v>
      </c>
      <c r="N9" s="160">
        <f t="shared" si="6"/>
        <v>5.3224969250434118</v>
      </c>
      <c r="O9" s="175">
        <v>2E-3</v>
      </c>
      <c r="P9" s="175">
        <v>2E-3</v>
      </c>
      <c r="Q9" s="175">
        <v>1.15271082740144E-3</v>
      </c>
      <c r="R9" s="197">
        <f t="shared" si="0"/>
        <v>1.0644993850086824E-2</v>
      </c>
      <c r="T9" s="184">
        <v>12823</v>
      </c>
      <c r="U9" s="199">
        <v>1.2822999999999999E-2</v>
      </c>
      <c r="V9" s="203">
        <f t="shared" si="1"/>
        <v>6.8250378069831669E-2</v>
      </c>
      <c r="W9" s="169"/>
      <c r="Y9" s="175">
        <f t="shared" si="7"/>
        <v>9.9316014923310795E-4</v>
      </c>
      <c r="Z9" s="175">
        <v>9.9316014923310795E-4</v>
      </c>
      <c r="AA9" s="175">
        <v>9.9316014923310795E-4</v>
      </c>
      <c r="AB9" s="272">
        <f t="shared" si="3"/>
        <v>5.2860918403688732E-3</v>
      </c>
      <c r="AD9" s="184">
        <f t="shared" si="4"/>
        <v>993</v>
      </c>
      <c r="AE9" s="199">
        <v>9.9299999999999996E-4</v>
      </c>
      <c r="AF9" s="278">
        <f t="shared" si="5"/>
        <v>5.2852394465681077E-3</v>
      </c>
    </row>
    <row r="10" spans="2:32">
      <c r="B10" s="142">
        <v>6</v>
      </c>
      <c r="C10" s="155" cm="1">
        <f t="array" ref="C10">_xlfn.IFNA(
   _xlfn._xlws.FILTER(
      Sim_Mul_Bet50!$H$3:$H$100,
      (Sim_Mul_Bet50!$A$3:$A$100=C$2) * (Sim_Mul_Bet50!$C$3:$C$100=$B10),0
   ),
   0
)</f>
        <v>1.45E-5</v>
      </c>
      <c r="D10" s="156" cm="1">
        <f t="array" ref="D10">_xlfn.IFNA(
   _xlfn._xlws.FILTER(
      Sim_Mul_Bet50!$H$3:$H$100,
      (Sim_Mul_Bet50!$A$3:$A$100=D$2) * (Sim_Mul_Bet50!$C$3:$C$100=$B10),0
   ),
   0
)</f>
        <v>5.6302000000000001E-4</v>
      </c>
      <c r="E10" s="181" cm="1">
        <f t="array" ref="E10">_xlfn.IFNA(
   _xlfn._xlws.FILTER(
      Sim_Mul_Bet50!$H$3:$H$100,
      (Sim_Mul_Bet50!$A$3:$A$100=E$2) * (Sim_Mul_Bet50!$C$3:$C$100=$B10),0
   ),
   0
)</f>
        <v>0</v>
      </c>
      <c r="F10" s="150" cm="1">
        <f t="array" ref="F10">_xlfn.IFNA(
   _xlfn._xlws.FILTER(
      Sim_Mul_Bet50!$O$3:$O$100,
      (Sim_Mul_Bet50!$A$3:$A$100=C$2) * (Sim_Mul_Bet50!$C$3:$C$100=$B10),0
   ),
   0
)</f>
        <v>6.0030344827586202</v>
      </c>
      <c r="G10" s="146" cm="1">
        <f t="array" ref="G10">_xlfn.IFNA(
   _xlfn._xlws.FILTER(
      Sim_Mul_Bet50!$O$3:$O$100,
      (Sim_Mul_Bet50!$A$3:$A$100=D$2) * (Sim_Mul_Bet50!$C$3:$C$100=$B10),0
   ),
   0
)</f>
        <v>6.1198525807253734</v>
      </c>
      <c r="H10" s="147" cm="1">
        <f t="array" ref="H10">_xlfn.IFNA(
   _xlfn._xlws.FILTER(
      Sim_Mul_Bet50!$O$3:$O$100,
      (Sim_Mul_Bet50!$A$3:$A$100=E$2) * (Sim_Mul_Bet50!$C$3:$C$100=$B10),0
   ),
   0
)</f>
        <v>0</v>
      </c>
      <c r="J10">
        <v>7</v>
      </c>
      <c r="K10" s="206">
        <v>6</v>
      </c>
      <c r="L10" s="210" t="s">
        <v>91</v>
      </c>
      <c r="M10" s="216">
        <f t="shared" si="2"/>
        <v>5.6302000000000001E-4</v>
      </c>
      <c r="N10" s="160">
        <f t="shared" si="6"/>
        <v>6.1198525807253734</v>
      </c>
      <c r="O10" s="175">
        <v>0</v>
      </c>
      <c r="P10" s="175">
        <v>0</v>
      </c>
      <c r="Q10" s="175">
        <v>0</v>
      </c>
      <c r="R10" s="197">
        <f t="shared" si="0"/>
        <v>0</v>
      </c>
      <c r="T10" s="184">
        <v>1</v>
      </c>
      <c r="U10" s="199">
        <v>9.9999999999999995E-7</v>
      </c>
      <c r="V10" s="203">
        <f t="shared" si="1"/>
        <v>6.1198525807253727E-6</v>
      </c>
      <c r="W10" s="169"/>
      <c r="Y10" s="175">
        <f t="shared" si="7"/>
        <v>0</v>
      </c>
      <c r="Z10" s="175">
        <v>0</v>
      </c>
      <c r="AA10" s="175">
        <v>0</v>
      </c>
      <c r="AB10" s="272">
        <f t="shared" si="3"/>
        <v>0</v>
      </c>
      <c r="AD10" s="184">
        <f t="shared" si="4"/>
        <v>0</v>
      </c>
      <c r="AE10" s="199">
        <v>0</v>
      </c>
      <c r="AF10" s="278">
        <f t="shared" si="5"/>
        <v>0</v>
      </c>
    </row>
    <row r="11" spans="2:32">
      <c r="B11" s="142">
        <v>7</v>
      </c>
      <c r="C11" s="155" cm="1">
        <f t="array" ref="C11">_xlfn.IFNA(
   _xlfn._xlws.FILTER(
      Sim_Mul_Bet50!$H$3:$H$100,
      (Sim_Mul_Bet50!$A$3:$A$100=C$2) * (Sim_Mul_Bet50!$C$3:$C$100=$B11),0
   ),
   0
)</f>
        <v>0</v>
      </c>
      <c r="D11" s="156" cm="1">
        <f t="array" ref="D11">_xlfn.IFNA(
   _xlfn._xlws.FILTER(
      Sim_Mul_Bet50!$H$3:$H$100,
      (Sim_Mul_Bet50!$A$3:$A$100=D$2) * (Sim_Mul_Bet50!$C$3:$C$100=$B11),0
   ),
   0
)</f>
        <v>0</v>
      </c>
      <c r="E11" s="181" cm="1">
        <f t="array" ref="E11">_xlfn.IFNA(
   _xlfn._xlws.FILTER(
      Sim_Mul_Bet50!$H$3:$H$100,
      (Sim_Mul_Bet50!$A$3:$A$100=E$2) * (Sim_Mul_Bet50!$C$3:$C$100=$B11),0
   ),
   0
)</f>
        <v>0</v>
      </c>
      <c r="F11" s="150" cm="1">
        <f t="array" ref="F11">_xlfn.IFNA(
   _xlfn._xlws.FILTER(
      Sim_Mul_Bet50!$O$3:$O$100,
      (Sim_Mul_Bet50!$A$3:$A$100=C$2) * (Sim_Mul_Bet50!$C$3:$C$100=$B11),0
   ),
   0
)</f>
        <v>0</v>
      </c>
      <c r="G11" s="146" cm="1">
        <f t="array" ref="G11">_xlfn.IFNA(
   _xlfn._xlws.FILTER(
      Sim_Mul_Bet50!$O$3:$O$100,
      (Sim_Mul_Bet50!$A$3:$A$100=D$2) * (Sim_Mul_Bet50!$C$3:$C$100=$B11),0
   ),
   0
)</f>
        <v>0</v>
      </c>
      <c r="H11" s="147" cm="1">
        <f t="array" ref="H11">_xlfn.IFNA(
   _xlfn._xlws.FILTER(
      Sim_Mul_Bet50!$O$3:$O$100,
      (Sim_Mul_Bet50!$A$3:$A$100=E$2) * (Sim_Mul_Bet50!$C$3:$C$100=$B11),0
   ),
   0
)</f>
        <v>0</v>
      </c>
      <c r="J11">
        <v>8</v>
      </c>
      <c r="K11" s="206">
        <v>7</v>
      </c>
      <c r="L11" s="210" t="s">
        <v>90</v>
      </c>
      <c r="M11" s="216">
        <f t="shared" si="2"/>
        <v>0</v>
      </c>
      <c r="N11" s="160">
        <f t="shared" si="6"/>
        <v>0</v>
      </c>
      <c r="O11" s="175">
        <v>0</v>
      </c>
      <c r="P11" s="175">
        <v>0</v>
      </c>
      <c r="Q11" s="175">
        <v>0</v>
      </c>
      <c r="R11" s="197">
        <f t="shared" si="0"/>
        <v>0</v>
      </c>
      <c r="T11" s="184">
        <v>0</v>
      </c>
      <c r="U11" s="199">
        <v>0</v>
      </c>
      <c r="V11" s="203">
        <f t="shared" si="1"/>
        <v>0</v>
      </c>
      <c r="W11" s="169"/>
      <c r="Y11" s="175">
        <f t="shared" si="7"/>
        <v>0</v>
      </c>
      <c r="Z11" s="175">
        <v>0</v>
      </c>
      <c r="AA11" s="175">
        <v>0</v>
      </c>
      <c r="AB11" s="272">
        <f t="shared" si="3"/>
        <v>0</v>
      </c>
      <c r="AD11" s="184">
        <f t="shared" si="4"/>
        <v>0</v>
      </c>
      <c r="AE11" s="199">
        <v>0</v>
      </c>
      <c r="AF11" s="278">
        <f t="shared" si="5"/>
        <v>0</v>
      </c>
    </row>
    <row r="12" spans="2:32">
      <c r="B12" s="142">
        <v>8</v>
      </c>
      <c r="C12" s="155" cm="1">
        <f t="array" ref="C12">_xlfn.IFNA(
   _xlfn._xlws.FILTER(
      Sim_Mul_Bet50!$H$3:$H$100,
      (Sim_Mul_Bet50!$A$3:$A$100=C$2) * (Sim_Mul_Bet50!$C$3:$C$100=$B12),0
   ),
   0
)</f>
        <v>0</v>
      </c>
      <c r="D12" s="156" cm="1">
        <f t="array" ref="D12">_xlfn.IFNA(
   _xlfn._xlws.FILTER(
      Sim_Mul_Bet50!$H$3:$H$100,
      (Sim_Mul_Bet50!$A$3:$A$100=D$2) * (Sim_Mul_Bet50!$C$3:$C$100=$B12),0
   ),
   0
)</f>
        <v>0</v>
      </c>
      <c r="E12" s="181" cm="1">
        <f t="array" ref="E12">_xlfn.IFNA(
   _xlfn._xlws.FILTER(
      Sim_Mul_Bet50!$H$3:$H$100,
      (Sim_Mul_Bet50!$A$3:$A$100=E$2) * (Sim_Mul_Bet50!$C$3:$C$100=$B12),0
   ),
   0
)</f>
        <v>0</v>
      </c>
      <c r="F12" s="150" cm="1">
        <f t="array" ref="F12">_xlfn.IFNA(
   _xlfn._xlws.FILTER(
      Sim_Mul_Bet50!$O$3:$O$100,
      (Sim_Mul_Bet50!$A$3:$A$100=C$2) * (Sim_Mul_Bet50!$C$3:$C$100=$B12),0
   ),
   0
)</f>
        <v>0</v>
      </c>
      <c r="G12" s="146" cm="1">
        <f t="array" ref="G12">_xlfn.IFNA(
   _xlfn._xlws.FILTER(
      Sim_Mul_Bet50!$O$3:$O$100,
      (Sim_Mul_Bet50!$A$3:$A$100=D$2) * (Sim_Mul_Bet50!$C$3:$C$100=$B12),0
   ),
   0
)</f>
        <v>0</v>
      </c>
      <c r="H12" s="147" cm="1">
        <f t="array" ref="H12">_xlfn.IFNA(
   _xlfn._xlws.FILTER(
      Sim_Mul_Bet50!$O$3:$O$100,
      (Sim_Mul_Bet50!$A$3:$A$100=E$2) * (Sim_Mul_Bet50!$C$3:$C$100=$B12),0
   ),
   0
)</f>
        <v>0</v>
      </c>
      <c r="J12">
        <v>9</v>
      </c>
      <c r="K12" s="206">
        <v>8</v>
      </c>
      <c r="L12" s="210" t="s">
        <v>90</v>
      </c>
      <c r="M12" s="216">
        <f t="shared" si="2"/>
        <v>0</v>
      </c>
      <c r="N12" s="160">
        <f t="shared" si="6"/>
        <v>0</v>
      </c>
      <c r="O12" s="175">
        <v>0</v>
      </c>
      <c r="P12" s="175">
        <v>0</v>
      </c>
      <c r="Q12" s="175">
        <v>0</v>
      </c>
      <c r="R12" s="197">
        <f t="shared" si="0"/>
        <v>0</v>
      </c>
      <c r="T12" s="184">
        <v>0</v>
      </c>
      <c r="U12" s="199">
        <v>0</v>
      </c>
      <c r="V12" s="203">
        <f t="shared" si="1"/>
        <v>0</v>
      </c>
      <c r="W12" s="169"/>
      <c r="Y12" s="175">
        <f t="shared" si="7"/>
        <v>0</v>
      </c>
      <c r="Z12" s="175">
        <v>0</v>
      </c>
      <c r="AA12" s="175">
        <v>0</v>
      </c>
      <c r="AB12" s="272">
        <f t="shared" si="3"/>
        <v>0</v>
      </c>
      <c r="AD12" s="184">
        <f t="shared" si="4"/>
        <v>0</v>
      </c>
      <c r="AE12" s="199">
        <v>0</v>
      </c>
      <c r="AF12" s="278">
        <f t="shared" si="5"/>
        <v>0</v>
      </c>
    </row>
    <row r="13" spans="2:32">
      <c r="B13" s="142">
        <v>9</v>
      </c>
      <c r="C13" s="155" cm="1">
        <f t="array" ref="C13">_xlfn.IFNA(
   _xlfn._xlws.FILTER(
      Sim_Mul_Bet50!$H$3:$H$100,
      (Sim_Mul_Bet50!$A$3:$A$100=C$2) * (Sim_Mul_Bet50!$C$3:$C$100=$B13),0
   ),
   0
)</f>
        <v>0</v>
      </c>
      <c r="D13" s="156" cm="1">
        <f t="array" ref="D13">_xlfn.IFNA(
   _xlfn._xlws.FILTER(
      Sim_Mul_Bet50!$H$3:$H$100,
      (Sim_Mul_Bet50!$A$3:$A$100=D$2) * (Sim_Mul_Bet50!$C$3:$C$100=$B13),0
   ),
   0
)</f>
        <v>1.6403859999999999E-2</v>
      </c>
      <c r="E13" s="181" cm="1">
        <f t="array" ref="E13">_xlfn.IFNA(
   _xlfn._xlws.FILTER(
      Sim_Mul_Bet50!$H$3:$H$100,
      (Sim_Mul_Bet50!$A$3:$A$100=E$2) * (Sim_Mul_Bet50!$C$3:$C$100=$B13),0
   ),
   0
)</f>
        <v>0</v>
      </c>
      <c r="F13" s="150" cm="1">
        <f t="array" ref="F13">_xlfn.IFNA(
   _xlfn._xlws.FILTER(
      Sim_Mul_Bet50!$O$3:$O$100,
      (Sim_Mul_Bet50!$A$3:$A$100=C$2) * (Sim_Mul_Bet50!$C$3:$C$100=$B13),0
   ),
   0
)</f>
        <v>0</v>
      </c>
      <c r="G13" s="146" cm="1">
        <f t="array" ref="G13">_xlfn.IFNA(
   _xlfn._xlws.FILTER(
      Sim_Mul_Bet50!$O$3:$O$100,
      (Sim_Mul_Bet50!$A$3:$A$100=D$2) * (Sim_Mul_Bet50!$C$3:$C$100=$B13),0
   ),
   0
)</f>
        <v>10</v>
      </c>
      <c r="H13" s="147" cm="1">
        <f t="array" ref="H13">_xlfn.IFNA(
   _xlfn._xlws.FILTER(
      Sim_Mul_Bet50!$O$3:$O$100,
      (Sim_Mul_Bet50!$A$3:$A$100=E$2) * (Sim_Mul_Bet50!$C$3:$C$100=$B13),0
   ),
   0
)</f>
        <v>0</v>
      </c>
      <c r="J13">
        <v>10</v>
      </c>
      <c r="K13" s="206">
        <v>9</v>
      </c>
      <c r="L13" s="210" t="s">
        <v>90</v>
      </c>
      <c r="M13" s="216">
        <f t="shared" si="2"/>
        <v>0</v>
      </c>
      <c r="N13" s="160">
        <f t="shared" si="6"/>
        <v>0</v>
      </c>
      <c r="O13" s="175">
        <v>8.9999999999999993E-3</v>
      </c>
      <c r="P13" s="175">
        <v>8.9999999999999993E-3</v>
      </c>
      <c r="Q13" s="175">
        <v>8.4216489109639296E-3</v>
      </c>
      <c r="R13" s="197">
        <f t="shared" si="0"/>
        <v>0</v>
      </c>
      <c r="T13" s="184">
        <v>3918</v>
      </c>
      <c r="U13" s="199">
        <v>3.9179999999999996E-3</v>
      </c>
      <c r="V13" s="203">
        <f t="shared" si="1"/>
        <v>0</v>
      </c>
      <c r="W13" s="169"/>
      <c r="Y13" s="175">
        <f t="shared" si="7"/>
        <v>0.01</v>
      </c>
      <c r="Z13" s="175">
        <v>0.01</v>
      </c>
      <c r="AA13" s="175">
        <v>3.9640044217217098E-3</v>
      </c>
      <c r="AB13" s="272">
        <f t="shared" si="3"/>
        <v>0</v>
      </c>
      <c r="AD13" s="184">
        <f t="shared" si="4"/>
        <v>10000</v>
      </c>
      <c r="AE13" s="199">
        <v>0.01</v>
      </c>
      <c r="AF13" s="278">
        <f t="shared" si="5"/>
        <v>0</v>
      </c>
    </row>
    <row r="14" spans="2:32">
      <c r="B14" s="142">
        <v>10</v>
      </c>
      <c r="C14" s="155" cm="1">
        <f t="array" ref="C14">_xlfn.IFNA(
   _xlfn._xlws.FILTER(
      Sim_Mul_Bet50!$H$3:$H$100,
      (Sim_Mul_Bet50!$A$3:$A$100=C$2) * (Sim_Mul_Bet50!$C$3:$C$100=$B14),0
   ),
   0
)</f>
        <v>2.7572059999999999E-2</v>
      </c>
      <c r="D14" s="156" cm="1">
        <f t="array" ref="D14">_xlfn.IFNA(
   _xlfn._xlws.FILTER(
      Sim_Mul_Bet50!$H$3:$H$100,
      (Sim_Mul_Bet50!$A$3:$A$100=D$2) * (Sim_Mul_Bet50!$C$3:$C$100=$B14),0
   ),
   0
)</f>
        <v>4.929936E-2</v>
      </c>
      <c r="E14" s="181" cm="1">
        <f t="array" ref="E14">_xlfn.IFNA(
   _xlfn._xlws.FILTER(
      Sim_Mul_Bet50!$H$3:$H$100,
      (Sim_Mul_Bet50!$A$3:$A$100=E$2) * (Sim_Mul_Bet50!$C$3:$C$100=$B14),0
   ),
   0
)</f>
        <v>0</v>
      </c>
      <c r="F14" s="150" cm="1">
        <f t="array" ref="F14">_xlfn.IFNA(
   _xlfn._xlws.FILTER(
      Sim_Mul_Bet50!$O$3:$O$100,
      (Sim_Mul_Bet50!$A$3:$A$100=C$2) * (Sim_Mul_Bet50!$C$3:$C$100=$B14),0
   ),
   0
)</f>
        <v>10.142976353598534</v>
      </c>
      <c r="G14" s="146" cm="1">
        <f t="array" ref="G14">_xlfn.IFNA(
   _xlfn._xlws.FILTER(
      Sim_Mul_Bet50!$O$3:$O$100,
      (Sim_Mul_Bet50!$A$3:$A$100=D$2) * (Sim_Mul_Bet50!$C$3:$C$100=$B14),0
   ),
   0
)</f>
        <v>10.59344746868925</v>
      </c>
      <c r="H14" s="147" cm="1">
        <f t="array" ref="H14">_xlfn.IFNA(
   _xlfn._xlws.FILTER(
      Sim_Mul_Bet50!$O$3:$O$100,
      (Sim_Mul_Bet50!$A$3:$A$100=E$2) * (Sim_Mul_Bet50!$C$3:$C$100=$B14),0
   ),
   0
)</f>
        <v>0</v>
      </c>
      <c r="J14">
        <v>11</v>
      </c>
      <c r="K14" s="206">
        <v>10</v>
      </c>
      <c r="L14" s="210" t="s">
        <v>90</v>
      </c>
      <c r="M14" s="216">
        <f t="shared" si="2"/>
        <v>2.7572059999999999E-2</v>
      </c>
      <c r="N14" s="160">
        <f t="shared" si="6"/>
        <v>10.142976353598534</v>
      </c>
      <c r="O14" s="175">
        <v>6.3E-3</v>
      </c>
      <c r="P14" s="175">
        <v>6.3E-3</v>
      </c>
      <c r="Q14" s="175">
        <v>6.17935490278763E-3</v>
      </c>
      <c r="R14" s="197">
        <f t="shared" si="0"/>
        <v>6.3900751027670774E-2</v>
      </c>
      <c r="T14" s="184">
        <v>13948</v>
      </c>
      <c r="U14" s="199">
        <v>1.3948E-2</v>
      </c>
      <c r="V14" s="203">
        <f t="shared" si="1"/>
        <v>0.14147423417999236</v>
      </c>
      <c r="W14" s="169"/>
      <c r="Y14" s="175">
        <f t="shared" si="7"/>
        <v>6.4999999999999997E-3</v>
      </c>
      <c r="Z14" s="175">
        <v>6.4999999999999997E-3</v>
      </c>
      <c r="AA14" s="175">
        <v>6.4080420063562203E-3</v>
      </c>
      <c r="AB14" s="272">
        <f t="shared" si="3"/>
        <v>6.5929346298390465E-2</v>
      </c>
      <c r="AD14" s="184">
        <f t="shared" si="4"/>
        <v>6500</v>
      </c>
      <c r="AE14" s="199">
        <v>6.4999999999999997E-3</v>
      </c>
      <c r="AF14" s="278">
        <f t="shared" si="5"/>
        <v>6.5929346298390465E-2</v>
      </c>
    </row>
    <row r="15" spans="2:32">
      <c r="B15" s="142">
        <v>15</v>
      </c>
      <c r="C15" s="155" cm="1">
        <f t="array" ref="C15">_xlfn.IFNA(
   _xlfn._xlws.FILTER(
      Sim_Mul_Bet50!$H$3:$H$100,
      (Sim_Mul_Bet50!$A$3:$A$100=C$2) * (Sim_Mul_Bet50!$C$3:$C$100=$B15),0
   ),
   0
)</f>
        <v>4.9329999999999997E-5</v>
      </c>
      <c r="D15" s="156" cm="1">
        <f t="array" ref="D15">_xlfn.IFNA(
   _xlfn._xlws.FILTER(
      Sim_Mul_Bet50!$H$3:$H$100,
      (Sim_Mul_Bet50!$A$3:$A$100=D$2) * (Sim_Mul_Bet50!$C$3:$C$100=$B15),0
   ),
   0
)</f>
        <v>1.671798E-2</v>
      </c>
      <c r="E15" s="181" cm="1">
        <f t="array" ref="E15">_xlfn.IFNA(
   _xlfn._xlws.FILTER(
      Sim_Mul_Bet50!$H$3:$H$100,
      (Sim_Mul_Bet50!$A$3:$A$100=E$2) * (Sim_Mul_Bet50!$C$3:$C$100=$B15),0
   ),
   0
)</f>
        <v>0</v>
      </c>
      <c r="F15" s="150" cm="1">
        <f t="array" ref="F15">_xlfn.IFNA(
   _xlfn._xlws.FILTER(
      Sim_Mul_Bet50!$O$3:$O$100,
      (Sim_Mul_Bet50!$A$3:$A$100=C$2) * (Sim_Mul_Bet50!$C$3:$C$100=$B15),0
   ),
   0
)</f>
        <v>15.008980336509223</v>
      </c>
      <c r="G15" s="146" cm="1">
        <f t="array" ref="G15">_xlfn.IFNA(
   _xlfn._xlws.FILTER(
      Sim_Mul_Bet50!$O$3:$O$100,
      (Sim_Mul_Bet50!$A$3:$A$100=D$2) * (Sim_Mul_Bet50!$C$3:$C$100=$B15),0
   ),
   0
)</f>
        <v>19.844406501263908</v>
      </c>
      <c r="H15" s="147" cm="1">
        <f t="array" ref="H15">_xlfn.IFNA(
   _xlfn._xlws.FILTER(
      Sim_Mul_Bet50!$O$3:$O$100,
      (Sim_Mul_Bet50!$A$3:$A$100=E$2) * (Sim_Mul_Bet50!$C$3:$C$100=$B15),0
   ),
   0
)</f>
        <v>0</v>
      </c>
      <c r="J15">
        <v>12</v>
      </c>
      <c r="K15" s="206">
        <v>15</v>
      </c>
      <c r="L15" s="210" t="s">
        <v>90</v>
      </c>
      <c r="M15" s="216">
        <f t="shared" si="2"/>
        <v>4.9329999999999997E-5</v>
      </c>
      <c r="N15" s="160">
        <f t="shared" si="6"/>
        <v>15.008980336509223</v>
      </c>
      <c r="O15" s="175">
        <v>6.0000000000000001E-3</v>
      </c>
      <c r="P15" s="175">
        <v>6.0000000000000001E-3</v>
      </c>
      <c r="Q15" s="175">
        <v>5.9882885589978398E-3</v>
      </c>
      <c r="R15" s="197">
        <f t="shared" si="0"/>
        <v>9.0053882019055342E-2</v>
      </c>
      <c r="T15" s="184">
        <v>4075</v>
      </c>
      <c r="U15" s="199">
        <v>4.0749999999999996E-3</v>
      </c>
      <c r="V15" s="203">
        <f t="shared" si="1"/>
        <v>6.116159487127508E-2</v>
      </c>
      <c r="W15" s="169"/>
      <c r="Y15" s="175">
        <f t="shared" si="7"/>
        <v>7.4000000000000003E-3</v>
      </c>
      <c r="Z15" s="175">
        <v>7.4000000000000003E-3</v>
      </c>
      <c r="AA15" s="175">
        <v>4.5253558104186801E-3</v>
      </c>
      <c r="AB15" s="272">
        <f t="shared" si="3"/>
        <v>0.11106645449016826</v>
      </c>
      <c r="AD15" s="184">
        <f t="shared" si="4"/>
        <v>7400</v>
      </c>
      <c r="AE15" s="199">
        <v>7.4000000000000003E-3</v>
      </c>
      <c r="AF15" s="278">
        <f t="shared" si="5"/>
        <v>0.11106645449016826</v>
      </c>
    </row>
    <row r="16" spans="2:32">
      <c r="B16" s="142">
        <v>20</v>
      </c>
      <c r="C16" s="155" cm="1">
        <f t="array" ref="C16">_xlfn.IFNA(
   _xlfn._xlws.FILTER(
      Sim_Mul_Bet50!$H$3:$H$100,
      (Sim_Mul_Bet50!$A$3:$A$100=C$2) * (Sim_Mul_Bet50!$C$3:$C$100=$B16),0
   ),
   0
)</f>
        <v>8.2064000000000008E-3</v>
      </c>
      <c r="D16" s="156" cm="1">
        <f t="array" ref="D16">_xlfn.IFNA(
   _xlfn._xlws.FILTER(
      Sim_Mul_Bet50!$H$3:$H$100,
      (Sim_Mul_Bet50!$A$3:$A$100=D$2) * (Sim_Mul_Bet50!$C$3:$C$100=$B16),0
   ),
   0
)</f>
        <v>5.8036730000000002E-2</v>
      </c>
      <c r="E16" s="181" cm="1">
        <f t="array" ref="E16">_xlfn.IFNA(
   _xlfn._xlws.FILTER(
      Sim_Mul_Bet50!$H$3:$H$100,
      (Sim_Mul_Bet50!$A$3:$A$100=E$2) * (Sim_Mul_Bet50!$C$3:$C$100=$B16),0
   ),
   0
)</f>
        <v>0</v>
      </c>
      <c r="F16" s="150" cm="1">
        <f t="array" ref="F16">_xlfn.IFNA(
   _xlfn._xlws.FILTER(
      Sim_Mul_Bet50!$O$3:$O$100,
      (Sim_Mul_Bet50!$A$3:$A$100=C$2) * (Sim_Mul_Bet50!$C$3:$C$100=$B16),0
   ),
   0
)</f>
        <v>20.154040870540065</v>
      </c>
      <c r="G16" s="146" cm="1">
        <f t="array" ref="G16">_xlfn.IFNA(
   _xlfn._xlws.FILTER(
      Sim_Mul_Bet50!$O$3:$O$100,
      (Sim_Mul_Bet50!$A$3:$A$100=D$2) * (Sim_Mul_Bet50!$C$3:$C$100=$B16),0
   ),
   0
)</f>
        <v>20.799203831780325</v>
      </c>
      <c r="H16" s="147" cm="1">
        <f t="array" ref="H16">_xlfn.IFNA(
   _xlfn._xlws.FILTER(
      Sim_Mul_Bet50!$O$3:$O$100,
      (Sim_Mul_Bet50!$A$3:$A$100=E$2) * (Sim_Mul_Bet50!$C$3:$C$100=$B16),0
   ),
   0
)</f>
        <v>0</v>
      </c>
      <c r="J16">
        <v>13</v>
      </c>
      <c r="K16" s="206">
        <v>20</v>
      </c>
      <c r="L16" s="210" t="s">
        <v>90</v>
      </c>
      <c r="M16" s="216">
        <f t="shared" si="2"/>
        <v>8.2064000000000008E-3</v>
      </c>
      <c r="N16" s="160">
        <f t="shared" si="6"/>
        <v>20.154040870540065</v>
      </c>
      <c r="O16" s="175">
        <v>3.5999999999999999E-3</v>
      </c>
      <c r="P16" s="175">
        <v>3.5999999999999999E-3</v>
      </c>
      <c r="Q16" s="175">
        <v>3.4206767452058802E-3</v>
      </c>
      <c r="R16" s="197">
        <f t="shared" si="0"/>
        <v>7.2554547133944228E-2</v>
      </c>
      <c r="T16" s="184">
        <v>7763</v>
      </c>
      <c r="U16" s="199">
        <v>7.7629999999999999E-3</v>
      </c>
      <c r="V16" s="203">
        <f t="shared" si="1"/>
        <v>0.15645581927800253</v>
      </c>
      <c r="W16" s="169"/>
      <c r="Y16" s="175">
        <f t="shared" si="7"/>
        <v>5.0000000000000001E-3</v>
      </c>
      <c r="Z16" s="175">
        <v>5.0000000000000001E-3</v>
      </c>
      <c r="AA16" s="175">
        <v>4.5944452121044598E-3</v>
      </c>
      <c r="AB16" s="272">
        <f t="shared" si="3"/>
        <v>0.10077020435270033</v>
      </c>
      <c r="AD16" s="184">
        <f t="shared" si="4"/>
        <v>5000</v>
      </c>
      <c r="AE16" s="199">
        <v>5.0000000000000001E-3</v>
      </c>
      <c r="AF16" s="278">
        <f t="shared" si="5"/>
        <v>0.10077020435270033</v>
      </c>
    </row>
    <row r="17" spans="2:32">
      <c r="B17" s="142">
        <v>25</v>
      </c>
      <c r="C17" s="155" cm="1">
        <f t="array" ref="C17">_xlfn.IFNA(
   _xlfn._xlws.FILTER(
      Sim_Mul_Bet50!$H$3:$H$100,
      (Sim_Mul_Bet50!$A$3:$A$100=C$2) * (Sim_Mul_Bet50!$C$3:$C$100=$B17),0
   ),
   0
)</f>
        <v>1E-8</v>
      </c>
      <c r="D17" s="156" cm="1">
        <f t="array" ref="D17">_xlfn.IFNA(
   _xlfn._xlws.FILTER(
      Sim_Mul_Bet50!$H$3:$H$100,
      (Sim_Mul_Bet50!$A$3:$A$100=D$2) * (Sim_Mul_Bet50!$C$3:$C$100=$B17),0
   ),
   0
)</f>
        <v>3.5525800000000001E-3</v>
      </c>
      <c r="E17" s="181" cm="1">
        <f t="array" ref="E17">_xlfn.IFNA(
   _xlfn._xlws.FILTER(
      Sim_Mul_Bet50!$H$3:$H$100,
      (Sim_Mul_Bet50!$A$3:$A$100=E$2) * (Sim_Mul_Bet50!$C$3:$C$100=$B17),0
   ),
   0
)</f>
        <v>0</v>
      </c>
      <c r="F17" s="150" cm="1">
        <f t="array" ref="F17">_xlfn.IFNA(
   _xlfn._xlws.FILTER(
      Sim_Mul_Bet50!$O$3:$O$100,
      (Sim_Mul_Bet50!$A$3:$A$100=C$2) * (Sim_Mul_Bet50!$C$3:$C$100=$B17),0
   ),
   0
)</f>
        <v>25.12</v>
      </c>
      <c r="G17" s="146" cm="1">
        <f t="array" ref="G17">_xlfn.IFNA(
   _xlfn._xlws.FILTER(
      Sim_Mul_Bet50!$O$3:$O$100,
      (Sim_Mul_Bet50!$A$3:$A$100=D$2) * (Sim_Mul_Bet50!$C$3:$C$100=$B17),0
   ),
   0
)</f>
        <v>29.976769559024707</v>
      </c>
      <c r="H17" s="147" cm="1">
        <f t="array" ref="H17">_xlfn.IFNA(
   _xlfn._xlws.FILTER(
      Sim_Mul_Bet50!$O$3:$O$100,
      (Sim_Mul_Bet50!$A$3:$A$100=E$2) * (Sim_Mul_Bet50!$C$3:$C$100=$B17),0
   ),
   0
)</f>
        <v>0</v>
      </c>
      <c r="J17">
        <v>14</v>
      </c>
      <c r="K17" s="206">
        <v>25</v>
      </c>
      <c r="L17" s="210" t="s">
        <v>91</v>
      </c>
      <c r="M17" s="216">
        <f t="shared" si="2"/>
        <v>3.5525800000000001E-3</v>
      </c>
      <c r="N17" s="160">
        <f t="shared" si="6"/>
        <v>29.976769559024707</v>
      </c>
      <c r="O17" s="175">
        <v>1.23E-3</v>
      </c>
      <c r="P17" s="175">
        <v>1.2999999999999999E-3</v>
      </c>
      <c r="Q17" s="175">
        <v>1.2856997362947801E-3</v>
      </c>
      <c r="R17" s="197">
        <f t="shared" si="0"/>
        <v>3.6871426557600388E-2</v>
      </c>
      <c r="T17" s="184">
        <v>6</v>
      </c>
      <c r="U17" s="199">
        <v>6.0000000000000002E-6</v>
      </c>
      <c r="V17" s="203">
        <f t="shared" si="1"/>
        <v>1.7986061735414825E-4</v>
      </c>
      <c r="W17" s="169"/>
      <c r="Y17" s="175">
        <f t="shared" si="7"/>
        <v>3.0000000000000001E-3</v>
      </c>
      <c r="Z17" s="175">
        <v>3.0000000000000001E-3</v>
      </c>
      <c r="AA17" s="175">
        <v>2.2540417299986202E-3</v>
      </c>
      <c r="AB17" s="272">
        <f t="shared" si="3"/>
        <v>8.9930308677074119E-2</v>
      </c>
      <c r="AD17" s="184">
        <f t="shared" si="4"/>
        <v>3000</v>
      </c>
      <c r="AE17" s="199">
        <v>3.0000000000000001E-3</v>
      </c>
      <c r="AF17" s="278">
        <f t="shared" si="5"/>
        <v>8.9930308677074119E-2</v>
      </c>
    </row>
    <row r="18" spans="2:32">
      <c r="B18" s="142">
        <v>30</v>
      </c>
      <c r="C18" s="155" cm="1">
        <f t="array" ref="C18">_xlfn.IFNA(
   _xlfn._xlws.FILTER(
      Sim_Mul_Bet50!$H$3:$H$100,
      (Sim_Mul_Bet50!$A$3:$A$100=C$2) * (Sim_Mul_Bet50!$C$3:$C$100=$B18),0
   ),
   0
)</f>
        <v>3.7931900000000001E-3</v>
      </c>
      <c r="D18" s="156" cm="1">
        <f t="array" ref="D18">_xlfn.IFNA(
   _xlfn._xlws.FILTER(
      Sim_Mul_Bet50!$H$3:$H$100,
      (Sim_Mul_Bet50!$A$3:$A$100=D$2) * (Sim_Mul_Bet50!$C$3:$C$100=$B18),0
   ),
   0
)</f>
        <v>1.0000220000000001E-2</v>
      </c>
      <c r="E18" s="181" cm="1">
        <f t="array" ref="E18">_xlfn.IFNA(
   _xlfn._xlws.FILTER(
      Sim_Mul_Bet50!$H$3:$H$100,
      (Sim_Mul_Bet50!$A$3:$A$100=E$2) * (Sim_Mul_Bet50!$C$3:$C$100=$B18),0
   ),
   0
)</f>
        <v>0</v>
      </c>
      <c r="F18" s="150" cm="1">
        <f t="array" ref="F18">_xlfn.IFNA(
   _xlfn._xlws.FILTER(
      Sim_Mul_Bet50!$O$3:$O$100,
      (Sim_Mul_Bet50!$A$3:$A$100=C$2) * (Sim_Mul_Bet50!$C$3:$C$100=$B18),0
   ),
   0
)</f>
        <v>30.156215849983788</v>
      </c>
      <c r="G18" s="146" cm="1">
        <f t="array" ref="G18">_xlfn.IFNA(
   _xlfn._xlws.FILTER(
      Sim_Mul_Bet50!$O$3:$O$100,
      (Sim_Mul_Bet50!$A$3:$A$100=D$2) * (Sim_Mul_Bet50!$C$3:$C$100=$B18),0
   ),
   0
)</f>
        <v>30.674943491243194</v>
      </c>
      <c r="H18" s="147" cm="1">
        <f t="array" ref="H18">_xlfn.IFNA(
   _xlfn._xlws.FILTER(
      Sim_Mul_Bet50!$O$3:$O$100,
      (Sim_Mul_Bet50!$A$3:$A$100=E$2) * (Sim_Mul_Bet50!$C$3:$C$100=$B18),0
   ),
   0
)</f>
        <v>0</v>
      </c>
      <c r="J18">
        <v>15</v>
      </c>
      <c r="K18" s="206">
        <v>30</v>
      </c>
      <c r="L18" s="210" t="s">
        <v>90</v>
      </c>
      <c r="M18" s="216">
        <f t="shared" si="2"/>
        <v>3.7931900000000001E-3</v>
      </c>
      <c r="N18" s="160">
        <f t="shared" si="6"/>
        <v>30.156215849983788</v>
      </c>
      <c r="O18" s="175">
        <v>0</v>
      </c>
      <c r="P18" s="175">
        <v>0</v>
      </c>
      <c r="Q18" s="175">
        <v>0</v>
      </c>
      <c r="R18" s="197">
        <f t="shared" si="0"/>
        <v>0</v>
      </c>
      <c r="T18" s="184">
        <v>1514</v>
      </c>
      <c r="U18" s="199">
        <v>1.5139999999999999E-3</v>
      </c>
      <c r="V18" s="203">
        <f t="shared" si="1"/>
        <v>4.5656510796875452E-2</v>
      </c>
      <c r="W18" s="169"/>
      <c r="Y18" s="175">
        <f t="shared" si="7"/>
        <v>1E-4</v>
      </c>
      <c r="Z18" s="175">
        <v>1E-4</v>
      </c>
      <c r="AA18" s="175">
        <v>9.4997927317949399E-4</v>
      </c>
      <c r="AB18" s="272">
        <f t="shared" si="3"/>
        <v>3.0156215849983787E-3</v>
      </c>
      <c r="AD18" s="184">
        <f t="shared" si="4"/>
        <v>100</v>
      </c>
      <c r="AE18" s="199">
        <v>1E-4</v>
      </c>
      <c r="AF18" s="278">
        <f t="shared" si="5"/>
        <v>3.0156215849983787E-3</v>
      </c>
    </row>
    <row r="19" spans="2:32">
      <c r="B19" s="142">
        <v>35</v>
      </c>
      <c r="C19" s="155" cm="1">
        <f t="array" ref="C19">_xlfn.IFNA(
   _xlfn._xlws.FILTER(
      Sim_Mul_Bet50!$H$3:$H$100,
      (Sim_Mul_Bet50!$A$3:$A$100=C$2) * (Sim_Mul_Bet50!$C$3:$C$100=$B19),0
   ),
   0
)</f>
        <v>0</v>
      </c>
      <c r="D19" s="156" cm="1">
        <f t="array" ref="D19">_xlfn.IFNA(
   _xlfn._xlws.FILTER(
      Sim_Mul_Bet50!$H$3:$H$100,
      (Sim_Mul_Bet50!$A$3:$A$100=D$2) * (Sim_Mul_Bet50!$C$3:$C$100=$B19),0
   ),
   0
)</f>
        <v>1.7292900000000001E-3</v>
      </c>
      <c r="E19" s="181" cm="1">
        <f t="array" ref="E19">_xlfn.IFNA(
   _xlfn._xlws.FILTER(
      Sim_Mul_Bet50!$H$3:$H$100,
      (Sim_Mul_Bet50!$A$3:$A$100=E$2) * (Sim_Mul_Bet50!$C$3:$C$100=$B19),0
   ),
   0
)</f>
        <v>0</v>
      </c>
      <c r="F19" s="150" cm="1">
        <f t="array" ref="F19">_xlfn.IFNA(
   _xlfn._xlws.FILTER(
      Sim_Mul_Bet50!$O$3:$O$100,
      (Sim_Mul_Bet50!$A$3:$A$100=C$2) * (Sim_Mul_Bet50!$C$3:$C$100=$B19),0
   ),
   0
)</f>
        <v>0</v>
      </c>
      <c r="G19" s="146" cm="1">
        <f t="array" ref="G19">_xlfn.IFNA(
   _xlfn._xlws.FILTER(
      Sim_Mul_Bet50!$O$3:$O$100,
      (Sim_Mul_Bet50!$A$3:$A$100=D$2) * (Sim_Mul_Bet50!$C$3:$C$100=$B19),0
   ),
   0
)</f>
        <v>40</v>
      </c>
      <c r="H19" s="147" cm="1">
        <f t="array" ref="H19">_xlfn.IFNA(
   _xlfn._xlws.FILTER(
      Sim_Mul_Bet50!$O$3:$O$100,
      (Sim_Mul_Bet50!$A$3:$A$100=E$2) * (Sim_Mul_Bet50!$C$3:$C$100=$B19),0
   ),
   0
)</f>
        <v>0</v>
      </c>
      <c r="J19">
        <v>16</v>
      </c>
      <c r="K19" s="206">
        <v>35</v>
      </c>
      <c r="L19" s="210" t="s">
        <v>91</v>
      </c>
      <c r="M19" s="216">
        <f t="shared" si="2"/>
        <v>1.7292900000000001E-3</v>
      </c>
      <c r="N19" s="160">
        <f t="shared" si="6"/>
        <v>40</v>
      </c>
      <c r="O19" s="175">
        <v>0</v>
      </c>
      <c r="P19" s="175">
        <v>0</v>
      </c>
      <c r="Q19" s="175">
        <v>0</v>
      </c>
      <c r="R19" s="197">
        <f t="shared" si="0"/>
        <v>0</v>
      </c>
      <c r="T19" s="184">
        <v>3</v>
      </c>
      <c r="U19" s="199">
        <v>3.0000000000000001E-6</v>
      </c>
      <c r="V19" s="203">
        <f t="shared" si="1"/>
        <v>1.2E-4</v>
      </c>
      <c r="W19" s="169"/>
      <c r="Y19" s="175">
        <f t="shared" si="7"/>
        <v>2.9999999999999997E-4</v>
      </c>
      <c r="Z19" s="175">
        <v>2.9999999999999997E-4</v>
      </c>
      <c r="AA19" s="175">
        <v>1.68405416609092E-3</v>
      </c>
      <c r="AB19" s="272">
        <f t="shared" si="3"/>
        <v>1.1999999999999999E-2</v>
      </c>
      <c r="AD19" s="184">
        <f t="shared" si="4"/>
        <v>300</v>
      </c>
      <c r="AE19" s="199">
        <v>2.9999999999999997E-4</v>
      </c>
      <c r="AF19" s="278">
        <f t="shared" si="5"/>
        <v>1.1999999999999999E-2</v>
      </c>
    </row>
    <row r="20" spans="2:32">
      <c r="B20" s="142">
        <v>40</v>
      </c>
      <c r="C20" s="155" cm="1">
        <f t="array" ref="C20">_xlfn.IFNA(
   _xlfn._xlws.FILTER(
      Sim_Mul_Bet50!$H$3:$H$100,
      (Sim_Mul_Bet50!$A$3:$A$100=C$2) * (Sim_Mul_Bet50!$C$3:$C$100=$B20),0
   ),
   0
)</f>
        <v>2.0108999999999999E-4</v>
      </c>
      <c r="D20" s="156" cm="1">
        <f t="array" ref="D20">_xlfn.IFNA(
   _xlfn._xlws.FILTER(
      Sim_Mul_Bet50!$H$3:$H$100,
      (Sim_Mul_Bet50!$A$3:$A$100=D$2) * (Sim_Mul_Bet50!$C$3:$C$100=$B20),0
   ),
   0
)</f>
        <v>5.7946200000000003E-3</v>
      </c>
      <c r="E20" s="181" cm="1">
        <f t="array" ref="E20">_xlfn.IFNA(
   _xlfn._xlws.FILTER(
      Sim_Mul_Bet50!$H$3:$H$100,
      (Sim_Mul_Bet50!$A$3:$A$100=E$2) * (Sim_Mul_Bet50!$C$3:$C$100=$B20),0
   ),
   0
)</f>
        <v>0</v>
      </c>
      <c r="F20" s="150" cm="1">
        <f t="array" ref="F20">_xlfn.IFNA(
   _xlfn._xlws.FILTER(
      Sim_Mul_Bet50!$O$3:$O$100,
      (Sim_Mul_Bet50!$A$3:$A$100=C$2) * (Sim_Mul_Bet50!$C$3:$C$100=$B20),0
   ),
   0
)</f>
        <v>40.031619672783329</v>
      </c>
      <c r="G20" s="146" cm="1">
        <f t="array" ref="G20">_xlfn.IFNA(
   _xlfn._xlws.FILTER(
      Sim_Mul_Bet50!$O$3:$O$100,
      (Sim_Mul_Bet50!$A$3:$A$100=D$2) * (Sim_Mul_Bet50!$C$3:$C$100=$B20),0
   ),
   0
)</f>
        <v>41.20303315834343</v>
      </c>
      <c r="H20" s="147" cm="1">
        <f t="array" ref="H20">_xlfn.IFNA(
   _xlfn._xlws.FILTER(
      Sim_Mul_Bet50!$O$3:$O$100,
      (Sim_Mul_Bet50!$A$3:$A$100=E$2) * (Sim_Mul_Bet50!$C$3:$C$100=$B20),0
   ),
   0
)</f>
        <v>0</v>
      </c>
      <c r="J20">
        <v>17</v>
      </c>
      <c r="K20" s="206">
        <v>40</v>
      </c>
      <c r="L20" s="210" t="s">
        <v>91</v>
      </c>
      <c r="M20" s="216">
        <f t="shared" si="2"/>
        <v>5.7946200000000003E-3</v>
      </c>
      <c r="N20" s="160">
        <f t="shared" si="6"/>
        <v>41.20303315834343</v>
      </c>
      <c r="O20" s="175">
        <v>0</v>
      </c>
      <c r="P20" s="175">
        <v>0</v>
      </c>
      <c r="Q20" s="175">
        <v>0</v>
      </c>
      <c r="R20" s="197">
        <f t="shared" si="0"/>
        <v>0</v>
      </c>
      <c r="T20" s="184">
        <v>318</v>
      </c>
      <c r="U20" s="199">
        <v>3.1799999999999998E-4</v>
      </c>
      <c r="V20" s="203">
        <f t="shared" si="1"/>
        <v>1.3102564544353211E-2</v>
      </c>
      <c r="W20" s="169"/>
      <c r="Y20" s="175">
        <f t="shared" si="7"/>
        <v>1E-3</v>
      </c>
      <c r="Z20" s="175">
        <v>1E-3</v>
      </c>
      <c r="AA20" s="175">
        <v>6.9089401685781403E-4</v>
      </c>
      <c r="AB20" s="272">
        <f t="shared" si="3"/>
        <v>4.1203033158343429E-2</v>
      </c>
      <c r="AD20" s="184">
        <f t="shared" si="4"/>
        <v>1000</v>
      </c>
      <c r="AE20" s="199">
        <v>1E-3</v>
      </c>
      <c r="AF20" s="278">
        <f t="shared" si="5"/>
        <v>4.1203033158343429E-2</v>
      </c>
    </row>
    <row r="21" spans="2:32">
      <c r="B21" s="142">
        <v>45</v>
      </c>
      <c r="C21" s="155" cm="1">
        <f t="array" ref="C21">_xlfn.IFNA(
   _xlfn._xlws.FILTER(
      Sim_Mul_Bet50!$H$3:$H$100,
      (Sim_Mul_Bet50!$A$3:$A$100=C$2) * (Sim_Mul_Bet50!$C$3:$C$100=$B21),0
   ),
   0
)</f>
        <v>0</v>
      </c>
      <c r="D21" s="156" cm="1">
        <f t="array" ref="D21">_xlfn.IFNA(
   _xlfn._xlws.FILTER(
      Sim_Mul_Bet50!$H$3:$H$100,
      (Sim_Mul_Bet50!$A$3:$A$100=D$2) * (Sim_Mul_Bet50!$C$3:$C$100=$B21),0
   ),
   0
)</f>
        <v>4.2017000000000001E-3</v>
      </c>
      <c r="E21" s="181" cm="1">
        <f t="array" ref="E21">_xlfn.IFNA(
   _xlfn._xlws.FILTER(
      Sim_Mul_Bet50!$H$3:$H$100,
      (Sim_Mul_Bet50!$A$3:$A$100=E$2) * (Sim_Mul_Bet50!$C$3:$C$100=$B21),0
   ),
   0
)</f>
        <v>0</v>
      </c>
      <c r="F21" s="150" cm="1">
        <f t="array" ref="F21">_xlfn.IFNA(
   _xlfn._xlws.FILTER(
      Sim_Mul_Bet50!$O$3:$O$100,
      (Sim_Mul_Bet50!$A$3:$A$100=C$2) * (Sim_Mul_Bet50!$C$3:$C$100=$B21),0
   ),
   0
)</f>
        <v>0</v>
      </c>
      <c r="G21" s="146" cm="1">
        <f t="array" ref="G21">_xlfn.IFNA(
   _xlfn._xlws.FILTER(
      Sim_Mul_Bet50!$O$3:$O$100,
      (Sim_Mul_Bet50!$A$3:$A$100=D$2) * (Sim_Mul_Bet50!$C$3:$C$100=$B21),0
   ),
   0
)</f>
        <v>50</v>
      </c>
      <c r="H21" s="147" cm="1">
        <f t="array" ref="H21">_xlfn.IFNA(
   _xlfn._xlws.FILTER(
      Sim_Mul_Bet50!$O$3:$O$100,
      (Sim_Mul_Bet50!$A$3:$A$100=E$2) * (Sim_Mul_Bet50!$C$3:$C$100=$B21),0
   ),
   0
)</f>
        <v>0</v>
      </c>
      <c r="J21">
        <v>18</v>
      </c>
      <c r="K21" s="206">
        <v>45</v>
      </c>
      <c r="L21" s="210" t="s">
        <v>91</v>
      </c>
      <c r="M21" s="216">
        <f t="shared" si="2"/>
        <v>4.2017000000000001E-3</v>
      </c>
      <c r="N21" s="160">
        <f t="shared" si="6"/>
        <v>50</v>
      </c>
      <c r="O21" s="175">
        <v>4.0000000000000001E-3</v>
      </c>
      <c r="P21" s="175">
        <v>4.0000000000000001E-3</v>
      </c>
      <c r="Q21" s="175">
        <v>3.6466737201290502E-3</v>
      </c>
      <c r="R21" s="197">
        <f t="shared" si="0"/>
        <v>0.2</v>
      </c>
      <c r="T21" s="184">
        <v>2047</v>
      </c>
      <c r="U21" s="199">
        <v>2.0470000000000002E-3</v>
      </c>
      <c r="V21" s="203">
        <f t="shared" si="1"/>
        <v>0.10235000000000001</v>
      </c>
      <c r="W21" s="169"/>
      <c r="Y21" s="175">
        <f t="shared" si="7"/>
        <v>3.0000000000000001E-3</v>
      </c>
      <c r="Z21" s="175">
        <v>3.0000000000000001E-3</v>
      </c>
      <c r="AA21" s="175">
        <v>3.8085532679287002E-3</v>
      </c>
      <c r="AB21" s="272">
        <f t="shared" si="3"/>
        <v>0.15</v>
      </c>
      <c r="AD21" s="184">
        <f t="shared" si="4"/>
        <v>3000</v>
      </c>
      <c r="AE21" s="199">
        <v>3.0000000000000001E-3</v>
      </c>
      <c r="AF21" s="278">
        <f t="shared" si="5"/>
        <v>0.15</v>
      </c>
    </row>
    <row r="22" spans="2:32">
      <c r="B22" s="142">
        <v>50</v>
      </c>
      <c r="C22" s="155" cm="1">
        <f t="array" ref="C22">_xlfn.IFNA(
   _xlfn._xlws.FILTER(
      Sim_Mul_Bet50!$H$3:$H$100,
      (Sim_Mul_Bet50!$A$3:$A$100=C$2) * (Sim_Mul_Bet50!$C$3:$C$100=$B22),0
   ),
   0
)</f>
        <v>3.7887699999999999E-3</v>
      </c>
      <c r="D22" s="156" cm="1">
        <f t="array" ref="D22">_xlfn.IFNA(
   _xlfn._xlws.FILTER(
      Sim_Mul_Bet50!$H$3:$H$100,
      (Sim_Mul_Bet50!$A$3:$A$100=D$2) * (Sim_Mul_Bet50!$C$3:$C$100=$B22),0
   ),
   0
)</f>
        <v>1.166084E-2</v>
      </c>
      <c r="E22" s="181" cm="1">
        <f t="array" ref="E22">_xlfn.IFNA(
   _xlfn._xlws.FILTER(
      Sim_Mul_Bet50!$H$3:$H$100,
      (Sim_Mul_Bet50!$A$3:$A$100=E$2) * (Sim_Mul_Bet50!$C$3:$C$100=$B22),0
   ),
   0
)</f>
        <v>0</v>
      </c>
      <c r="F22" s="150" cm="1">
        <f t="array" ref="F22">_xlfn.IFNA(
   _xlfn._xlws.FILTER(
      Sim_Mul_Bet50!$O$3:$O$100,
      (Sim_Mul_Bet50!$A$3:$A$100=C$2) * (Sim_Mul_Bet50!$C$3:$C$100=$B22),0
   ),
   0
)</f>
        <v>50.090715984343205</v>
      </c>
      <c r="G22" s="146" cm="1">
        <f t="array" ref="G22">_xlfn.IFNA(
   _xlfn._xlws.FILTER(
      Sim_Mul_Bet50!$O$3:$O$100,
      (Sim_Mul_Bet50!$A$3:$A$100=D$2) * (Sim_Mul_Bet50!$C$3:$C$100=$B22),0
   ),
   0
)</f>
        <v>51.155747493319517</v>
      </c>
      <c r="H22" s="147" cm="1">
        <f t="array" ref="H22">_xlfn.IFNA(
   _xlfn._xlws.FILTER(
      Sim_Mul_Bet50!$O$3:$O$100,
      (Sim_Mul_Bet50!$A$3:$A$100=E$2) * (Sim_Mul_Bet50!$C$3:$C$100=$B22),0
   ),
   0
)</f>
        <v>0</v>
      </c>
      <c r="J22">
        <v>19</v>
      </c>
      <c r="K22" s="206">
        <v>50</v>
      </c>
      <c r="L22" s="210" t="s">
        <v>91</v>
      </c>
      <c r="M22" s="216">
        <f t="shared" si="2"/>
        <v>1.166084E-2</v>
      </c>
      <c r="N22" s="160">
        <f t="shared" si="6"/>
        <v>51.155747493319517</v>
      </c>
      <c r="O22" s="175">
        <v>1.8E-3</v>
      </c>
      <c r="P22" s="175">
        <v>1.8E-3</v>
      </c>
      <c r="Q22" s="175">
        <v>1.7886166544199E-3</v>
      </c>
      <c r="R22" s="197">
        <f t="shared" si="0"/>
        <v>9.2080345487975127E-2</v>
      </c>
      <c r="T22" s="184">
        <v>21</v>
      </c>
      <c r="U22" s="199">
        <v>2.0999999999999999E-5</v>
      </c>
      <c r="V22" s="203">
        <f t="shared" si="1"/>
        <v>1.0742706973597097E-3</v>
      </c>
      <c r="W22" s="169"/>
      <c r="Y22" s="175">
        <f t="shared" si="7"/>
        <v>0</v>
      </c>
      <c r="Z22" s="175">
        <v>0</v>
      </c>
      <c r="AA22" s="175">
        <v>0</v>
      </c>
      <c r="AB22" s="272">
        <f t="shared" si="3"/>
        <v>0</v>
      </c>
      <c r="AD22" s="184">
        <f t="shared" si="4"/>
        <v>0</v>
      </c>
      <c r="AE22" s="199">
        <v>0</v>
      </c>
      <c r="AF22" s="278">
        <f t="shared" si="5"/>
        <v>0</v>
      </c>
    </row>
    <row r="23" spans="2:32">
      <c r="B23" s="142">
        <v>60</v>
      </c>
      <c r="C23" s="155" cm="1">
        <f t="array" ref="C23">_xlfn.IFNA(
   _xlfn._xlws.FILTER(
      Sim_Mul_Bet50!$H$3:$H$100,
      (Sim_Mul_Bet50!$A$3:$A$100=C$2) * (Sim_Mul_Bet50!$C$3:$C$100=$B23),0
   ),
   0
)</f>
        <v>5.3399999999999997E-6</v>
      </c>
      <c r="D23" s="156" cm="1">
        <f t="array" ref="D23">_xlfn.IFNA(
   _xlfn._xlws.FILTER(
      Sim_Mul_Bet50!$H$3:$H$100,
      (Sim_Mul_Bet50!$A$3:$A$100=D$2) * (Sim_Mul_Bet50!$C$3:$C$100=$B23),0
   ),
   0
)</f>
        <v>5.5393E-4</v>
      </c>
      <c r="E23" s="181" cm="1">
        <f t="array" ref="E23">_xlfn.IFNA(
   _xlfn._xlws.FILTER(
      Sim_Mul_Bet50!$H$3:$H$100,
      (Sim_Mul_Bet50!$A$3:$A$100=E$2) * (Sim_Mul_Bet50!$C$3:$C$100=$B23),0
   ),
   0
)</f>
        <v>0</v>
      </c>
      <c r="F23" s="150" cm="1">
        <f t="array" ref="F23">_xlfn.IFNA(
   _xlfn._xlws.FILTER(
      Sim_Mul_Bet50!$O$3:$O$100,
      (Sim_Mul_Bet50!$A$3:$A$100=C$2) * (Sim_Mul_Bet50!$C$3:$C$100=$B23),0
   ),
   0
)</f>
        <v>60.024981273408237</v>
      </c>
      <c r="G23" s="146" cm="1">
        <f t="array" ref="G23">_xlfn.IFNA(
   _xlfn._xlws.FILTER(
      Sim_Mul_Bet50!$O$3:$O$100,
      (Sim_Mul_Bet50!$A$3:$A$100=D$2) * (Sim_Mul_Bet50!$C$3:$C$100=$B23),0
   ),
   0
)</f>
        <v>63.424891231744084</v>
      </c>
      <c r="H23" s="147" cm="1">
        <f t="array" ref="H23">_xlfn.IFNA(
   _xlfn._xlws.FILTER(
      Sim_Mul_Bet50!$O$3:$O$100,
      (Sim_Mul_Bet50!$A$3:$A$100=E$2) * (Sim_Mul_Bet50!$C$3:$C$100=$B23),0
   ),
   0
)</f>
        <v>0</v>
      </c>
      <c r="J23">
        <v>20</v>
      </c>
      <c r="K23" s="206">
        <v>60</v>
      </c>
      <c r="L23" s="210" t="s">
        <v>91</v>
      </c>
      <c r="M23" s="216">
        <f t="shared" si="2"/>
        <v>5.5393E-4</v>
      </c>
      <c r="N23" s="160">
        <f t="shared" si="6"/>
        <v>63.424891231744084</v>
      </c>
      <c r="O23" s="175">
        <v>0</v>
      </c>
      <c r="P23" s="175">
        <v>0</v>
      </c>
      <c r="Q23" s="175">
        <v>0</v>
      </c>
      <c r="R23" s="197">
        <f t="shared" si="0"/>
        <v>0</v>
      </c>
      <c r="T23" s="184">
        <v>1</v>
      </c>
      <c r="U23" s="199">
        <v>9.9999999999999995E-7</v>
      </c>
      <c r="V23" s="203">
        <f t="shared" si="1"/>
        <v>6.3424891231744079E-5</v>
      </c>
      <c r="W23" s="169"/>
      <c r="Y23" s="175">
        <f t="shared" si="7"/>
        <v>0</v>
      </c>
      <c r="Z23" s="175">
        <v>0</v>
      </c>
      <c r="AA23" s="175">
        <v>0</v>
      </c>
      <c r="AB23" s="272">
        <f t="shared" si="3"/>
        <v>0</v>
      </c>
      <c r="AD23" s="184">
        <f t="shared" si="4"/>
        <v>0</v>
      </c>
      <c r="AE23" s="199">
        <v>0</v>
      </c>
      <c r="AF23" s="278">
        <f t="shared" si="5"/>
        <v>0</v>
      </c>
    </row>
    <row r="24" spans="2:32">
      <c r="B24" s="142">
        <v>70</v>
      </c>
      <c r="C24" s="155" cm="1">
        <f t="array" ref="C24">_xlfn.IFNA(
   _xlfn._xlws.FILTER(
      Sim_Mul_Bet50!$H$3:$H$100,
      (Sim_Mul_Bet50!$A$3:$A$100=C$2) * (Sim_Mul_Bet50!$C$3:$C$100=$B24),0
   ),
   0
)</f>
        <v>1.9000000000000001E-7</v>
      </c>
      <c r="D24" s="156" cm="1">
        <f t="array" ref="D24">_xlfn.IFNA(
   _xlfn._xlws.FILTER(
      Sim_Mul_Bet50!$H$3:$H$100,
      (Sim_Mul_Bet50!$A$3:$A$100=D$2) * (Sim_Mul_Bet50!$C$3:$C$100=$B24),0
   ),
   0
)</f>
        <v>5.5185E-4</v>
      </c>
      <c r="E24" s="181" cm="1">
        <f t="array" ref="E24">_xlfn.IFNA(
   _xlfn._xlws.FILTER(
      Sim_Mul_Bet50!$H$3:$H$100,
      (Sim_Mul_Bet50!$A$3:$A$100=E$2) * (Sim_Mul_Bet50!$C$3:$C$100=$B24),0
   ),
   0
)</f>
        <v>0</v>
      </c>
      <c r="F24" s="150" cm="1">
        <f t="array" ref="F24">_xlfn.IFNA(
   _xlfn._xlws.FILTER(
      Sim_Mul_Bet50!$O$3:$O$100,
      (Sim_Mul_Bet50!$A$3:$A$100=C$2) * (Sim_Mul_Bet50!$C$3:$C$100=$B24),0
   ),
   0
)</f>
        <v>70</v>
      </c>
      <c r="G24" s="146" cm="1">
        <f t="array" ref="G24">_xlfn.IFNA(
   _xlfn._xlws.FILTER(
      Sim_Mul_Bet50!$O$3:$O$100,
      (Sim_Mul_Bet50!$A$3:$A$100=D$2) * (Sim_Mul_Bet50!$C$3:$C$100=$B24),0
   ),
   0
)</f>
        <v>70.674229228957145</v>
      </c>
      <c r="H24" s="147" cm="1">
        <f t="array" ref="H24">_xlfn.IFNA(
   _xlfn._xlws.FILTER(
      Sim_Mul_Bet50!$O$3:$O$100,
      (Sim_Mul_Bet50!$A$3:$A$100=E$2) * (Sim_Mul_Bet50!$C$3:$C$100=$B24),0
   ),
   0
)</f>
        <v>0</v>
      </c>
      <c r="J24">
        <v>21</v>
      </c>
      <c r="K24" s="206">
        <v>70</v>
      </c>
      <c r="L24" s="210" t="s">
        <v>91</v>
      </c>
      <c r="M24" s="216">
        <f t="shared" si="2"/>
        <v>5.5185E-4</v>
      </c>
      <c r="N24" s="160">
        <f t="shared" si="6"/>
        <v>70.674229228957145</v>
      </c>
      <c r="O24" s="175">
        <v>0</v>
      </c>
      <c r="P24" s="175">
        <v>0</v>
      </c>
      <c r="Q24" s="175">
        <v>0</v>
      </c>
      <c r="R24" s="197">
        <f t="shared" si="0"/>
        <v>0</v>
      </c>
      <c r="T24" s="184">
        <v>1</v>
      </c>
      <c r="U24" s="199">
        <v>9.9999999999999995E-7</v>
      </c>
      <c r="V24" s="203">
        <f t="shared" si="1"/>
        <v>7.067422922895714E-5</v>
      </c>
      <c r="W24" s="169"/>
      <c r="Y24" s="175">
        <f t="shared" si="7"/>
        <v>0</v>
      </c>
      <c r="Z24" s="175">
        <v>0</v>
      </c>
      <c r="AA24" s="175">
        <v>0</v>
      </c>
      <c r="AB24" s="272">
        <f t="shared" si="3"/>
        <v>0</v>
      </c>
      <c r="AD24" s="184">
        <f t="shared" si="4"/>
        <v>0</v>
      </c>
      <c r="AE24" s="199">
        <v>0</v>
      </c>
      <c r="AF24" s="278">
        <f t="shared" si="5"/>
        <v>0</v>
      </c>
    </row>
    <row r="25" spans="2:32">
      <c r="B25" s="142">
        <v>80</v>
      </c>
      <c r="C25" s="155" cm="1">
        <f t="array" ref="C25">_xlfn.IFNA(
   _xlfn._xlws.FILTER(
      Sim_Mul_Bet50!$H$3:$H$100,
      (Sim_Mul_Bet50!$A$3:$A$100=C$2) * (Sim_Mul_Bet50!$C$3:$C$100=$B25),0
   ),
   0
)</f>
        <v>0</v>
      </c>
      <c r="D25" s="156" cm="1">
        <f t="array" ref="D25">_xlfn.IFNA(
   _xlfn._xlws.FILTER(
      Sim_Mul_Bet50!$H$3:$H$100,
      (Sim_Mul_Bet50!$A$3:$A$100=D$2) * (Sim_Mul_Bet50!$C$3:$C$100=$B25),0
   ),
   0
)</f>
        <v>0</v>
      </c>
      <c r="E25" s="181" cm="1">
        <f t="array" ref="E25">_xlfn.IFNA(
   _xlfn._xlws.FILTER(
      Sim_Mul_Bet50!$H$3:$H$100,
      (Sim_Mul_Bet50!$A$3:$A$100=E$2) * (Sim_Mul_Bet50!$C$3:$C$100=$B25),0
   ),
   0
)</f>
        <v>0</v>
      </c>
      <c r="F25" s="150" cm="1">
        <f t="array" ref="F25">_xlfn.IFNA(
   _xlfn._xlws.FILTER(
      Sim_Mul_Bet50!$O$3:$O$100,
      (Sim_Mul_Bet50!$A$3:$A$100=C$2) * (Sim_Mul_Bet50!$C$3:$C$100=$B25),0
   ),
   0
)</f>
        <v>0</v>
      </c>
      <c r="G25" s="146" cm="1">
        <f t="array" ref="G25">_xlfn.IFNA(
   _xlfn._xlws.FILTER(
      Sim_Mul_Bet50!$O$3:$O$100,
      (Sim_Mul_Bet50!$A$3:$A$100=D$2) * (Sim_Mul_Bet50!$C$3:$C$100=$B25),0
   ),
   0
)</f>
        <v>0</v>
      </c>
      <c r="H25" s="147" cm="1">
        <f t="array" ref="H25">_xlfn.IFNA(
   _xlfn._xlws.FILTER(
      Sim_Mul_Bet50!$O$3:$O$100,
      (Sim_Mul_Bet50!$A$3:$A$100=E$2) * (Sim_Mul_Bet50!$C$3:$C$100=$B25),0
   ),
   0
)</f>
        <v>0</v>
      </c>
      <c r="J25">
        <v>22</v>
      </c>
      <c r="K25" s="206">
        <v>80</v>
      </c>
      <c r="L25" s="210" t="s">
        <v>90</v>
      </c>
      <c r="M25" s="216">
        <f t="shared" si="2"/>
        <v>0</v>
      </c>
      <c r="N25" s="160">
        <f t="shared" si="6"/>
        <v>0</v>
      </c>
      <c r="O25" s="175">
        <v>0</v>
      </c>
      <c r="P25" s="175">
        <v>0</v>
      </c>
      <c r="Q25" s="175">
        <v>0</v>
      </c>
      <c r="R25" s="197">
        <f t="shared" si="0"/>
        <v>0</v>
      </c>
      <c r="T25" s="184">
        <v>0</v>
      </c>
      <c r="U25" s="199">
        <v>0</v>
      </c>
      <c r="V25" s="203">
        <f t="shared" si="1"/>
        <v>0</v>
      </c>
      <c r="W25" s="169"/>
      <c r="Y25" s="175">
        <f t="shared" si="7"/>
        <v>0</v>
      </c>
      <c r="Z25" s="175">
        <v>0</v>
      </c>
      <c r="AA25" s="175">
        <v>0</v>
      </c>
      <c r="AB25" s="272">
        <f t="shared" si="3"/>
        <v>0</v>
      </c>
      <c r="AD25" s="184">
        <f t="shared" si="4"/>
        <v>0</v>
      </c>
      <c r="AE25" s="199">
        <v>0</v>
      </c>
      <c r="AF25" s="278">
        <f t="shared" si="5"/>
        <v>0</v>
      </c>
    </row>
    <row r="26" spans="2:32">
      <c r="B26" s="142">
        <v>90</v>
      </c>
      <c r="C26" s="155" cm="1">
        <f t="array" ref="C26">_xlfn.IFNA(
   _xlfn._xlws.FILTER(
      Sim_Mul_Bet50!$H$3:$H$100,
      (Sim_Mul_Bet50!$A$3:$A$100=C$2) * (Sim_Mul_Bet50!$C$3:$C$100=$B26),0
   ),
   0
)</f>
        <v>0</v>
      </c>
      <c r="D26" s="156" cm="1">
        <f t="array" ref="D26">_xlfn.IFNA(
   _xlfn._xlws.FILTER(
      Sim_Mul_Bet50!$H$3:$H$100,
      (Sim_Mul_Bet50!$A$3:$A$100=D$2) * (Sim_Mul_Bet50!$C$3:$C$100=$B26),0
   ),
   0
)</f>
        <v>6.9939199999999998E-3</v>
      </c>
      <c r="E26" s="181" cm="1">
        <f t="array" ref="E26">_xlfn.IFNA(
   _xlfn._xlws.FILTER(
      Sim_Mul_Bet50!$H$3:$H$100,
      (Sim_Mul_Bet50!$A$3:$A$100=E$2) * (Sim_Mul_Bet50!$C$3:$C$100=$B26),0
   ),
   0
)</f>
        <v>0</v>
      </c>
      <c r="F26" s="150" cm="1">
        <f t="array" ref="F26">_xlfn.IFNA(
   _xlfn._xlws.FILTER(
      Sim_Mul_Bet50!$O$3:$O$100,
      (Sim_Mul_Bet50!$A$3:$A$100=C$2) * (Sim_Mul_Bet50!$C$3:$C$100=$B26),0
   ),
   0
)</f>
        <v>0</v>
      </c>
      <c r="G26" s="146" cm="1">
        <f t="array" ref="G26">_xlfn.IFNA(
   _xlfn._xlws.FILTER(
      Sim_Mul_Bet50!$O$3:$O$100,
      (Sim_Mul_Bet50!$A$3:$A$100=D$2) * (Sim_Mul_Bet50!$C$3:$C$100=$B26),0
   ),
   0
)</f>
        <v>100</v>
      </c>
      <c r="H26" s="147" cm="1">
        <f t="array" ref="H26">_xlfn.IFNA(
   _xlfn._xlws.FILTER(
      Sim_Mul_Bet50!$O$3:$O$100,
      (Sim_Mul_Bet50!$A$3:$A$100=E$2) * (Sim_Mul_Bet50!$C$3:$C$100=$B26),0
   ),
   0
)</f>
        <v>0</v>
      </c>
      <c r="J26">
        <v>23</v>
      </c>
      <c r="K26" s="206">
        <v>90</v>
      </c>
      <c r="L26" s="210" t="s">
        <v>91</v>
      </c>
      <c r="M26" s="216">
        <f t="shared" si="2"/>
        <v>6.9939199999999998E-3</v>
      </c>
      <c r="N26" s="160">
        <f t="shared" si="6"/>
        <v>100</v>
      </c>
      <c r="O26" s="175">
        <v>2.1699999999999999E-5</v>
      </c>
      <c r="P26" s="175">
        <v>6.9999999999999994E-5</v>
      </c>
      <c r="Q26" s="175">
        <v>6.0602540761521397E-5</v>
      </c>
      <c r="R26" s="197">
        <f t="shared" si="0"/>
        <v>2.1700000000000001E-3</v>
      </c>
      <c r="T26" s="184">
        <v>13</v>
      </c>
      <c r="U26" s="199">
        <v>1.2999999999999999E-5</v>
      </c>
      <c r="V26" s="203">
        <f t="shared" si="1"/>
        <v>1.2999999999999999E-3</v>
      </c>
      <c r="W26" s="169"/>
      <c r="Y26" s="175">
        <f t="shared" si="7"/>
        <v>6.9999999999999994E-5</v>
      </c>
      <c r="Z26" s="175">
        <v>6.9999999999999994E-5</v>
      </c>
      <c r="AA26" s="175">
        <v>1.7272350421445401E-5</v>
      </c>
      <c r="AB26" s="272">
        <f t="shared" si="3"/>
        <v>6.9999999999999993E-3</v>
      </c>
      <c r="AD26" s="184">
        <f t="shared" si="4"/>
        <v>70</v>
      </c>
      <c r="AE26" s="199">
        <v>6.9999999999999994E-5</v>
      </c>
      <c r="AF26" s="278">
        <f t="shared" si="5"/>
        <v>6.9999999999999993E-3</v>
      </c>
    </row>
    <row r="27" spans="2:32">
      <c r="B27" s="142">
        <v>100</v>
      </c>
      <c r="C27" s="155" cm="1">
        <f t="array" ref="C27">_xlfn.IFNA(
   _xlfn._xlws.FILTER(
      Sim_Mul_Bet50!$H$3:$H$100,
      (Sim_Mul_Bet50!$A$3:$A$100=C$2) * (Sim_Mul_Bet50!$C$3:$C$100=$B27),0
   ),
   0
)</f>
        <v>8.8637000000000004E-4</v>
      </c>
      <c r="D27" s="156" cm="1">
        <f t="array" ref="D27">_xlfn.IFNA(
   _xlfn._xlws.FILTER(
      Sim_Mul_Bet50!$H$3:$H$100,
      (Sim_Mul_Bet50!$A$3:$A$100=D$2) * (Sim_Mul_Bet50!$C$3:$C$100=$B27),0
   ),
   0
)</f>
        <v>2.8124039999999999E-2</v>
      </c>
      <c r="E27" s="181" cm="1">
        <f t="array" ref="E27">_xlfn.IFNA(
   _xlfn._xlws.FILTER(
      Sim_Mul_Bet50!$H$3:$H$100,
      (Sim_Mul_Bet50!$A$3:$A$100=E$2) * (Sim_Mul_Bet50!$C$3:$C$100=$B27),0
   ),
   0
)</f>
        <v>0</v>
      </c>
      <c r="F27" s="150" cm="1">
        <f t="array" ref="F27">_xlfn.IFNA(
   _xlfn._xlws.FILTER(
      Sim_Mul_Bet50!$O$3:$O$100,
      (Sim_Mul_Bet50!$A$3:$A$100=C$2) * (Sim_Mul_Bet50!$C$3:$C$100=$B27),0
   ),
   0
)</f>
        <v>100.61103850536458</v>
      </c>
      <c r="G27" s="146" cm="1">
        <f t="array" ref="G27">_xlfn.IFNA(
   _xlfn._xlws.FILTER(
      Sim_Mul_Bet50!$O$3:$O$100,
      (Sim_Mul_Bet50!$A$3:$A$100=D$2) * (Sim_Mul_Bet50!$C$3:$C$100=$B27),0
   ),
   0
)</f>
        <v>102.23498131136209</v>
      </c>
      <c r="H27" s="147" cm="1">
        <f t="array" ref="H27">_xlfn.IFNA(
   _xlfn._xlws.FILTER(
      Sim_Mul_Bet50!$O$3:$O$100,
      (Sim_Mul_Bet50!$A$3:$A$100=E$2) * (Sim_Mul_Bet50!$C$3:$C$100=$B27),0
   ),
   0
)</f>
        <v>0</v>
      </c>
      <c r="J27">
        <v>24</v>
      </c>
      <c r="K27" s="206">
        <v>100</v>
      </c>
      <c r="L27" s="210" t="s">
        <v>91</v>
      </c>
      <c r="M27" s="216">
        <f t="shared" si="2"/>
        <v>2.8124039999999999E-2</v>
      </c>
      <c r="N27" s="160">
        <f t="shared" si="6"/>
        <v>102.23498131136209</v>
      </c>
      <c r="O27" s="175">
        <v>1E-4</v>
      </c>
      <c r="P27" s="175">
        <v>1E-4</v>
      </c>
      <c r="Q27" s="175">
        <v>8.8378705277218707E-5</v>
      </c>
      <c r="R27" s="197">
        <f t="shared" si="0"/>
        <v>1.0223498131136209E-2</v>
      </c>
      <c r="T27" s="184">
        <v>51</v>
      </c>
      <c r="U27" s="199">
        <v>5.1E-5</v>
      </c>
      <c r="V27" s="203">
        <f t="shared" si="1"/>
        <v>5.213984046879467E-3</v>
      </c>
      <c r="W27" s="169"/>
      <c r="Y27" s="175">
        <f t="shared" si="7"/>
        <v>5.0000000000000002E-5</v>
      </c>
      <c r="Z27" s="175">
        <v>5.0000000000000002E-5</v>
      </c>
      <c r="AA27" s="175">
        <v>5.1817051264336101E-5</v>
      </c>
      <c r="AB27" s="272">
        <f t="shared" si="3"/>
        <v>5.1117490655681044E-3</v>
      </c>
      <c r="AD27" s="184">
        <f t="shared" si="4"/>
        <v>50</v>
      </c>
      <c r="AE27" s="199">
        <v>5.0000000000000002E-5</v>
      </c>
      <c r="AF27" s="278">
        <f t="shared" si="5"/>
        <v>5.1117490655681044E-3</v>
      </c>
    </row>
    <row r="28" spans="2:32">
      <c r="B28" s="142">
        <v>120</v>
      </c>
      <c r="C28" s="155" cm="1">
        <f t="array" ref="C28">_xlfn.IFNA(
   _xlfn._xlws.FILTER(
      Sim_Mul_Bet50!$H$3:$H$100,
      (Sim_Mul_Bet50!$A$3:$A$100=C$2) * (Sim_Mul_Bet50!$C$3:$C$100=$B28),0
   ),
   0
)</f>
        <v>7.3E-7</v>
      </c>
      <c r="D28" s="156" cm="1">
        <f t="array" ref="D28">_xlfn.IFNA(
   _xlfn._xlws.FILTER(
      Sim_Mul_Bet50!$H$3:$H$100,
      (Sim_Mul_Bet50!$A$3:$A$100=D$2) * (Sim_Mul_Bet50!$C$3:$C$100=$B28),0
   ),
   0
)</f>
        <v>1.18274E-3</v>
      </c>
      <c r="E28" s="181" cm="1">
        <f t="array" ref="E28">_xlfn.IFNA(
   _xlfn._xlws.FILTER(
      Sim_Mul_Bet50!$H$3:$H$100,
      (Sim_Mul_Bet50!$A$3:$A$100=E$2) * (Sim_Mul_Bet50!$C$3:$C$100=$B28),0
   ),
   0
)</f>
        <v>0</v>
      </c>
      <c r="F28" s="150" cm="1">
        <f t="array" ref="F28">_xlfn.IFNA(
   _xlfn._xlws.FILTER(
      Sim_Mul_Bet50!$O$3:$O$100,
      (Sim_Mul_Bet50!$A$3:$A$100=C$2) * (Sim_Mul_Bet50!$C$3:$C$100=$B28),0
   ),
   0
)</f>
        <v>120.54410958904108</v>
      </c>
      <c r="G28" s="146" cm="1">
        <f t="array" ref="G28">_xlfn.IFNA(
   _xlfn._xlws.FILTER(
      Sim_Mul_Bet50!$O$3:$O$100,
      (Sim_Mul_Bet50!$A$3:$A$100=D$2) * (Sim_Mul_Bet50!$C$3:$C$100=$B28),0
   ),
   0
)</f>
        <v>122.78297089808413</v>
      </c>
      <c r="H28" s="147" cm="1">
        <f t="array" ref="H28">_xlfn.IFNA(
   _xlfn._xlws.FILTER(
      Sim_Mul_Bet50!$O$3:$O$100,
      (Sim_Mul_Bet50!$A$3:$A$100=E$2) * (Sim_Mul_Bet50!$C$3:$C$100=$B28),0
   ),
   0
)</f>
        <v>0</v>
      </c>
      <c r="J28">
        <v>25</v>
      </c>
      <c r="K28" s="206">
        <v>120</v>
      </c>
      <c r="L28" s="210" t="s">
        <v>91</v>
      </c>
      <c r="M28" s="216">
        <f t="shared" si="2"/>
        <v>1.18274E-3</v>
      </c>
      <c r="N28" s="160">
        <f t="shared" si="6"/>
        <v>122.78297089808413</v>
      </c>
      <c r="O28" s="175">
        <v>0</v>
      </c>
      <c r="P28" s="175">
        <v>0</v>
      </c>
      <c r="Q28" s="175">
        <v>0</v>
      </c>
      <c r="R28" s="197">
        <f t="shared" si="0"/>
        <v>0</v>
      </c>
      <c r="T28" s="184">
        <v>260</v>
      </c>
      <c r="U28" s="199">
        <v>2.5999999999999998E-4</v>
      </c>
      <c r="V28" s="203">
        <f t="shared" si="1"/>
        <v>3.1923572433501871E-2</v>
      </c>
      <c r="W28" s="169"/>
      <c r="Y28" s="175">
        <f t="shared" si="7"/>
        <v>0</v>
      </c>
      <c r="Z28" s="175">
        <v>0</v>
      </c>
      <c r="AA28" s="175">
        <v>0</v>
      </c>
      <c r="AB28" s="272">
        <f t="shared" si="3"/>
        <v>0</v>
      </c>
      <c r="AD28" s="184">
        <f t="shared" si="4"/>
        <v>0</v>
      </c>
      <c r="AE28" s="199">
        <v>0</v>
      </c>
      <c r="AF28" s="278">
        <f t="shared" si="5"/>
        <v>0</v>
      </c>
    </row>
    <row r="29" spans="2:32">
      <c r="B29" s="142">
        <v>140</v>
      </c>
      <c r="C29" s="155" cm="1">
        <f t="array" ref="C29">_xlfn.IFNA(
   _xlfn._xlws.FILTER(
      Sim_Mul_Bet50!$H$3:$H$100,
      (Sim_Mul_Bet50!$A$3:$A$100=C$2) * (Sim_Mul_Bet50!$C$3:$C$100=$B29),0
   ),
   0
)</f>
        <v>0</v>
      </c>
      <c r="D29" s="156" cm="1">
        <f t="array" ref="D29">_xlfn.IFNA(
   _xlfn._xlws.FILTER(
      Sim_Mul_Bet50!$H$3:$H$100,
      (Sim_Mul_Bet50!$A$3:$A$100=D$2) * (Sim_Mul_Bet50!$C$3:$C$100=$B29),0
   ),
   0
)</f>
        <v>2.0984000000000001E-4</v>
      </c>
      <c r="E29" s="181" cm="1">
        <f t="array" ref="E29">_xlfn.IFNA(
   _xlfn._xlws.FILTER(
      Sim_Mul_Bet50!$H$3:$H$100,
      (Sim_Mul_Bet50!$A$3:$A$100=E$2) * (Sim_Mul_Bet50!$C$3:$C$100=$B29),0
   ),
   0
)</f>
        <v>0</v>
      </c>
      <c r="F29" s="150" cm="1">
        <f t="array" ref="F29">_xlfn.IFNA(
   _xlfn._xlws.FILTER(
      Sim_Mul_Bet50!$O$3:$O$100,
      (Sim_Mul_Bet50!$A$3:$A$100=C$2) * (Sim_Mul_Bet50!$C$3:$C$100=$B29),0
   ),
   0
)</f>
        <v>0</v>
      </c>
      <c r="G29" s="146" cm="1">
        <f t="array" ref="G29">_xlfn.IFNA(
   _xlfn._xlws.FILTER(
      Sim_Mul_Bet50!$O$3:$O$100,
      (Sim_Mul_Bet50!$A$3:$A$100=D$2) * (Sim_Mul_Bet50!$C$3:$C$100=$B29),0
   ),
   0
)</f>
        <v>151.04290602363704</v>
      </c>
      <c r="H29" s="147" cm="1">
        <f t="array" ref="H29">_xlfn.IFNA(
   _xlfn._xlws.FILTER(
      Sim_Mul_Bet50!$O$3:$O$100,
      (Sim_Mul_Bet50!$A$3:$A$100=E$2) * (Sim_Mul_Bet50!$C$3:$C$100=$B29),0
   ),
   0
)</f>
        <v>0</v>
      </c>
      <c r="J29">
        <v>26</v>
      </c>
      <c r="K29" s="206">
        <v>140</v>
      </c>
      <c r="L29" s="210" t="s">
        <v>90</v>
      </c>
      <c r="M29" s="216">
        <f t="shared" si="2"/>
        <v>0</v>
      </c>
      <c r="N29" s="160">
        <f t="shared" si="6"/>
        <v>0</v>
      </c>
      <c r="O29" s="175">
        <v>0</v>
      </c>
      <c r="P29" s="175">
        <v>0</v>
      </c>
      <c r="Q29" s="175">
        <v>2.9459568425739599E-6</v>
      </c>
      <c r="R29" s="197">
        <f t="shared" si="0"/>
        <v>0</v>
      </c>
      <c r="T29" s="184">
        <v>0</v>
      </c>
      <c r="U29" s="199">
        <v>0</v>
      </c>
      <c r="V29" s="203">
        <f t="shared" si="1"/>
        <v>0</v>
      </c>
      <c r="W29" s="169"/>
      <c r="Y29" s="175">
        <f t="shared" si="7"/>
        <v>0</v>
      </c>
      <c r="Z29" s="175">
        <v>0</v>
      </c>
      <c r="AA29" s="175">
        <v>0</v>
      </c>
      <c r="AB29" s="272">
        <f t="shared" si="3"/>
        <v>0</v>
      </c>
      <c r="AD29" s="184">
        <f t="shared" si="4"/>
        <v>0</v>
      </c>
      <c r="AE29" s="199">
        <v>0</v>
      </c>
      <c r="AF29" s="278">
        <f t="shared" si="5"/>
        <v>0</v>
      </c>
    </row>
    <row r="30" spans="2:32">
      <c r="B30" s="142">
        <v>160</v>
      </c>
      <c r="C30" s="155" cm="1">
        <f t="array" ref="C30">_xlfn.IFNA(
   _xlfn._xlws.FILTER(
      Sim_Mul_Bet50!$H$3:$H$100,
      (Sim_Mul_Bet50!$A$3:$A$100=C$2) * (Sim_Mul_Bet50!$C$3:$C$100=$B30),0
   ),
   0
)</f>
        <v>0</v>
      </c>
      <c r="D30" s="156" cm="1">
        <f t="array" ref="D30">_xlfn.IFNA(
   _xlfn._xlws.FILTER(
      Sim_Mul_Bet50!$H$3:$H$100,
      (Sim_Mul_Bet50!$A$3:$A$100=D$2) * (Sim_Mul_Bet50!$C$3:$C$100=$B30),0
   ),
   0
)</f>
        <v>0</v>
      </c>
      <c r="E30" s="181" cm="1">
        <f t="array" ref="E30">_xlfn.IFNA(
   _xlfn._xlws.FILTER(
      Sim_Mul_Bet50!$H$3:$H$100,
      (Sim_Mul_Bet50!$A$3:$A$100=E$2) * (Sim_Mul_Bet50!$C$3:$C$100=$B30),0
   ),
   0
)</f>
        <v>0</v>
      </c>
      <c r="F30" s="150" cm="1">
        <f t="array" ref="F30">_xlfn.IFNA(
   _xlfn._xlws.FILTER(
      Sim_Mul_Bet50!$O$3:$O$100,
      (Sim_Mul_Bet50!$A$3:$A$100=C$2) * (Sim_Mul_Bet50!$C$3:$C$100=$B30),0
   ),
   0
)</f>
        <v>0</v>
      </c>
      <c r="G30" s="146" cm="1">
        <f t="array" ref="G30">_xlfn.IFNA(
   _xlfn._xlws.FILTER(
      Sim_Mul_Bet50!$O$3:$O$100,
      (Sim_Mul_Bet50!$A$3:$A$100=D$2) * (Sim_Mul_Bet50!$C$3:$C$100=$B30),0
   ),
   0
)</f>
        <v>0</v>
      </c>
      <c r="H30" s="147" cm="1">
        <f t="array" ref="H30">_xlfn.IFNA(
   _xlfn._xlws.FILTER(
      Sim_Mul_Bet50!$O$3:$O$100,
      (Sim_Mul_Bet50!$A$3:$A$100=E$2) * (Sim_Mul_Bet50!$C$3:$C$100=$B30),0
   ),
   0
)</f>
        <v>0</v>
      </c>
      <c r="J30">
        <v>27</v>
      </c>
      <c r="K30" s="206">
        <v>160</v>
      </c>
      <c r="L30" s="210" t="s">
        <v>90</v>
      </c>
      <c r="M30" s="216">
        <f t="shared" si="2"/>
        <v>0</v>
      </c>
      <c r="N30" s="160">
        <f t="shared" si="6"/>
        <v>0</v>
      </c>
      <c r="O30" s="175">
        <v>0</v>
      </c>
      <c r="P30" s="175">
        <v>0</v>
      </c>
      <c r="Q30" s="175">
        <v>0</v>
      </c>
      <c r="R30" s="197">
        <f t="shared" si="0"/>
        <v>0</v>
      </c>
      <c r="T30" s="184">
        <v>0</v>
      </c>
      <c r="U30" s="199">
        <v>0</v>
      </c>
      <c r="V30" s="203">
        <f t="shared" si="1"/>
        <v>0</v>
      </c>
      <c r="W30" s="169"/>
      <c r="Y30" s="175">
        <f t="shared" si="7"/>
        <v>0</v>
      </c>
      <c r="Z30" s="175">
        <v>0</v>
      </c>
      <c r="AA30" s="175">
        <v>0</v>
      </c>
      <c r="AB30" s="272">
        <f t="shared" si="3"/>
        <v>0</v>
      </c>
      <c r="AD30" s="184">
        <f t="shared" si="4"/>
        <v>0</v>
      </c>
      <c r="AE30" s="199">
        <v>0</v>
      </c>
      <c r="AF30" s="278">
        <f t="shared" si="5"/>
        <v>0</v>
      </c>
    </row>
    <row r="31" spans="2:32">
      <c r="B31" s="142">
        <v>180</v>
      </c>
      <c r="C31" s="155" cm="1">
        <f t="array" ref="C31">_xlfn.IFNA(
   _xlfn._xlws.FILTER(
      Sim_Mul_Bet50!$H$3:$H$100,
      (Sim_Mul_Bet50!$A$3:$A$100=C$2) * (Sim_Mul_Bet50!$C$3:$C$100=$B31),0
   ),
   0
)</f>
        <v>0</v>
      </c>
      <c r="D31" s="156" cm="1">
        <f t="array" ref="D31">_xlfn.IFNA(
   _xlfn._xlws.FILTER(
      Sim_Mul_Bet50!$H$3:$H$100,
      (Sim_Mul_Bet50!$A$3:$A$100=D$2) * (Sim_Mul_Bet50!$C$3:$C$100=$B31),0
   ),
   0
)</f>
        <v>6.1823099999999999E-3</v>
      </c>
      <c r="E31" s="181" cm="1">
        <f t="array" ref="E31">_xlfn.IFNA(
   _xlfn._xlws.FILTER(
      Sim_Mul_Bet50!$H$3:$H$100,
      (Sim_Mul_Bet50!$A$3:$A$100=E$2) * (Sim_Mul_Bet50!$C$3:$C$100=$B31),0
   ),
   0
)</f>
        <v>0</v>
      </c>
      <c r="F31" s="150" cm="1">
        <f t="array" ref="F31">_xlfn.IFNA(
   _xlfn._xlws.FILTER(
      Sim_Mul_Bet50!$O$3:$O$100,
      (Sim_Mul_Bet50!$A$3:$A$100=C$2) * (Sim_Mul_Bet50!$C$3:$C$100=$B31),0
   ),
   0
)</f>
        <v>0</v>
      </c>
      <c r="G31" s="146" cm="1">
        <f t="array" ref="G31">_xlfn.IFNA(
   _xlfn._xlws.FILTER(
      Sim_Mul_Bet50!$O$3:$O$100,
      (Sim_Mul_Bet50!$A$3:$A$100=D$2) * (Sim_Mul_Bet50!$C$3:$C$100=$B31),0
   ),
   0
)</f>
        <v>200</v>
      </c>
      <c r="H31" s="147" cm="1">
        <f t="array" ref="H31">_xlfn.IFNA(
   _xlfn._xlws.FILTER(
      Sim_Mul_Bet50!$O$3:$O$100,
      (Sim_Mul_Bet50!$A$3:$A$100=E$2) * (Sim_Mul_Bet50!$C$3:$C$100=$B31),0
   ),
   0
)</f>
        <v>0</v>
      </c>
      <c r="J31">
        <v>28</v>
      </c>
      <c r="K31" s="206">
        <v>180</v>
      </c>
      <c r="L31" s="210" t="s">
        <v>91</v>
      </c>
      <c r="M31" s="216">
        <f t="shared" si="2"/>
        <v>6.1823099999999999E-3</v>
      </c>
      <c r="N31" s="160">
        <f t="shared" si="6"/>
        <v>200</v>
      </c>
      <c r="O31" s="175">
        <v>0</v>
      </c>
      <c r="P31" s="175">
        <v>0</v>
      </c>
      <c r="Q31" s="175">
        <v>0</v>
      </c>
      <c r="R31" s="197">
        <f t="shared" si="0"/>
        <v>0</v>
      </c>
      <c r="T31" s="184">
        <v>11</v>
      </c>
      <c r="U31" s="199">
        <v>1.1E-5</v>
      </c>
      <c r="V31" s="203">
        <f t="shared" si="1"/>
        <v>2.2000000000000001E-3</v>
      </c>
      <c r="W31" s="169"/>
      <c r="Y31" s="175">
        <f t="shared" si="7"/>
        <v>5.0000000000000002E-5</v>
      </c>
      <c r="Z31" s="175">
        <v>5.0000000000000002E-5</v>
      </c>
      <c r="AA31" s="175">
        <v>3.45447008428907E-5</v>
      </c>
      <c r="AB31" s="272">
        <f t="shared" si="3"/>
        <v>0.01</v>
      </c>
      <c r="AD31" s="184">
        <f t="shared" si="4"/>
        <v>50</v>
      </c>
      <c r="AE31" s="199">
        <v>5.0000000000000002E-5</v>
      </c>
      <c r="AF31" s="278">
        <f t="shared" si="5"/>
        <v>0.01</v>
      </c>
    </row>
    <row r="32" spans="2:32">
      <c r="B32" s="142">
        <v>200</v>
      </c>
      <c r="C32" s="155" cm="1">
        <f t="array" ref="C32">_xlfn.IFNA(
   _xlfn._xlws.FILTER(
      Sim_Mul_Bet50!$H$3:$H$100,
      (Sim_Mul_Bet50!$A$3:$A$100=C$2) * (Sim_Mul_Bet50!$C$3:$C$100=$B32),0
   ),
   0
)</f>
        <v>6.1260000000000006E-5</v>
      </c>
      <c r="D32" s="156" cm="1">
        <f t="array" ref="D32">_xlfn.IFNA(
   _xlfn._xlws.FILTER(
      Sim_Mul_Bet50!$H$3:$H$100,
      (Sim_Mul_Bet50!$A$3:$A$100=D$2) * (Sim_Mul_Bet50!$C$3:$C$100=$B32),0
   ),
   0
)</f>
        <v>2.7871900000000002E-2</v>
      </c>
      <c r="E32" s="181" cm="1">
        <f t="array" ref="E32">_xlfn.IFNA(
   _xlfn._xlws.FILTER(
      Sim_Mul_Bet50!$H$3:$H$100,
      (Sim_Mul_Bet50!$A$3:$A$100=E$2) * (Sim_Mul_Bet50!$C$3:$C$100=$B32),0
   ),
   0
)</f>
        <v>0</v>
      </c>
      <c r="F32" s="150" cm="1">
        <f t="array" ref="F32">_xlfn.IFNA(
   _xlfn._xlws.FILTER(
      Sim_Mul_Bet50!$O$3:$O$100,
      (Sim_Mul_Bet50!$A$3:$A$100=C$2) * (Sim_Mul_Bet50!$C$3:$C$100=$B32),0
   ),
   0
)</f>
        <v>200.73785504407442</v>
      </c>
      <c r="G32" s="146" cm="1">
        <f t="array" ref="G32">_xlfn.IFNA(
   _xlfn._xlws.FILTER(
      Sim_Mul_Bet50!$O$3:$O$100,
      (Sim_Mul_Bet50!$A$3:$A$100=D$2) * (Sim_Mul_Bet50!$C$3:$C$100=$B32),0
   ),
   0
)</f>
        <v>203.50077207510071</v>
      </c>
      <c r="H32" s="147" cm="1">
        <f t="array" ref="H32">_xlfn.IFNA(
   _xlfn._xlws.FILTER(
      Sim_Mul_Bet50!$O$3:$O$100,
      (Sim_Mul_Bet50!$A$3:$A$100=E$2) * (Sim_Mul_Bet50!$C$3:$C$100=$B32),0
   ),
   0
)</f>
        <v>0</v>
      </c>
      <c r="J32">
        <v>29</v>
      </c>
      <c r="K32" s="206">
        <v>200</v>
      </c>
      <c r="L32" s="210" t="s">
        <v>91</v>
      </c>
      <c r="M32" s="216">
        <f t="shared" si="2"/>
        <v>2.7871900000000002E-2</v>
      </c>
      <c r="N32" s="160">
        <f t="shared" si="6"/>
        <v>203.50077207510071</v>
      </c>
      <c r="O32" s="175">
        <v>0</v>
      </c>
      <c r="P32" s="175">
        <v>0</v>
      </c>
      <c r="Q32" s="175">
        <v>0</v>
      </c>
      <c r="R32" s="197">
        <f t="shared" si="0"/>
        <v>0</v>
      </c>
      <c r="T32" s="184">
        <v>29</v>
      </c>
      <c r="U32" s="199">
        <v>2.9E-5</v>
      </c>
      <c r="V32" s="203">
        <f t="shared" si="1"/>
        <v>5.9015223901779205E-3</v>
      </c>
      <c r="W32" s="169"/>
      <c r="Y32" s="175">
        <f t="shared" si="7"/>
        <v>0</v>
      </c>
      <c r="Z32" s="175">
        <v>0</v>
      </c>
      <c r="AA32" s="175">
        <v>0</v>
      </c>
      <c r="AB32" s="272">
        <f t="shared" si="3"/>
        <v>0</v>
      </c>
      <c r="AD32" s="184">
        <f t="shared" si="4"/>
        <v>0</v>
      </c>
      <c r="AE32" s="199">
        <v>0</v>
      </c>
      <c r="AF32" s="278">
        <f t="shared" si="5"/>
        <v>0</v>
      </c>
    </row>
    <row r="33" spans="2:32">
      <c r="B33" s="142">
        <v>250</v>
      </c>
      <c r="C33" s="155" cm="1">
        <f t="array" ref="C33">_xlfn.IFNA(
   _xlfn._xlws.FILTER(
      Sim_Mul_Bet50!$H$3:$H$100,
      (Sim_Mul_Bet50!$A$3:$A$100=C$2) * (Sim_Mul_Bet50!$C$3:$C$100=$B33),0
   ),
   0
)</f>
        <v>0</v>
      </c>
      <c r="D33" s="156" cm="1">
        <f t="array" ref="D33">_xlfn.IFNA(
   _xlfn._xlws.FILTER(
      Sim_Mul_Bet50!$H$3:$H$100,
      (Sim_Mul_Bet50!$A$3:$A$100=D$2) * (Sim_Mul_Bet50!$C$3:$C$100=$B33),0
   ),
   0
)</f>
        <v>2.4381000000000001E-4</v>
      </c>
      <c r="E33" s="181" cm="1">
        <f t="array" ref="E33">_xlfn.IFNA(
   _xlfn._xlws.FILTER(
      Sim_Mul_Bet50!$H$3:$H$100,
      (Sim_Mul_Bet50!$A$3:$A$100=E$2) * (Sim_Mul_Bet50!$C$3:$C$100=$B33),0
   ),
   0
)</f>
        <v>0</v>
      </c>
      <c r="F33" s="150" cm="1">
        <f t="array" ref="F33">_xlfn.IFNA(
   _xlfn._xlws.FILTER(
      Sim_Mul_Bet50!$O$3:$O$100,
      (Sim_Mul_Bet50!$A$3:$A$100=C$2) * (Sim_Mul_Bet50!$C$3:$C$100=$B33),0
   ),
   0
)</f>
        <v>0</v>
      </c>
      <c r="G33" s="146" cm="1">
        <f t="array" ref="G33">_xlfn.IFNA(
   _xlfn._xlws.FILTER(
      Sim_Mul_Bet50!$O$3:$O$100,
      (Sim_Mul_Bet50!$A$3:$A$100=D$2) * (Sim_Mul_Bet50!$C$3:$C$100=$B33),0
   ),
   0
)</f>
        <v>265.49025142529018</v>
      </c>
      <c r="H33" s="147" cm="1">
        <f t="array" ref="H33">_xlfn.IFNA(
   _xlfn._xlws.FILTER(
      Sim_Mul_Bet50!$O$3:$O$100,
      (Sim_Mul_Bet50!$A$3:$A$100=E$2) * (Sim_Mul_Bet50!$C$3:$C$100=$B33),0
   ),
   0
)</f>
        <v>0</v>
      </c>
      <c r="J33">
        <v>30</v>
      </c>
      <c r="K33" s="206">
        <v>250</v>
      </c>
      <c r="L33" s="210" t="s">
        <v>90</v>
      </c>
      <c r="M33" s="216">
        <f t="shared" si="2"/>
        <v>0</v>
      </c>
      <c r="N33" s="160">
        <f t="shared" si="6"/>
        <v>0</v>
      </c>
      <c r="O33" s="175">
        <v>0</v>
      </c>
      <c r="P33" s="175">
        <v>0</v>
      </c>
      <c r="Q33" s="175">
        <v>0</v>
      </c>
      <c r="R33" s="197">
        <f t="shared" si="0"/>
        <v>0</v>
      </c>
      <c r="T33" s="184">
        <v>0</v>
      </c>
      <c r="U33" s="199">
        <v>0</v>
      </c>
      <c r="V33" s="203">
        <f t="shared" si="1"/>
        <v>0</v>
      </c>
      <c r="W33" s="169"/>
      <c r="Y33" s="175">
        <f t="shared" si="7"/>
        <v>0</v>
      </c>
      <c r="Z33" s="175">
        <v>0</v>
      </c>
      <c r="AA33" s="175">
        <v>0</v>
      </c>
      <c r="AB33" s="272">
        <f t="shared" si="3"/>
        <v>0</v>
      </c>
      <c r="AD33" s="184">
        <f t="shared" si="4"/>
        <v>0</v>
      </c>
      <c r="AE33" s="199">
        <v>0</v>
      </c>
      <c r="AF33" s="278">
        <f t="shared" si="5"/>
        <v>0</v>
      </c>
    </row>
    <row r="34" spans="2:32">
      <c r="B34" s="142">
        <v>300</v>
      </c>
      <c r="C34" s="155" cm="1">
        <f t="array" ref="C34">_xlfn.IFNA(
   _xlfn._xlws.FILTER(
      Sim_Mul_Bet50!$H$3:$H$100,
      (Sim_Mul_Bet50!$A$3:$A$100=C$2) * (Sim_Mul_Bet50!$C$3:$C$100=$B34),0
   ),
   0
)</f>
        <v>0</v>
      </c>
      <c r="D34" s="156" cm="1">
        <f t="array" ref="D34">_xlfn.IFNA(
   _xlfn._xlws.FILTER(
      Sim_Mul_Bet50!$H$3:$H$100,
      (Sim_Mul_Bet50!$A$3:$A$100=D$2) * (Sim_Mul_Bet50!$C$3:$C$100=$B34),0
   ),
   0
)</f>
        <v>4.1755999999999998E-4</v>
      </c>
      <c r="E34" s="181" cm="1">
        <f t="array" ref="E34">_xlfn.IFNA(
   _xlfn._xlws.FILTER(
      Sim_Mul_Bet50!$H$3:$H$100,
      (Sim_Mul_Bet50!$A$3:$A$100=E$2) * (Sim_Mul_Bet50!$C$3:$C$100=$B34),0
   ),
   0
)</f>
        <v>0</v>
      </c>
      <c r="F34" s="150" cm="1">
        <f t="array" ref="F34">_xlfn.IFNA(
   _xlfn._xlws.FILTER(
      Sim_Mul_Bet50!$O$3:$O$100,
      (Sim_Mul_Bet50!$A$3:$A$100=C$2) * (Sim_Mul_Bet50!$C$3:$C$100=$B34),0
   ),
   0
)</f>
        <v>0</v>
      </c>
      <c r="G34" s="146" cm="1">
        <f t="array" ref="G34">_xlfn.IFNA(
   _xlfn._xlws.FILTER(
      Sim_Mul_Bet50!$O$3:$O$100,
      (Sim_Mul_Bet50!$A$3:$A$100=D$2) * (Sim_Mul_Bet50!$C$3:$C$100=$B34),0
   ),
   0
)</f>
        <v>301.40391416802373</v>
      </c>
      <c r="H34" s="147" cm="1">
        <f t="array" ref="H34">_xlfn.IFNA(
   _xlfn._xlws.FILTER(
      Sim_Mul_Bet50!$O$3:$O$100,
      (Sim_Mul_Bet50!$A$3:$A$100=E$2) * (Sim_Mul_Bet50!$C$3:$C$100=$B34),0
   ),
   0
)</f>
        <v>0</v>
      </c>
      <c r="J34">
        <v>31</v>
      </c>
      <c r="K34" s="206">
        <v>300</v>
      </c>
      <c r="L34" s="210" t="s">
        <v>90</v>
      </c>
      <c r="M34" s="216">
        <f t="shared" si="2"/>
        <v>0</v>
      </c>
      <c r="N34" s="160">
        <f t="shared" si="6"/>
        <v>0</v>
      </c>
      <c r="O34" s="175">
        <v>0</v>
      </c>
      <c r="P34" s="175">
        <v>0</v>
      </c>
      <c r="Q34" s="175">
        <v>0</v>
      </c>
      <c r="R34" s="197">
        <f t="shared" si="0"/>
        <v>0</v>
      </c>
      <c r="T34" s="184">
        <v>0</v>
      </c>
      <c r="U34" s="199">
        <v>0</v>
      </c>
      <c r="V34" s="203">
        <f t="shared" si="1"/>
        <v>0</v>
      </c>
      <c r="W34" s="169"/>
      <c r="Y34" s="175">
        <f t="shared" si="7"/>
        <v>0</v>
      </c>
      <c r="Z34" s="175">
        <v>0</v>
      </c>
      <c r="AA34" s="175">
        <v>0</v>
      </c>
      <c r="AB34" s="272">
        <f t="shared" si="3"/>
        <v>0</v>
      </c>
      <c r="AD34" s="184">
        <f t="shared" si="4"/>
        <v>0</v>
      </c>
      <c r="AE34" s="199">
        <v>0</v>
      </c>
      <c r="AF34" s="278">
        <f t="shared" si="5"/>
        <v>0</v>
      </c>
    </row>
    <row r="35" spans="2:32">
      <c r="B35" s="142">
        <v>350</v>
      </c>
      <c r="C35" s="155" cm="1">
        <f t="array" ref="C35">_xlfn.IFNA(
   _xlfn._xlws.FILTER(
      Sim_Mul_Bet50!$H$3:$H$100,
      (Sim_Mul_Bet50!$A$3:$A$100=C$2) * (Sim_Mul_Bet50!$C$3:$C$100=$B35),0
   ),
   0
)</f>
        <v>0</v>
      </c>
      <c r="D35" s="156" cm="1">
        <f t="array" ref="D35">_xlfn.IFNA(
   _xlfn._xlws.FILTER(
      Sim_Mul_Bet50!$H$3:$H$100,
      (Sim_Mul_Bet50!$A$3:$A$100=D$2) * (Sim_Mul_Bet50!$C$3:$C$100=$B35),0
   ),
   0
)</f>
        <v>3.1187000000000001E-4</v>
      </c>
      <c r="E35" s="181" cm="1">
        <f t="array" ref="E35">_xlfn.IFNA(
   _xlfn._xlws.FILTER(
      Sim_Mul_Bet50!$H$3:$H$100,
      (Sim_Mul_Bet50!$A$3:$A$100=E$2) * (Sim_Mul_Bet50!$C$3:$C$100=$B35),0
   ),
   0
)</f>
        <v>0</v>
      </c>
      <c r="F35" s="150" cm="1">
        <f t="array" ref="F35">_xlfn.IFNA(
   _xlfn._xlws.FILTER(
      Sim_Mul_Bet50!$O$3:$O$100,
      (Sim_Mul_Bet50!$A$3:$A$100=C$2) * (Sim_Mul_Bet50!$C$3:$C$100=$B35),0
   ),
   0
)</f>
        <v>0</v>
      </c>
      <c r="G35" s="146" cm="1">
        <f t="array" ref="G35">_xlfn.IFNA(
   _xlfn._xlws.FILTER(
      Sim_Mul_Bet50!$O$3:$O$100,
      (Sim_Mul_Bet50!$A$3:$A$100=D$2) * (Sim_Mul_Bet50!$C$3:$C$100=$B35),0
   ),
   0
)</f>
        <v>400</v>
      </c>
      <c r="H35" s="147" cm="1">
        <f t="array" ref="H35">_xlfn.IFNA(
   _xlfn._xlws.FILTER(
      Sim_Mul_Bet50!$O$3:$O$100,
      (Sim_Mul_Bet50!$A$3:$A$100=E$2) * (Sim_Mul_Bet50!$C$3:$C$100=$B35),0
   ),
   0
)</f>
        <v>0</v>
      </c>
      <c r="J35">
        <v>32</v>
      </c>
      <c r="K35" s="206">
        <v>350</v>
      </c>
      <c r="L35" s="210" t="s">
        <v>90</v>
      </c>
      <c r="M35" s="216">
        <f t="shared" si="2"/>
        <v>0</v>
      </c>
      <c r="N35" s="160">
        <f t="shared" si="6"/>
        <v>0</v>
      </c>
      <c r="O35" s="175">
        <v>0</v>
      </c>
      <c r="P35" s="175">
        <v>0</v>
      </c>
      <c r="Q35" s="175">
        <v>0</v>
      </c>
      <c r="R35" s="197">
        <f t="shared" si="0"/>
        <v>0</v>
      </c>
      <c r="T35" s="184">
        <v>0</v>
      </c>
      <c r="U35" s="199">
        <v>0</v>
      </c>
      <c r="V35" s="203">
        <f t="shared" si="1"/>
        <v>0</v>
      </c>
      <c r="W35" s="169"/>
      <c r="Y35" s="175">
        <f t="shared" si="7"/>
        <v>0</v>
      </c>
      <c r="Z35" s="175">
        <v>0</v>
      </c>
      <c r="AA35" s="175">
        <v>0</v>
      </c>
      <c r="AB35" s="272">
        <f t="shared" si="3"/>
        <v>0</v>
      </c>
      <c r="AD35" s="184">
        <f t="shared" si="4"/>
        <v>0</v>
      </c>
      <c r="AE35" s="199">
        <v>0</v>
      </c>
      <c r="AF35" s="278">
        <f t="shared" si="5"/>
        <v>0</v>
      </c>
    </row>
    <row r="36" spans="2:32">
      <c r="B36" s="142">
        <v>400</v>
      </c>
      <c r="C36" s="155" cm="1">
        <f t="array" ref="C36">_xlfn.IFNA(
   _xlfn._xlws.FILTER(
      Sim_Mul_Bet50!$H$3:$H$100,
      (Sim_Mul_Bet50!$A$3:$A$100=C$2) * (Sim_Mul_Bet50!$C$3:$C$100=$B36),0
   ),
   0
)</f>
        <v>2.6E-7</v>
      </c>
      <c r="D36" s="156" cm="1">
        <f t="array" ref="D36">_xlfn.IFNA(
   _xlfn._xlws.FILTER(
      Sim_Mul_Bet50!$H$3:$H$100,
      (Sim_Mul_Bet50!$A$3:$A$100=D$2) * (Sim_Mul_Bet50!$C$3:$C$100=$B36),0
   ),
   0
)</f>
        <v>1.5986799999999999E-3</v>
      </c>
      <c r="E36" s="181" cm="1">
        <f t="array" ref="E36">_xlfn.IFNA(
   _xlfn._xlws.FILTER(
      Sim_Mul_Bet50!$H$3:$H$100,
      (Sim_Mul_Bet50!$A$3:$A$100=E$2) * (Sim_Mul_Bet50!$C$3:$C$100=$B36),0
   ),
   0
)</f>
        <v>0</v>
      </c>
      <c r="F36" s="150" cm="1">
        <f t="array" ref="F36">_xlfn.IFNA(
   _xlfn._xlws.FILTER(
      Sim_Mul_Bet50!$O$3:$O$100,
      (Sim_Mul_Bet50!$A$3:$A$100=C$2) * (Sim_Mul_Bet50!$C$3:$C$100=$B36),0
   ),
   0
)</f>
        <v>401.84923076923076</v>
      </c>
      <c r="G36" s="146" cm="1">
        <f t="array" ref="G36">_xlfn.IFNA(
   _xlfn._xlws.FILTER(
      Sim_Mul_Bet50!$O$3:$O$100,
      (Sim_Mul_Bet50!$A$3:$A$100=D$2) * (Sim_Mul_Bet50!$C$3:$C$100=$B36),0
   ),
   0
)</f>
        <v>402.34708984912555</v>
      </c>
      <c r="H36" s="147" cm="1">
        <f t="array" ref="H36">_xlfn.IFNA(
   _xlfn._xlws.FILTER(
      Sim_Mul_Bet50!$O$3:$O$100,
      (Sim_Mul_Bet50!$A$3:$A$100=E$2) * (Sim_Mul_Bet50!$C$3:$C$100=$B36),0
   ),
   0
)</f>
        <v>0</v>
      </c>
      <c r="J36">
        <v>33</v>
      </c>
      <c r="K36" s="206">
        <v>400</v>
      </c>
      <c r="L36" s="210" t="s">
        <v>91</v>
      </c>
      <c r="M36" s="216">
        <f t="shared" si="2"/>
        <v>1.5986799999999999E-3</v>
      </c>
      <c r="N36" s="160">
        <f t="shared" si="6"/>
        <v>402.34708984912555</v>
      </c>
      <c r="O36" s="175">
        <v>0</v>
      </c>
      <c r="P36" s="175">
        <v>0</v>
      </c>
      <c r="Q36" s="175">
        <v>0</v>
      </c>
      <c r="R36" s="197">
        <f t="shared" si="0"/>
        <v>0</v>
      </c>
      <c r="T36" s="184">
        <v>3</v>
      </c>
      <c r="U36" s="199">
        <v>3.0000000000000001E-6</v>
      </c>
      <c r="V36" s="203">
        <f t="shared" si="1"/>
        <v>1.2070412695473767E-3</v>
      </c>
      <c r="W36" s="169"/>
      <c r="Y36" s="175">
        <f t="shared" si="7"/>
        <v>0</v>
      </c>
      <c r="Z36" s="175">
        <v>0</v>
      </c>
      <c r="AA36" s="175">
        <v>0</v>
      </c>
      <c r="AB36" s="272">
        <f t="shared" si="3"/>
        <v>0</v>
      </c>
      <c r="AD36" s="184">
        <f t="shared" si="4"/>
        <v>0</v>
      </c>
      <c r="AE36" s="199">
        <v>0</v>
      </c>
      <c r="AF36" s="278">
        <f t="shared" si="5"/>
        <v>0</v>
      </c>
    </row>
    <row r="37" spans="2:32">
      <c r="B37" s="142">
        <v>450</v>
      </c>
      <c r="C37" s="155" cm="1">
        <f t="array" ref="C37">_xlfn.IFNA(
   _xlfn._xlws.FILTER(
      Sim_Mul_Bet50!$H$3:$H$100,
      (Sim_Mul_Bet50!$A$3:$A$100=C$2) * (Sim_Mul_Bet50!$C$3:$C$100=$B37),0
   ),
   0
)</f>
        <v>0</v>
      </c>
      <c r="D37" s="156" cm="1">
        <f t="array" ref="D37">_xlfn.IFNA(
   _xlfn._xlws.FILTER(
      Sim_Mul_Bet50!$H$3:$H$100,
      (Sim_Mul_Bet50!$A$3:$A$100=D$2) * (Sim_Mul_Bet50!$C$3:$C$100=$B37),0
   ),
   0
)</f>
        <v>3.2035200000000001E-3</v>
      </c>
      <c r="E37" s="181" cm="1">
        <f t="array" ref="E37">_xlfn.IFNA(
   _xlfn._xlws.FILTER(
      Sim_Mul_Bet50!$H$3:$H$100,
      (Sim_Mul_Bet50!$A$3:$A$100=E$2) * (Sim_Mul_Bet50!$C$3:$C$100=$B37),0
   ),
   0
)</f>
        <v>0</v>
      </c>
      <c r="F37" s="150" cm="1">
        <f t="array" ref="F37">_xlfn.IFNA(
   _xlfn._xlws.FILTER(
      Sim_Mul_Bet50!$O$3:$O$100,
      (Sim_Mul_Bet50!$A$3:$A$100=C$2) * (Sim_Mul_Bet50!$C$3:$C$100=$B37),0
   ),
   0
)</f>
        <v>0</v>
      </c>
      <c r="G37" s="146" cm="1">
        <f t="array" ref="G37">_xlfn.IFNA(
   _xlfn._xlws.FILTER(
      Sim_Mul_Bet50!$O$3:$O$100,
      (Sim_Mul_Bet50!$A$3:$A$100=D$2) * (Sim_Mul_Bet50!$C$3:$C$100=$B37),0
   ),
   0
)</f>
        <v>500</v>
      </c>
      <c r="H37" s="147" cm="1">
        <f t="array" ref="H37">_xlfn.IFNA(
   _xlfn._xlws.FILTER(
      Sim_Mul_Bet50!$O$3:$O$100,
      (Sim_Mul_Bet50!$A$3:$A$100=E$2) * (Sim_Mul_Bet50!$C$3:$C$100=$B37),0
   ),
   0
)</f>
        <v>0</v>
      </c>
      <c r="J37">
        <v>34</v>
      </c>
      <c r="K37" s="206">
        <v>450</v>
      </c>
      <c r="L37" s="210" t="s">
        <v>91</v>
      </c>
      <c r="M37" s="216">
        <f t="shared" si="2"/>
        <v>3.2035200000000001E-3</v>
      </c>
      <c r="N37" s="160">
        <f t="shared" si="6"/>
        <v>500</v>
      </c>
      <c r="O37" s="175">
        <v>0</v>
      </c>
      <c r="P37" s="175">
        <v>0</v>
      </c>
      <c r="Q37" s="175">
        <v>5.8919136851479198E-6</v>
      </c>
      <c r="R37" s="197">
        <f t="shared" si="0"/>
        <v>0</v>
      </c>
      <c r="T37" s="184">
        <v>6</v>
      </c>
      <c r="U37" s="199">
        <v>6.0000000000000002E-6</v>
      </c>
      <c r="V37" s="203">
        <f t="shared" si="1"/>
        <v>3.0000000000000001E-3</v>
      </c>
      <c r="W37" s="169"/>
      <c r="Y37" s="175">
        <f t="shared" si="7"/>
        <v>1.0000000000000001E-5</v>
      </c>
      <c r="Z37" s="175">
        <v>1.0000000000000001E-5</v>
      </c>
      <c r="AA37" s="175">
        <v>8.6361752107226801E-6</v>
      </c>
      <c r="AB37" s="272">
        <f t="shared" si="3"/>
        <v>5.0000000000000001E-3</v>
      </c>
      <c r="AD37" s="184">
        <f t="shared" si="4"/>
        <v>10</v>
      </c>
      <c r="AE37" s="199">
        <v>1.0000000000000001E-5</v>
      </c>
      <c r="AF37" s="278">
        <f t="shared" si="5"/>
        <v>5.0000000000000001E-3</v>
      </c>
    </row>
    <row r="38" spans="2:32">
      <c r="B38" s="142">
        <v>500</v>
      </c>
      <c r="C38" s="155" cm="1">
        <f t="array" ref="C38">_xlfn.IFNA(
   _xlfn._xlws.FILTER(
      Sim_Mul_Bet50!$H$3:$H$100,
      (Sim_Mul_Bet50!$A$3:$A$100=C$2) * (Sim_Mul_Bet50!$C$3:$C$100=$B38),0
   ),
   0
)</f>
        <v>0</v>
      </c>
      <c r="D38" s="156" cm="1">
        <f t="array" ref="D38">_xlfn.IFNA(
   _xlfn._xlws.FILTER(
      Sim_Mul_Bet50!$H$3:$H$100,
      (Sim_Mul_Bet50!$A$3:$A$100=D$2) * (Sim_Mul_Bet50!$C$3:$C$100=$B38),0
   ),
   0
)</f>
        <v>1.0563629999999999E-2</v>
      </c>
      <c r="E38" s="181" cm="1">
        <f t="array" ref="E38">_xlfn.IFNA(
   _xlfn._xlws.FILTER(
      Sim_Mul_Bet50!$H$3:$H$100,
      (Sim_Mul_Bet50!$A$3:$A$100=E$2) * (Sim_Mul_Bet50!$C$3:$C$100=$B38),0
   ),
   0
)</f>
        <v>0</v>
      </c>
      <c r="F38" s="150" cm="1">
        <f t="array" ref="F38">_xlfn.IFNA(
   _xlfn._xlws.FILTER(
      Sim_Mul_Bet50!$O$3:$O$100,
      (Sim_Mul_Bet50!$A$3:$A$100=C$2) * (Sim_Mul_Bet50!$C$3:$C$100=$B38),0
   ),
   0
)</f>
        <v>0</v>
      </c>
      <c r="G38" s="146" cm="1">
        <f t="array" ref="G38">_xlfn.IFNA(
   _xlfn._xlws.FILTER(
      Sim_Mul_Bet50!$O$3:$O$100,
      (Sim_Mul_Bet50!$A$3:$A$100=D$2) * (Sim_Mul_Bet50!$C$3:$C$100=$B38),0
   ),
   0
)</f>
        <v>503.260470008889</v>
      </c>
      <c r="H38" s="147" cm="1">
        <f t="array" ref="H38">_xlfn.IFNA(
   _xlfn._xlws.FILTER(
      Sim_Mul_Bet50!$O$3:$O$100,
      (Sim_Mul_Bet50!$A$3:$A$100=E$2) * (Sim_Mul_Bet50!$C$3:$C$100=$B38),0
   ),
   0
)</f>
        <v>0</v>
      </c>
      <c r="J38">
        <v>35</v>
      </c>
      <c r="K38" s="206">
        <v>500</v>
      </c>
      <c r="L38" s="210" t="s">
        <v>91</v>
      </c>
      <c r="M38" s="216">
        <f t="shared" si="2"/>
        <v>1.0563629999999999E-2</v>
      </c>
      <c r="N38" s="160">
        <f t="shared" si="6"/>
        <v>503.260470008889</v>
      </c>
      <c r="O38" s="175">
        <v>5.0000000000000004E-6</v>
      </c>
      <c r="P38" s="175">
        <v>5.0000000000000004E-6</v>
      </c>
      <c r="Q38" s="175">
        <v>6.7336156401690502E-6</v>
      </c>
      <c r="R38" s="197">
        <f t="shared" si="0"/>
        <v>2.516302350044445E-3</v>
      </c>
      <c r="T38" s="184">
        <v>5</v>
      </c>
      <c r="U38" s="199">
        <v>5.0000000000000004E-6</v>
      </c>
      <c r="V38" s="203">
        <f t="shared" si="1"/>
        <v>2.516302350044445E-3</v>
      </c>
      <c r="W38" s="169"/>
      <c r="Y38" s="175">
        <f t="shared" si="7"/>
        <v>0</v>
      </c>
      <c r="Z38" s="175">
        <v>0</v>
      </c>
      <c r="AA38" s="175">
        <v>0</v>
      </c>
      <c r="AB38" s="272">
        <f t="shared" si="3"/>
        <v>0</v>
      </c>
      <c r="AD38" s="184">
        <f t="shared" si="4"/>
        <v>0</v>
      </c>
      <c r="AE38" s="199">
        <v>0</v>
      </c>
      <c r="AF38" s="278">
        <f t="shared" si="5"/>
        <v>0</v>
      </c>
    </row>
    <row r="39" spans="2:32">
      <c r="B39" s="142">
        <v>550</v>
      </c>
      <c r="C39" s="155" cm="1">
        <f t="array" ref="C39">_xlfn.IFNA(
   _xlfn._xlws.FILTER(
      Sim_Mul_Bet50!$H$3:$H$100,
      (Sim_Mul_Bet50!$A$3:$A$100=C$2) * (Sim_Mul_Bet50!$C$3:$C$100=$B39),0
   ),
   0
)</f>
        <v>0</v>
      </c>
      <c r="D39" s="156" cm="1">
        <f t="array" ref="D39">_xlfn.IFNA(
   _xlfn._xlws.FILTER(
      Sim_Mul_Bet50!$H$3:$H$100,
      (Sim_Mul_Bet50!$A$3:$A$100=D$2) * (Sim_Mul_Bet50!$C$3:$C$100=$B39),0
   ),
   0
)</f>
        <v>3.5460000000000003E-5</v>
      </c>
      <c r="E39" s="181" cm="1">
        <f t="array" ref="E39">_xlfn.IFNA(
   _xlfn._xlws.FILTER(
      Sim_Mul_Bet50!$H$3:$H$100,
      (Sim_Mul_Bet50!$A$3:$A$100=E$2) * (Sim_Mul_Bet50!$C$3:$C$100=$B39),0
   ),
   0
)</f>
        <v>0</v>
      </c>
      <c r="F39" s="150" cm="1">
        <f t="array" ref="F39">_xlfn.IFNA(
   _xlfn._xlws.FILTER(
      Sim_Mul_Bet50!$O$3:$O$100,
      (Sim_Mul_Bet50!$A$3:$A$100=C$2) * (Sim_Mul_Bet50!$C$3:$C$100=$B39),0
   ),
   0
)</f>
        <v>0</v>
      </c>
      <c r="G39" s="146" cm="1">
        <f t="array" ref="G39">_xlfn.IFNA(
   _xlfn._xlws.FILTER(
      Sim_Mul_Bet50!$O$3:$O$100,
      (Sim_Mul_Bet50!$A$3:$A$100=D$2) * (Sim_Mul_Bet50!$C$3:$C$100=$B39),0
   ),
   0
)</f>
        <v>600</v>
      </c>
      <c r="H39" s="147" cm="1">
        <f t="array" ref="H39">_xlfn.IFNA(
   _xlfn._xlws.FILTER(
      Sim_Mul_Bet50!$O$3:$O$100,
      (Sim_Mul_Bet50!$A$3:$A$100=E$2) * (Sim_Mul_Bet50!$C$3:$C$100=$B39),0
   ),
   0
)</f>
        <v>0</v>
      </c>
      <c r="J39">
        <v>36</v>
      </c>
      <c r="K39" s="206">
        <v>550</v>
      </c>
      <c r="L39" s="210" t="s">
        <v>90</v>
      </c>
      <c r="M39" s="216">
        <f t="shared" si="2"/>
        <v>0</v>
      </c>
      <c r="N39" s="160">
        <f t="shared" si="6"/>
        <v>0</v>
      </c>
      <c r="O39" s="175">
        <v>0</v>
      </c>
      <c r="P39" s="175">
        <v>0</v>
      </c>
      <c r="Q39" s="175">
        <v>0</v>
      </c>
      <c r="R39" s="197">
        <f t="shared" si="0"/>
        <v>0</v>
      </c>
      <c r="T39" s="184">
        <v>0</v>
      </c>
      <c r="U39" s="199">
        <v>0</v>
      </c>
      <c r="V39" s="203">
        <f t="shared" si="1"/>
        <v>0</v>
      </c>
      <c r="W39" s="169"/>
      <c r="Y39" s="175">
        <f t="shared" si="7"/>
        <v>0</v>
      </c>
      <c r="Z39" s="175">
        <v>0</v>
      </c>
      <c r="AA39" s="175">
        <v>0</v>
      </c>
      <c r="AB39" s="272">
        <f t="shared" si="3"/>
        <v>0</v>
      </c>
      <c r="AD39" s="184">
        <f t="shared" si="4"/>
        <v>0</v>
      </c>
      <c r="AE39" s="199">
        <v>0</v>
      </c>
      <c r="AF39" s="278">
        <f t="shared" si="5"/>
        <v>0</v>
      </c>
    </row>
    <row r="40" spans="2:32">
      <c r="B40" s="142">
        <v>600</v>
      </c>
      <c r="C40" s="155" cm="1">
        <f t="array" ref="C40">_xlfn.IFNA(
   _xlfn._xlws.FILTER(
      Sim_Mul_Bet50!$H$3:$H$100,
      (Sim_Mul_Bet50!$A$3:$A$100=C$2) * (Sim_Mul_Bet50!$C$3:$C$100=$B40),0
   ),
   0
)</f>
        <v>0</v>
      </c>
      <c r="D40" s="156" cm="1">
        <f t="array" ref="D40">_xlfn.IFNA(
   _xlfn._xlws.FILTER(
      Sim_Mul_Bet50!$H$3:$H$100,
      (Sim_Mul_Bet50!$A$3:$A$100=D$2) * (Sim_Mul_Bet50!$C$3:$C$100=$B40),0
   ),
   0
)</f>
        <v>1.7372000000000001E-4</v>
      </c>
      <c r="E40" s="181" cm="1">
        <f t="array" ref="E40">_xlfn.IFNA(
   _xlfn._xlws.FILTER(
      Sim_Mul_Bet50!$H$3:$H$100,
      (Sim_Mul_Bet50!$A$3:$A$100=E$2) * (Sim_Mul_Bet50!$C$3:$C$100=$B40),0
   ),
   0
)</f>
        <v>0</v>
      </c>
      <c r="F40" s="150" cm="1">
        <f t="array" ref="F40">_xlfn.IFNA(
   _xlfn._xlws.FILTER(
      Sim_Mul_Bet50!$O$3:$O$100,
      (Sim_Mul_Bet50!$A$3:$A$100=C$2) * (Sim_Mul_Bet50!$C$3:$C$100=$B40),0
   ),
   0
)</f>
        <v>0</v>
      </c>
      <c r="G40" s="146" cm="1">
        <f t="array" ref="G40">_xlfn.IFNA(
   _xlfn._xlws.FILTER(
      Sim_Mul_Bet50!$O$3:$O$100,
      (Sim_Mul_Bet50!$A$3:$A$100=D$2) * (Sim_Mul_Bet50!$C$3:$C$100=$B40),0
   ),
   0
)</f>
        <v>601.22798756619841</v>
      </c>
      <c r="H40" s="147" cm="1">
        <f t="array" ref="H40">_xlfn.IFNA(
   _xlfn._xlws.FILTER(
      Sim_Mul_Bet50!$O$3:$O$100,
      (Sim_Mul_Bet50!$A$3:$A$100=E$2) * (Sim_Mul_Bet50!$C$3:$C$100=$B40),0
   ),
   0
)</f>
        <v>0</v>
      </c>
      <c r="J40">
        <v>37</v>
      </c>
      <c r="K40" s="206">
        <v>600</v>
      </c>
      <c r="L40" s="210" t="s">
        <v>90</v>
      </c>
      <c r="M40" s="216">
        <f t="shared" si="2"/>
        <v>0</v>
      </c>
      <c r="N40" s="160">
        <f t="shared" si="6"/>
        <v>0</v>
      </c>
      <c r="O40" s="175">
        <v>0</v>
      </c>
      <c r="P40" s="175">
        <v>0</v>
      </c>
      <c r="Q40" s="175">
        <v>0</v>
      </c>
      <c r="R40" s="197">
        <f t="shared" si="0"/>
        <v>0</v>
      </c>
      <c r="T40" s="184">
        <v>0</v>
      </c>
      <c r="U40" s="199">
        <v>0</v>
      </c>
      <c r="V40" s="203">
        <f t="shared" si="1"/>
        <v>0</v>
      </c>
      <c r="W40" s="169"/>
      <c r="Y40" s="175">
        <f t="shared" si="7"/>
        <v>0</v>
      </c>
      <c r="Z40" s="175">
        <v>0</v>
      </c>
      <c r="AA40" s="175">
        <v>0</v>
      </c>
      <c r="AB40" s="272">
        <f t="shared" si="3"/>
        <v>0</v>
      </c>
      <c r="AD40" s="184">
        <f t="shared" si="4"/>
        <v>0</v>
      </c>
      <c r="AE40" s="199">
        <v>0</v>
      </c>
      <c r="AF40" s="278">
        <f t="shared" si="5"/>
        <v>0</v>
      </c>
    </row>
    <row r="41" spans="2:32">
      <c r="B41" s="142">
        <v>650</v>
      </c>
      <c r="C41" s="155" cm="1">
        <f t="array" ref="C41">_xlfn.IFNA(
   _xlfn._xlws.FILTER(
      Sim_Mul_Bet50!$H$3:$H$100,
      (Sim_Mul_Bet50!$A$3:$A$100=C$2) * (Sim_Mul_Bet50!$C$3:$C$100=$B41),0
   ),
   0
)</f>
        <v>0</v>
      </c>
      <c r="D41" s="156" cm="1">
        <f t="array" ref="D41">_xlfn.IFNA(
   _xlfn._xlws.FILTER(
      Sim_Mul_Bet50!$H$3:$H$100,
      (Sim_Mul_Bet50!$A$3:$A$100=D$2) * (Sim_Mul_Bet50!$C$3:$C$100=$B41),0
   ),
   0
)</f>
        <v>3.4489999999999997E-5</v>
      </c>
      <c r="E41" s="181" cm="1">
        <f t="array" ref="E41">_xlfn.IFNA(
   _xlfn._xlws.FILTER(
      Sim_Mul_Bet50!$H$3:$H$100,
      (Sim_Mul_Bet50!$A$3:$A$100=E$2) * (Sim_Mul_Bet50!$C$3:$C$100=$B41),0
   ),
   0
)</f>
        <v>0</v>
      </c>
      <c r="F41" s="150" cm="1">
        <f t="array" ref="F41">_xlfn.IFNA(
   _xlfn._xlws.FILTER(
      Sim_Mul_Bet50!$O$3:$O$100,
      (Sim_Mul_Bet50!$A$3:$A$100=C$2) * (Sim_Mul_Bet50!$C$3:$C$100=$B41),0
   ),
   0
)</f>
        <v>0</v>
      </c>
      <c r="G41" s="146" cm="1">
        <f t="array" ref="G41">_xlfn.IFNA(
   _xlfn._xlws.FILTER(
      Sim_Mul_Bet50!$O$3:$O$100,
      (Sim_Mul_Bet50!$A$3:$A$100=D$2) * (Sim_Mul_Bet50!$C$3:$C$100=$B41),0
   ),
   0
)</f>
        <v>700</v>
      </c>
      <c r="H41" s="147" cm="1">
        <f t="array" ref="H41">_xlfn.IFNA(
   _xlfn._xlws.FILTER(
      Sim_Mul_Bet50!$O$3:$O$100,
      (Sim_Mul_Bet50!$A$3:$A$100=E$2) * (Sim_Mul_Bet50!$C$3:$C$100=$B41),0
   ),
   0
)</f>
        <v>0</v>
      </c>
      <c r="J41">
        <v>38</v>
      </c>
      <c r="K41" s="206">
        <v>650</v>
      </c>
      <c r="L41" s="210" t="s">
        <v>90</v>
      </c>
      <c r="M41" s="216">
        <f t="shared" si="2"/>
        <v>0</v>
      </c>
      <c r="N41" s="160">
        <f t="shared" si="6"/>
        <v>0</v>
      </c>
      <c r="O41" s="175">
        <v>0</v>
      </c>
      <c r="P41" s="175">
        <v>0</v>
      </c>
      <c r="Q41" s="175">
        <v>0</v>
      </c>
      <c r="R41" s="197">
        <f t="shared" si="0"/>
        <v>0</v>
      </c>
      <c r="T41" s="184">
        <v>0</v>
      </c>
      <c r="U41" s="199">
        <v>0</v>
      </c>
      <c r="V41" s="203">
        <f t="shared" si="1"/>
        <v>0</v>
      </c>
      <c r="W41" s="169"/>
      <c r="Y41" s="175">
        <f t="shared" si="7"/>
        <v>0</v>
      </c>
      <c r="Z41" s="175">
        <v>0</v>
      </c>
      <c r="AA41" s="175">
        <v>0</v>
      </c>
      <c r="AB41" s="272">
        <f t="shared" si="3"/>
        <v>0</v>
      </c>
      <c r="AD41" s="184">
        <f t="shared" si="4"/>
        <v>0</v>
      </c>
      <c r="AE41" s="199">
        <v>0</v>
      </c>
      <c r="AF41" s="278">
        <f t="shared" si="5"/>
        <v>0</v>
      </c>
    </row>
    <row r="42" spans="2:32">
      <c r="B42" s="142">
        <v>700</v>
      </c>
      <c r="C42" s="155" cm="1">
        <f t="array" ref="C42">_xlfn.IFNA(
   _xlfn._xlws.FILTER(
      Sim_Mul_Bet50!$H$3:$H$100,
      (Sim_Mul_Bet50!$A$3:$A$100=C$2) * (Sim_Mul_Bet50!$C$3:$C$100=$B42),0
   ),
   0
)</f>
        <v>0</v>
      </c>
      <c r="D42" s="156" cm="1">
        <f t="array" ref="D42">_xlfn.IFNA(
   _xlfn._xlws.FILTER(
      Sim_Mul_Bet50!$H$3:$H$100,
      (Sim_Mul_Bet50!$A$3:$A$100=D$2) * (Sim_Mul_Bet50!$C$3:$C$100=$B42),0
   ),
   0
)</f>
        <v>1.7253E-4</v>
      </c>
      <c r="E42" s="181" cm="1">
        <f t="array" ref="E42">_xlfn.IFNA(
   _xlfn._xlws.FILTER(
      Sim_Mul_Bet50!$H$3:$H$100,
      (Sim_Mul_Bet50!$A$3:$A$100=E$2) * (Sim_Mul_Bet50!$C$3:$C$100=$B42),0
   ),
   0
)</f>
        <v>0</v>
      </c>
      <c r="F42" s="150" cm="1">
        <f t="array" ref="F42">_xlfn.IFNA(
   _xlfn._xlws.FILTER(
      Sim_Mul_Bet50!$O$3:$O$100,
      (Sim_Mul_Bet50!$A$3:$A$100=C$2) * (Sim_Mul_Bet50!$C$3:$C$100=$B42),0
   ),
   0
)</f>
        <v>0</v>
      </c>
      <c r="G42" s="146" cm="1">
        <f t="array" ref="G42">_xlfn.IFNA(
   _xlfn._xlws.FILTER(
      Sim_Mul_Bet50!$O$3:$O$100,
      (Sim_Mul_Bet50!$A$3:$A$100=D$2) * (Sim_Mul_Bet50!$C$3:$C$100=$B42),0
   ),
   0
)</f>
        <v>701.25034138990338</v>
      </c>
      <c r="H42" s="147" cm="1">
        <f t="array" ref="H42">_xlfn.IFNA(
   _xlfn._xlws.FILTER(
      Sim_Mul_Bet50!$O$3:$O$100,
      (Sim_Mul_Bet50!$A$3:$A$100=E$2) * (Sim_Mul_Bet50!$C$3:$C$100=$B42),0
   ),
   0
)</f>
        <v>0</v>
      </c>
      <c r="J42">
        <v>39</v>
      </c>
      <c r="K42" s="206">
        <v>700</v>
      </c>
      <c r="L42" s="210" t="s">
        <v>90</v>
      </c>
      <c r="M42" s="216">
        <f t="shared" si="2"/>
        <v>0</v>
      </c>
      <c r="N42" s="160">
        <f t="shared" si="6"/>
        <v>0</v>
      </c>
      <c r="O42" s="175">
        <v>0</v>
      </c>
      <c r="P42" s="175">
        <v>0</v>
      </c>
      <c r="Q42" s="175">
        <v>0</v>
      </c>
      <c r="R42" s="197">
        <f t="shared" si="0"/>
        <v>0</v>
      </c>
      <c r="T42" s="184">
        <v>0</v>
      </c>
      <c r="U42" s="199">
        <v>0</v>
      </c>
      <c r="V42" s="203">
        <f t="shared" si="1"/>
        <v>0</v>
      </c>
      <c r="W42" s="169"/>
      <c r="Y42" s="175">
        <f t="shared" si="7"/>
        <v>0</v>
      </c>
      <c r="Z42" s="175">
        <v>0</v>
      </c>
      <c r="AA42" s="175">
        <v>0</v>
      </c>
      <c r="AB42" s="272">
        <f t="shared" si="3"/>
        <v>0</v>
      </c>
      <c r="AD42" s="184">
        <f t="shared" si="4"/>
        <v>0</v>
      </c>
      <c r="AE42" s="199">
        <v>0</v>
      </c>
      <c r="AF42" s="278">
        <f t="shared" si="5"/>
        <v>0</v>
      </c>
    </row>
    <row r="43" spans="2:32">
      <c r="B43" s="142">
        <v>750</v>
      </c>
      <c r="C43" s="155" cm="1">
        <f t="array" ref="C43">_xlfn.IFNA(
   _xlfn._xlws.FILTER(
      Sim_Mul_Bet50!$H$3:$H$100,
      (Sim_Mul_Bet50!$A$3:$A$100=C$2) * (Sim_Mul_Bet50!$C$3:$C$100=$B43),0
   ),
   0
)</f>
        <v>0</v>
      </c>
      <c r="D43" s="156" cm="1">
        <f t="array" ref="D43">_xlfn.IFNA(
   _xlfn._xlws.FILTER(
      Sim_Mul_Bet50!$H$3:$H$100,
      (Sim_Mul_Bet50!$A$3:$A$100=D$2) * (Sim_Mul_Bet50!$C$3:$C$100=$B43),0
   ),
   0
)</f>
        <v>0</v>
      </c>
      <c r="E43" s="181" cm="1">
        <f t="array" ref="E43">_xlfn.IFNA(
   _xlfn._xlws.FILTER(
      Sim_Mul_Bet50!$H$3:$H$100,
      (Sim_Mul_Bet50!$A$3:$A$100=E$2) * (Sim_Mul_Bet50!$C$3:$C$100=$B43),0
   ),
   0
)</f>
        <v>0</v>
      </c>
      <c r="F43" s="150" cm="1">
        <f t="array" ref="F43">_xlfn.IFNA(
   _xlfn._xlws.FILTER(
      Sim_Mul_Bet50!$O$3:$O$100,
      (Sim_Mul_Bet50!$A$3:$A$100=C$2) * (Sim_Mul_Bet50!$C$3:$C$100=$B43),0
   ),
   0
)</f>
        <v>0</v>
      </c>
      <c r="G43" s="146" cm="1">
        <f t="array" ref="G43">_xlfn.IFNA(
   _xlfn._xlws.FILTER(
      Sim_Mul_Bet50!$O$3:$O$100,
      (Sim_Mul_Bet50!$A$3:$A$100=D$2) * (Sim_Mul_Bet50!$C$3:$C$100=$B43),0
   ),
   0
)</f>
        <v>0</v>
      </c>
      <c r="H43" s="147" cm="1">
        <f t="array" ref="H43">_xlfn.IFNA(
   _xlfn._xlws.FILTER(
      Sim_Mul_Bet50!$O$3:$O$100,
      (Sim_Mul_Bet50!$A$3:$A$100=E$2) * (Sim_Mul_Bet50!$C$3:$C$100=$B43),0
   ),
   0
)</f>
        <v>0</v>
      </c>
      <c r="J43">
        <v>40</v>
      </c>
      <c r="K43" s="206">
        <v>750</v>
      </c>
      <c r="L43" s="210" t="s">
        <v>90</v>
      </c>
      <c r="M43" s="216">
        <f t="shared" si="2"/>
        <v>0</v>
      </c>
      <c r="N43" s="160">
        <f t="shared" si="6"/>
        <v>0</v>
      </c>
      <c r="O43" s="175">
        <v>0</v>
      </c>
      <c r="P43" s="175">
        <v>0</v>
      </c>
      <c r="Q43" s="175">
        <v>0</v>
      </c>
      <c r="R43" s="197">
        <f t="shared" si="0"/>
        <v>0</v>
      </c>
      <c r="T43" s="184">
        <v>0</v>
      </c>
      <c r="U43" s="199">
        <v>0</v>
      </c>
      <c r="V43" s="203">
        <f t="shared" si="1"/>
        <v>0</v>
      </c>
      <c r="W43" s="169"/>
      <c r="Y43" s="175">
        <f t="shared" si="7"/>
        <v>0</v>
      </c>
      <c r="Z43" s="175">
        <v>0</v>
      </c>
      <c r="AA43" s="175">
        <v>0</v>
      </c>
      <c r="AB43" s="272">
        <f t="shared" si="3"/>
        <v>0</v>
      </c>
      <c r="AD43" s="184">
        <f t="shared" si="4"/>
        <v>0</v>
      </c>
      <c r="AE43" s="199">
        <v>0</v>
      </c>
      <c r="AF43" s="278">
        <f t="shared" si="5"/>
        <v>0</v>
      </c>
    </row>
    <row r="44" spans="2:32">
      <c r="B44" s="142">
        <v>800</v>
      </c>
      <c r="C44" s="155" cm="1">
        <f t="array" ref="C44">_xlfn.IFNA(
   _xlfn._xlws.FILTER(
      Sim_Mul_Bet50!$H$3:$H$100,
      (Sim_Mul_Bet50!$A$3:$A$100=C$2) * (Sim_Mul_Bet50!$C$3:$C$100=$B44),0
   ),
   0
)</f>
        <v>0</v>
      </c>
      <c r="D44" s="156" cm="1">
        <f t="array" ref="D44">_xlfn.IFNA(
   _xlfn._xlws.FILTER(
      Sim_Mul_Bet50!$H$3:$H$100,
      (Sim_Mul_Bet50!$A$3:$A$100=D$2) * (Sim_Mul_Bet50!$C$3:$C$100=$B44),0
   ),
   0
)</f>
        <v>0</v>
      </c>
      <c r="E44" s="181" cm="1">
        <f t="array" ref="E44">_xlfn.IFNA(
   _xlfn._xlws.FILTER(
      Sim_Mul_Bet50!$H$3:$H$100,
      (Sim_Mul_Bet50!$A$3:$A$100=E$2) * (Sim_Mul_Bet50!$C$3:$C$100=$B44),0
   ),
   0
)</f>
        <v>0</v>
      </c>
      <c r="F44" s="150" cm="1">
        <f t="array" ref="F44">_xlfn.IFNA(
   _xlfn._xlws.FILTER(
      Sim_Mul_Bet50!$O$3:$O$100,
      (Sim_Mul_Bet50!$A$3:$A$100=C$2) * (Sim_Mul_Bet50!$C$3:$C$100=$B44),0
   ),
   0
)</f>
        <v>0</v>
      </c>
      <c r="G44" s="146" cm="1">
        <f t="array" ref="G44">_xlfn.IFNA(
   _xlfn._xlws.FILTER(
      Sim_Mul_Bet50!$O$3:$O$100,
      (Sim_Mul_Bet50!$A$3:$A$100=D$2) * (Sim_Mul_Bet50!$C$3:$C$100=$B44),0
   ),
   0
)</f>
        <v>0</v>
      </c>
      <c r="H44" s="147" cm="1">
        <f t="array" ref="H44">_xlfn.IFNA(
   _xlfn._xlws.FILTER(
      Sim_Mul_Bet50!$O$3:$O$100,
      (Sim_Mul_Bet50!$A$3:$A$100=E$2) * (Sim_Mul_Bet50!$C$3:$C$100=$B44),0
   ),
   0
)</f>
        <v>0</v>
      </c>
      <c r="J44">
        <v>41</v>
      </c>
      <c r="K44" s="206">
        <v>800</v>
      </c>
      <c r="L44" s="210" t="s">
        <v>90</v>
      </c>
      <c r="M44" s="216">
        <f t="shared" si="2"/>
        <v>0</v>
      </c>
      <c r="N44" s="160">
        <f t="shared" si="6"/>
        <v>0</v>
      </c>
      <c r="O44" s="175">
        <v>0</v>
      </c>
      <c r="P44" s="175">
        <v>0</v>
      </c>
      <c r="Q44" s="175">
        <v>0</v>
      </c>
      <c r="R44" s="197">
        <f t="shared" si="0"/>
        <v>0</v>
      </c>
      <c r="T44" s="184">
        <v>0</v>
      </c>
      <c r="U44" s="199">
        <v>0</v>
      </c>
      <c r="V44" s="203">
        <f t="shared" si="1"/>
        <v>0</v>
      </c>
      <c r="W44" s="169"/>
      <c r="Y44" s="175">
        <f t="shared" si="7"/>
        <v>0</v>
      </c>
      <c r="Z44" s="175">
        <v>0</v>
      </c>
      <c r="AA44" s="175">
        <v>0</v>
      </c>
      <c r="AB44" s="272">
        <f t="shared" si="3"/>
        <v>0</v>
      </c>
      <c r="AD44" s="184">
        <f t="shared" si="4"/>
        <v>0</v>
      </c>
      <c r="AE44" s="199">
        <v>0</v>
      </c>
      <c r="AF44" s="278">
        <f t="shared" si="5"/>
        <v>0</v>
      </c>
    </row>
    <row r="45" spans="2:32">
      <c r="B45" s="142">
        <v>850</v>
      </c>
      <c r="C45" s="155" cm="1">
        <f t="array" ref="C45">_xlfn.IFNA(
   _xlfn._xlws.FILTER(
      Sim_Mul_Bet50!$H$3:$H$100,
      (Sim_Mul_Bet50!$A$3:$A$100=C$2) * (Sim_Mul_Bet50!$C$3:$C$100=$B45),0
   ),
   0
)</f>
        <v>0</v>
      </c>
      <c r="D45" s="156" cm="1">
        <f t="array" ref="D45">_xlfn.IFNA(
   _xlfn._xlws.FILTER(
      Sim_Mul_Bet50!$H$3:$H$100,
      (Sim_Mul_Bet50!$A$3:$A$100=D$2) * (Sim_Mul_Bet50!$C$3:$C$100=$B45),0
   ),
   0
)</f>
        <v>0</v>
      </c>
      <c r="E45" s="181" cm="1">
        <f t="array" ref="E45">_xlfn.IFNA(
   _xlfn._xlws.FILTER(
      Sim_Mul_Bet50!$H$3:$H$100,
      (Sim_Mul_Bet50!$A$3:$A$100=E$2) * (Sim_Mul_Bet50!$C$3:$C$100=$B45),0
   ),
   0
)</f>
        <v>0</v>
      </c>
      <c r="F45" s="150" cm="1">
        <f t="array" ref="F45">_xlfn.IFNA(
   _xlfn._xlws.FILTER(
      Sim_Mul_Bet50!$O$3:$O$100,
      (Sim_Mul_Bet50!$A$3:$A$100=C$2) * (Sim_Mul_Bet50!$C$3:$C$100=$B45),0
   ),
   0
)</f>
        <v>0</v>
      </c>
      <c r="G45" s="146" cm="1">
        <f t="array" ref="G45">_xlfn.IFNA(
   _xlfn._xlws.FILTER(
      Sim_Mul_Bet50!$O$3:$O$100,
      (Sim_Mul_Bet50!$A$3:$A$100=D$2) * (Sim_Mul_Bet50!$C$3:$C$100=$B45),0
   ),
   0
)</f>
        <v>0</v>
      </c>
      <c r="H45" s="147" cm="1">
        <f t="array" ref="H45">_xlfn.IFNA(
   _xlfn._xlws.FILTER(
      Sim_Mul_Bet50!$O$3:$O$100,
      (Sim_Mul_Bet50!$A$3:$A$100=E$2) * (Sim_Mul_Bet50!$C$3:$C$100=$B45),0
   ),
   0
)</f>
        <v>0</v>
      </c>
      <c r="J45">
        <v>42</v>
      </c>
      <c r="K45" s="206">
        <v>850</v>
      </c>
      <c r="L45" s="210" t="s">
        <v>90</v>
      </c>
      <c r="M45" s="216">
        <f t="shared" si="2"/>
        <v>0</v>
      </c>
      <c r="N45" s="160">
        <f t="shared" si="6"/>
        <v>0</v>
      </c>
      <c r="O45" s="175">
        <v>0</v>
      </c>
      <c r="P45" s="175">
        <v>0</v>
      </c>
      <c r="Q45" s="175">
        <v>0</v>
      </c>
      <c r="R45" s="197">
        <f t="shared" si="0"/>
        <v>0</v>
      </c>
      <c r="T45" s="184">
        <v>0</v>
      </c>
      <c r="U45" s="199">
        <v>0</v>
      </c>
      <c r="V45" s="203">
        <f t="shared" si="1"/>
        <v>0</v>
      </c>
      <c r="W45" s="169"/>
      <c r="Y45" s="175">
        <f t="shared" si="7"/>
        <v>0</v>
      </c>
      <c r="Z45" s="175">
        <v>0</v>
      </c>
      <c r="AA45" s="175">
        <v>0</v>
      </c>
      <c r="AB45" s="272">
        <f t="shared" si="3"/>
        <v>0</v>
      </c>
      <c r="AD45" s="184">
        <f t="shared" si="4"/>
        <v>0</v>
      </c>
      <c r="AE45" s="199">
        <v>0</v>
      </c>
      <c r="AF45" s="278">
        <f t="shared" si="5"/>
        <v>0</v>
      </c>
    </row>
    <row r="46" spans="2:32">
      <c r="B46" s="142">
        <v>900</v>
      </c>
      <c r="C46" s="155" cm="1">
        <f t="array" ref="C46">_xlfn.IFNA(
   _xlfn._xlws.FILTER(
      Sim_Mul_Bet50!$H$3:$H$100,
      (Sim_Mul_Bet50!$A$3:$A$100=C$2) * (Sim_Mul_Bet50!$C$3:$C$100=$B46),0
   ),
   0
)</f>
        <v>0</v>
      </c>
      <c r="D46" s="156" cm="1">
        <f t="array" ref="D46">_xlfn.IFNA(
   _xlfn._xlws.FILTER(
      Sim_Mul_Bet50!$H$3:$H$100,
      (Sim_Mul_Bet50!$A$3:$A$100=D$2) * (Sim_Mul_Bet50!$C$3:$C$100=$B46),0
   ),
   0
)</f>
        <v>0</v>
      </c>
      <c r="E46" s="181" cm="1">
        <f t="array" ref="E46">_xlfn.IFNA(
   _xlfn._xlws.FILTER(
      Sim_Mul_Bet50!$H$3:$H$100,
      (Sim_Mul_Bet50!$A$3:$A$100=E$2) * (Sim_Mul_Bet50!$C$3:$C$100=$B46),0
   ),
   0
)</f>
        <v>0</v>
      </c>
      <c r="F46" s="150" cm="1">
        <f t="array" ref="F46">_xlfn.IFNA(
   _xlfn._xlws.FILTER(
      Sim_Mul_Bet50!$O$3:$O$100,
      (Sim_Mul_Bet50!$A$3:$A$100=C$2) * (Sim_Mul_Bet50!$C$3:$C$100=$B46),0
   ),
   0
)</f>
        <v>0</v>
      </c>
      <c r="G46" s="146" cm="1">
        <f t="array" ref="G46">_xlfn.IFNA(
   _xlfn._xlws.FILTER(
      Sim_Mul_Bet50!$O$3:$O$100,
      (Sim_Mul_Bet50!$A$3:$A$100=D$2) * (Sim_Mul_Bet50!$C$3:$C$100=$B46),0
   ),
   0
)</f>
        <v>0</v>
      </c>
      <c r="H46" s="147" cm="1">
        <f t="array" ref="H46">_xlfn.IFNA(
   _xlfn._xlws.FILTER(
      Sim_Mul_Bet50!$O$3:$O$100,
      (Sim_Mul_Bet50!$A$3:$A$100=E$2) * (Sim_Mul_Bet50!$C$3:$C$100=$B46),0
   ),
   0
)</f>
        <v>0</v>
      </c>
      <c r="J46">
        <v>43</v>
      </c>
      <c r="K46" s="206">
        <v>900</v>
      </c>
      <c r="L46" s="210" t="s">
        <v>90</v>
      </c>
      <c r="M46" s="216">
        <f t="shared" si="2"/>
        <v>0</v>
      </c>
      <c r="N46" s="160">
        <f t="shared" si="6"/>
        <v>0</v>
      </c>
      <c r="O46" s="175">
        <v>0</v>
      </c>
      <c r="P46" s="175">
        <v>0</v>
      </c>
      <c r="Q46" s="175">
        <v>0</v>
      </c>
      <c r="R46" s="197">
        <f t="shared" si="0"/>
        <v>0</v>
      </c>
      <c r="T46" s="184">
        <v>0</v>
      </c>
      <c r="U46" s="199">
        <v>0</v>
      </c>
      <c r="V46" s="203">
        <f t="shared" si="1"/>
        <v>0</v>
      </c>
      <c r="W46" s="169"/>
      <c r="Y46" s="175">
        <f t="shared" si="7"/>
        <v>0</v>
      </c>
      <c r="Z46" s="175">
        <v>0</v>
      </c>
      <c r="AA46" s="175">
        <v>0</v>
      </c>
      <c r="AB46" s="272">
        <f t="shared" si="3"/>
        <v>0</v>
      </c>
      <c r="AD46" s="184">
        <f t="shared" si="4"/>
        <v>0</v>
      </c>
      <c r="AE46" s="199">
        <v>0</v>
      </c>
      <c r="AF46" s="278">
        <f t="shared" si="5"/>
        <v>0</v>
      </c>
    </row>
    <row r="47" spans="2:32">
      <c r="B47" s="142">
        <v>950</v>
      </c>
      <c r="C47" s="155" cm="1">
        <f t="array" ref="C47">_xlfn.IFNA(
   _xlfn._xlws.FILTER(
      Sim_Mul_Bet50!$H$3:$H$100,
      (Sim_Mul_Bet50!$A$3:$A$100=C$2) * (Sim_Mul_Bet50!$C$3:$C$100=$B47),0
   ),
   0
)</f>
        <v>0</v>
      </c>
      <c r="D47" s="156" cm="1">
        <f t="array" ref="D47">_xlfn.IFNA(
   _xlfn._xlws.FILTER(
      Sim_Mul_Bet50!$H$3:$H$100,
      (Sim_Mul_Bet50!$A$3:$A$100=D$2) * (Sim_Mul_Bet50!$C$3:$C$100=$B47),0
   ),
   0
)</f>
        <v>3.4706799999999999E-3</v>
      </c>
      <c r="E47" s="181" cm="1">
        <f t="array" ref="E47">_xlfn.IFNA(
   _xlfn._xlws.FILTER(
      Sim_Mul_Bet50!$H$3:$H$100,
      (Sim_Mul_Bet50!$A$3:$A$100=E$2) * (Sim_Mul_Bet50!$C$3:$C$100=$B47),0
   ),
   0
)</f>
        <v>0</v>
      </c>
      <c r="F47" s="150" cm="1">
        <f t="array" ref="F47">_xlfn.IFNA(
   _xlfn._xlws.FILTER(
      Sim_Mul_Bet50!$O$3:$O$100,
      (Sim_Mul_Bet50!$A$3:$A$100=C$2) * (Sim_Mul_Bet50!$C$3:$C$100=$B47),0
   ),
   0
)</f>
        <v>0</v>
      </c>
      <c r="G47" s="146" cm="1">
        <f t="array" ref="G47">_xlfn.IFNA(
   _xlfn._xlws.FILTER(
      Sim_Mul_Bet50!$O$3:$O$100,
      (Sim_Mul_Bet50!$A$3:$A$100=D$2) * (Sim_Mul_Bet50!$C$3:$C$100=$B47),0
   ),
   0
)</f>
        <v>1000</v>
      </c>
      <c r="H47" s="147" cm="1">
        <f t="array" ref="H47">_xlfn.IFNA(
   _xlfn._xlws.FILTER(
      Sim_Mul_Bet50!$O$3:$O$100,
      (Sim_Mul_Bet50!$A$3:$A$100=E$2) * (Sim_Mul_Bet50!$C$3:$C$100=$B47),0
   ),
   0
)</f>
        <v>0</v>
      </c>
      <c r="J47">
        <v>44</v>
      </c>
      <c r="K47" s="206">
        <v>950</v>
      </c>
      <c r="L47" s="210" t="s">
        <v>91</v>
      </c>
      <c r="M47" s="216">
        <f t="shared" si="2"/>
        <v>3.4706799999999999E-3</v>
      </c>
      <c r="N47" s="160">
        <f t="shared" si="6"/>
        <v>1000</v>
      </c>
      <c r="O47" s="175">
        <v>3.0000000000000001E-6</v>
      </c>
      <c r="P47" s="175">
        <v>3.0000000000000001E-6</v>
      </c>
      <c r="Q47" s="175">
        <v>0</v>
      </c>
      <c r="R47" s="197">
        <f t="shared" si="0"/>
        <v>3.0000000000000001E-3</v>
      </c>
      <c r="T47" s="184">
        <v>3</v>
      </c>
      <c r="U47" s="199">
        <v>3.0000000000000001E-6</v>
      </c>
      <c r="V47" s="203">
        <f t="shared" si="1"/>
        <v>3.0000000000000001E-3</v>
      </c>
      <c r="W47" s="169"/>
      <c r="Y47" s="175">
        <f t="shared" si="7"/>
        <v>0</v>
      </c>
      <c r="Z47" s="175">
        <v>0</v>
      </c>
      <c r="AA47" s="175">
        <v>0</v>
      </c>
      <c r="AB47" s="272">
        <f t="shared" si="3"/>
        <v>0</v>
      </c>
      <c r="AD47" s="184">
        <f t="shared" si="4"/>
        <v>0</v>
      </c>
      <c r="AE47" s="199">
        <v>0</v>
      </c>
      <c r="AF47" s="278">
        <f t="shared" si="5"/>
        <v>0</v>
      </c>
    </row>
    <row r="48" spans="2:32">
      <c r="B48" s="142">
        <v>1000</v>
      </c>
      <c r="C48" s="155" cm="1">
        <f t="array" ref="C48">_xlfn.IFNA(
   _xlfn._xlws.FILTER(
      Sim_Mul_Bet50!$H$3:$H$100,
      (Sim_Mul_Bet50!$A$3:$A$100=C$2) * (Sim_Mul_Bet50!$C$3:$C$100=$B48),0
   ),
   0
)</f>
        <v>0</v>
      </c>
      <c r="D48" s="156" cm="1">
        <f t="array" ref="D48">_xlfn.IFNA(
   _xlfn._xlws.FILTER(
      Sim_Mul_Bet50!$H$3:$H$100,
      (Sim_Mul_Bet50!$A$3:$A$100=D$2) * (Sim_Mul_Bet50!$C$3:$C$100=$B48),0
   ),
   0
)</f>
        <v>1.264622E-2</v>
      </c>
      <c r="E48" s="181" cm="1">
        <f t="array" ref="E48">_xlfn.IFNA(
   _xlfn._xlws.FILTER(
      Sim_Mul_Bet50!$H$3:$H$100,
      (Sim_Mul_Bet50!$A$3:$A$100=E$2) * (Sim_Mul_Bet50!$C$3:$C$100=$B48),0
   ),
   0
)</f>
        <v>0</v>
      </c>
      <c r="F48" s="150" cm="1">
        <f t="array" ref="F48">_xlfn.IFNA(
   _xlfn._xlws.FILTER(
      Sim_Mul_Bet50!$O$3:$O$100,
      (Sim_Mul_Bet50!$A$3:$A$100=C$2) * (Sim_Mul_Bet50!$C$3:$C$100=$B48),0
   ),
   0
)</f>
        <v>0</v>
      </c>
      <c r="G48" s="146" cm="1">
        <f t="array" ref="G48">_xlfn.IFNA(
   _xlfn._xlws.FILTER(
      Sim_Mul_Bet50!$O$3:$O$100,
      (Sim_Mul_Bet50!$A$3:$A$100=D$2) * (Sim_Mul_Bet50!$C$3:$C$100=$B48),0
   ),
   0
)</f>
        <v>1030.9360011608212</v>
      </c>
      <c r="H48" s="147" cm="1">
        <f t="array" ref="H48">_xlfn.IFNA(
   _xlfn._xlws.FILTER(
      Sim_Mul_Bet50!$O$3:$O$100,
      (Sim_Mul_Bet50!$A$3:$A$100=E$2) * (Sim_Mul_Bet50!$C$3:$C$100=$B48),0
   ),
   0
)</f>
        <v>0</v>
      </c>
      <c r="J48">
        <v>45</v>
      </c>
      <c r="K48" s="206">
        <v>1000</v>
      </c>
      <c r="L48" s="210" t="s">
        <v>91</v>
      </c>
      <c r="M48" s="216">
        <f t="shared" si="2"/>
        <v>1.264622E-2</v>
      </c>
      <c r="N48" s="160">
        <f t="shared" si="6"/>
        <v>1030.9360011608212</v>
      </c>
      <c r="O48" s="175">
        <v>9.9999999999999995E-7</v>
      </c>
      <c r="P48" s="175">
        <v>9.9999999999999995E-7</v>
      </c>
      <c r="Q48" s="175">
        <v>0</v>
      </c>
      <c r="R48" s="197">
        <f t="shared" si="0"/>
        <v>1.0309360011608211E-3</v>
      </c>
      <c r="T48" s="184">
        <v>1</v>
      </c>
      <c r="U48" s="199">
        <v>9.9999999999999995E-7</v>
      </c>
      <c r="V48" s="203">
        <f t="shared" si="1"/>
        <v>1.0309360011608211E-3</v>
      </c>
      <c r="W48" s="169"/>
      <c r="Y48" s="175">
        <f t="shared" si="7"/>
        <v>0</v>
      </c>
      <c r="Z48" s="175">
        <v>0</v>
      </c>
      <c r="AA48" s="175">
        <v>0</v>
      </c>
      <c r="AB48" s="272">
        <f t="shared" si="3"/>
        <v>0</v>
      </c>
      <c r="AD48" s="184">
        <f t="shared" si="4"/>
        <v>0</v>
      </c>
      <c r="AE48" s="199">
        <v>0</v>
      </c>
      <c r="AF48" s="278">
        <f t="shared" si="5"/>
        <v>0</v>
      </c>
    </row>
    <row r="49" spans="2:32">
      <c r="B49" s="142">
        <v>2000</v>
      </c>
      <c r="C49" s="155" cm="1">
        <f t="array" ref="C49">_xlfn.IFNA(
   _xlfn._xlws.FILTER(
      Sim_Mul_Bet50!$H$3:$H$100,
      (Sim_Mul_Bet50!$A$3:$A$100=C$2) * (Sim_Mul_Bet50!$C$3:$C$100=$B49),0
   ),
   0
)</f>
        <v>0</v>
      </c>
      <c r="D49" s="156" cm="1">
        <f t="array" ref="D49">_xlfn.IFNA(
   _xlfn._xlws.FILTER(
      Sim_Mul_Bet50!$H$3:$H$100,
      (Sim_Mul_Bet50!$A$3:$A$100=D$2) * (Sim_Mul_Bet50!$C$3:$C$100=$B49),0
   ),
   0
)</f>
        <v>1.39431E-3</v>
      </c>
      <c r="E49" s="181" cm="1">
        <f t="array" ref="E49">_xlfn.IFNA(
   _xlfn._xlws.FILTER(
      Sim_Mul_Bet50!$H$3:$H$100,
      (Sim_Mul_Bet50!$A$3:$A$100=E$2) * (Sim_Mul_Bet50!$C$3:$C$100=$B49),0
   ),
   0
)</f>
        <v>0</v>
      </c>
      <c r="F49" s="150" cm="1">
        <f t="array" ref="F49">_xlfn.IFNA(
   _xlfn._xlws.FILTER(
      Sim_Mul_Bet50!$O$3:$O$100,
      (Sim_Mul_Bet50!$A$3:$A$100=C$2) * (Sim_Mul_Bet50!$C$3:$C$100=$B49),0
   ),
   0
)</f>
        <v>0</v>
      </c>
      <c r="G49" s="146" cm="1">
        <f t="array" ref="G49">_xlfn.IFNA(
   _xlfn._xlws.FILTER(
      Sim_Mul_Bet50!$O$3:$O$100,
      (Sim_Mul_Bet50!$A$3:$A$100=D$2) * (Sim_Mul_Bet50!$C$3:$C$100=$B49),0
   ),
   0
)</f>
        <v>2012.4300693533003</v>
      </c>
      <c r="H49" s="147" cm="1">
        <f t="array" ref="H49">_xlfn.IFNA(
   _xlfn._xlws.FILTER(
      Sim_Mul_Bet50!$O$3:$O$100,
      (Sim_Mul_Bet50!$A$3:$A$100=E$2) * (Sim_Mul_Bet50!$C$3:$C$100=$B49),0
   ),
   0
)</f>
        <v>0</v>
      </c>
      <c r="J49">
        <v>46</v>
      </c>
      <c r="K49" s="206">
        <v>2000</v>
      </c>
      <c r="L49" s="210" t="s">
        <v>91</v>
      </c>
      <c r="M49" s="216">
        <f t="shared" si="2"/>
        <v>1.39431E-3</v>
      </c>
      <c r="N49" s="160">
        <f t="shared" si="6"/>
        <v>2012.4300693533003</v>
      </c>
      <c r="O49" s="175">
        <v>0</v>
      </c>
      <c r="P49" s="175">
        <v>0</v>
      </c>
      <c r="Q49" s="175">
        <v>0</v>
      </c>
      <c r="R49" s="197">
        <f t="shared" si="0"/>
        <v>0</v>
      </c>
      <c r="T49" s="184">
        <v>31</v>
      </c>
      <c r="U49" s="199">
        <v>3.1000000000000001E-5</v>
      </c>
      <c r="V49" s="203">
        <f t="shared" si="1"/>
        <v>6.2385332149952309E-2</v>
      </c>
      <c r="W49" s="169"/>
      <c r="Y49" s="175">
        <f t="shared" si="7"/>
        <v>0</v>
      </c>
      <c r="Z49" s="175">
        <v>0</v>
      </c>
      <c r="AA49" s="175">
        <v>0</v>
      </c>
      <c r="AB49" s="272">
        <f t="shared" si="3"/>
        <v>0</v>
      </c>
      <c r="AD49" s="184">
        <f t="shared" si="4"/>
        <v>0</v>
      </c>
      <c r="AE49" s="199">
        <v>0</v>
      </c>
      <c r="AF49" s="278">
        <f t="shared" si="5"/>
        <v>0</v>
      </c>
    </row>
    <row r="50" spans="2:32">
      <c r="B50" s="142">
        <v>3000</v>
      </c>
      <c r="C50" s="155" cm="1">
        <f t="array" ref="C50">_xlfn.IFNA(
   _xlfn._xlws.FILTER(
      Sim_Mul_Bet50!$H$3:$H$100,
      (Sim_Mul_Bet50!$A$3:$A$100=C$2) * (Sim_Mul_Bet50!$C$3:$C$100=$B50),0
   ),
   0
)</f>
        <v>0</v>
      </c>
      <c r="D50" s="156" cm="1">
        <f t="array" ref="D50">_xlfn.IFNA(
   _xlfn._xlws.FILTER(
      Sim_Mul_Bet50!$H$3:$H$100,
      (Sim_Mul_Bet50!$A$3:$A$100=D$2) * (Sim_Mul_Bet50!$C$3:$C$100=$B50),0
   ),
   0
)</f>
        <v>0</v>
      </c>
      <c r="E50" s="181" cm="1">
        <f t="array" ref="E50">_xlfn.IFNA(
   _xlfn._xlws.FILTER(
      Sim_Mul_Bet50!$H$3:$H$100,
      (Sim_Mul_Bet50!$A$3:$A$100=E$2) * (Sim_Mul_Bet50!$C$3:$C$100=$B50),0
   ),
   0
)</f>
        <v>0</v>
      </c>
      <c r="F50" s="150" cm="1">
        <f t="array" ref="F50">_xlfn.IFNA(
   _xlfn._xlws.FILTER(
      Sim_Mul_Bet50!$O$3:$O$100,
      (Sim_Mul_Bet50!$A$3:$A$100=C$2) * (Sim_Mul_Bet50!$C$3:$C$100=$B50),0
   ),
   0
)</f>
        <v>0</v>
      </c>
      <c r="G50" s="146" cm="1">
        <f t="array" ref="G50">_xlfn.IFNA(
   _xlfn._xlws.FILTER(
      Sim_Mul_Bet50!$O$3:$O$100,
      (Sim_Mul_Bet50!$A$3:$A$100=D$2) * (Sim_Mul_Bet50!$C$3:$C$100=$B50),0
   ),
   0
)</f>
        <v>0</v>
      </c>
      <c r="H50" s="147" cm="1">
        <f t="array" ref="H50">_xlfn.IFNA(
   _xlfn._xlws.FILTER(
      Sim_Mul_Bet50!$O$3:$O$100,
      (Sim_Mul_Bet50!$A$3:$A$100=E$2) * (Sim_Mul_Bet50!$C$3:$C$100=$B50),0
   ),
   0
)</f>
        <v>0</v>
      </c>
      <c r="J50">
        <v>47</v>
      </c>
      <c r="K50" s="206">
        <v>3000</v>
      </c>
      <c r="L50" s="210" t="s">
        <v>90</v>
      </c>
      <c r="M50" s="216">
        <f t="shared" si="2"/>
        <v>0</v>
      </c>
      <c r="N50" s="160">
        <f t="shared" si="6"/>
        <v>0</v>
      </c>
      <c r="O50" s="175">
        <v>0</v>
      </c>
      <c r="P50" s="175">
        <v>0</v>
      </c>
      <c r="Q50" s="175">
        <v>0</v>
      </c>
      <c r="R50" s="197">
        <f t="shared" si="0"/>
        <v>0</v>
      </c>
      <c r="T50" s="184">
        <v>0</v>
      </c>
      <c r="U50" s="199">
        <v>0</v>
      </c>
      <c r="V50" s="203">
        <f t="shared" si="1"/>
        <v>0</v>
      </c>
      <c r="W50" s="169"/>
      <c r="Y50" s="175">
        <f t="shared" si="7"/>
        <v>0</v>
      </c>
      <c r="Z50" s="175">
        <v>0</v>
      </c>
      <c r="AA50" s="175">
        <v>0</v>
      </c>
      <c r="AB50" s="272">
        <f t="shared" si="3"/>
        <v>0</v>
      </c>
      <c r="AD50" s="184">
        <f t="shared" si="4"/>
        <v>0</v>
      </c>
      <c r="AE50" s="199">
        <v>0</v>
      </c>
      <c r="AF50" s="278">
        <f t="shared" si="5"/>
        <v>0</v>
      </c>
    </row>
    <row r="51" spans="2:32">
      <c r="B51" s="142">
        <v>4000</v>
      </c>
      <c r="C51" s="155" cm="1">
        <f t="array" ref="C51">_xlfn.IFNA(
   _xlfn._xlws.FILTER(
      Sim_Mul_Bet50!$H$3:$H$100,
      (Sim_Mul_Bet50!$A$3:$A$100=C$2) * (Sim_Mul_Bet50!$C$3:$C$100=$B51),0
   ),
   0
)</f>
        <v>0</v>
      </c>
      <c r="D51" s="156" cm="1">
        <f t="array" ref="D51">_xlfn.IFNA(
   _xlfn._xlws.FILTER(
      Sim_Mul_Bet50!$H$3:$H$100,
      (Sim_Mul_Bet50!$A$3:$A$100=D$2) * (Sim_Mul_Bet50!$C$3:$C$100=$B51),0
   ),
   0
)</f>
        <v>0</v>
      </c>
      <c r="E51" s="181" cm="1">
        <f t="array" ref="E51">_xlfn.IFNA(
   _xlfn._xlws.FILTER(
      Sim_Mul_Bet50!$H$3:$H$100,
      (Sim_Mul_Bet50!$A$3:$A$100=E$2) * (Sim_Mul_Bet50!$C$3:$C$100=$B51),0
   ),
   0
)</f>
        <v>0</v>
      </c>
      <c r="F51" s="150" cm="1">
        <f t="array" ref="F51">_xlfn.IFNA(
   _xlfn._xlws.FILTER(
      Sim_Mul_Bet50!$O$3:$O$100,
      (Sim_Mul_Bet50!$A$3:$A$100=C$2) * (Sim_Mul_Bet50!$C$3:$C$100=$B51),0
   ),
   0
)</f>
        <v>0</v>
      </c>
      <c r="G51" s="146" cm="1">
        <f t="array" ref="G51">_xlfn.IFNA(
   _xlfn._xlws.FILTER(
      Sim_Mul_Bet50!$O$3:$O$100,
      (Sim_Mul_Bet50!$A$3:$A$100=D$2) * (Sim_Mul_Bet50!$C$3:$C$100=$B51),0
   ),
   0
)</f>
        <v>0</v>
      </c>
      <c r="H51" s="147" cm="1">
        <f t="array" ref="H51">_xlfn.IFNA(
   _xlfn._xlws.FILTER(
      Sim_Mul_Bet50!$O$3:$O$100,
      (Sim_Mul_Bet50!$A$3:$A$100=E$2) * (Sim_Mul_Bet50!$C$3:$C$100=$B51),0
   ),
   0
)</f>
        <v>0</v>
      </c>
      <c r="J51">
        <v>48</v>
      </c>
      <c r="K51" s="206">
        <v>4000</v>
      </c>
      <c r="L51" s="210" t="s">
        <v>90</v>
      </c>
      <c r="M51" s="216">
        <f t="shared" si="2"/>
        <v>0</v>
      </c>
      <c r="N51" s="160">
        <f t="shared" si="6"/>
        <v>0</v>
      </c>
      <c r="O51" s="175">
        <v>0</v>
      </c>
      <c r="P51" s="175">
        <v>0</v>
      </c>
      <c r="Q51" s="175">
        <v>0</v>
      </c>
      <c r="R51" s="197">
        <f t="shared" si="0"/>
        <v>0</v>
      </c>
      <c r="T51" s="184">
        <v>0</v>
      </c>
      <c r="U51" s="199">
        <v>0</v>
      </c>
      <c r="V51" s="203">
        <f t="shared" si="1"/>
        <v>0</v>
      </c>
      <c r="W51" s="169"/>
      <c r="Y51" s="175">
        <f t="shared" si="7"/>
        <v>0</v>
      </c>
      <c r="Z51" s="175">
        <v>0</v>
      </c>
      <c r="AA51" s="175">
        <v>0</v>
      </c>
      <c r="AB51" s="272">
        <f t="shared" si="3"/>
        <v>0</v>
      </c>
      <c r="AD51" s="184">
        <f t="shared" si="4"/>
        <v>0</v>
      </c>
      <c r="AE51" s="199">
        <v>0</v>
      </c>
      <c r="AF51" s="278">
        <f t="shared" si="5"/>
        <v>0</v>
      </c>
    </row>
    <row r="52" spans="2:32">
      <c r="B52" s="142">
        <v>5000</v>
      </c>
      <c r="C52" s="155" cm="1">
        <f t="array" ref="C52">_xlfn.IFNA(
   _xlfn._xlws.FILTER(
      Sim_Mul_Bet50!$H$3:$H$100,
      (Sim_Mul_Bet50!$A$3:$A$100=C$2) * (Sim_Mul_Bet50!$C$3:$C$100=$B52),0
   ),
   0
)</f>
        <v>0</v>
      </c>
      <c r="D52" s="156" cm="1">
        <f t="array" ref="D52">_xlfn.IFNA(
   _xlfn._xlws.FILTER(
      Sim_Mul_Bet50!$H$3:$H$100,
      (Sim_Mul_Bet50!$A$3:$A$100=D$2) * (Sim_Mul_Bet50!$C$3:$C$100=$B52),0
   ),
   0
)</f>
        <v>0</v>
      </c>
      <c r="E52" s="181" cm="1">
        <f t="array" ref="E52">_xlfn.IFNA(
   _xlfn._xlws.FILTER(
      Sim_Mul_Bet50!$H$3:$H$100,
      (Sim_Mul_Bet50!$A$3:$A$100=E$2) * (Sim_Mul_Bet50!$C$3:$C$100=$B52),0
   ),
   0
)</f>
        <v>0</v>
      </c>
      <c r="F52" s="150" cm="1">
        <f t="array" ref="F52">_xlfn.IFNA(
   _xlfn._xlws.FILTER(
      Sim_Mul_Bet50!$O$3:$O$100,
      (Sim_Mul_Bet50!$A$3:$A$100=C$2) * (Sim_Mul_Bet50!$C$3:$C$100=$B52),0
   ),
   0
)</f>
        <v>0</v>
      </c>
      <c r="G52" s="146" cm="1">
        <f t="array" ref="G52">_xlfn.IFNA(
   _xlfn._xlws.FILTER(
      Sim_Mul_Bet50!$O$3:$O$100,
      (Sim_Mul_Bet50!$A$3:$A$100=D$2) * (Sim_Mul_Bet50!$C$3:$C$100=$B52),0
   ),
   0
)</f>
        <v>0</v>
      </c>
      <c r="H52" s="147" cm="1">
        <f t="array" ref="H52">_xlfn.IFNA(
   _xlfn._xlws.FILTER(
      Sim_Mul_Bet50!$O$3:$O$100,
      (Sim_Mul_Bet50!$A$3:$A$100=E$2) * (Sim_Mul_Bet50!$C$3:$C$100=$B52),0
   ),
   0
)</f>
        <v>0</v>
      </c>
      <c r="J52">
        <v>49</v>
      </c>
      <c r="K52" s="206">
        <v>5000</v>
      </c>
      <c r="L52" s="210" t="s">
        <v>90</v>
      </c>
      <c r="M52" s="216">
        <f t="shared" si="2"/>
        <v>0</v>
      </c>
      <c r="N52" s="160">
        <f t="shared" si="6"/>
        <v>0</v>
      </c>
      <c r="O52" s="175">
        <v>0</v>
      </c>
      <c r="P52" s="175">
        <v>0</v>
      </c>
      <c r="Q52" s="175">
        <v>0</v>
      </c>
      <c r="R52" s="197">
        <f t="shared" si="0"/>
        <v>0</v>
      </c>
      <c r="T52" s="184">
        <v>0</v>
      </c>
      <c r="U52" s="199">
        <v>0</v>
      </c>
      <c r="V52" s="203">
        <f t="shared" si="1"/>
        <v>0</v>
      </c>
      <c r="W52" s="169"/>
      <c r="Y52" s="175">
        <f t="shared" si="7"/>
        <v>0</v>
      </c>
      <c r="Z52" s="175">
        <v>0</v>
      </c>
      <c r="AA52" s="175">
        <v>0</v>
      </c>
      <c r="AB52" s="272">
        <f t="shared" si="3"/>
        <v>0</v>
      </c>
      <c r="AD52" s="184">
        <f t="shared" si="4"/>
        <v>0</v>
      </c>
      <c r="AE52" s="199">
        <v>0</v>
      </c>
      <c r="AF52" s="278">
        <f t="shared" si="5"/>
        <v>0</v>
      </c>
    </row>
    <row r="53" spans="2:32">
      <c r="B53" s="142">
        <v>6000</v>
      </c>
      <c r="C53" s="155" cm="1">
        <f t="array" ref="C53">_xlfn.IFNA(
   _xlfn._xlws.FILTER(
      Sim_Mul_Bet50!$H$3:$H$100,
      (Sim_Mul_Bet50!$A$3:$A$100=C$2) * (Sim_Mul_Bet50!$C$3:$C$100=$B53),0
   ),
   0
)</f>
        <v>0</v>
      </c>
      <c r="D53" s="156" cm="1">
        <f t="array" ref="D53">_xlfn.IFNA(
   _xlfn._xlws.FILTER(
      Sim_Mul_Bet50!$H$3:$H$100,
      (Sim_Mul_Bet50!$A$3:$A$100=D$2) * (Sim_Mul_Bet50!$C$3:$C$100=$B53),0
   ),
   0
)</f>
        <v>0</v>
      </c>
      <c r="E53" s="181" cm="1">
        <f t="array" ref="E53">_xlfn.IFNA(
   _xlfn._xlws.FILTER(
      Sim_Mul_Bet50!$H$3:$H$100,
      (Sim_Mul_Bet50!$A$3:$A$100=E$2) * (Sim_Mul_Bet50!$C$3:$C$100=$B53),0
   ),
   0
)</f>
        <v>0</v>
      </c>
      <c r="F53" s="150" cm="1">
        <f t="array" ref="F53">_xlfn.IFNA(
   _xlfn._xlws.FILTER(
      Sim_Mul_Bet50!$O$3:$O$100,
      (Sim_Mul_Bet50!$A$3:$A$100=C$2) * (Sim_Mul_Bet50!$C$3:$C$100=$B53),0
   ),
   0
)</f>
        <v>0</v>
      </c>
      <c r="G53" s="146" cm="1">
        <f t="array" ref="G53">_xlfn.IFNA(
   _xlfn._xlws.FILTER(
      Sim_Mul_Bet50!$O$3:$O$100,
      (Sim_Mul_Bet50!$A$3:$A$100=D$2) * (Sim_Mul_Bet50!$C$3:$C$100=$B53),0
   ),
   0
)</f>
        <v>0</v>
      </c>
      <c r="H53" s="147" cm="1">
        <f t="array" ref="H53">_xlfn.IFNA(
   _xlfn._xlws.FILTER(
      Sim_Mul_Bet50!$O$3:$O$100,
      (Sim_Mul_Bet50!$A$3:$A$100=E$2) * (Sim_Mul_Bet50!$C$3:$C$100=$B53),0
   ),
   0
)</f>
        <v>0</v>
      </c>
      <c r="J53">
        <v>50</v>
      </c>
      <c r="K53" s="206">
        <v>6000</v>
      </c>
      <c r="L53" s="210" t="s">
        <v>90</v>
      </c>
      <c r="M53" s="216">
        <f t="shared" si="2"/>
        <v>0</v>
      </c>
      <c r="N53" s="160">
        <f t="shared" si="6"/>
        <v>0</v>
      </c>
      <c r="O53" s="175">
        <v>0</v>
      </c>
      <c r="P53" s="175">
        <v>0</v>
      </c>
      <c r="Q53" s="175">
        <v>0</v>
      </c>
      <c r="R53" s="197">
        <f t="shared" si="0"/>
        <v>0</v>
      </c>
      <c r="T53" s="184">
        <v>0</v>
      </c>
      <c r="U53" s="199">
        <v>0</v>
      </c>
      <c r="V53" s="203">
        <f t="shared" si="1"/>
        <v>0</v>
      </c>
      <c r="W53" s="169"/>
      <c r="Y53" s="175">
        <f t="shared" si="7"/>
        <v>0</v>
      </c>
      <c r="Z53" s="175">
        <v>0</v>
      </c>
      <c r="AA53" s="175">
        <v>0</v>
      </c>
      <c r="AB53" s="272">
        <f t="shared" si="3"/>
        <v>0</v>
      </c>
      <c r="AD53" s="184">
        <f t="shared" si="4"/>
        <v>0</v>
      </c>
      <c r="AE53" s="199">
        <v>0</v>
      </c>
      <c r="AF53" s="278">
        <f t="shared" si="5"/>
        <v>0</v>
      </c>
    </row>
    <row r="54" spans="2:32" ht="16.8" thickBot="1">
      <c r="B54" s="143">
        <v>7000</v>
      </c>
      <c r="C54" s="157" cm="1">
        <f t="array" ref="C54">_xlfn.IFNA(
   _xlfn._xlws.FILTER(
      Sim_Mul_Bet50!$H$3:$H$100,
      (Sim_Mul_Bet50!$A$3:$A$100=C$2) * (Sim_Mul_Bet50!$C$3:$C$100=$B54),0
   ),
   0
)</f>
        <v>0</v>
      </c>
      <c r="D54" s="158" cm="1">
        <f t="array" ref="D54">_xlfn.IFNA(
   _xlfn._xlws.FILTER(
      Sim_Mul_Bet50!$H$3:$H$100,
      (Sim_Mul_Bet50!$A$3:$A$100=D$2) * (Sim_Mul_Bet50!$C$3:$C$100=$B54),0
   ),
   0
)</f>
        <v>0</v>
      </c>
      <c r="E54" s="182" cm="1">
        <f t="array" ref="E54">_xlfn.IFNA(
   _xlfn._xlws.FILTER(
      Sim_Mul_Bet50!$H$3:$H$100,
      (Sim_Mul_Bet50!$A$3:$A$100=E$2) * (Sim_Mul_Bet50!$C$3:$C$100=$B54),0
   ),
   0
)</f>
        <v>0</v>
      </c>
      <c r="F54" s="151" cm="1">
        <f t="array" ref="F54">_xlfn.IFNA(
   _xlfn._xlws.FILTER(
      Sim_Mul_Bet50!$O$3:$O$100,
      (Sim_Mul_Bet50!$A$3:$A$100=C$2) * (Sim_Mul_Bet50!$C$3:$C$100=$B54),0
   ),
   0
)</f>
        <v>0</v>
      </c>
      <c r="G54" s="148" cm="1">
        <f t="array" ref="G54">_xlfn.IFNA(
   _xlfn._xlws.FILTER(
      Sim_Mul_Bet50!$O$3:$O$100,
      (Sim_Mul_Bet50!$A$3:$A$100=D$2) * (Sim_Mul_Bet50!$C$3:$C$100=$B54),0
   ),
   0
)</f>
        <v>0</v>
      </c>
      <c r="H54" s="149" cm="1">
        <f t="array" ref="H54">_xlfn.IFNA(
   _xlfn._xlws.FILTER(
      Sim_Mul_Bet50!$O$3:$O$100,
      (Sim_Mul_Bet50!$A$3:$A$100=E$2) * (Sim_Mul_Bet50!$C$3:$C$100=$B54),0
   ),
   0
)</f>
        <v>0</v>
      </c>
      <c r="J54">
        <v>51</v>
      </c>
      <c r="K54" s="207">
        <v>7000</v>
      </c>
      <c r="L54" s="211" t="s">
        <v>90</v>
      </c>
      <c r="M54" s="217">
        <f t="shared" si="2"/>
        <v>0</v>
      </c>
      <c r="N54" s="161">
        <f t="shared" si="6"/>
        <v>0</v>
      </c>
      <c r="O54" s="176">
        <v>0</v>
      </c>
      <c r="P54" s="176">
        <v>0</v>
      </c>
      <c r="Q54" s="176">
        <v>0</v>
      </c>
      <c r="R54" s="197">
        <f t="shared" si="0"/>
        <v>0</v>
      </c>
      <c r="T54" s="185">
        <v>0</v>
      </c>
      <c r="U54" s="200">
        <v>0</v>
      </c>
      <c r="V54" s="204">
        <f t="shared" si="1"/>
        <v>0</v>
      </c>
      <c r="W54" s="169"/>
      <c r="Y54" s="175">
        <f t="shared" si="7"/>
        <v>0</v>
      </c>
      <c r="Z54" s="176">
        <v>0</v>
      </c>
      <c r="AA54" s="176">
        <v>0</v>
      </c>
      <c r="AB54" s="272">
        <f t="shared" si="3"/>
        <v>0</v>
      </c>
      <c r="AD54" s="185">
        <f t="shared" si="4"/>
        <v>0</v>
      </c>
      <c r="AE54" s="200">
        <v>0</v>
      </c>
      <c r="AF54" s="279">
        <f t="shared" si="5"/>
        <v>0</v>
      </c>
    </row>
  </sheetData>
  <mergeCells count="2">
    <mergeCell ref="C1:E1"/>
    <mergeCell ref="F1:H1"/>
  </mergeCells>
  <phoneticPr fontId="1" type="noConversion"/>
  <conditionalFormatting sqref="N1:N1048576">
    <cfRule type="cellIs" dxfId="2039" priority="16" operator="equal">
      <formula>0</formula>
    </cfRule>
  </conditionalFormatting>
  <conditionalFormatting sqref="C4:E54 T1:T1048576 O1:O2 C3:D3 O55:O1048576 Q55:Q1048576 Q1:Q2">
    <cfRule type="cellIs" dxfId="2038" priority="17" operator="equal">
      <formula>0</formula>
    </cfRule>
  </conditionalFormatting>
  <conditionalFormatting sqref="F4:H54 G3">
    <cfRule type="cellIs" dxfId="2037" priority="15" operator="equal">
      <formula>0</formula>
    </cfRule>
  </conditionalFormatting>
  <conditionalFormatting sqref="O3">
    <cfRule type="cellIs" dxfId="2036" priority="13" operator="equal">
      <formula>0</formula>
    </cfRule>
  </conditionalFormatting>
  <conditionalFormatting sqref="Q3:Q54">
    <cfRule type="cellIs" dxfId="2035" priority="12" operator="equal">
      <formula>0</formula>
    </cfRule>
  </conditionalFormatting>
  <conditionalFormatting sqref="O4:O37 O49:O54">
    <cfRule type="cellIs" dxfId="2034" priority="11" operator="equal">
      <formula>0</formula>
    </cfRule>
  </conditionalFormatting>
  <conditionalFormatting sqref="M1:M1048576">
    <cfRule type="cellIs" dxfId="2033" priority="14" operator="lessThan">
      <formula>0.001</formula>
    </cfRule>
  </conditionalFormatting>
  <conditionalFormatting sqref="P1:P2 P55:P1048576">
    <cfRule type="cellIs" dxfId="2032" priority="10" operator="equal">
      <formula>0</formula>
    </cfRule>
  </conditionalFormatting>
  <conditionalFormatting sqref="P3">
    <cfRule type="cellIs" dxfId="2031" priority="9" operator="equal">
      <formula>0</formula>
    </cfRule>
  </conditionalFormatting>
  <conditionalFormatting sqref="P4:P54">
    <cfRule type="cellIs" dxfId="2030" priority="8" operator="equal">
      <formula>0</formula>
    </cfRule>
  </conditionalFormatting>
  <conditionalFormatting sqref="AD1:AD1048576 Y1:Y2 Y55:Y1048576 AA55:AA1048576 AA1:AA2">
    <cfRule type="cellIs" dxfId="2029" priority="7" operator="equal">
      <formula>0</formula>
    </cfRule>
  </conditionalFormatting>
  <conditionalFormatting sqref="Y3:Y54">
    <cfRule type="cellIs" dxfId="2028" priority="6" operator="equal">
      <formula>0</formula>
    </cfRule>
  </conditionalFormatting>
  <conditionalFormatting sqref="AA3">
    <cfRule type="cellIs" dxfId="2027" priority="5" operator="equal">
      <formula>0</formula>
    </cfRule>
  </conditionalFormatting>
  <conditionalFormatting sqref="Z1:Z2 Z55:Z1048576">
    <cfRule type="cellIs" dxfId="2026" priority="4" operator="equal">
      <formula>0</formula>
    </cfRule>
  </conditionalFormatting>
  <conditionalFormatting sqref="Z3:Z54">
    <cfRule type="cellIs" dxfId="2025" priority="3" operator="equal">
      <formula>0</formula>
    </cfRule>
  </conditionalFormatting>
  <conditionalFormatting sqref="AA4:AA54">
    <cfRule type="cellIs" dxfId="2024" priority="2" operator="equal">
      <formula>0</formula>
    </cfRule>
  </conditionalFormatting>
  <conditionalFormatting sqref="O38:O48">
    <cfRule type="cellIs" dxfId="2023" priority="1" operator="equal">
      <formula>0</formula>
    </cfRule>
  </conditionalFormatting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C7BEFA-46DA-4B50-B491-7D3FEE9B8C66}">
  <dimension ref="A1:AI68"/>
  <sheetViews>
    <sheetView workbookViewId="0">
      <selection sqref="A1:C1"/>
    </sheetView>
  </sheetViews>
  <sheetFormatPr defaultRowHeight="16.2"/>
  <cols>
    <col min="13" max="13" width="10.5546875" bestFit="1" customWidth="1"/>
    <col min="15" max="15" width="8.88671875" style="167"/>
    <col min="21" max="21" width="10.5546875" bestFit="1" customWidth="1"/>
  </cols>
  <sheetData>
    <row r="1" spans="1:35">
      <c r="O1" s="167">
        <v>50</v>
      </c>
    </row>
    <row r="2" spans="1:35">
      <c r="J2">
        <f>SUMPRODUCT(_xlfn.ANCHORARRAY(H4),O4:O23)</f>
        <v>0.96570119840000013</v>
      </c>
    </row>
    <row r="3" spans="1:35">
      <c r="H3" s="137" t="s">
        <v>158</v>
      </c>
      <c r="O3" s="167" t="s">
        <v>157</v>
      </c>
      <c r="U3" t="s">
        <v>158</v>
      </c>
    </row>
    <row r="4" spans="1:35">
      <c r="A4" t="s">
        <v>90</v>
      </c>
      <c r="B4" t="s">
        <v>147</v>
      </c>
      <c r="C4">
        <v>0</v>
      </c>
      <c r="F4" t="s">
        <v>148</v>
      </c>
      <c r="G4">
        <v>87046402</v>
      </c>
      <c r="H4" s="137" cm="1">
        <f t="array" ref="H4:H23">G4:G23/SUM(G4:$G$23)</f>
        <v>0.87046402</v>
      </c>
      <c r="K4" t="s">
        <v>149</v>
      </c>
      <c r="L4" t="s">
        <v>148</v>
      </c>
      <c r="M4">
        <v>0</v>
      </c>
      <c r="O4" s="167">
        <f>M4/G4/$O$1</f>
        <v>0</v>
      </c>
      <c r="R4" t="s">
        <v>150</v>
      </c>
      <c r="S4" t="s">
        <v>148</v>
      </c>
      <c r="T4" t="s">
        <v>156</v>
      </c>
      <c r="U4" s="137" cm="1">
        <f t="array" ref="U4">_xlfn.IFS(T4="null",0,T4="","",T4/G4&gt;=0,T4/G4)</f>
        <v>0</v>
      </c>
      <c r="X4" t="s">
        <v>152</v>
      </c>
      <c r="Y4" t="s">
        <v>148</v>
      </c>
      <c r="Z4" t="s">
        <v>156</v>
      </c>
      <c r="AA4" t="s">
        <v>153</v>
      </c>
      <c r="AB4" t="s">
        <v>148</v>
      </c>
      <c r="AC4" t="s">
        <v>156</v>
      </c>
      <c r="AD4" t="s">
        <v>154</v>
      </c>
      <c r="AE4" t="s">
        <v>148</v>
      </c>
      <c r="AF4" t="s">
        <v>156</v>
      </c>
      <c r="AG4" t="s">
        <v>155</v>
      </c>
      <c r="AH4" t="s">
        <v>148</v>
      </c>
      <c r="AI4" t="s">
        <v>156</v>
      </c>
    </row>
    <row r="5" spans="1:35">
      <c r="A5" t="s">
        <v>90</v>
      </c>
      <c r="B5" t="s">
        <v>147</v>
      </c>
      <c r="C5">
        <v>1</v>
      </c>
      <c r="F5" t="s">
        <v>148</v>
      </c>
      <c r="G5">
        <v>6900552</v>
      </c>
      <c r="H5">
        <v>6.9005520000000001E-2</v>
      </c>
      <c r="K5" t="s">
        <v>149</v>
      </c>
      <c r="L5" t="s">
        <v>148</v>
      </c>
      <c r="M5">
        <v>345841628</v>
      </c>
      <c r="O5" s="167">
        <f t="shared" ref="O5:O23" si="0">M5/G5/$O$1</f>
        <v>1.0023593127042592</v>
      </c>
      <c r="R5" t="s">
        <v>150</v>
      </c>
      <c r="S5" t="s">
        <v>148</v>
      </c>
      <c r="T5" t="s">
        <v>156</v>
      </c>
      <c r="U5" s="137" cm="1">
        <f t="array" ref="U5">_xlfn.IFS(T5="null",0,T5="","",T5/G5&gt;=0,T5/G5)</f>
        <v>0</v>
      </c>
      <c r="X5" t="s">
        <v>152</v>
      </c>
      <c r="Y5" t="s">
        <v>148</v>
      </c>
      <c r="Z5" t="s">
        <v>156</v>
      </c>
      <c r="AA5" t="s">
        <v>153</v>
      </c>
      <c r="AB5" t="s">
        <v>148</v>
      </c>
      <c r="AC5" t="s">
        <v>156</v>
      </c>
      <c r="AD5" t="s">
        <v>154</v>
      </c>
      <c r="AE5" t="s">
        <v>148</v>
      </c>
      <c r="AF5" t="s">
        <v>156</v>
      </c>
      <c r="AG5" t="s">
        <v>155</v>
      </c>
      <c r="AH5" t="s">
        <v>148</v>
      </c>
      <c r="AI5" t="s">
        <v>156</v>
      </c>
    </row>
    <row r="6" spans="1:35">
      <c r="A6" t="s">
        <v>90</v>
      </c>
      <c r="B6" t="s">
        <v>147</v>
      </c>
      <c r="C6">
        <v>2</v>
      </c>
      <c r="F6" t="s">
        <v>148</v>
      </c>
      <c r="G6">
        <v>1362186</v>
      </c>
      <c r="H6">
        <v>1.362186E-2</v>
      </c>
      <c r="K6" t="s">
        <v>149</v>
      </c>
      <c r="L6" t="s">
        <v>148</v>
      </c>
      <c r="M6">
        <v>138148043</v>
      </c>
      <c r="O6" s="167">
        <f t="shared" si="0"/>
        <v>2.0283286276617143</v>
      </c>
      <c r="R6" t="s">
        <v>150</v>
      </c>
      <c r="S6" t="s">
        <v>148</v>
      </c>
      <c r="T6" t="s">
        <v>156</v>
      </c>
      <c r="U6" s="137" cm="1">
        <f t="array" ref="U6">_xlfn.IFS(T6="null",0,T6="","",T6/G6&gt;=0,T6/G6)</f>
        <v>0</v>
      </c>
      <c r="X6" t="s">
        <v>152</v>
      </c>
      <c r="Y6" t="s">
        <v>148</v>
      </c>
      <c r="Z6" t="s">
        <v>156</v>
      </c>
      <c r="AA6" t="s">
        <v>153</v>
      </c>
      <c r="AB6" t="s">
        <v>148</v>
      </c>
      <c r="AC6" t="s">
        <v>156</v>
      </c>
      <c r="AD6" t="s">
        <v>154</v>
      </c>
      <c r="AE6" t="s">
        <v>148</v>
      </c>
      <c r="AF6" t="s">
        <v>156</v>
      </c>
      <c r="AG6" t="s">
        <v>155</v>
      </c>
      <c r="AH6" t="s">
        <v>148</v>
      </c>
      <c r="AI6" t="s">
        <v>156</v>
      </c>
    </row>
    <row r="7" spans="1:35">
      <c r="A7" t="s">
        <v>90</v>
      </c>
      <c r="B7" t="s">
        <v>147</v>
      </c>
      <c r="C7">
        <v>3</v>
      </c>
      <c r="F7" t="s">
        <v>148</v>
      </c>
      <c r="G7">
        <v>96654</v>
      </c>
      <c r="H7">
        <v>9.6654E-4</v>
      </c>
      <c r="K7" t="s">
        <v>149</v>
      </c>
      <c r="L7" t="s">
        <v>148</v>
      </c>
      <c r="M7">
        <v>14668269</v>
      </c>
      <c r="O7" s="167">
        <f t="shared" si="0"/>
        <v>3.0352119932956731</v>
      </c>
      <c r="R7" t="s">
        <v>150</v>
      </c>
      <c r="S7" t="s">
        <v>148</v>
      </c>
      <c r="T7" t="s">
        <v>156</v>
      </c>
      <c r="U7" s="137" cm="1">
        <f t="array" ref="U7">_xlfn.IFS(T7="null",0,T7="","",T7/G7&gt;=0,T7/G7)</f>
        <v>0</v>
      </c>
      <c r="X7" t="s">
        <v>152</v>
      </c>
      <c r="Y7" t="s">
        <v>148</v>
      </c>
      <c r="Z7" t="s">
        <v>156</v>
      </c>
      <c r="AA7" t="s">
        <v>153</v>
      </c>
      <c r="AB7" t="s">
        <v>148</v>
      </c>
      <c r="AC7" t="s">
        <v>156</v>
      </c>
      <c r="AD7" t="s">
        <v>154</v>
      </c>
      <c r="AE7" t="s">
        <v>148</v>
      </c>
      <c r="AF7" t="s">
        <v>156</v>
      </c>
      <c r="AG7" t="s">
        <v>155</v>
      </c>
      <c r="AH7" t="s">
        <v>148</v>
      </c>
      <c r="AI7" t="s">
        <v>156</v>
      </c>
    </row>
    <row r="8" spans="1:35">
      <c r="A8" t="s">
        <v>90</v>
      </c>
      <c r="B8" t="s">
        <v>147</v>
      </c>
      <c r="C8">
        <v>4</v>
      </c>
      <c r="F8" t="s">
        <v>148</v>
      </c>
      <c r="G8">
        <v>98397</v>
      </c>
      <c r="H8">
        <v>9.8397000000000003E-4</v>
      </c>
      <c r="K8" t="s">
        <v>149</v>
      </c>
      <c r="L8" t="s">
        <v>148</v>
      </c>
      <c r="M8">
        <v>19790237</v>
      </c>
      <c r="O8" s="167">
        <f t="shared" si="0"/>
        <v>4.022528532373955</v>
      </c>
      <c r="R8" t="s">
        <v>150</v>
      </c>
      <c r="S8" t="s">
        <v>148</v>
      </c>
      <c r="T8" t="s">
        <v>156</v>
      </c>
      <c r="U8" s="137" cm="1">
        <f t="array" ref="U8">_xlfn.IFS(T8="null",0,T8="","",T8/G8&gt;=0,T8/G8)</f>
        <v>0</v>
      </c>
      <c r="X8" t="s">
        <v>152</v>
      </c>
      <c r="Y8" t="s">
        <v>148</v>
      </c>
      <c r="Z8" t="s">
        <v>156</v>
      </c>
      <c r="AA8" t="s">
        <v>153</v>
      </c>
      <c r="AB8" t="s">
        <v>148</v>
      </c>
      <c r="AC8" t="s">
        <v>156</v>
      </c>
      <c r="AD8" t="s">
        <v>154</v>
      </c>
      <c r="AE8" t="s">
        <v>148</v>
      </c>
      <c r="AF8" t="s">
        <v>156</v>
      </c>
      <c r="AG8" t="s">
        <v>155</v>
      </c>
      <c r="AH8" t="s">
        <v>148</v>
      </c>
      <c r="AI8" t="s">
        <v>156</v>
      </c>
    </row>
    <row r="9" spans="1:35">
      <c r="A9" t="s">
        <v>90</v>
      </c>
      <c r="B9" t="s">
        <v>147</v>
      </c>
      <c r="C9">
        <v>5</v>
      </c>
      <c r="F9" t="s">
        <v>148</v>
      </c>
      <c r="G9">
        <v>37859</v>
      </c>
      <c r="H9">
        <v>3.7858999999999999E-4</v>
      </c>
      <c r="K9" t="s">
        <v>149</v>
      </c>
      <c r="L9" t="s">
        <v>148</v>
      </c>
      <c r="M9">
        <v>9532329</v>
      </c>
      <c r="O9" s="167">
        <f t="shared" si="0"/>
        <v>5.0357003618690399</v>
      </c>
      <c r="R9" t="s">
        <v>150</v>
      </c>
      <c r="S9" t="s">
        <v>148</v>
      </c>
      <c r="T9" t="s">
        <v>156</v>
      </c>
      <c r="U9" s="137" cm="1">
        <f t="array" ref="U9">_xlfn.IFS(T9="null",0,T9="","",T9/G9&gt;=0,T9/G9)</f>
        <v>0</v>
      </c>
      <c r="X9" t="s">
        <v>152</v>
      </c>
      <c r="Y9" t="s">
        <v>148</v>
      </c>
      <c r="Z9" t="s">
        <v>156</v>
      </c>
      <c r="AA9" t="s">
        <v>153</v>
      </c>
      <c r="AB9" t="s">
        <v>148</v>
      </c>
      <c r="AC9" t="s">
        <v>156</v>
      </c>
      <c r="AD9" t="s">
        <v>154</v>
      </c>
      <c r="AE9" t="s">
        <v>148</v>
      </c>
      <c r="AF9" t="s">
        <v>156</v>
      </c>
      <c r="AG9" t="s">
        <v>155</v>
      </c>
      <c r="AH9" t="s">
        <v>148</v>
      </c>
      <c r="AI9" t="s">
        <v>156</v>
      </c>
    </row>
    <row r="10" spans="1:35">
      <c r="A10" t="s">
        <v>90</v>
      </c>
      <c r="B10" t="s">
        <v>147</v>
      </c>
      <c r="C10">
        <v>6</v>
      </c>
      <c r="F10" t="s">
        <v>148</v>
      </c>
      <c r="G10">
        <v>1450</v>
      </c>
      <c r="H10">
        <v>1.45E-5</v>
      </c>
      <c r="K10" t="s">
        <v>149</v>
      </c>
      <c r="L10" t="s">
        <v>148</v>
      </c>
      <c r="M10">
        <v>435220</v>
      </c>
      <c r="O10" s="167">
        <f t="shared" si="0"/>
        <v>6.0030344827586202</v>
      </c>
      <c r="R10" t="s">
        <v>150</v>
      </c>
      <c r="S10" t="s">
        <v>148</v>
      </c>
      <c r="T10" t="s">
        <v>156</v>
      </c>
      <c r="U10" s="137" cm="1">
        <f t="array" ref="U10">_xlfn.IFS(T10="null",0,T10="","",T10/G10&gt;=0,T10/G10)</f>
        <v>0</v>
      </c>
      <c r="X10" t="s">
        <v>152</v>
      </c>
      <c r="Y10" t="s">
        <v>148</v>
      </c>
      <c r="Z10" t="s">
        <v>156</v>
      </c>
      <c r="AA10" t="s">
        <v>153</v>
      </c>
      <c r="AB10" t="s">
        <v>148</v>
      </c>
      <c r="AC10" t="s">
        <v>156</v>
      </c>
      <c r="AD10" t="s">
        <v>154</v>
      </c>
      <c r="AE10" t="s">
        <v>148</v>
      </c>
      <c r="AF10" t="s">
        <v>156</v>
      </c>
      <c r="AG10" t="s">
        <v>155</v>
      </c>
      <c r="AH10" t="s">
        <v>148</v>
      </c>
      <c r="AI10" t="s">
        <v>156</v>
      </c>
    </row>
    <row r="11" spans="1:35">
      <c r="A11" t="s">
        <v>90</v>
      </c>
      <c r="B11" t="s">
        <v>147</v>
      </c>
      <c r="C11">
        <v>10</v>
      </c>
      <c r="F11" t="s">
        <v>148</v>
      </c>
      <c r="G11">
        <v>2757206</v>
      </c>
      <c r="H11">
        <v>2.7572059999999999E-2</v>
      </c>
      <c r="K11" t="s">
        <v>149</v>
      </c>
      <c r="L11" t="s">
        <v>148</v>
      </c>
      <c r="M11">
        <v>1398313763</v>
      </c>
      <c r="O11" s="167">
        <f t="shared" si="0"/>
        <v>10.142976353598534</v>
      </c>
      <c r="R11" t="s">
        <v>150</v>
      </c>
      <c r="S11" t="s">
        <v>148</v>
      </c>
      <c r="T11">
        <v>467186</v>
      </c>
      <c r="U11" s="137" cm="1">
        <f t="array" ref="U11">_xlfn.IFS(T11="null",0,T11="","",T11/G11&gt;=0,T11/G11)</f>
        <v>0.16944181900082911</v>
      </c>
      <c r="X11" t="s">
        <v>152</v>
      </c>
      <c r="Y11" t="s">
        <v>148</v>
      </c>
      <c r="Z11" t="s">
        <v>156</v>
      </c>
      <c r="AA11" t="s">
        <v>153</v>
      </c>
      <c r="AB11" t="s">
        <v>148</v>
      </c>
      <c r="AC11" t="s">
        <v>156</v>
      </c>
      <c r="AD11" t="s">
        <v>154</v>
      </c>
      <c r="AE11" t="s">
        <v>148</v>
      </c>
      <c r="AF11" t="s">
        <v>156</v>
      </c>
      <c r="AG11" t="s">
        <v>155</v>
      </c>
      <c r="AH11" t="s">
        <v>148</v>
      </c>
      <c r="AI11" t="s">
        <v>156</v>
      </c>
    </row>
    <row r="12" spans="1:35">
      <c r="A12" t="s">
        <v>90</v>
      </c>
      <c r="B12" t="s">
        <v>147</v>
      </c>
      <c r="C12">
        <v>15</v>
      </c>
      <c r="F12" t="s">
        <v>148</v>
      </c>
      <c r="G12">
        <v>4933</v>
      </c>
      <c r="H12">
        <v>4.9329999999999997E-5</v>
      </c>
      <c r="K12" t="s">
        <v>149</v>
      </c>
      <c r="L12" t="s">
        <v>148</v>
      </c>
      <c r="M12">
        <v>3701965</v>
      </c>
      <c r="O12" s="167">
        <f t="shared" si="0"/>
        <v>15.008980336509223</v>
      </c>
      <c r="R12" t="s">
        <v>150</v>
      </c>
      <c r="S12" t="s">
        <v>148</v>
      </c>
      <c r="T12" t="s">
        <v>156</v>
      </c>
      <c r="U12" s="137" cm="1">
        <f t="array" ref="U12">_xlfn.IFS(T12="null",0,T12="","",T12/G12&gt;=0,T12/G12)</f>
        <v>0</v>
      </c>
      <c r="X12" t="s">
        <v>152</v>
      </c>
      <c r="Y12" t="s">
        <v>148</v>
      </c>
      <c r="Z12" t="s">
        <v>156</v>
      </c>
      <c r="AA12" t="s">
        <v>153</v>
      </c>
      <c r="AB12" t="s">
        <v>148</v>
      </c>
      <c r="AC12" t="s">
        <v>156</v>
      </c>
      <c r="AD12" t="s">
        <v>154</v>
      </c>
      <c r="AE12" t="s">
        <v>148</v>
      </c>
      <c r="AF12" t="s">
        <v>156</v>
      </c>
      <c r="AG12" t="s">
        <v>155</v>
      </c>
      <c r="AH12" t="s">
        <v>148</v>
      </c>
      <c r="AI12" t="s">
        <v>156</v>
      </c>
    </row>
    <row r="13" spans="1:35">
      <c r="A13" t="s">
        <v>90</v>
      </c>
      <c r="B13" t="s">
        <v>147</v>
      </c>
      <c r="C13">
        <v>20</v>
      </c>
      <c r="F13" t="s">
        <v>148</v>
      </c>
      <c r="G13">
        <v>820640</v>
      </c>
      <c r="H13">
        <v>8.2064000000000008E-3</v>
      </c>
      <c r="K13" t="s">
        <v>149</v>
      </c>
      <c r="L13" t="s">
        <v>148</v>
      </c>
      <c r="M13">
        <v>826960605</v>
      </c>
      <c r="O13" s="167">
        <f t="shared" si="0"/>
        <v>20.154040870540065</v>
      </c>
      <c r="R13" t="s">
        <v>150</v>
      </c>
      <c r="S13" t="s">
        <v>148</v>
      </c>
      <c r="T13">
        <v>555447</v>
      </c>
      <c r="U13" s="137" cm="1">
        <f t="array" ref="U13">_xlfn.IFS(T13="null",0,T13="","",T13/G13&gt;=0,T13/G13)</f>
        <v>0.67684612010138434</v>
      </c>
      <c r="X13" t="s">
        <v>152</v>
      </c>
      <c r="Y13" t="s">
        <v>148</v>
      </c>
      <c r="Z13" t="s">
        <v>156</v>
      </c>
      <c r="AA13" t="s">
        <v>153</v>
      </c>
      <c r="AB13" t="s">
        <v>148</v>
      </c>
      <c r="AC13" t="s">
        <v>156</v>
      </c>
      <c r="AD13" t="s">
        <v>154</v>
      </c>
      <c r="AE13" t="s">
        <v>148</v>
      </c>
      <c r="AF13" t="s">
        <v>156</v>
      </c>
      <c r="AG13" t="s">
        <v>155</v>
      </c>
      <c r="AH13" t="s">
        <v>148</v>
      </c>
      <c r="AI13" t="s">
        <v>156</v>
      </c>
    </row>
    <row r="14" spans="1:35">
      <c r="A14" t="s">
        <v>90</v>
      </c>
      <c r="B14" t="s">
        <v>147</v>
      </c>
      <c r="C14">
        <v>25</v>
      </c>
      <c r="F14" t="s">
        <v>148</v>
      </c>
      <c r="G14">
        <v>1</v>
      </c>
      <c r="H14">
        <v>1E-8</v>
      </c>
      <c r="K14" t="s">
        <v>149</v>
      </c>
      <c r="L14" t="s">
        <v>148</v>
      </c>
      <c r="M14">
        <v>1256</v>
      </c>
      <c r="O14" s="167">
        <f t="shared" si="0"/>
        <v>25.12</v>
      </c>
      <c r="R14" t="s">
        <v>150</v>
      </c>
      <c r="S14" t="s">
        <v>148</v>
      </c>
      <c r="T14" t="s">
        <v>156</v>
      </c>
      <c r="U14" s="137" cm="1">
        <f t="array" ref="U14">_xlfn.IFS(T14="null",0,T14="","",T14/G14&gt;=0,T14/G14)</f>
        <v>0</v>
      </c>
      <c r="X14" t="s">
        <v>152</v>
      </c>
      <c r="Y14" t="s">
        <v>148</v>
      </c>
      <c r="Z14" t="s">
        <v>156</v>
      </c>
      <c r="AA14" t="s">
        <v>153</v>
      </c>
      <c r="AB14" t="s">
        <v>148</v>
      </c>
      <c r="AC14" t="s">
        <v>156</v>
      </c>
      <c r="AD14" t="s">
        <v>154</v>
      </c>
      <c r="AE14" t="s">
        <v>148</v>
      </c>
      <c r="AF14" t="s">
        <v>156</v>
      </c>
      <c r="AG14" t="s">
        <v>155</v>
      </c>
      <c r="AH14" t="s">
        <v>148</v>
      </c>
      <c r="AI14" t="s">
        <v>156</v>
      </c>
    </row>
    <row r="15" spans="1:35">
      <c r="A15" t="s">
        <v>90</v>
      </c>
      <c r="B15" t="s">
        <v>147</v>
      </c>
      <c r="C15">
        <v>30</v>
      </c>
      <c r="F15" t="s">
        <v>148</v>
      </c>
      <c r="G15">
        <v>379319</v>
      </c>
      <c r="H15">
        <v>3.7931900000000001E-3</v>
      </c>
      <c r="K15" t="s">
        <v>149</v>
      </c>
      <c r="L15" t="s">
        <v>148</v>
      </c>
      <c r="M15">
        <v>571941282</v>
      </c>
      <c r="O15" s="167">
        <f t="shared" si="0"/>
        <v>30.156215849983788</v>
      </c>
      <c r="R15" t="s">
        <v>150</v>
      </c>
      <c r="S15" t="s">
        <v>148</v>
      </c>
      <c r="T15">
        <v>375776</v>
      </c>
      <c r="U15" s="137" cm="1">
        <f t="array" ref="U15">_xlfn.IFS(T15="null",0,T15="","",T15/G15&gt;=0,T15/G15)</f>
        <v>0.99065957676783922</v>
      </c>
      <c r="X15" t="s">
        <v>152</v>
      </c>
      <c r="Y15" t="s">
        <v>148</v>
      </c>
      <c r="Z15" t="s">
        <v>156</v>
      </c>
      <c r="AA15" t="s">
        <v>153</v>
      </c>
      <c r="AB15" t="s">
        <v>148</v>
      </c>
      <c r="AC15" t="s">
        <v>156</v>
      </c>
      <c r="AD15" t="s">
        <v>154</v>
      </c>
      <c r="AE15" t="s">
        <v>148</v>
      </c>
      <c r="AF15" t="s">
        <v>156</v>
      </c>
      <c r="AG15" t="s">
        <v>155</v>
      </c>
      <c r="AH15" t="s">
        <v>148</v>
      </c>
      <c r="AI15" t="s">
        <v>156</v>
      </c>
    </row>
    <row r="16" spans="1:35">
      <c r="A16" t="s">
        <v>90</v>
      </c>
      <c r="B16" t="s">
        <v>147</v>
      </c>
      <c r="C16">
        <v>40</v>
      </c>
      <c r="F16" t="s">
        <v>148</v>
      </c>
      <c r="G16">
        <v>20109</v>
      </c>
      <c r="H16">
        <v>2.0108999999999999E-4</v>
      </c>
      <c r="K16" t="s">
        <v>149</v>
      </c>
      <c r="L16" t="s">
        <v>148</v>
      </c>
      <c r="M16">
        <v>40249792</v>
      </c>
      <c r="O16" s="167">
        <f t="shared" si="0"/>
        <v>40.031619672783329</v>
      </c>
      <c r="R16" t="s">
        <v>150</v>
      </c>
      <c r="S16" t="s">
        <v>148</v>
      </c>
      <c r="T16">
        <v>14866</v>
      </c>
      <c r="U16" s="137" cm="1">
        <f t="array" ref="U16">_xlfn.IFS(T16="null",0,T16="","",T16/G16&gt;=0,T16/G16)</f>
        <v>0.73927097319608137</v>
      </c>
      <c r="X16" t="s">
        <v>152</v>
      </c>
      <c r="Y16" t="s">
        <v>148</v>
      </c>
      <c r="Z16" t="s">
        <v>156</v>
      </c>
      <c r="AA16" t="s">
        <v>153</v>
      </c>
      <c r="AB16" t="s">
        <v>148</v>
      </c>
      <c r="AC16" t="s">
        <v>156</v>
      </c>
      <c r="AD16" t="s">
        <v>154</v>
      </c>
      <c r="AE16" t="s">
        <v>148</v>
      </c>
      <c r="AF16" t="s">
        <v>156</v>
      </c>
      <c r="AG16" t="s">
        <v>155</v>
      </c>
      <c r="AH16" t="s">
        <v>148</v>
      </c>
      <c r="AI16" t="s">
        <v>156</v>
      </c>
    </row>
    <row r="17" spans="1:35">
      <c r="A17" t="s">
        <v>90</v>
      </c>
      <c r="B17" t="s">
        <v>147</v>
      </c>
      <c r="C17">
        <v>50</v>
      </c>
      <c r="F17" t="s">
        <v>148</v>
      </c>
      <c r="G17">
        <v>378877</v>
      </c>
      <c r="H17">
        <v>3.7887699999999999E-3</v>
      </c>
      <c r="K17" t="s">
        <v>149</v>
      </c>
      <c r="L17" t="s">
        <v>148</v>
      </c>
      <c r="M17">
        <v>948911010</v>
      </c>
      <c r="O17" s="167">
        <f t="shared" si="0"/>
        <v>50.090715984343205</v>
      </c>
      <c r="R17" t="s">
        <v>150</v>
      </c>
      <c r="S17" t="s">
        <v>148</v>
      </c>
      <c r="T17">
        <v>14376</v>
      </c>
      <c r="U17" s="137" cm="1">
        <f t="array" ref="U17">_xlfn.IFS(T17="null",0,T17="","",T17/G17&gt;=0,T17/G17)</f>
        <v>3.7943712603298693E-2</v>
      </c>
      <c r="X17" t="s">
        <v>152</v>
      </c>
      <c r="Y17" t="s">
        <v>148</v>
      </c>
      <c r="Z17" t="s">
        <v>156</v>
      </c>
      <c r="AA17" t="s">
        <v>153</v>
      </c>
      <c r="AB17" t="s">
        <v>148</v>
      </c>
      <c r="AC17" t="s">
        <v>156</v>
      </c>
      <c r="AD17" t="s">
        <v>154</v>
      </c>
      <c r="AE17" t="s">
        <v>148</v>
      </c>
      <c r="AF17" t="s">
        <v>156</v>
      </c>
      <c r="AG17" t="s">
        <v>155</v>
      </c>
      <c r="AH17" t="s">
        <v>148</v>
      </c>
      <c r="AI17" t="s">
        <v>156</v>
      </c>
    </row>
    <row r="18" spans="1:35">
      <c r="A18" t="s">
        <v>90</v>
      </c>
      <c r="B18" t="s">
        <v>147</v>
      </c>
      <c r="C18">
        <v>60</v>
      </c>
      <c r="F18" t="s">
        <v>148</v>
      </c>
      <c r="G18">
        <v>534</v>
      </c>
      <c r="H18">
        <v>5.3399999999999997E-6</v>
      </c>
      <c r="K18" t="s">
        <v>149</v>
      </c>
      <c r="L18" t="s">
        <v>148</v>
      </c>
      <c r="M18">
        <v>1602667</v>
      </c>
      <c r="O18" s="167">
        <f t="shared" si="0"/>
        <v>60.024981273408237</v>
      </c>
      <c r="R18" t="s">
        <v>150</v>
      </c>
      <c r="S18" t="s">
        <v>148</v>
      </c>
      <c r="T18">
        <v>534</v>
      </c>
      <c r="U18" s="137" cm="1">
        <f t="array" ref="U18">_xlfn.IFS(T18="null",0,T18="","",T18/G18&gt;=0,T18/G18)</f>
        <v>1</v>
      </c>
      <c r="X18" t="s">
        <v>152</v>
      </c>
      <c r="Y18" t="s">
        <v>148</v>
      </c>
      <c r="Z18" t="s">
        <v>156</v>
      </c>
      <c r="AA18" t="s">
        <v>153</v>
      </c>
      <c r="AB18" t="s">
        <v>148</v>
      </c>
      <c r="AC18" t="s">
        <v>156</v>
      </c>
      <c r="AD18" t="s">
        <v>154</v>
      </c>
      <c r="AE18" t="s">
        <v>148</v>
      </c>
      <c r="AF18" t="s">
        <v>156</v>
      </c>
      <c r="AG18" t="s">
        <v>155</v>
      </c>
      <c r="AH18" t="s">
        <v>148</v>
      </c>
      <c r="AI18" t="s">
        <v>156</v>
      </c>
    </row>
    <row r="19" spans="1:35">
      <c r="A19" t="s">
        <v>90</v>
      </c>
      <c r="B19" t="s">
        <v>147</v>
      </c>
      <c r="C19">
        <v>70</v>
      </c>
      <c r="F19" t="s">
        <v>148</v>
      </c>
      <c r="G19">
        <v>19</v>
      </c>
      <c r="H19">
        <v>1.9000000000000001E-7</v>
      </c>
      <c r="K19" t="s">
        <v>149</v>
      </c>
      <c r="L19" t="s">
        <v>148</v>
      </c>
      <c r="M19">
        <v>66500</v>
      </c>
      <c r="O19" s="167">
        <f t="shared" si="0"/>
        <v>70</v>
      </c>
      <c r="R19" t="s">
        <v>150</v>
      </c>
      <c r="S19" t="s">
        <v>148</v>
      </c>
      <c r="T19">
        <v>19</v>
      </c>
      <c r="U19" s="137" cm="1">
        <f t="array" ref="U19">_xlfn.IFS(T19="null",0,T19="","",T19/G19&gt;=0,T19/G19)</f>
        <v>1</v>
      </c>
      <c r="X19" t="s">
        <v>152</v>
      </c>
      <c r="Y19" t="s">
        <v>148</v>
      </c>
      <c r="Z19" t="s">
        <v>156</v>
      </c>
      <c r="AA19" t="s">
        <v>153</v>
      </c>
      <c r="AB19" t="s">
        <v>148</v>
      </c>
      <c r="AC19" t="s">
        <v>156</v>
      </c>
      <c r="AD19" t="s">
        <v>154</v>
      </c>
      <c r="AE19" t="s">
        <v>148</v>
      </c>
      <c r="AF19" t="s">
        <v>156</v>
      </c>
      <c r="AG19" t="s">
        <v>155</v>
      </c>
      <c r="AH19" t="s">
        <v>148</v>
      </c>
      <c r="AI19" t="s">
        <v>156</v>
      </c>
    </row>
    <row r="20" spans="1:35">
      <c r="A20" t="s">
        <v>90</v>
      </c>
      <c r="B20" t="s">
        <v>147</v>
      </c>
      <c r="C20">
        <v>100</v>
      </c>
      <c r="F20" t="s">
        <v>148</v>
      </c>
      <c r="G20">
        <v>88637</v>
      </c>
      <c r="H20">
        <v>8.8637000000000004E-4</v>
      </c>
      <c r="K20" t="s">
        <v>149</v>
      </c>
      <c r="L20" t="s">
        <v>148</v>
      </c>
      <c r="M20">
        <v>445893031</v>
      </c>
      <c r="O20" s="167">
        <f t="shared" si="0"/>
        <v>100.61103850536458</v>
      </c>
      <c r="R20" t="s">
        <v>150</v>
      </c>
      <c r="S20" t="s">
        <v>148</v>
      </c>
      <c r="T20">
        <v>5727</v>
      </c>
      <c r="U20" s="137" cm="1">
        <f t="array" ref="U20">_xlfn.IFS(T20="null",0,T20="","",T20/G20&gt;=0,T20/G20)</f>
        <v>6.4611843812403397E-2</v>
      </c>
      <c r="X20" t="s">
        <v>152</v>
      </c>
      <c r="Y20" t="s">
        <v>148</v>
      </c>
      <c r="Z20" t="s">
        <v>156</v>
      </c>
      <c r="AA20" t="s">
        <v>153</v>
      </c>
      <c r="AB20" t="s">
        <v>148</v>
      </c>
      <c r="AC20" t="s">
        <v>156</v>
      </c>
      <c r="AD20" t="s">
        <v>154</v>
      </c>
      <c r="AE20" t="s">
        <v>148</v>
      </c>
      <c r="AF20" t="s">
        <v>156</v>
      </c>
      <c r="AG20" t="s">
        <v>155</v>
      </c>
      <c r="AH20" t="s">
        <v>148</v>
      </c>
      <c r="AI20" t="s">
        <v>156</v>
      </c>
    </row>
    <row r="21" spans="1:35">
      <c r="A21" t="s">
        <v>90</v>
      </c>
      <c r="B21" t="s">
        <v>147</v>
      </c>
      <c r="C21">
        <v>120</v>
      </c>
      <c r="F21" t="s">
        <v>148</v>
      </c>
      <c r="G21">
        <v>73</v>
      </c>
      <c r="H21">
        <v>7.3E-7</v>
      </c>
      <c r="K21" t="s">
        <v>149</v>
      </c>
      <c r="L21" t="s">
        <v>148</v>
      </c>
      <c r="M21">
        <v>439986</v>
      </c>
      <c r="O21" s="167">
        <f t="shared" si="0"/>
        <v>120.54410958904108</v>
      </c>
      <c r="R21" t="s">
        <v>150</v>
      </c>
      <c r="S21" t="s">
        <v>148</v>
      </c>
      <c r="T21">
        <v>8</v>
      </c>
      <c r="U21" s="137" cm="1">
        <f t="array" ref="U21">_xlfn.IFS(T21="null",0,T21="","",T21/G21&gt;=0,T21/G21)</f>
        <v>0.1095890410958904</v>
      </c>
      <c r="X21" t="s">
        <v>152</v>
      </c>
      <c r="Y21" t="s">
        <v>148</v>
      </c>
      <c r="Z21" t="s">
        <v>156</v>
      </c>
      <c r="AA21" t="s">
        <v>153</v>
      </c>
      <c r="AB21" t="s">
        <v>148</v>
      </c>
      <c r="AC21" t="s">
        <v>156</v>
      </c>
      <c r="AD21" t="s">
        <v>154</v>
      </c>
      <c r="AE21" t="s">
        <v>148</v>
      </c>
      <c r="AF21" t="s">
        <v>156</v>
      </c>
      <c r="AG21" t="s">
        <v>155</v>
      </c>
      <c r="AH21" t="s">
        <v>148</v>
      </c>
      <c r="AI21" t="s">
        <v>156</v>
      </c>
    </row>
    <row r="22" spans="1:35">
      <c r="A22" t="s">
        <v>90</v>
      </c>
      <c r="B22" t="s">
        <v>147</v>
      </c>
      <c r="C22">
        <v>200</v>
      </c>
      <c r="F22" t="s">
        <v>148</v>
      </c>
      <c r="G22">
        <v>6126</v>
      </c>
      <c r="H22">
        <v>6.1260000000000006E-5</v>
      </c>
      <c r="K22" t="s">
        <v>149</v>
      </c>
      <c r="L22" t="s">
        <v>148</v>
      </c>
      <c r="M22">
        <v>61486005</v>
      </c>
      <c r="O22" s="167">
        <f t="shared" si="0"/>
        <v>200.73785504407442</v>
      </c>
      <c r="R22" t="s">
        <v>150</v>
      </c>
      <c r="S22" t="s">
        <v>148</v>
      </c>
      <c r="T22">
        <v>2867</v>
      </c>
      <c r="U22" s="137" cm="1">
        <f t="array" ref="U22">_xlfn.IFS(T22="null",0,T22="","",T22/G22&gt;=0,T22/G22)</f>
        <v>0.46800522363695723</v>
      </c>
      <c r="X22" t="s">
        <v>152</v>
      </c>
      <c r="Y22" t="s">
        <v>148</v>
      </c>
      <c r="Z22" t="s">
        <v>156</v>
      </c>
      <c r="AA22" t="s">
        <v>153</v>
      </c>
      <c r="AB22" t="s">
        <v>148</v>
      </c>
      <c r="AC22" t="s">
        <v>156</v>
      </c>
      <c r="AD22" t="s">
        <v>154</v>
      </c>
      <c r="AE22" t="s">
        <v>148</v>
      </c>
      <c r="AF22" t="s">
        <v>156</v>
      </c>
      <c r="AG22" t="s">
        <v>155</v>
      </c>
      <c r="AH22" t="s">
        <v>148</v>
      </c>
      <c r="AI22" t="s">
        <v>156</v>
      </c>
    </row>
    <row r="23" spans="1:35">
      <c r="A23" t="s">
        <v>90</v>
      </c>
      <c r="B23" t="s">
        <v>147</v>
      </c>
      <c r="C23">
        <v>400</v>
      </c>
      <c r="F23" t="s">
        <v>148</v>
      </c>
      <c r="G23">
        <v>26</v>
      </c>
      <c r="H23">
        <v>2.6E-7</v>
      </c>
      <c r="K23" t="s">
        <v>149</v>
      </c>
      <c r="L23" t="s">
        <v>148</v>
      </c>
      <c r="M23">
        <v>522404</v>
      </c>
      <c r="O23" s="167">
        <f t="shared" si="0"/>
        <v>401.84923076923076</v>
      </c>
      <c r="R23" t="s">
        <v>150</v>
      </c>
      <c r="S23" t="s">
        <v>148</v>
      </c>
      <c r="T23" t="s">
        <v>156</v>
      </c>
      <c r="U23" s="137" cm="1">
        <f t="array" ref="U23">_xlfn.IFS(T23="null",0,T23="","",T23/G23&gt;=0,T23/G23)</f>
        <v>0</v>
      </c>
      <c r="X23" t="s">
        <v>152</v>
      </c>
      <c r="Y23" t="s">
        <v>148</v>
      </c>
      <c r="Z23" t="s">
        <v>156</v>
      </c>
      <c r="AA23" t="s">
        <v>153</v>
      </c>
      <c r="AB23" t="s">
        <v>148</v>
      </c>
      <c r="AC23" t="s">
        <v>156</v>
      </c>
      <c r="AD23" t="s">
        <v>154</v>
      </c>
      <c r="AE23" t="s">
        <v>148</v>
      </c>
      <c r="AF23" t="s">
        <v>156</v>
      </c>
      <c r="AG23" t="s">
        <v>155</v>
      </c>
      <c r="AH23" t="s">
        <v>148</v>
      </c>
      <c r="AI23" t="s">
        <v>156</v>
      </c>
    </row>
    <row r="24" spans="1:35">
      <c r="U24" s="137" t="str" cm="1">
        <f t="array" ref="U24">_xlfn.IFS(T24="null",0,T24="","",T24/G24&gt;=0,T24/G24)</f>
        <v/>
      </c>
    </row>
    <row r="25" spans="1:35">
      <c r="H25" s="137"/>
    </row>
    <row r="26" spans="1:35">
      <c r="A26" t="s">
        <v>91</v>
      </c>
      <c r="B26" t="s">
        <v>147</v>
      </c>
      <c r="C26">
        <v>-1</v>
      </c>
      <c r="F26" t="s">
        <v>148</v>
      </c>
      <c r="G26">
        <v>18670805</v>
      </c>
      <c r="H26" s="137" cm="1">
        <f t="array" ref="H26:H64">G26:G64/SUM(G26:G64)</f>
        <v>0.18670804999999999</v>
      </c>
      <c r="M26" s="137"/>
      <c r="O26" s="137"/>
      <c r="V26" s="167"/>
    </row>
    <row r="27" spans="1:35">
      <c r="A27" t="s">
        <v>91</v>
      </c>
      <c r="B27" t="s">
        <v>147</v>
      </c>
      <c r="C27">
        <v>0</v>
      </c>
      <c r="F27" t="s">
        <v>148</v>
      </c>
      <c r="G27">
        <v>32194191</v>
      </c>
      <c r="H27">
        <v>0.32194191</v>
      </c>
      <c r="K27" t="s">
        <v>149</v>
      </c>
      <c r="L27" t="s">
        <v>148</v>
      </c>
      <c r="M27">
        <v>211682328000</v>
      </c>
      <c r="O27" s="167">
        <f>M27/G27/$O$1/500</f>
        <v>0.26300686108248533</v>
      </c>
      <c r="R27" t="s">
        <v>150</v>
      </c>
      <c r="S27" t="s">
        <v>148</v>
      </c>
      <c r="T27" t="s">
        <v>156</v>
      </c>
      <c r="U27" t="s">
        <v>152</v>
      </c>
      <c r="V27" s="137" t="s">
        <v>148</v>
      </c>
      <c r="W27" s="137">
        <v>196250</v>
      </c>
      <c r="X27" s="291" t="s">
        <v>153</v>
      </c>
      <c r="Y27" s="137" t="s">
        <v>148</v>
      </c>
      <c r="Z27" s="137" t="s">
        <v>156</v>
      </c>
      <c r="AA27" t="s">
        <v>154</v>
      </c>
      <c r="AB27" t="s">
        <v>148</v>
      </c>
      <c r="AC27" t="s">
        <v>156</v>
      </c>
      <c r="AD27" t="s">
        <v>155</v>
      </c>
      <c r="AE27" t="s">
        <v>148</v>
      </c>
      <c r="AF27" t="s">
        <v>156</v>
      </c>
      <c r="AG27" s="167"/>
    </row>
    <row r="28" spans="1:35">
      <c r="A28" t="s">
        <v>91</v>
      </c>
      <c r="B28" t="s">
        <v>147</v>
      </c>
      <c r="C28">
        <v>1</v>
      </c>
      <c r="F28" t="s">
        <v>148</v>
      </c>
      <c r="G28">
        <v>9251169</v>
      </c>
      <c r="H28">
        <v>9.2511689999999994E-2</v>
      </c>
      <c r="K28" t="s">
        <v>149</v>
      </c>
      <c r="L28" t="s">
        <v>148</v>
      </c>
      <c r="M28">
        <v>338944083000</v>
      </c>
      <c r="O28" s="167">
        <f t="shared" ref="O28:O64" si="1">M28/G28/$O$1/500</f>
        <v>1.465518932796493</v>
      </c>
      <c r="R28" t="s">
        <v>150</v>
      </c>
      <c r="S28" t="s">
        <v>148</v>
      </c>
      <c r="T28" t="s">
        <v>156</v>
      </c>
      <c r="U28" t="s">
        <v>152</v>
      </c>
      <c r="V28" s="137" t="s">
        <v>148</v>
      </c>
      <c r="W28" s="137">
        <v>2221150</v>
      </c>
      <c r="X28" s="291" t="s">
        <v>153</v>
      </c>
      <c r="Y28" s="137" t="s">
        <v>148</v>
      </c>
      <c r="Z28" s="137" t="s">
        <v>156</v>
      </c>
      <c r="AA28" t="s">
        <v>154</v>
      </c>
      <c r="AB28" t="s">
        <v>148</v>
      </c>
      <c r="AC28" t="s">
        <v>156</v>
      </c>
      <c r="AD28" t="s">
        <v>155</v>
      </c>
      <c r="AE28" t="s">
        <v>148</v>
      </c>
      <c r="AF28" t="s">
        <v>156</v>
      </c>
      <c r="AG28" s="167"/>
    </row>
    <row r="29" spans="1:35">
      <c r="A29" t="s">
        <v>91</v>
      </c>
      <c r="B29" t="s">
        <v>147</v>
      </c>
      <c r="C29">
        <v>2</v>
      </c>
      <c r="F29" t="s">
        <v>148</v>
      </c>
      <c r="G29">
        <v>8330577</v>
      </c>
      <c r="H29">
        <v>8.3305770000000001E-2</v>
      </c>
      <c r="K29" t="s">
        <v>149</v>
      </c>
      <c r="L29" t="s">
        <v>148</v>
      </c>
      <c r="M29">
        <v>453002869000</v>
      </c>
      <c r="O29" s="167">
        <f t="shared" si="1"/>
        <v>2.1751332182632725</v>
      </c>
      <c r="R29" t="s">
        <v>150</v>
      </c>
      <c r="S29" t="s">
        <v>148</v>
      </c>
      <c r="T29" t="s">
        <v>156</v>
      </c>
      <c r="U29" t="s">
        <v>152</v>
      </c>
      <c r="V29" s="137" t="s">
        <v>148</v>
      </c>
      <c r="W29" s="137">
        <v>2805077</v>
      </c>
      <c r="X29" s="291" t="s">
        <v>153</v>
      </c>
      <c r="Y29" s="137" t="s">
        <v>148</v>
      </c>
      <c r="Z29" s="137" t="s">
        <v>156</v>
      </c>
      <c r="AA29" t="s">
        <v>154</v>
      </c>
      <c r="AB29" t="s">
        <v>148</v>
      </c>
      <c r="AC29" t="s">
        <v>156</v>
      </c>
      <c r="AD29" t="s">
        <v>155</v>
      </c>
      <c r="AE29" t="s">
        <v>148</v>
      </c>
      <c r="AF29" t="s">
        <v>156</v>
      </c>
      <c r="AG29" s="167"/>
    </row>
    <row r="30" spans="1:35">
      <c r="A30" t="s">
        <v>91</v>
      </c>
      <c r="B30" t="s">
        <v>147</v>
      </c>
      <c r="C30">
        <v>3</v>
      </c>
      <c r="F30" t="s">
        <v>148</v>
      </c>
      <c r="G30">
        <v>1157851</v>
      </c>
      <c r="H30">
        <v>1.157851E-2</v>
      </c>
      <c r="K30" t="s">
        <v>149</v>
      </c>
      <c r="L30" t="s">
        <v>148</v>
      </c>
      <c r="M30">
        <v>99664434500</v>
      </c>
      <c r="O30" s="167">
        <f t="shared" si="1"/>
        <v>3.4430832464626278</v>
      </c>
      <c r="R30" t="s">
        <v>150</v>
      </c>
      <c r="S30" t="s">
        <v>148</v>
      </c>
      <c r="T30" t="s">
        <v>156</v>
      </c>
      <c r="U30" t="s">
        <v>152</v>
      </c>
      <c r="V30" s="137" t="s">
        <v>148</v>
      </c>
      <c r="W30" s="137">
        <v>464586</v>
      </c>
      <c r="X30" s="291" t="s">
        <v>153</v>
      </c>
      <c r="Y30" s="137" t="s">
        <v>148</v>
      </c>
      <c r="Z30" s="137" t="s">
        <v>156</v>
      </c>
      <c r="AA30" t="s">
        <v>154</v>
      </c>
      <c r="AB30" t="s">
        <v>148</v>
      </c>
      <c r="AC30" t="s">
        <v>156</v>
      </c>
      <c r="AD30" t="s">
        <v>155</v>
      </c>
      <c r="AE30" t="s">
        <v>148</v>
      </c>
      <c r="AF30" t="s">
        <v>156</v>
      </c>
      <c r="AG30" s="167"/>
    </row>
    <row r="31" spans="1:35">
      <c r="A31" t="s">
        <v>91</v>
      </c>
      <c r="B31" t="s">
        <v>147</v>
      </c>
      <c r="C31">
        <v>4</v>
      </c>
      <c r="F31" t="s">
        <v>148</v>
      </c>
      <c r="G31">
        <v>1342262</v>
      </c>
      <c r="H31">
        <v>1.342262E-2</v>
      </c>
      <c r="K31" t="s">
        <v>149</v>
      </c>
      <c r="L31" t="s">
        <v>148</v>
      </c>
      <c r="M31">
        <v>146448285500</v>
      </c>
      <c r="O31" s="167">
        <f t="shared" si="1"/>
        <v>4.3642235420506577</v>
      </c>
      <c r="R31" t="s">
        <v>150</v>
      </c>
      <c r="S31" t="s">
        <v>148</v>
      </c>
      <c r="T31" t="s">
        <v>156</v>
      </c>
      <c r="U31" t="s">
        <v>152</v>
      </c>
      <c r="V31" s="137" t="s">
        <v>148</v>
      </c>
      <c r="W31" s="137">
        <v>201795</v>
      </c>
      <c r="X31" s="291" t="s">
        <v>153</v>
      </c>
      <c r="Y31" s="137" t="s">
        <v>148</v>
      </c>
      <c r="Z31" s="137" t="s">
        <v>156</v>
      </c>
      <c r="AA31" t="s">
        <v>154</v>
      </c>
      <c r="AB31" t="s">
        <v>148</v>
      </c>
      <c r="AC31" t="s">
        <v>156</v>
      </c>
      <c r="AD31" t="s">
        <v>155</v>
      </c>
      <c r="AE31" t="s">
        <v>148</v>
      </c>
      <c r="AF31" t="s">
        <v>156</v>
      </c>
      <c r="AG31" s="167"/>
    </row>
    <row r="32" spans="1:35">
      <c r="A32" t="s">
        <v>91</v>
      </c>
      <c r="B32" t="s">
        <v>147</v>
      </c>
      <c r="C32">
        <v>5</v>
      </c>
      <c r="F32" t="s">
        <v>148</v>
      </c>
      <c r="G32">
        <v>663424</v>
      </c>
      <c r="H32">
        <v>6.6342399999999996E-3</v>
      </c>
      <c r="K32" t="s">
        <v>149</v>
      </c>
      <c r="L32" t="s">
        <v>148</v>
      </c>
      <c r="M32">
        <v>88276805000</v>
      </c>
      <c r="O32" s="167">
        <f t="shared" si="1"/>
        <v>5.3224969250434118</v>
      </c>
      <c r="R32" t="s">
        <v>150</v>
      </c>
      <c r="S32" t="s">
        <v>148</v>
      </c>
      <c r="T32" t="s">
        <v>156</v>
      </c>
      <c r="U32" t="s">
        <v>152</v>
      </c>
      <c r="V32" s="137" t="s">
        <v>148</v>
      </c>
      <c r="W32" s="137">
        <v>24409</v>
      </c>
      <c r="X32" s="291" t="s">
        <v>153</v>
      </c>
      <c r="Y32" s="137" t="s">
        <v>148</v>
      </c>
      <c r="Z32" s="137" t="s">
        <v>156</v>
      </c>
      <c r="AA32" t="s">
        <v>154</v>
      </c>
      <c r="AB32" t="s">
        <v>148</v>
      </c>
      <c r="AC32" t="s">
        <v>156</v>
      </c>
      <c r="AD32" t="s">
        <v>155</v>
      </c>
      <c r="AE32" t="s">
        <v>148</v>
      </c>
      <c r="AF32" t="s">
        <v>156</v>
      </c>
      <c r="AG32" s="167"/>
    </row>
    <row r="33" spans="1:33">
      <c r="A33" t="s">
        <v>91</v>
      </c>
      <c r="B33" t="s">
        <v>147</v>
      </c>
      <c r="C33">
        <v>6</v>
      </c>
      <c r="F33" t="s">
        <v>148</v>
      </c>
      <c r="G33">
        <v>56302</v>
      </c>
      <c r="H33">
        <v>5.6302000000000001E-4</v>
      </c>
      <c r="K33" t="s">
        <v>149</v>
      </c>
      <c r="L33" t="s">
        <v>148</v>
      </c>
      <c r="M33">
        <v>8613998500</v>
      </c>
      <c r="O33" s="167">
        <f t="shared" si="1"/>
        <v>6.1198525807253734</v>
      </c>
      <c r="R33" t="s">
        <v>150</v>
      </c>
      <c r="S33" t="s">
        <v>148</v>
      </c>
      <c r="T33" t="s">
        <v>156</v>
      </c>
      <c r="U33" t="s">
        <v>152</v>
      </c>
      <c r="V33" s="137" t="s">
        <v>148</v>
      </c>
      <c r="W33" s="137">
        <v>760</v>
      </c>
      <c r="X33" s="291" t="s">
        <v>153</v>
      </c>
      <c r="Y33" s="137" t="s">
        <v>148</v>
      </c>
      <c r="Z33" s="137" t="s">
        <v>156</v>
      </c>
      <c r="AA33" t="s">
        <v>154</v>
      </c>
      <c r="AB33" t="s">
        <v>148</v>
      </c>
      <c r="AC33" t="s">
        <v>156</v>
      </c>
      <c r="AD33" t="s">
        <v>155</v>
      </c>
      <c r="AE33" t="s">
        <v>148</v>
      </c>
      <c r="AF33" t="s">
        <v>156</v>
      </c>
      <c r="AG33" s="167"/>
    </row>
    <row r="34" spans="1:33">
      <c r="A34" t="s">
        <v>91</v>
      </c>
      <c r="B34" t="s">
        <v>147</v>
      </c>
      <c r="C34">
        <v>9</v>
      </c>
      <c r="F34" t="s">
        <v>148</v>
      </c>
      <c r="G34">
        <v>1640386</v>
      </c>
      <c r="H34">
        <v>1.6403859999999999E-2</v>
      </c>
      <c r="K34" t="s">
        <v>149</v>
      </c>
      <c r="L34" t="s">
        <v>148</v>
      </c>
      <c r="M34">
        <v>410096500000</v>
      </c>
      <c r="O34" s="167">
        <f t="shared" si="1"/>
        <v>10</v>
      </c>
      <c r="R34" t="s">
        <v>150</v>
      </c>
      <c r="S34" t="s">
        <v>148</v>
      </c>
      <c r="T34">
        <v>290478</v>
      </c>
      <c r="U34" t="s">
        <v>152</v>
      </c>
      <c r="V34" s="137" t="s">
        <v>148</v>
      </c>
      <c r="W34" s="137">
        <v>72045</v>
      </c>
      <c r="X34" s="291" t="s">
        <v>153</v>
      </c>
      <c r="Y34" s="137" t="s">
        <v>148</v>
      </c>
      <c r="Z34" s="137" t="s">
        <v>156</v>
      </c>
      <c r="AA34" t="s">
        <v>154</v>
      </c>
      <c r="AB34" t="s">
        <v>148</v>
      </c>
      <c r="AC34" t="s">
        <v>156</v>
      </c>
      <c r="AD34" t="s">
        <v>155</v>
      </c>
      <c r="AE34" t="s">
        <v>148</v>
      </c>
      <c r="AF34" t="s">
        <v>156</v>
      </c>
      <c r="AG34" s="167"/>
    </row>
    <row r="35" spans="1:33">
      <c r="A35" t="s">
        <v>91</v>
      </c>
      <c r="B35" t="s">
        <v>147</v>
      </c>
      <c r="C35">
        <v>10</v>
      </c>
      <c r="F35" t="s">
        <v>148</v>
      </c>
      <c r="G35">
        <v>4929936</v>
      </c>
      <c r="H35">
        <v>4.929936E-2</v>
      </c>
      <c r="K35" t="s">
        <v>149</v>
      </c>
      <c r="L35" t="s">
        <v>148</v>
      </c>
      <c r="M35">
        <v>1305625451000</v>
      </c>
      <c r="O35" s="167">
        <f t="shared" si="1"/>
        <v>10.59344746868925</v>
      </c>
      <c r="R35" t="s">
        <v>150</v>
      </c>
      <c r="S35" t="s">
        <v>148</v>
      </c>
      <c r="T35">
        <v>793405</v>
      </c>
      <c r="U35" t="s">
        <v>152</v>
      </c>
      <c r="V35" s="137" t="s">
        <v>148</v>
      </c>
      <c r="W35" s="137">
        <v>1133474</v>
      </c>
      <c r="X35" s="291" t="s">
        <v>153</v>
      </c>
      <c r="Y35" s="137" t="s">
        <v>148</v>
      </c>
      <c r="Z35" s="137" t="s">
        <v>156</v>
      </c>
      <c r="AA35" t="s">
        <v>154</v>
      </c>
      <c r="AB35" t="s">
        <v>148</v>
      </c>
      <c r="AC35" t="s">
        <v>156</v>
      </c>
      <c r="AD35" t="s">
        <v>155</v>
      </c>
      <c r="AE35" t="s">
        <v>148</v>
      </c>
      <c r="AF35" t="s">
        <v>156</v>
      </c>
      <c r="AG35" s="167"/>
    </row>
    <row r="36" spans="1:33">
      <c r="A36" t="s">
        <v>91</v>
      </c>
      <c r="B36" t="s">
        <v>147</v>
      </c>
      <c r="C36">
        <v>15</v>
      </c>
      <c r="F36" t="s">
        <v>148</v>
      </c>
      <c r="G36">
        <v>1671798</v>
      </c>
      <c r="H36">
        <v>1.671798E-2</v>
      </c>
      <c r="K36" t="s">
        <v>149</v>
      </c>
      <c r="L36" t="s">
        <v>148</v>
      </c>
      <c r="M36">
        <v>829395977500</v>
      </c>
      <c r="O36" s="167">
        <f t="shared" si="1"/>
        <v>19.844406501263908</v>
      </c>
      <c r="R36" t="s">
        <v>150</v>
      </c>
      <c r="S36" t="s">
        <v>148</v>
      </c>
      <c r="T36">
        <v>304974</v>
      </c>
      <c r="U36" t="s">
        <v>152</v>
      </c>
      <c r="V36" s="137" t="s">
        <v>148</v>
      </c>
      <c r="W36" s="137">
        <v>91002</v>
      </c>
      <c r="X36" s="291" t="s">
        <v>153</v>
      </c>
      <c r="Y36" s="137" t="s">
        <v>148</v>
      </c>
      <c r="Z36" s="137" t="s">
        <v>156</v>
      </c>
      <c r="AA36" t="s">
        <v>154</v>
      </c>
      <c r="AB36" t="s">
        <v>148</v>
      </c>
      <c r="AC36" t="s">
        <v>156</v>
      </c>
      <c r="AD36" t="s">
        <v>155</v>
      </c>
      <c r="AE36" t="s">
        <v>148</v>
      </c>
      <c r="AF36" t="s">
        <v>156</v>
      </c>
      <c r="AG36" s="167"/>
    </row>
    <row r="37" spans="1:33">
      <c r="A37" t="s">
        <v>91</v>
      </c>
      <c r="B37" t="s">
        <v>147</v>
      </c>
      <c r="C37">
        <v>20</v>
      </c>
      <c r="F37" t="s">
        <v>148</v>
      </c>
      <c r="G37">
        <v>5803673</v>
      </c>
      <c r="H37">
        <v>5.8036730000000002E-2</v>
      </c>
      <c r="K37" t="s">
        <v>149</v>
      </c>
      <c r="L37" t="s">
        <v>148</v>
      </c>
      <c r="M37">
        <v>3017794442500</v>
      </c>
      <c r="O37" s="167">
        <f t="shared" si="1"/>
        <v>20.799203831780325</v>
      </c>
      <c r="R37" t="s">
        <v>150</v>
      </c>
      <c r="S37" t="s">
        <v>148</v>
      </c>
      <c r="T37">
        <v>829216</v>
      </c>
      <c r="U37" t="s">
        <v>152</v>
      </c>
      <c r="V37" s="137" t="s">
        <v>148</v>
      </c>
      <c r="W37" s="137">
        <v>1615303</v>
      </c>
      <c r="X37" s="291" t="s">
        <v>153</v>
      </c>
      <c r="Y37" s="137" t="s">
        <v>148</v>
      </c>
      <c r="Z37" s="137" t="s">
        <v>156</v>
      </c>
      <c r="AA37" t="s">
        <v>154</v>
      </c>
      <c r="AB37" t="s">
        <v>148</v>
      </c>
      <c r="AC37" t="s">
        <v>156</v>
      </c>
      <c r="AD37" t="s">
        <v>155</v>
      </c>
      <c r="AE37" t="s">
        <v>148</v>
      </c>
      <c r="AF37" t="s">
        <v>156</v>
      </c>
      <c r="AG37" s="167"/>
    </row>
    <row r="38" spans="1:33">
      <c r="A38" t="s">
        <v>91</v>
      </c>
      <c r="B38" t="s">
        <v>147</v>
      </c>
      <c r="C38">
        <v>25</v>
      </c>
      <c r="F38" t="s">
        <v>148</v>
      </c>
      <c r="G38">
        <v>355258</v>
      </c>
      <c r="H38">
        <v>3.5525800000000001E-3</v>
      </c>
      <c r="K38" t="s">
        <v>149</v>
      </c>
      <c r="L38" t="s">
        <v>148</v>
      </c>
      <c r="M38">
        <v>266237180000</v>
      </c>
      <c r="O38" s="167">
        <f t="shared" si="1"/>
        <v>29.976769559024707</v>
      </c>
      <c r="R38" t="s">
        <v>150</v>
      </c>
      <c r="S38" t="s">
        <v>148</v>
      </c>
      <c r="T38">
        <v>321934</v>
      </c>
      <c r="U38" t="s">
        <v>152</v>
      </c>
      <c r="V38" s="137" t="s">
        <v>148</v>
      </c>
      <c r="W38" s="137">
        <v>5730</v>
      </c>
      <c r="X38" s="291" t="s">
        <v>153</v>
      </c>
      <c r="Y38" s="137" t="s">
        <v>148</v>
      </c>
      <c r="Z38" s="137" t="s">
        <v>156</v>
      </c>
      <c r="AA38" t="s">
        <v>154</v>
      </c>
      <c r="AB38" t="s">
        <v>148</v>
      </c>
      <c r="AC38" t="s">
        <v>156</v>
      </c>
      <c r="AD38" t="s">
        <v>155</v>
      </c>
      <c r="AE38" t="s">
        <v>148</v>
      </c>
      <c r="AF38" t="s">
        <v>156</v>
      </c>
      <c r="AG38" s="167"/>
    </row>
    <row r="39" spans="1:33">
      <c r="A39" t="s">
        <v>91</v>
      </c>
      <c r="B39" t="s">
        <v>147</v>
      </c>
      <c r="C39">
        <v>30</v>
      </c>
      <c r="F39" t="s">
        <v>148</v>
      </c>
      <c r="G39">
        <v>1000022</v>
      </c>
      <c r="H39">
        <v>1.0000220000000001E-2</v>
      </c>
      <c r="K39" t="s">
        <v>149</v>
      </c>
      <c r="L39" t="s">
        <v>148</v>
      </c>
      <c r="M39">
        <v>766890458500</v>
      </c>
      <c r="O39" s="167">
        <f t="shared" si="1"/>
        <v>30.674943491243194</v>
      </c>
      <c r="R39" t="s">
        <v>150</v>
      </c>
      <c r="S39" t="s">
        <v>148</v>
      </c>
      <c r="T39">
        <v>884622</v>
      </c>
      <c r="U39" t="s">
        <v>152</v>
      </c>
      <c r="V39" s="137" t="s">
        <v>148</v>
      </c>
      <c r="W39" s="137">
        <v>59623</v>
      </c>
      <c r="X39" s="291" t="s">
        <v>153</v>
      </c>
      <c r="Y39" s="137" t="s">
        <v>148</v>
      </c>
      <c r="Z39" s="137" t="s">
        <v>156</v>
      </c>
      <c r="AA39" t="s">
        <v>154</v>
      </c>
      <c r="AB39" t="s">
        <v>148</v>
      </c>
      <c r="AC39" t="s">
        <v>156</v>
      </c>
      <c r="AD39" t="s">
        <v>155</v>
      </c>
      <c r="AE39" t="s">
        <v>148</v>
      </c>
      <c r="AF39" t="s">
        <v>156</v>
      </c>
      <c r="AG39" s="167"/>
    </row>
    <row r="40" spans="1:33">
      <c r="A40" t="s">
        <v>91</v>
      </c>
      <c r="B40" t="s">
        <v>147</v>
      </c>
      <c r="C40">
        <v>35</v>
      </c>
      <c r="F40" t="s">
        <v>148</v>
      </c>
      <c r="G40">
        <v>172929</v>
      </c>
      <c r="H40">
        <v>1.7292900000000001E-3</v>
      </c>
      <c r="K40" t="s">
        <v>149</v>
      </c>
      <c r="L40" t="s">
        <v>148</v>
      </c>
      <c r="M40">
        <v>172929000000</v>
      </c>
      <c r="O40" s="167">
        <f t="shared" si="1"/>
        <v>40</v>
      </c>
      <c r="R40" t="s">
        <v>150</v>
      </c>
      <c r="S40" t="s">
        <v>148</v>
      </c>
      <c r="T40">
        <v>31155</v>
      </c>
      <c r="U40" t="s">
        <v>152</v>
      </c>
      <c r="V40" s="137" t="s">
        <v>148</v>
      </c>
      <c r="W40" s="137">
        <v>2514</v>
      </c>
      <c r="X40" s="291" t="s">
        <v>153</v>
      </c>
      <c r="Y40" s="137" t="s">
        <v>148</v>
      </c>
      <c r="Z40" s="137" t="s">
        <v>156</v>
      </c>
      <c r="AA40" t="s">
        <v>154</v>
      </c>
      <c r="AB40" t="s">
        <v>148</v>
      </c>
      <c r="AC40" t="s">
        <v>156</v>
      </c>
      <c r="AD40" t="s">
        <v>155</v>
      </c>
      <c r="AE40" t="s">
        <v>148</v>
      </c>
      <c r="AF40" t="s">
        <v>156</v>
      </c>
      <c r="AG40" s="167"/>
    </row>
    <row r="41" spans="1:33">
      <c r="A41" t="s">
        <v>91</v>
      </c>
      <c r="B41" t="s">
        <v>147</v>
      </c>
      <c r="C41">
        <v>40</v>
      </c>
      <c r="F41" t="s">
        <v>148</v>
      </c>
      <c r="G41">
        <v>579462</v>
      </c>
      <c r="H41">
        <v>5.7946200000000003E-3</v>
      </c>
      <c r="K41" t="s">
        <v>149</v>
      </c>
      <c r="L41" t="s">
        <v>148</v>
      </c>
      <c r="M41">
        <v>596889800000</v>
      </c>
      <c r="O41" s="167">
        <f t="shared" si="1"/>
        <v>41.20303315834343</v>
      </c>
      <c r="R41" t="s">
        <v>150</v>
      </c>
      <c r="S41" t="s">
        <v>148</v>
      </c>
      <c r="T41">
        <v>93441</v>
      </c>
      <c r="U41" t="s">
        <v>152</v>
      </c>
      <c r="V41" s="137" t="s">
        <v>148</v>
      </c>
      <c r="W41" s="137">
        <v>41834</v>
      </c>
      <c r="X41" s="291" t="s">
        <v>153</v>
      </c>
      <c r="Y41" s="137" t="s">
        <v>148</v>
      </c>
      <c r="Z41" s="137" t="s">
        <v>156</v>
      </c>
      <c r="AA41" t="s">
        <v>154</v>
      </c>
      <c r="AB41" t="s">
        <v>148</v>
      </c>
      <c r="AC41" t="s">
        <v>156</v>
      </c>
      <c r="AD41" t="s">
        <v>155</v>
      </c>
      <c r="AE41" t="s">
        <v>148</v>
      </c>
      <c r="AF41" t="s">
        <v>156</v>
      </c>
      <c r="AG41" s="167"/>
    </row>
    <row r="42" spans="1:33">
      <c r="A42" t="s">
        <v>91</v>
      </c>
      <c r="B42" t="s">
        <v>147</v>
      </c>
      <c r="C42">
        <v>45</v>
      </c>
      <c r="F42" t="s">
        <v>148</v>
      </c>
      <c r="G42">
        <v>420170</v>
      </c>
      <c r="H42">
        <v>4.2017000000000001E-3</v>
      </c>
      <c r="K42" t="s">
        <v>149</v>
      </c>
      <c r="L42" t="s">
        <v>148</v>
      </c>
      <c r="M42">
        <v>525212500000</v>
      </c>
      <c r="O42" s="167">
        <f t="shared" si="1"/>
        <v>50</v>
      </c>
      <c r="R42" t="s">
        <v>150</v>
      </c>
      <c r="S42" t="s">
        <v>148</v>
      </c>
      <c r="T42">
        <v>309016</v>
      </c>
      <c r="U42" t="s">
        <v>152</v>
      </c>
      <c r="V42" s="137" t="s">
        <v>148</v>
      </c>
      <c r="W42" s="137" t="s">
        <v>156</v>
      </c>
      <c r="X42" s="291" t="s">
        <v>153</v>
      </c>
      <c r="Y42" s="137" t="s">
        <v>148</v>
      </c>
      <c r="Z42" s="137" t="s">
        <v>156</v>
      </c>
      <c r="AA42" t="s">
        <v>154</v>
      </c>
      <c r="AB42" t="s">
        <v>148</v>
      </c>
      <c r="AC42" t="s">
        <v>156</v>
      </c>
      <c r="AD42" t="s">
        <v>155</v>
      </c>
      <c r="AE42" t="s">
        <v>148</v>
      </c>
      <c r="AF42" t="s">
        <v>156</v>
      </c>
      <c r="AG42" s="167"/>
    </row>
    <row r="43" spans="1:33">
      <c r="A43" t="s">
        <v>91</v>
      </c>
      <c r="B43" t="s">
        <v>147</v>
      </c>
      <c r="C43">
        <v>50</v>
      </c>
      <c r="F43" t="s">
        <v>148</v>
      </c>
      <c r="G43">
        <v>1166084</v>
      </c>
      <c r="H43">
        <v>1.166084E-2</v>
      </c>
      <c r="K43" t="s">
        <v>149</v>
      </c>
      <c r="L43" t="s">
        <v>148</v>
      </c>
      <c r="M43">
        <v>1491297466500</v>
      </c>
      <c r="O43" s="167">
        <f t="shared" si="1"/>
        <v>51.155747493319517</v>
      </c>
      <c r="R43" t="s">
        <v>150</v>
      </c>
      <c r="S43" t="s">
        <v>148</v>
      </c>
      <c r="T43">
        <v>859704</v>
      </c>
      <c r="U43" t="s">
        <v>152</v>
      </c>
      <c r="V43" s="137" t="s">
        <v>148</v>
      </c>
      <c r="W43" s="137" t="s">
        <v>156</v>
      </c>
      <c r="X43" s="291" t="s">
        <v>153</v>
      </c>
      <c r="Y43" s="137" t="s">
        <v>148</v>
      </c>
      <c r="Z43" s="137" t="s">
        <v>156</v>
      </c>
      <c r="AA43" t="s">
        <v>154</v>
      </c>
      <c r="AB43" t="s">
        <v>148</v>
      </c>
      <c r="AC43" t="s">
        <v>156</v>
      </c>
      <c r="AD43" t="s">
        <v>155</v>
      </c>
      <c r="AE43" t="s">
        <v>148</v>
      </c>
      <c r="AF43" t="s">
        <v>156</v>
      </c>
      <c r="AG43" s="167"/>
    </row>
    <row r="44" spans="1:33">
      <c r="A44" t="s">
        <v>91</v>
      </c>
      <c r="B44" t="s">
        <v>147</v>
      </c>
      <c r="C44">
        <v>60</v>
      </c>
      <c r="F44" t="s">
        <v>148</v>
      </c>
      <c r="G44">
        <v>55393</v>
      </c>
      <c r="H44">
        <v>5.5393E-4</v>
      </c>
      <c r="K44" t="s">
        <v>149</v>
      </c>
      <c r="L44" t="s">
        <v>148</v>
      </c>
      <c r="M44">
        <v>87832375000</v>
      </c>
      <c r="O44" s="167">
        <f t="shared" si="1"/>
        <v>63.424891231744084</v>
      </c>
      <c r="R44" t="s">
        <v>150</v>
      </c>
      <c r="S44" t="s">
        <v>148</v>
      </c>
      <c r="T44">
        <v>55393</v>
      </c>
      <c r="U44" t="s">
        <v>152</v>
      </c>
      <c r="V44" s="137" t="s">
        <v>148</v>
      </c>
      <c r="W44" s="137" t="s">
        <v>156</v>
      </c>
      <c r="X44" s="291" t="s">
        <v>153</v>
      </c>
      <c r="Y44" s="137" t="s">
        <v>148</v>
      </c>
      <c r="Z44" s="137" t="s">
        <v>156</v>
      </c>
      <c r="AA44" t="s">
        <v>154</v>
      </c>
      <c r="AB44" t="s">
        <v>148</v>
      </c>
      <c r="AC44" t="s">
        <v>156</v>
      </c>
      <c r="AD44" t="s">
        <v>155</v>
      </c>
      <c r="AE44" t="s">
        <v>148</v>
      </c>
      <c r="AF44" t="s">
        <v>156</v>
      </c>
      <c r="AG44" s="167"/>
    </row>
    <row r="45" spans="1:33">
      <c r="A45" t="s">
        <v>91</v>
      </c>
      <c r="B45" t="s">
        <v>147</v>
      </c>
      <c r="C45">
        <v>70</v>
      </c>
      <c r="F45" t="s">
        <v>148</v>
      </c>
      <c r="G45">
        <v>55185</v>
      </c>
      <c r="H45">
        <v>5.5185E-4</v>
      </c>
      <c r="K45" t="s">
        <v>149</v>
      </c>
      <c r="L45" t="s">
        <v>148</v>
      </c>
      <c r="M45">
        <v>97503933500</v>
      </c>
      <c r="O45" s="167">
        <f t="shared" si="1"/>
        <v>70.674229228957145</v>
      </c>
      <c r="R45" t="s">
        <v>150</v>
      </c>
      <c r="S45" t="s">
        <v>148</v>
      </c>
      <c r="T45">
        <v>55185</v>
      </c>
      <c r="U45" t="s">
        <v>152</v>
      </c>
      <c r="V45" s="137" t="s">
        <v>148</v>
      </c>
      <c r="W45" s="137" t="s">
        <v>156</v>
      </c>
      <c r="X45" s="291" t="s">
        <v>153</v>
      </c>
      <c r="Y45" s="137" t="s">
        <v>148</v>
      </c>
      <c r="Z45" s="137" t="s">
        <v>156</v>
      </c>
      <c r="AA45" t="s">
        <v>154</v>
      </c>
      <c r="AB45" t="s">
        <v>148</v>
      </c>
      <c r="AC45" t="s">
        <v>156</v>
      </c>
      <c r="AD45" t="s">
        <v>155</v>
      </c>
      <c r="AE45" t="s">
        <v>148</v>
      </c>
      <c r="AF45" t="s">
        <v>156</v>
      </c>
      <c r="AG45" s="167"/>
    </row>
    <row r="46" spans="1:33">
      <c r="A46" t="s">
        <v>91</v>
      </c>
      <c r="B46" t="s">
        <v>147</v>
      </c>
      <c r="C46">
        <v>90</v>
      </c>
      <c r="F46" t="s">
        <v>148</v>
      </c>
      <c r="G46">
        <v>699392</v>
      </c>
      <c r="H46">
        <v>6.9939199999999998E-3</v>
      </c>
      <c r="K46" t="s">
        <v>149</v>
      </c>
      <c r="L46" t="s">
        <v>148</v>
      </c>
      <c r="M46">
        <v>1748480000000</v>
      </c>
      <c r="O46" s="167">
        <f t="shared" si="1"/>
        <v>100</v>
      </c>
      <c r="R46" t="s">
        <v>150</v>
      </c>
      <c r="S46" t="s">
        <v>148</v>
      </c>
      <c r="T46">
        <v>291735</v>
      </c>
      <c r="U46" t="s">
        <v>152</v>
      </c>
      <c r="V46" s="137" t="s">
        <v>148</v>
      </c>
      <c r="W46" s="137">
        <v>17958</v>
      </c>
      <c r="X46" s="291" t="s">
        <v>153</v>
      </c>
      <c r="Y46" s="137" t="s">
        <v>148</v>
      </c>
      <c r="Z46" s="137" t="s">
        <v>156</v>
      </c>
      <c r="AA46" t="s">
        <v>154</v>
      </c>
      <c r="AB46" t="s">
        <v>148</v>
      </c>
      <c r="AC46" t="s">
        <v>156</v>
      </c>
      <c r="AD46" t="s">
        <v>155</v>
      </c>
      <c r="AE46" t="s">
        <v>148</v>
      </c>
      <c r="AF46" t="s">
        <v>156</v>
      </c>
      <c r="AG46" s="167"/>
    </row>
    <row r="47" spans="1:33">
      <c r="A47" t="s">
        <v>91</v>
      </c>
      <c r="B47" t="s">
        <v>147</v>
      </c>
      <c r="C47">
        <v>100</v>
      </c>
      <c r="F47" t="s">
        <v>148</v>
      </c>
      <c r="G47">
        <v>2812404</v>
      </c>
      <c r="H47">
        <v>2.8124039999999999E-2</v>
      </c>
      <c r="K47" t="s">
        <v>149</v>
      </c>
      <c r="L47" t="s">
        <v>148</v>
      </c>
      <c r="M47">
        <v>7188151759500</v>
      </c>
      <c r="O47" s="167">
        <f t="shared" si="1"/>
        <v>102.23498131136209</v>
      </c>
      <c r="R47" t="s">
        <v>150</v>
      </c>
      <c r="S47" t="s">
        <v>148</v>
      </c>
      <c r="T47">
        <v>884587</v>
      </c>
      <c r="U47" t="s">
        <v>152</v>
      </c>
      <c r="V47" s="137" t="s">
        <v>148</v>
      </c>
      <c r="W47" s="137">
        <v>481988</v>
      </c>
      <c r="X47" s="291" t="s">
        <v>153</v>
      </c>
      <c r="Y47" s="137" t="s">
        <v>148</v>
      </c>
      <c r="Z47" s="137" t="s">
        <v>156</v>
      </c>
      <c r="AA47" t="s">
        <v>154</v>
      </c>
      <c r="AB47" t="s">
        <v>148</v>
      </c>
      <c r="AC47" t="s">
        <v>156</v>
      </c>
      <c r="AD47" t="s">
        <v>155</v>
      </c>
      <c r="AE47" t="s">
        <v>148</v>
      </c>
      <c r="AF47" t="s">
        <v>156</v>
      </c>
      <c r="AG47" s="167"/>
    </row>
    <row r="48" spans="1:33">
      <c r="A48" t="s">
        <v>91</v>
      </c>
      <c r="B48" t="s">
        <v>147</v>
      </c>
      <c r="C48">
        <v>120</v>
      </c>
      <c r="F48" t="s">
        <v>148</v>
      </c>
      <c r="G48">
        <v>118274</v>
      </c>
      <c r="H48">
        <v>1.18274E-3</v>
      </c>
      <c r="K48" t="s">
        <v>149</v>
      </c>
      <c r="L48" t="s">
        <v>148</v>
      </c>
      <c r="M48">
        <v>363050827500</v>
      </c>
      <c r="O48" s="167">
        <f t="shared" si="1"/>
        <v>122.78297089808413</v>
      </c>
      <c r="R48" t="s">
        <v>150</v>
      </c>
      <c r="S48" t="s">
        <v>148</v>
      </c>
      <c r="T48">
        <v>94031</v>
      </c>
      <c r="U48" t="s">
        <v>152</v>
      </c>
      <c r="V48" s="137" t="s">
        <v>148</v>
      </c>
      <c r="W48" s="137">
        <v>24243</v>
      </c>
      <c r="X48" s="291" t="s">
        <v>153</v>
      </c>
      <c r="Y48" s="137" t="s">
        <v>148</v>
      </c>
      <c r="Z48" s="137" t="s">
        <v>156</v>
      </c>
      <c r="AA48" t="s">
        <v>154</v>
      </c>
      <c r="AB48" t="s">
        <v>148</v>
      </c>
      <c r="AC48" t="s">
        <v>156</v>
      </c>
      <c r="AD48" t="s">
        <v>155</v>
      </c>
      <c r="AE48" t="s">
        <v>148</v>
      </c>
      <c r="AF48" t="s">
        <v>156</v>
      </c>
      <c r="AG48" s="167"/>
    </row>
    <row r="49" spans="1:33">
      <c r="A49" t="s">
        <v>91</v>
      </c>
      <c r="B49" t="s">
        <v>147</v>
      </c>
      <c r="C49">
        <v>140</v>
      </c>
      <c r="F49" t="s">
        <v>148</v>
      </c>
      <c r="G49">
        <v>20984</v>
      </c>
      <c r="H49">
        <v>2.0984000000000001E-4</v>
      </c>
      <c r="K49" t="s">
        <v>149</v>
      </c>
      <c r="L49" t="s">
        <v>148</v>
      </c>
      <c r="M49">
        <v>79237108500</v>
      </c>
      <c r="O49" s="167">
        <f t="shared" si="1"/>
        <v>151.04290602363704</v>
      </c>
      <c r="R49" t="s">
        <v>150</v>
      </c>
      <c r="S49" t="s">
        <v>148</v>
      </c>
      <c r="T49">
        <v>20984</v>
      </c>
      <c r="U49" t="s">
        <v>152</v>
      </c>
      <c r="V49" s="137" t="s">
        <v>148</v>
      </c>
      <c r="W49" s="137" t="s">
        <v>156</v>
      </c>
      <c r="X49" s="291" t="s">
        <v>153</v>
      </c>
      <c r="Y49" s="137" t="s">
        <v>148</v>
      </c>
      <c r="Z49" s="137" t="s">
        <v>156</v>
      </c>
      <c r="AA49" t="s">
        <v>154</v>
      </c>
      <c r="AB49" t="s">
        <v>148</v>
      </c>
      <c r="AC49" t="s">
        <v>156</v>
      </c>
      <c r="AD49" t="s">
        <v>155</v>
      </c>
      <c r="AE49" t="s">
        <v>148</v>
      </c>
      <c r="AF49" t="s">
        <v>156</v>
      </c>
      <c r="AG49" s="167"/>
    </row>
    <row r="50" spans="1:33">
      <c r="A50" t="s">
        <v>91</v>
      </c>
      <c r="B50" t="s">
        <v>147</v>
      </c>
      <c r="C50">
        <v>180</v>
      </c>
      <c r="F50" t="s">
        <v>148</v>
      </c>
      <c r="G50">
        <v>618231</v>
      </c>
      <c r="H50">
        <v>6.1823099999999999E-3</v>
      </c>
      <c r="K50" t="s">
        <v>149</v>
      </c>
      <c r="L50" t="s">
        <v>148</v>
      </c>
      <c r="M50">
        <v>3091155000000</v>
      </c>
      <c r="O50" s="167">
        <f t="shared" si="1"/>
        <v>200</v>
      </c>
      <c r="R50" t="s">
        <v>150</v>
      </c>
      <c r="S50" t="s">
        <v>148</v>
      </c>
      <c r="T50">
        <v>294519</v>
      </c>
      <c r="U50" t="s">
        <v>152</v>
      </c>
      <c r="V50" s="137" t="s">
        <v>148</v>
      </c>
      <c r="W50" s="137">
        <v>17879</v>
      </c>
      <c r="X50" s="291" t="s">
        <v>153</v>
      </c>
      <c r="Y50" s="137" t="s">
        <v>148</v>
      </c>
      <c r="Z50" s="137" t="s">
        <v>156</v>
      </c>
      <c r="AA50" t="s">
        <v>154</v>
      </c>
      <c r="AB50" t="s">
        <v>148</v>
      </c>
      <c r="AC50" t="s">
        <v>156</v>
      </c>
      <c r="AD50" t="s">
        <v>155</v>
      </c>
      <c r="AE50" t="s">
        <v>148</v>
      </c>
      <c r="AF50" t="s">
        <v>156</v>
      </c>
      <c r="AG50" s="167"/>
    </row>
    <row r="51" spans="1:33">
      <c r="A51" t="s">
        <v>91</v>
      </c>
      <c r="B51" t="s">
        <v>147</v>
      </c>
      <c r="C51">
        <v>200</v>
      </c>
      <c r="F51" t="s">
        <v>148</v>
      </c>
      <c r="G51">
        <v>2787190</v>
      </c>
      <c r="H51">
        <v>2.7871900000000002E-2</v>
      </c>
      <c r="K51" t="s">
        <v>149</v>
      </c>
      <c r="L51" t="s">
        <v>148</v>
      </c>
      <c r="M51">
        <v>14179882923000</v>
      </c>
      <c r="O51" s="167">
        <f t="shared" si="1"/>
        <v>203.50077207510071</v>
      </c>
      <c r="R51" t="s">
        <v>150</v>
      </c>
      <c r="S51" t="s">
        <v>148</v>
      </c>
      <c r="T51">
        <v>999381</v>
      </c>
      <c r="U51" t="s">
        <v>152</v>
      </c>
      <c r="V51" s="137" t="s">
        <v>148</v>
      </c>
      <c r="W51" s="137">
        <v>510044</v>
      </c>
      <c r="X51" s="291" t="s">
        <v>153</v>
      </c>
      <c r="Y51" s="137" t="s">
        <v>148</v>
      </c>
      <c r="Z51" s="137" t="s">
        <v>156</v>
      </c>
      <c r="AA51" t="s">
        <v>154</v>
      </c>
      <c r="AB51" t="s">
        <v>148</v>
      </c>
      <c r="AC51" t="s">
        <v>156</v>
      </c>
      <c r="AD51" t="s">
        <v>155</v>
      </c>
      <c r="AE51" t="s">
        <v>148</v>
      </c>
      <c r="AF51" t="s">
        <v>156</v>
      </c>
      <c r="AG51" s="167"/>
    </row>
    <row r="52" spans="1:33">
      <c r="A52" t="s">
        <v>91</v>
      </c>
      <c r="B52" t="s">
        <v>147</v>
      </c>
      <c r="C52">
        <v>250</v>
      </c>
      <c r="F52" t="s">
        <v>148</v>
      </c>
      <c r="G52">
        <v>24381</v>
      </c>
      <c r="H52">
        <v>2.4381000000000001E-4</v>
      </c>
      <c r="K52" t="s">
        <v>149</v>
      </c>
      <c r="L52" t="s">
        <v>148</v>
      </c>
      <c r="M52">
        <v>161822945500</v>
      </c>
      <c r="O52" s="167">
        <f t="shared" si="1"/>
        <v>265.49025142529018</v>
      </c>
      <c r="R52" t="s">
        <v>150</v>
      </c>
      <c r="S52" t="s">
        <v>148</v>
      </c>
      <c r="T52">
        <v>24173</v>
      </c>
      <c r="U52" t="s">
        <v>152</v>
      </c>
      <c r="V52" s="137" t="s">
        <v>148</v>
      </c>
      <c r="W52" s="137">
        <v>208</v>
      </c>
      <c r="X52" s="291" t="s">
        <v>153</v>
      </c>
      <c r="Y52" s="137" t="s">
        <v>148</v>
      </c>
      <c r="Z52" s="137" t="s">
        <v>156</v>
      </c>
      <c r="AA52" t="s">
        <v>154</v>
      </c>
      <c r="AB52" t="s">
        <v>148</v>
      </c>
      <c r="AC52" t="s">
        <v>156</v>
      </c>
      <c r="AD52" t="s">
        <v>155</v>
      </c>
      <c r="AE52" t="s">
        <v>148</v>
      </c>
      <c r="AF52" t="s">
        <v>156</v>
      </c>
      <c r="AG52" s="167"/>
    </row>
    <row r="53" spans="1:33">
      <c r="A53" t="s">
        <v>91</v>
      </c>
      <c r="B53" t="s">
        <v>147</v>
      </c>
      <c r="C53">
        <v>300</v>
      </c>
      <c r="F53" t="s">
        <v>148</v>
      </c>
      <c r="G53">
        <v>41756</v>
      </c>
      <c r="H53">
        <v>4.1755999999999998E-4</v>
      </c>
      <c r="K53" t="s">
        <v>149</v>
      </c>
      <c r="L53" t="s">
        <v>148</v>
      </c>
      <c r="M53">
        <v>314635546000</v>
      </c>
      <c r="O53" s="167">
        <f t="shared" si="1"/>
        <v>301.40391416802373</v>
      </c>
      <c r="R53" t="s">
        <v>150</v>
      </c>
      <c r="S53" t="s">
        <v>148</v>
      </c>
      <c r="T53">
        <v>34513</v>
      </c>
      <c r="U53" t="s">
        <v>152</v>
      </c>
      <c r="V53" s="137" t="s">
        <v>148</v>
      </c>
      <c r="W53" s="137">
        <v>7243</v>
      </c>
      <c r="X53" s="291" t="s">
        <v>153</v>
      </c>
      <c r="Y53" s="137" t="s">
        <v>148</v>
      </c>
      <c r="Z53" s="137" t="s">
        <v>156</v>
      </c>
      <c r="AA53" t="s">
        <v>154</v>
      </c>
      <c r="AB53" t="s">
        <v>148</v>
      </c>
      <c r="AC53" t="s">
        <v>156</v>
      </c>
      <c r="AD53" t="s">
        <v>155</v>
      </c>
      <c r="AE53" t="s">
        <v>148</v>
      </c>
      <c r="AF53" t="s">
        <v>156</v>
      </c>
      <c r="AG53" s="167"/>
    </row>
    <row r="54" spans="1:33">
      <c r="A54" t="s">
        <v>91</v>
      </c>
      <c r="B54" t="s">
        <v>147</v>
      </c>
      <c r="C54">
        <v>350</v>
      </c>
      <c r="F54" t="s">
        <v>148</v>
      </c>
      <c r="G54">
        <v>31187</v>
      </c>
      <c r="H54">
        <v>3.1187000000000001E-4</v>
      </c>
      <c r="K54" t="s">
        <v>149</v>
      </c>
      <c r="L54" t="s">
        <v>148</v>
      </c>
      <c r="M54">
        <v>311870000000</v>
      </c>
      <c r="O54" s="167">
        <f t="shared" si="1"/>
        <v>400</v>
      </c>
      <c r="R54" t="s">
        <v>150</v>
      </c>
      <c r="S54" t="s">
        <v>148</v>
      </c>
      <c r="T54">
        <v>3503</v>
      </c>
      <c r="U54" t="s">
        <v>152</v>
      </c>
      <c r="V54" s="137" t="s">
        <v>148</v>
      </c>
      <c r="W54" s="137">
        <v>95</v>
      </c>
      <c r="X54" s="291" t="s">
        <v>153</v>
      </c>
      <c r="Y54" s="137" t="s">
        <v>148</v>
      </c>
      <c r="Z54" s="137" t="s">
        <v>156</v>
      </c>
      <c r="AA54" t="s">
        <v>154</v>
      </c>
      <c r="AB54" t="s">
        <v>148</v>
      </c>
      <c r="AC54" t="s">
        <v>156</v>
      </c>
      <c r="AD54" t="s">
        <v>155</v>
      </c>
      <c r="AE54" t="s">
        <v>148</v>
      </c>
      <c r="AF54" t="s">
        <v>156</v>
      </c>
      <c r="AG54" s="167"/>
    </row>
    <row r="55" spans="1:33">
      <c r="A55" t="s">
        <v>91</v>
      </c>
      <c r="B55" t="s">
        <v>147</v>
      </c>
      <c r="C55">
        <v>400</v>
      </c>
      <c r="F55" t="s">
        <v>148</v>
      </c>
      <c r="G55">
        <v>159868</v>
      </c>
      <c r="H55">
        <v>1.5986799999999999E-3</v>
      </c>
      <c r="K55" t="s">
        <v>149</v>
      </c>
      <c r="L55" t="s">
        <v>148</v>
      </c>
      <c r="M55">
        <v>1608060614000</v>
      </c>
      <c r="O55" s="167">
        <f t="shared" si="1"/>
        <v>402.34708984912555</v>
      </c>
      <c r="R55" t="s">
        <v>150</v>
      </c>
      <c r="S55" t="s">
        <v>148</v>
      </c>
      <c r="T55">
        <v>17323</v>
      </c>
      <c r="U55" t="s">
        <v>152</v>
      </c>
      <c r="V55" s="137" t="s">
        <v>148</v>
      </c>
      <c r="W55" s="137">
        <v>3474</v>
      </c>
      <c r="X55" s="291" t="s">
        <v>153</v>
      </c>
      <c r="Y55" s="137" t="s">
        <v>148</v>
      </c>
      <c r="Z55" s="137" t="s">
        <v>156</v>
      </c>
      <c r="AA55" t="s">
        <v>154</v>
      </c>
      <c r="AB55" t="s">
        <v>148</v>
      </c>
      <c r="AC55" t="s">
        <v>156</v>
      </c>
      <c r="AD55" t="s">
        <v>155</v>
      </c>
      <c r="AE55" t="s">
        <v>148</v>
      </c>
      <c r="AF55" t="s">
        <v>156</v>
      </c>
      <c r="AG55" s="167"/>
    </row>
    <row r="56" spans="1:33">
      <c r="A56" t="s">
        <v>91</v>
      </c>
      <c r="B56" t="s">
        <v>147</v>
      </c>
      <c r="C56">
        <v>450</v>
      </c>
      <c r="F56" t="s">
        <v>148</v>
      </c>
      <c r="G56">
        <v>320352</v>
      </c>
      <c r="H56">
        <v>3.2035200000000001E-3</v>
      </c>
      <c r="K56" t="s">
        <v>149</v>
      </c>
      <c r="L56" t="s">
        <v>148</v>
      </c>
      <c r="M56">
        <v>4004400000000</v>
      </c>
      <c r="O56" s="167">
        <f t="shared" si="1"/>
        <v>500</v>
      </c>
      <c r="R56" t="s">
        <v>150</v>
      </c>
      <c r="S56" t="s">
        <v>148</v>
      </c>
      <c r="T56">
        <v>292418</v>
      </c>
      <c r="U56" t="s">
        <v>152</v>
      </c>
      <c r="V56" s="137" t="s">
        <v>148</v>
      </c>
      <c r="W56" s="137" t="s">
        <v>156</v>
      </c>
      <c r="X56" s="291" t="s">
        <v>153</v>
      </c>
      <c r="Y56" s="137" t="s">
        <v>148</v>
      </c>
      <c r="Z56" s="137" t="s">
        <v>156</v>
      </c>
      <c r="AA56" t="s">
        <v>154</v>
      </c>
      <c r="AB56" t="s">
        <v>148</v>
      </c>
      <c r="AC56" t="s">
        <v>156</v>
      </c>
      <c r="AD56" t="s">
        <v>155</v>
      </c>
      <c r="AE56" t="s">
        <v>148</v>
      </c>
      <c r="AF56" t="s">
        <v>156</v>
      </c>
      <c r="AG56" s="167"/>
    </row>
    <row r="57" spans="1:33">
      <c r="A57" t="s">
        <v>91</v>
      </c>
      <c r="B57" t="s">
        <v>147</v>
      </c>
      <c r="C57">
        <v>500</v>
      </c>
      <c r="F57" t="s">
        <v>148</v>
      </c>
      <c r="G57">
        <v>1056363</v>
      </c>
      <c r="H57">
        <v>1.0563629999999999E-2</v>
      </c>
      <c r="K57" t="s">
        <v>149</v>
      </c>
      <c r="L57" t="s">
        <v>148</v>
      </c>
      <c r="M57">
        <v>13290643497000</v>
      </c>
      <c r="O57" s="167">
        <f t="shared" si="1"/>
        <v>503.260470008889</v>
      </c>
      <c r="R57" t="s">
        <v>150</v>
      </c>
      <c r="S57" t="s">
        <v>148</v>
      </c>
      <c r="T57">
        <v>916775</v>
      </c>
      <c r="U57" t="s">
        <v>152</v>
      </c>
      <c r="V57" s="137" t="s">
        <v>148</v>
      </c>
      <c r="W57" s="137" t="s">
        <v>156</v>
      </c>
      <c r="X57" s="291" t="s">
        <v>153</v>
      </c>
      <c r="Y57" s="137" t="s">
        <v>148</v>
      </c>
      <c r="Z57" s="137" t="s">
        <v>156</v>
      </c>
      <c r="AA57" t="s">
        <v>154</v>
      </c>
      <c r="AB57" t="s">
        <v>148</v>
      </c>
      <c r="AC57" t="s">
        <v>156</v>
      </c>
      <c r="AD57" t="s">
        <v>155</v>
      </c>
      <c r="AE57" t="s">
        <v>148</v>
      </c>
      <c r="AF57" t="s">
        <v>156</v>
      </c>
      <c r="AG57" s="167"/>
    </row>
    <row r="58" spans="1:33">
      <c r="A58" t="s">
        <v>91</v>
      </c>
      <c r="B58" t="s">
        <v>147</v>
      </c>
      <c r="C58">
        <v>550</v>
      </c>
      <c r="F58" t="s">
        <v>148</v>
      </c>
      <c r="G58">
        <v>3546</v>
      </c>
      <c r="H58">
        <v>3.5460000000000003E-5</v>
      </c>
      <c r="K58" t="s">
        <v>149</v>
      </c>
      <c r="L58" t="s">
        <v>148</v>
      </c>
      <c r="M58">
        <v>53190000000</v>
      </c>
      <c r="O58" s="167">
        <f t="shared" si="1"/>
        <v>600</v>
      </c>
      <c r="R58" t="s">
        <v>150</v>
      </c>
      <c r="S58" t="s">
        <v>148</v>
      </c>
      <c r="T58">
        <v>3546</v>
      </c>
      <c r="U58" t="s">
        <v>152</v>
      </c>
      <c r="V58" s="137" t="s">
        <v>148</v>
      </c>
      <c r="W58" s="137" t="s">
        <v>156</v>
      </c>
      <c r="X58" s="291" t="s">
        <v>153</v>
      </c>
      <c r="Y58" s="137" t="s">
        <v>148</v>
      </c>
      <c r="Z58" s="137" t="s">
        <v>156</v>
      </c>
      <c r="AA58" t="s">
        <v>154</v>
      </c>
      <c r="AB58" t="s">
        <v>148</v>
      </c>
      <c r="AC58" t="s">
        <v>156</v>
      </c>
      <c r="AD58" t="s">
        <v>155</v>
      </c>
      <c r="AE58" t="s">
        <v>148</v>
      </c>
      <c r="AF58" t="s">
        <v>156</v>
      </c>
      <c r="AG58" s="167"/>
    </row>
    <row r="59" spans="1:33">
      <c r="A59" t="s">
        <v>91</v>
      </c>
      <c r="B59" t="s">
        <v>147</v>
      </c>
      <c r="C59">
        <v>600</v>
      </c>
      <c r="F59" t="s">
        <v>148</v>
      </c>
      <c r="G59">
        <v>17372</v>
      </c>
      <c r="H59">
        <v>1.7372000000000001E-4</v>
      </c>
      <c r="K59" t="s">
        <v>149</v>
      </c>
      <c r="L59" t="s">
        <v>148</v>
      </c>
      <c r="M59">
        <v>261113315000</v>
      </c>
      <c r="O59" s="167">
        <f t="shared" si="1"/>
        <v>601.22798756619841</v>
      </c>
      <c r="R59" t="s">
        <v>150</v>
      </c>
      <c r="S59" t="s">
        <v>148</v>
      </c>
      <c r="T59">
        <v>17372</v>
      </c>
      <c r="U59" t="s">
        <v>152</v>
      </c>
      <c r="V59" s="137" t="s">
        <v>148</v>
      </c>
      <c r="W59" s="137" t="s">
        <v>156</v>
      </c>
      <c r="X59" s="291" t="s">
        <v>153</v>
      </c>
      <c r="Y59" s="137" t="s">
        <v>148</v>
      </c>
      <c r="Z59" s="137" t="s">
        <v>156</v>
      </c>
      <c r="AA59" t="s">
        <v>154</v>
      </c>
      <c r="AB59" t="s">
        <v>148</v>
      </c>
      <c r="AC59" t="s">
        <v>156</v>
      </c>
      <c r="AD59" t="s">
        <v>155</v>
      </c>
      <c r="AE59" t="s">
        <v>148</v>
      </c>
      <c r="AF59" t="s">
        <v>156</v>
      </c>
      <c r="AG59" s="167"/>
    </row>
    <row r="60" spans="1:33">
      <c r="A60" t="s">
        <v>91</v>
      </c>
      <c r="B60" t="s">
        <v>147</v>
      </c>
      <c r="C60">
        <v>650</v>
      </c>
      <c r="F60" t="s">
        <v>148</v>
      </c>
      <c r="G60">
        <v>3449</v>
      </c>
      <c r="H60">
        <v>3.4489999999999997E-5</v>
      </c>
      <c r="K60" t="s">
        <v>149</v>
      </c>
      <c r="L60" t="s">
        <v>148</v>
      </c>
      <c r="M60">
        <v>60357500000</v>
      </c>
      <c r="O60" s="167">
        <f t="shared" si="1"/>
        <v>700</v>
      </c>
      <c r="R60" t="s">
        <v>150</v>
      </c>
      <c r="S60" t="s">
        <v>148</v>
      </c>
      <c r="T60">
        <v>3449</v>
      </c>
      <c r="U60" t="s">
        <v>152</v>
      </c>
      <c r="V60" s="137" t="s">
        <v>148</v>
      </c>
      <c r="W60" s="137" t="s">
        <v>156</v>
      </c>
      <c r="X60" s="291" t="s">
        <v>153</v>
      </c>
      <c r="Y60" s="137" t="s">
        <v>148</v>
      </c>
      <c r="Z60" s="137" t="s">
        <v>156</v>
      </c>
      <c r="AA60" t="s">
        <v>154</v>
      </c>
      <c r="AB60" t="s">
        <v>148</v>
      </c>
      <c r="AC60" t="s">
        <v>156</v>
      </c>
      <c r="AD60" t="s">
        <v>155</v>
      </c>
      <c r="AE60" t="s">
        <v>148</v>
      </c>
      <c r="AF60" t="s">
        <v>156</v>
      </c>
      <c r="AG60" s="167"/>
    </row>
    <row r="61" spans="1:33">
      <c r="A61" t="s">
        <v>91</v>
      </c>
      <c r="B61" t="s">
        <v>147</v>
      </c>
      <c r="C61">
        <v>700</v>
      </c>
      <c r="F61" t="s">
        <v>148</v>
      </c>
      <c r="G61">
        <v>17253</v>
      </c>
      <c r="H61">
        <v>1.7253E-4</v>
      </c>
      <c r="K61" t="s">
        <v>149</v>
      </c>
      <c r="L61" t="s">
        <v>148</v>
      </c>
      <c r="M61">
        <v>302466803500</v>
      </c>
      <c r="O61" s="167">
        <f t="shared" si="1"/>
        <v>701.25034138990338</v>
      </c>
      <c r="R61" t="s">
        <v>150</v>
      </c>
      <c r="S61" t="s">
        <v>148</v>
      </c>
      <c r="T61">
        <v>17253</v>
      </c>
      <c r="U61" t="s">
        <v>152</v>
      </c>
      <c r="V61" s="137" t="s">
        <v>148</v>
      </c>
      <c r="W61" s="137" t="s">
        <v>156</v>
      </c>
      <c r="X61" s="291" t="s">
        <v>153</v>
      </c>
      <c r="Y61" s="137" t="s">
        <v>148</v>
      </c>
      <c r="Z61" s="137" t="s">
        <v>156</v>
      </c>
      <c r="AA61" t="s">
        <v>154</v>
      </c>
      <c r="AB61" t="s">
        <v>148</v>
      </c>
      <c r="AC61" t="s">
        <v>156</v>
      </c>
      <c r="AD61" t="s">
        <v>155</v>
      </c>
      <c r="AE61" t="s">
        <v>148</v>
      </c>
      <c r="AF61" t="s">
        <v>156</v>
      </c>
      <c r="AG61" s="167"/>
    </row>
    <row r="62" spans="1:33">
      <c r="A62" t="s">
        <v>91</v>
      </c>
      <c r="B62" t="s">
        <v>147</v>
      </c>
      <c r="C62">
        <v>950</v>
      </c>
      <c r="F62" t="s">
        <v>148</v>
      </c>
      <c r="G62">
        <v>347068</v>
      </c>
      <c r="H62">
        <v>3.4706799999999999E-3</v>
      </c>
      <c r="K62" t="s">
        <v>149</v>
      </c>
      <c r="L62" t="s">
        <v>148</v>
      </c>
      <c r="M62">
        <v>8676700000000</v>
      </c>
      <c r="O62" s="167">
        <f t="shared" si="1"/>
        <v>1000</v>
      </c>
      <c r="R62" t="s">
        <v>150</v>
      </c>
      <c r="S62" t="s">
        <v>148</v>
      </c>
      <c r="T62">
        <v>291811</v>
      </c>
      <c r="U62" t="s">
        <v>152</v>
      </c>
      <c r="V62" s="137" t="s">
        <v>148</v>
      </c>
      <c r="W62" s="137" t="s">
        <v>156</v>
      </c>
      <c r="X62" s="291" t="s">
        <v>153</v>
      </c>
      <c r="Y62" s="137" t="s">
        <v>148</v>
      </c>
      <c r="Z62" s="137" t="s">
        <v>156</v>
      </c>
      <c r="AA62" t="s">
        <v>154</v>
      </c>
      <c r="AB62" t="s">
        <v>148</v>
      </c>
      <c r="AC62" t="s">
        <v>156</v>
      </c>
      <c r="AD62" t="s">
        <v>155</v>
      </c>
      <c r="AE62" t="s">
        <v>148</v>
      </c>
      <c r="AF62" t="s">
        <v>156</v>
      </c>
      <c r="AG62" s="167"/>
    </row>
    <row r="63" spans="1:33">
      <c r="A63" t="s">
        <v>91</v>
      </c>
      <c r="B63" t="s">
        <v>147</v>
      </c>
      <c r="C63">
        <v>1000</v>
      </c>
      <c r="F63" t="s">
        <v>148</v>
      </c>
      <c r="G63">
        <v>1264622</v>
      </c>
      <c r="H63">
        <v>1.264622E-2</v>
      </c>
      <c r="K63" t="s">
        <v>149</v>
      </c>
      <c r="L63" t="s">
        <v>148</v>
      </c>
      <c r="M63">
        <v>32593608691500</v>
      </c>
      <c r="O63" s="167">
        <f t="shared" si="1"/>
        <v>1030.9360011608212</v>
      </c>
      <c r="R63" t="s">
        <v>150</v>
      </c>
      <c r="S63" t="s">
        <v>148</v>
      </c>
      <c r="T63">
        <v>958767</v>
      </c>
      <c r="U63" t="s">
        <v>152</v>
      </c>
      <c r="V63" s="137" t="s">
        <v>148</v>
      </c>
      <c r="W63" s="137" t="s">
        <v>156</v>
      </c>
      <c r="X63" s="291" t="s">
        <v>153</v>
      </c>
      <c r="Y63" s="137" t="s">
        <v>148</v>
      </c>
      <c r="Z63" s="137" t="s">
        <v>156</v>
      </c>
      <c r="AA63" t="s">
        <v>154</v>
      </c>
      <c r="AB63" t="s">
        <v>148</v>
      </c>
      <c r="AC63" t="s">
        <v>156</v>
      </c>
      <c r="AD63" t="s">
        <v>155</v>
      </c>
      <c r="AE63" t="s">
        <v>148</v>
      </c>
      <c r="AF63" t="s">
        <v>156</v>
      </c>
      <c r="AG63" s="167"/>
    </row>
    <row r="64" spans="1:33">
      <c r="A64" t="s">
        <v>91</v>
      </c>
      <c r="B64" t="s">
        <v>147</v>
      </c>
      <c r="C64">
        <v>2000</v>
      </c>
      <c r="F64" t="s">
        <v>148</v>
      </c>
      <c r="G64">
        <v>139431</v>
      </c>
      <c r="H64">
        <v>1.39431E-3</v>
      </c>
      <c r="K64" t="s">
        <v>149</v>
      </c>
      <c r="L64" t="s">
        <v>148</v>
      </c>
      <c r="M64">
        <v>7014878425000</v>
      </c>
      <c r="O64" s="167">
        <f t="shared" si="1"/>
        <v>2012.4300693533003</v>
      </c>
      <c r="R64" t="s">
        <v>150</v>
      </c>
      <c r="S64" t="s">
        <v>148</v>
      </c>
      <c r="T64" t="s">
        <v>156</v>
      </c>
      <c r="U64" t="s">
        <v>152</v>
      </c>
      <c r="V64" s="137" t="s">
        <v>148</v>
      </c>
      <c r="W64" s="137" t="s">
        <v>156</v>
      </c>
      <c r="X64" s="291" t="s">
        <v>153</v>
      </c>
      <c r="Y64" s="137" t="s">
        <v>148</v>
      </c>
      <c r="Z64" s="137" t="s">
        <v>156</v>
      </c>
      <c r="AA64" t="s">
        <v>154</v>
      </c>
      <c r="AB64" t="s">
        <v>148</v>
      </c>
      <c r="AC64" t="s">
        <v>156</v>
      </c>
      <c r="AD64" t="s">
        <v>155</v>
      </c>
      <c r="AE64" t="s">
        <v>148</v>
      </c>
      <c r="AF64" t="s">
        <v>156</v>
      </c>
      <c r="AG64" s="167"/>
    </row>
    <row r="65" spans="8:8">
      <c r="H65" s="137"/>
    </row>
    <row r="66" spans="8:8">
      <c r="H66" s="137"/>
    </row>
    <row r="67" spans="8:8">
      <c r="H67" s="137"/>
    </row>
    <row r="68" spans="8:8">
      <c r="H68" s="137"/>
    </row>
  </sheetData>
  <phoneticPr fontId="1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C53B41-3EB3-4497-B868-5BA44E729DD0}">
  <dimension ref="B1:AF54"/>
  <sheetViews>
    <sheetView workbookViewId="0">
      <selection activeCell="R9" sqref="R9"/>
    </sheetView>
  </sheetViews>
  <sheetFormatPr defaultRowHeight="16.2"/>
  <cols>
    <col min="3" max="5" width="8.88671875" style="138"/>
    <col min="6" max="8" width="8.88671875" style="180"/>
    <col min="12" max="12" width="8.88671875" style="125"/>
    <col min="13" max="13" width="10.5546875" style="139" bestFit="1" customWidth="1"/>
    <col min="14" max="14" width="13.44140625" bestFit="1" customWidth="1"/>
    <col min="18" max="18" width="10.6640625" style="166" bestFit="1" customWidth="1"/>
    <col min="20" max="20" width="18.88671875" style="103" bestFit="1" customWidth="1"/>
    <col min="21" max="21" width="11.77734375" bestFit="1" customWidth="1"/>
    <col min="22" max="22" width="10.33203125" style="172" customWidth="1"/>
    <col min="23" max="23" width="11.77734375" bestFit="1" customWidth="1"/>
    <col min="28" max="28" width="9.109375" style="273" bestFit="1" customWidth="1"/>
    <col min="30" max="30" width="18.88671875" style="103" bestFit="1" customWidth="1"/>
    <col min="31" max="31" width="11.77734375" bestFit="1" customWidth="1"/>
    <col min="32" max="32" width="10.33203125" style="280" customWidth="1"/>
  </cols>
  <sheetData>
    <row r="1" spans="2:32" ht="16.8" thickBot="1">
      <c r="C1" s="316" t="s">
        <v>158</v>
      </c>
      <c r="D1" s="316"/>
      <c r="E1" s="316"/>
      <c r="F1" s="317" t="s">
        <v>159</v>
      </c>
      <c r="G1" s="317"/>
      <c r="H1" s="317"/>
      <c r="R1" s="163">
        <f>SUM(R3:R54)</f>
        <v>0.72250262511900276</v>
      </c>
      <c r="V1" s="173">
        <f>SUM(V3:V54)</f>
        <v>0.71356017890458301</v>
      </c>
      <c r="AB1" s="270">
        <f>SUM(AB3:AB54)</f>
        <v>0.52646074026113576</v>
      </c>
      <c r="AF1" s="274">
        <f>SUM(AF3:AF54)</f>
        <v>0.52646065016033594</v>
      </c>
    </row>
    <row r="2" spans="2:32" ht="16.8" thickBot="1">
      <c r="B2" s="141" t="s">
        <v>160</v>
      </c>
      <c r="C2" s="192" t="s">
        <v>90</v>
      </c>
      <c r="D2" s="193" t="s">
        <v>91</v>
      </c>
      <c r="E2" s="208" t="s">
        <v>92</v>
      </c>
      <c r="F2" s="194" t="s">
        <v>90</v>
      </c>
      <c r="G2" s="195" t="s">
        <v>91</v>
      </c>
      <c r="H2" s="209" t="s">
        <v>92</v>
      </c>
      <c r="J2" s="153" t="s">
        <v>163</v>
      </c>
      <c r="K2" s="144" t="s">
        <v>160</v>
      </c>
      <c r="L2" s="152" t="s">
        <v>161</v>
      </c>
      <c r="M2" s="188" t="s">
        <v>159</v>
      </c>
      <c r="N2" s="141" t="s">
        <v>162</v>
      </c>
      <c r="O2" s="162" t="s">
        <v>174</v>
      </c>
      <c r="P2" s="162" t="s">
        <v>165</v>
      </c>
      <c r="Q2" s="162" t="s">
        <v>164</v>
      </c>
      <c r="R2" s="164" t="s">
        <v>175</v>
      </c>
      <c r="T2" s="170" t="s">
        <v>169</v>
      </c>
      <c r="U2" s="170" t="s">
        <v>166</v>
      </c>
      <c r="V2" s="171" t="s">
        <v>167</v>
      </c>
      <c r="Y2" s="162" t="s">
        <v>174</v>
      </c>
      <c r="Z2" s="162" t="s">
        <v>165</v>
      </c>
      <c r="AA2" s="162" t="s">
        <v>164</v>
      </c>
      <c r="AB2" s="271" t="s">
        <v>175</v>
      </c>
      <c r="AD2" s="170" t="s">
        <v>169</v>
      </c>
      <c r="AE2" s="170" t="s">
        <v>166</v>
      </c>
      <c r="AF2" s="275" t="s">
        <v>167</v>
      </c>
    </row>
    <row r="3" spans="2:32">
      <c r="B3" s="141">
        <v>-1</v>
      </c>
      <c r="C3" s="154" cm="1">
        <f t="array" ref="C3">_xlfn.IFNA(
   _xlfn._xlws.FILTER(
      Sim_Mul_Bet100!$H$3:$H$100,
      (Sim_Mul_Bet100!$A$3:$A$100=C$2) * (Sim_Mul_Bet100!$C$3:$C$100=$B3),0
   ),
   0
)</f>
        <v>0</v>
      </c>
      <c r="D3" s="154" cm="1">
        <f t="array" ref="D3">_xlfn.IFNA(
   _xlfn._xlws.FILTER(
      Sim_Mul_Bet100!$H$3:$H$100,
      (Sim_Mul_Bet100!$A$3:$A$100=D$2) * (Sim_Mul_Bet100!$C$3:$C$100=$B3),0
   ),
   0
)</f>
        <v>0.19865425</v>
      </c>
      <c r="E3" s="181" cm="1">
        <f t="array" ref="E3">_xlfn.IFNA(
   _xlfn._xlws.FILTER(
      Sim_Mul_Bet100!$H$3:$H$100,
      (Sim_Mul_Bet100!$A$3:$A$100=E$2) * (Sim_Mul_Bet100!$C$3:$C$100=$B3),0
   ),
   0
)</f>
        <v>0</v>
      </c>
      <c r="F3" s="194"/>
      <c r="G3" s="145" cm="1">
        <f t="array" ref="G3">_xlfn.IFNA(
   _xlfn._xlws.FILTER(
      Sim_Mul_Bet100!$O$3:$O$100,
      (Sim_Mul_Bet100!$A$3:$A$100=D$2) * (Sim_Mul_Bet100!$C$3:$C$100=$B3),0
   ),
   0
)</f>
        <v>0</v>
      </c>
      <c r="H3" s="209"/>
      <c r="J3" s="153">
        <v>0</v>
      </c>
      <c r="K3" s="205">
        <v>-1</v>
      </c>
      <c r="L3" s="196" t="s">
        <v>90</v>
      </c>
      <c r="M3" s="215">
        <f>HLOOKUP(L3,$C$2:$E$54,J3+2,FALSE)</f>
        <v>0</v>
      </c>
      <c r="N3" s="159">
        <f>HLOOKUP(L3,$F$2:$H$54,J3+2,FALSE)</f>
        <v>0</v>
      </c>
      <c r="O3" s="174">
        <f>1-SUM(O4:O53)</f>
        <v>0.8813706495837188</v>
      </c>
      <c r="P3" s="174">
        <f>1-SUM(P4:P53)</f>
        <v>0.88114461424606838</v>
      </c>
      <c r="Q3" s="174">
        <f>1-SUM(Q4:Q54)</f>
        <v>0.89123621813394938</v>
      </c>
      <c r="R3" s="165">
        <f t="shared" ref="R3:R54" si="0">N3*O3</f>
        <v>0</v>
      </c>
      <c r="T3" s="183">
        <f>1000000-SUM(T4:T54)</f>
        <v>868278</v>
      </c>
      <c r="U3" s="198" cm="1">
        <f t="array" ref="U3:U54">T3:T54/SUM($T$3:$T$54)</f>
        <v>0.86827799999999999</v>
      </c>
      <c r="V3" s="201">
        <f t="shared" ref="V3:V54" si="1">U3*N3</f>
        <v>0</v>
      </c>
      <c r="X3" s="103"/>
      <c r="Y3" s="174">
        <f>1-SUM(Y4:Y53)</f>
        <v>0.89276996577243295</v>
      </c>
      <c r="Z3" s="174">
        <f>1-SUM(Z4:Z53)</f>
        <v>0.89276996577243295</v>
      </c>
      <c r="AA3" s="174">
        <f>1-SUM(AA4:AA54)</f>
        <v>0.89123621813394938</v>
      </c>
      <c r="AB3" s="272">
        <f>N3*Y3</f>
        <v>0</v>
      </c>
      <c r="AD3" s="183">
        <f>1000000-SUM(AD4:AD54)</f>
        <v>892770</v>
      </c>
      <c r="AE3" s="198" cm="1">
        <f t="array" ref="AE3:AE54">AD3:AD54/SUM($T$3:$T$54)</f>
        <v>0.89276999999999995</v>
      </c>
      <c r="AF3" s="276">
        <f>AE3*N3</f>
        <v>0</v>
      </c>
    </row>
    <row r="4" spans="2:32">
      <c r="B4" s="142">
        <v>0</v>
      </c>
      <c r="C4" s="155" cm="1">
        <f t="array" ref="C4">_xlfn.IFNA(
   _xlfn._xlws.FILTER(
      Sim_Mul_Bet100!$H$3:$H$100,
      (Sim_Mul_Bet100!$A$3:$A$100=C$2) * (Sim_Mul_Bet100!$C$3:$C$100=$B4),0
   ),
   0
)</f>
        <v>0.87031550000000002</v>
      </c>
      <c r="D4" s="156" cm="1">
        <f t="array" ref="D4">_xlfn.IFNA(
   _xlfn._xlws.FILTER(
      Sim_Mul_Bet100!$H$3:$H$100,
      (Sim_Mul_Bet100!$A$3:$A$100=D$2) * (Sim_Mul_Bet100!$C$3:$C$100=$B4),0
   ),
   0
)</f>
        <v>0.35717713000000001</v>
      </c>
      <c r="E4" s="181" cm="1">
        <f t="array" ref="E4">_xlfn.IFNA(
   _xlfn._xlws.FILTER(
      Sim_Mul_Bet100!$H$3:$H$100,
      (Sim_Mul_Bet100!$A$3:$A$100=E$2) * (Sim_Mul_Bet100!$C$3:$C$100=$B4),0
   ),
   0
)</f>
        <v>0</v>
      </c>
      <c r="F4" s="150" cm="1">
        <f t="array" ref="F4">_xlfn.IFNA(
   _xlfn._xlws.FILTER(
      Sim_Mul_Bet100!$O$3:$O$100,
      (Sim_Mul_Bet100!$A$3:$A$100=C$2) * (Sim_Mul_Bet100!$C$3:$C$100=$B4),0
   ),
   0
)</f>
        <v>0</v>
      </c>
      <c r="G4" s="146" cm="1">
        <f t="array" ref="G4">_xlfn.IFNA(
   _xlfn._xlws.FILTER(
      Sim_Mul_Bet100!$O$3:$O$100,
      (Sim_Mul_Bet100!$A$3:$A$100=D$2) * (Sim_Mul_Bet100!$C$3:$C$100=$B4),0
   ),
   0
)</f>
        <v>0.26256794408981338</v>
      </c>
      <c r="H4" s="147" cm="1">
        <f t="array" ref="H4">_xlfn.IFNA(
   _xlfn._xlws.FILTER(
      Sim_Mul_Bet100!$O$3:$O$100,
      (Sim_Mul_Bet100!$A$3:$A$100=E$2) * (Sim_Mul_Bet100!$C$3:$C$100=$B4),0
   ),
   0
)</f>
        <v>0</v>
      </c>
      <c r="J4">
        <v>1</v>
      </c>
      <c r="K4" s="206">
        <v>0</v>
      </c>
      <c r="L4" s="210" t="s">
        <v>90</v>
      </c>
      <c r="M4" s="216">
        <f t="shared" ref="M4:M54" si="2">HLOOKUP(L4,$C$2:$E$54,J4+2,FALSE)</f>
        <v>0.87031550000000002</v>
      </c>
      <c r="N4" s="160">
        <f>HLOOKUP(L4,$F$2:$H$54,J4+2,FALSE)</f>
        <v>0</v>
      </c>
      <c r="O4" s="175">
        <v>7.4745605920444004E-3</v>
      </c>
      <c r="P4" s="175">
        <v>7.4745605920444004E-3</v>
      </c>
      <c r="Q4" s="175">
        <v>7.4745605920444004E-3</v>
      </c>
      <c r="R4" s="197">
        <f t="shared" si="0"/>
        <v>0</v>
      </c>
      <c r="T4" s="184">
        <v>22965</v>
      </c>
      <c r="U4">
        <v>2.2964999999999999E-2</v>
      </c>
      <c r="V4" s="202">
        <f t="shared" si="1"/>
        <v>0</v>
      </c>
      <c r="W4" s="169"/>
      <c r="X4" s="103"/>
      <c r="Y4" s="175">
        <f>Z4</f>
        <v>2.9999999999999997E-4</v>
      </c>
      <c r="Z4" s="175">
        <v>2.9999999999999997E-4</v>
      </c>
      <c r="AA4" s="175">
        <v>7.4745605920444004E-3</v>
      </c>
      <c r="AB4" s="272">
        <f>N4*Y4</f>
        <v>0</v>
      </c>
      <c r="AD4" s="184">
        <f t="shared" ref="AD4:AD54" si="3">ROUND(Y4*1000000,0)</f>
        <v>300</v>
      </c>
      <c r="AE4">
        <v>2.9999999999999997E-4</v>
      </c>
      <c r="AF4" s="277">
        <f t="shared" ref="AF4:AF54" si="4">AE4*N4</f>
        <v>0</v>
      </c>
    </row>
    <row r="5" spans="2:32">
      <c r="B5" s="142">
        <v>1</v>
      </c>
      <c r="C5" s="155" cm="1">
        <f t="array" ref="C5">_xlfn.IFNA(
   _xlfn._xlws.FILTER(
      Sim_Mul_Bet100!$H$3:$H$100,
      (Sim_Mul_Bet100!$A$3:$A$100=C$2) * (Sim_Mul_Bet100!$C$3:$C$100=$B5),0
   ),
   0
)</f>
        <v>6.1783449999999997E-2</v>
      </c>
      <c r="D5" s="156" cm="1">
        <f t="array" ref="D5">_xlfn.IFNA(
   _xlfn._xlws.FILTER(
      Sim_Mul_Bet100!$H$3:$H$100,
      (Sim_Mul_Bet100!$A$3:$A$100=D$2) * (Sim_Mul_Bet100!$C$3:$C$100=$B5),0
   ),
   0
)</f>
        <v>8.4621669999999996E-2</v>
      </c>
      <c r="E5" s="181" cm="1">
        <f t="array" ref="E5">_xlfn.IFNA(
   _xlfn._xlws.FILTER(
      Sim_Mul_Bet100!$H$3:$H$100,
      (Sim_Mul_Bet100!$A$3:$A$100=E$2) * (Sim_Mul_Bet100!$C$3:$C$100=$B5),0
   ),
   0
)</f>
        <v>0</v>
      </c>
      <c r="F5" s="150" cm="1">
        <f t="array" ref="F5">_xlfn.IFNA(
   _xlfn._xlws.FILTER(
      Sim_Mul_Bet100!$O$3:$O$100,
      (Sim_Mul_Bet100!$A$3:$A$100=C$2) * (Sim_Mul_Bet100!$C$3:$C$100=$B5),0
   ),
   0
)</f>
        <v>1.0115311058220284</v>
      </c>
      <c r="G5" s="146" cm="1">
        <f t="array" ref="G5">_xlfn.IFNA(
   _xlfn._xlws.FILTER(
      Sim_Mul_Bet100!$O$3:$O$100,
      (Sim_Mul_Bet100!$A$3:$A$100=D$2) * (Sim_Mul_Bet100!$C$3:$C$100=$B5),0
   ),
   0
)</f>
        <v>1.1734917899871276</v>
      </c>
      <c r="H5" s="147" cm="1">
        <f t="array" ref="H5">_xlfn.IFNA(
   _xlfn._xlws.FILTER(
      Sim_Mul_Bet100!$O$3:$O$100,
      (Sim_Mul_Bet100!$A$3:$A$100=E$2) * (Sim_Mul_Bet100!$C$3:$C$100=$B5),0
   ),
   0
)</f>
        <v>0</v>
      </c>
      <c r="J5">
        <v>2</v>
      </c>
      <c r="K5" s="206">
        <v>1</v>
      </c>
      <c r="L5" s="210" t="s">
        <v>90</v>
      </c>
      <c r="M5" s="216">
        <f t="shared" si="2"/>
        <v>6.1783449999999997E-2</v>
      </c>
      <c r="N5" s="160">
        <f t="shared" ref="N5:N54" si="5">HLOOKUP(L5,$F$2:$H$54,J5+2,FALSE)</f>
        <v>1.0115311058220284</v>
      </c>
      <c r="O5" s="175">
        <v>2.6493987049028701E-2</v>
      </c>
      <c r="P5" s="175">
        <v>2.6493987049028701E-2</v>
      </c>
      <c r="Q5" s="175">
        <v>2.6493987049028701E-2</v>
      </c>
      <c r="R5" s="197">
        <f t="shared" si="0"/>
        <v>2.6799492017338503E-2</v>
      </c>
      <c r="T5" s="184">
        <v>38444</v>
      </c>
      <c r="U5" s="199">
        <v>3.8443999999999999E-2</v>
      </c>
      <c r="V5" s="203">
        <f t="shared" si="1"/>
        <v>3.8887301832222061E-2</v>
      </c>
      <c r="W5" s="169"/>
      <c r="X5" s="103"/>
      <c r="Y5" s="175">
        <f t="shared" ref="Y5:Y54" si="6">Z5</f>
        <v>2.6493987049028701E-2</v>
      </c>
      <c r="Z5" s="175">
        <v>2.6493987049028701E-2</v>
      </c>
      <c r="AA5" s="175">
        <v>2.6493987049028701E-2</v>
      </c>
      <c r="AB5" s="272">
        <f t="shared" ref="AB5:AB54" si="7">N5*Y5</f>
        <v>2.6799492017338503E-2</v>
      </c>
      <c r="AD5" s="184">
        <f t="shared" si="3"/>
        <v>26494</v>
      </c>
      <c r="AE5" s="199">
        <v>2.6494E-2</v>
      </c>
      <c r="AF5" s="278">
        <f t="shared" si="4"/>
        <v>2.6799505117648822E-2</v>
      </c>
    </row>
    <row r="6" spans="2:32">
      <c r="B6" s="142">
        <v>2</v>
      </c>
      <c r="C6" s="155" cm="1">
        <f t="array" ref="C6">_xlfn.IFNA(
   _xlfn._xlws.FILTER(
      Sim_Mul_Bet100!$H$3:$H$100,
      (Sim_Mul_Bet100!$A$3:$A$100=C$2) * (Sim_Mul_Bet100!$C$3:$C$100=$B6),0
   ),
   0
)</f>
        <v>1.203305E-2</v>
      </c>
      <c r="D6" s="156" cm="1">
        <f t="array" ref="D6">_xlfn.IFNA(
   _xlfn._xlws.FILTER(
      Sim_Mul_Bet100!$H$3:$H$100,
      (Sim_Mul_Bet100!$A$3:$A$100=D$2) * (Sim_Mul_Bet100!$C$3:$C$100=$B6),0
   ),
   0
)</f>
        <v>1.6114469999999999E-2</v>
      </c>
      <c r="E6" s="181" cm="1">
        <f t="array" ref="E6">_xlfn.IFNA(
   _xlfn._xlws.FILTER(
      Sim_Mul_Bet100!$H$3:$H$100,
      (Sim_Mul_Bet100!$A$3:$A$100=E$2) * (Sim_Mul_Bet100!$C$3:$C$100=$B6),0
   ),
   0
)</f>
        <v>0</v>
      </c>
      <c r="F6" s="150" cm="1">
        <f t="array" ref="F6">_xlfn.IFNA(
   _xlfn._xlws.FILTER(
      Sim_Mul_Bet100!$O$3:$O$100,
      (Sim_Mul_Bet100!$A$3:$A$100=C$2) * (Sim_Mul_Bet100!$C$3:$C$100=$B6),0
   ),
   0
)</f>
        <v>2.1874588238227215</v>
      </c>
      <c r="G6" s="146" cm="1">
        <f t="array" ref="G6">_xlfn.IFNA(
   _xlfn._xlws.FILTER(
      Sim_Mul_Bet100!$O$3:$O$100,
      (Sim_Mul_Bet100!$A$3:$A$100=D$2) * (Sim_Mul_Bet100!$C$3:$C$100=$B6),0
   ),
   0
)</f>
        <v>2.3229532215456046</v>
      </c>
      <c r="H6" s="147" cm="1">
        <f t="array" ref="H6">_xlfn.IFNA(
   _xlfn._xlws.FILTER(
      Sim_Mul_Bet100!$O$3:$O$100,
      (Sim_Mul_Bet100!$A$3:$A$100=E$2) * (Sim_Mul_Bet100!$C$3:$C$100=$B6),0
   ),
   0
)</f>
        <v>0</v>
      </c>
      <c r="J6">
        <v>3</v>
      </c>
      <c r="K6" s="206">
        <v>2</v>
      </c>
      <c r="L6" s="210" t="s">
        <v>90</v>
      </c>
      <c r="M6" s="216">
        <f t="shared" si="2"/>
        <v>1.203305E-2</v>
      </c>
      <c r="N6" s="160">
        <f t="shared" si="5"/>
        <v>2.1874588238227215</v>
      </c>
      <c r="O6" s="175">
        <v>6.3000000000000003E-4</v>
      </c>
      <c r="P6" s="175">
        <v>6.3000000000000003E-4</v>
      </c>
      <c r="Q6" s="175">
        <v>6.2904717853839E-4</v>
      </c>
      <c r="R6" s="197">
        <f t="shared" si="0"/>
        <v>1.3780990590083145E-3</v>
      </c>
      <c r="T6" s="184">
        <v>318</v>
      </c>
      <c r="U6" s="199">
        <v>3.1799999999999998E-4</v>
      </c>
      <c r="V6" s="203">
        <f t="shared" si="1"/>
        <v>6.9561190597562542E-4</v>
      </c>
      <c r="W6" s="169"/>
      <c r="X6" s="103"/>
      <c r="Y6" s="175">
        <f t="shared" si="6"/>
        <v>6.2904717853839E-4</v>
      </c>
      <c r="Z6" s="175">
        <v>6.2904717853839E-4</v>
      </c>
      <c r="AA6" s="175">
        <v>6.2904717853839E-4</v>
      </c>
      <c r="AB6" s="272">
        <f t="shared" si="7"/>
        <v>1.376014801294588E-3</v>
      </c>
      <c r="AD6" s="184">
        <f t="shared" si="3"/>
        <v>629</v>
      </c>
      <c r="AE6" s="199">
        <v>6.29E-4</v>
      </c>
      <c r="AF6" s="278">
        <f t="shared" si="4"/>
        <v>1.3759116001844918E-3</v>
      </c>
    </row>
    <row r="7" spans="2:32">
      <c r="B7" s="142">
        <v>3</v>
      </c>
      <c r="C7" s="155" cm="1">
        <f t="array" ref="C7">_xlfn.IFNA(
   _xlfn._xlws.FILTER(
      Sim_Mul_Bet100!$H$3:$H$100,
      (Sim_Mul_Bet100!$A$3:$A$100=C$2) * (Sim_Mul_Bet100!$C$3:$C$100=$B7),0
   ),
   0
)</f>
        <v>7.3490000000000003E-5</v>
      </c>
      <c r="D7" s="156" cm="1">
        <f t="array" ref="D7">_xlfn.IFNA(
   _xlfn._xlws.FILTER(
      Sim_Mul_Bet100!$H$3:$H$100,
      (Sim_Mul_Bet100!$A$3:$A$100=D$2) * (Sim_Mul_Bet100!$C$3:$C$100=$B7),0
   ),
   0
)</f>
        <v>3.4092999999999998E-4</v>
      </c>
      <c r="E7" s="181" cm="1">
        <f t="array" ref="E7">_xlfn.IFNA(
   _xlfn._xlws.FILTER(
      Sim_Mul_Bet100!$H$3:$H$100,
      (Sim_Mul_Bet100!$A$3:$A$100=E$2) * (Sim_Mul_Bet100!$C$3:$C$100=$B7),0
   ),
   0
)</f>
        <v>0</v>
      </c>
      <c r="F7" s="150" cm="1">
        <f t="array" ref="F7">_xlfn.IFNA(
   _xlfn._xlws.FILTER(
      Sim_Mul_Bet100!$O$3:$O$100,
      (Sim_Mul_Bet100!$A$3:$A$100=C$2) * (Sim_Mul_Bet100!$C$3:$C$100=$B7),0
   ),
   0
)</f>
        <v>3.0006504286297457</v>
      </c>
      <c r="G7" s="146" cm="1">
        <f t="array" ref="G7">_xlfn.IFNA(
   _xlfn._xlws.FILTER(
      Sim_Mul_Bet100!$O$3:$O$100,
      (Sim_Mul_Bet100!$A$3:$A$100=D$2) * (Sim_Mul_Bet100!$C$3:$C$100=$B7),0
   ),
   0
)</f>
        <v>3.0601067667849708</v>
      </c>
      <c r="H7" s="147" cm="1">
        <f t="array" ref="H7">_xlfn.IFNA(
   _xlfn._xlws.FILTER(
      Sim_Mul_Bet100!$O$3:$O$100,
      (Sim_Mul_Bet100!$A$3:$A$100=E$2) * (Sim_Mul_Bet100!$C$3:$C$100=$B7),0
   ),
   0
)</f>
        <v>0</v>
      </c>
      <c r="J7">
        <v>4</v>
      </c>
      <c r="K7" s="206">
        <v>3</v>
      </c>
      <c r="L7" s="210" t="s">
        <v>90</v>
      </c>
      <c r="M7" s="216">
        <f t="shared" si="2"/>
        <v>7.3490000000000003E-5</v>
      </c>
      <c r="N7" s="160">
        <f t="shared" si="5"/>
        <v>3.0006504286297457</v>
      </c>
      <c r="O7" s="175">
        <v>0</v>
      </c>
      <c r="P7" s="175">
        <v>0</v>
      </c>
      <c r="Q7" s="175">
        <v>0</v>
      </c>
      <c r="R7" s="197">
        <f t="shared" si="0"/>
        <v>0</v>
      </c>
      <c r="T7" s="184">
        <v>0</v>
      </c>
      <c r="U7" s="199">
        <v>0</v>
      </c>
      <c r="V7" s="203">
        <f t="shared" si="1"/>
        <v>0</v>
      </c>
      <c r="W7" s="169"/>
      <c r="X7" s="103"/>
      <c r="Y7" s="175">
        <f t="shared" si="6"/>
        <v>0</v>
      </c>
      <c r="Z7" s="175">
        <v>0</v>
      </c>
      <c r="AA7" s="175">
        <v>0</v>
      </c>
      <c r="AB7" s="272">
        <f t="shared" si="7"/>
        <v>0</v>
      </c>
      <c r="AD7" s="184">
        <f t="shared" si="3"/>
        <v>0</v>
      </c>
      <c r="AE7" s="199">
        <v>0</v>
      </c>
      <c r="AF7" s="278">
        <f t="shared" si="4"/>
        <v>0</v>
      </c>
    </row>
    <row r="8" spans="2:32">
      <c r="B8" s="142">
        <v>4</v>
      </c>
      <c r="C8" s="155" cm="1">
        <f t="array" ref="C8">_xlfn.IFNA(
   _xlfn._xlws.FILTER(
      Sim_Mul_Bet100!$H$3:$H$100,
      (Sim_Mul_Bet100!$A$3:$A$100=C$2) * (Sim_Mul_Bet100!$C$3:$C$100=$B8),0
   ),
   0
)</f>
        <v>0</v>
      </c>
      <c r="D8" s="156" cm="1">
        <f t="array" ref="D8">_xlfn.IFNA(
   _xlfn._xlws.FILTER(
      Sim_Mul_Bet100!$H$3:$H$100,
      (Sim_Mul_Bet100!$A$3:$A$100=D$2) * (Sim_Mul_Bet100!$C$3:$C$100=$B8),0
   ),
   0
)</f>
        <v>2.1060570000000001E-2</v>
      </c>
      <c r="E8" s="181" cm="1">
        <f t="array" ref="E8">_xlfn.IFNA(
   _xlfn._xlws.FILTER(
      Sim_Mul_Bet100!$H$3:$H$100,
      (Sim_Mul_Bet100!$A$3:$A$100=E$2) * (Sim_Mul_Bet100!$C$3:$C$100=$B8),0
   ),
   0
)</f>
        <v>0</v>
      </c>
      <c r="F8" s="150" cm="1">
        <f t="array" ref="F8">_xlfn.IFNA(
   _xlfn._xlws.FILTER(
      Sim_Mul_Bet100!$O$3:$O$100,
      (Sim_Mul_Bet100!$A$3:$A$100=C$2) * (Sim_Mul_Bet100!$C$3:$C$100=$B8),0
   ),
   0
)</f>
        <v>0</v>
      </c>
      <c r="G8" s="146" cm="1">
        <f t="array" ref="G8">_xlfn.IFNA(
   _xlfn._xlws.FILTER(
      Sim_Mul_Bet100!$O$3:$O$100,
      (Sim_Mul_Bet100!$A$3:$A$100=D$2) * (Sim_Mul_Bet100!$C$3:$C$100=$B8),0
   ),
   0
)</f>
        <v>5</v>
      </c>
      <c r="H8" s="147" cm="1">
        <f t="array" ref="H8">_xlfn.IFNA(
   _xlfn._xlws.FILTER(
      Sim_Mul_Bet100!$O$3:$O$100,
      (Sim_Mul_Bet100!$A$3:$A$100=E$2) * (Sim_Mul_Bet100!$C$3:$C$100=$B8),0
   ),
   0
)</f>
        <v>0</v>
      </c>
      <c r="J8">
        <v>5</v>
      </c>
      <c r="K8" s="206">
        <v>4</v>
      </c>
      <c r="L8" s="210" t="s">
        <v>90</v>
      </c>
      <c r="M8" s="216">
        <f t="shared" si="2"/>
        <v>0</v>
      </c>
      <c r="N8" s="160">
        <f t="shared" si="5"/>
        <v>0</v>
      </c>
      <c r="O8" s="175">
        <v>0.02</v>
      </c>
      <c r="P8" s="175">
        <v>0.02</v>
      </c>
      <c r="Q8" s="175">
        <v>1.24699352451434E-2</v>
      </c>
      <c r="R8" s="197">
        <f t="shared" si="0"/>
        <v>0</v>
      </c>
      <c r="T8" s="184">
        <v>15875</v>
      </c>
      <c r="U8" s="199">
        <v>1.5875E-2</v>
      </c>
      <c r="V8" s="203">
        <f t="shared" si="1"/>
        <v>0</v>
      </c>
      <c r="W8" s="169"/>
      <c r="X8" s="103"/>
      <c r="Y8" s="175">
        <f t="shared" si="6"/>
        <v>0.05</v>
      </c>
      <c r="Z8" s="175">
        <v>0.05</v>
      </c>
      <c r="AA8" s="175">
        <v>1.24699352451434E-2</v>
      </c>
      <c r="AB8" s="272">
        <f t="shared" si="7"/>
        <v>0</v>
      </c>
      <c r="AD8" s="184">
        <f t="shared" si="3"/>
        <v>50000</v>
      </c>
      <c r="AE8" s="199">
        <v>0.05</v>
      </c>
      <c r="AF8" s="278">
        <f t="shared" si="4"/>
        <v>0</v>
      </c>
    </row>
    <row r="9" spans="2:32">
      <c r="B9" s="142">
        <v>5</v>
      </c>
      <c r="C9" s="155" cm="1">
        <f t="array" ref="C9">_xlfn.IFNA(
   _xlfn._xlws.FILTER(
      Sim_Mul_Bet100!$H$3:$H$100,
      (Sim_Mul_Bet100!$A$3:$A$100=C$2) * (Sim_Mul_Bet100!$C$3:$C$100=$B9),0
   ),
   0
)</f>
        <v>1.6021270000000001E-2</v>
      </c>
      <c r="D9" s="156" cm="1">
        <f t="array" ref="D9">_xlfn.IFNA(
   _xlfn._xlws.FILTER(
      Sim_Mul_Bet100!$H$3:$H$100,
      (Sim_Mul_Bet100!$A$3:$A$100=D$2) * (Sim_Mul_Bet100!$C$3:$C$100=$B9),0
   ),
   0
)</f>
        <v>4.4961840000000003E-2</v>
      </c>
      <c r="E9" s="181" cm="1">
        <f t="array" ref="E9">_xlfn.IFNA(
   _xlfn._xlws.FILTER(
      Sim_Mul_Bet100!$H$3:$H$100,
      (Sim_Mul_Bet100!$A$3:$A$100=E$2) * (Sim_Mul_Bet100!$C$3:$C$100=$B9),0
   ),
   0
)</f>
        <v>0</v>
      </c>
      <c r="F9" s="150" cm="1">
        <f t="array" ref="F9">_xlfn.IFNA(
   _xlfn._xlws.FILTER(
      Sim_Mul_Bet100!$O$3:$O$100,
      (Sim_Mul_Bet100!$A$3:$A$100=C$2) * (Sim_Mul_Bet100!$C$3:$C$100=$B9),0
   ),
   0
)</f>
        <v>5.0098853711347475</v>
      </c>
      <c r="G9" s="146" cm="1">
        <f t="array" ref="G9">_xlfn.IFNA(
   _xlfn._xlws.FILTER(
      Sim_Mul_Bet100!$O$3:$O$100,
      (Sim_Mul_Bet100!$A$3:$A$100=D$2) * (Sim_Mul_Bet100!$C$3:$C$100=$B9),0
   ),
   0
)</f>
        <v>5.2092909898705217</v>
      </c>
      <c r="H9" s="147" cm="1">
        <f t="array" ref="H9">_xlfn.IFNA(
   _xlfn._xlws.FILTER(
      Sim_Mul_Bet100!$O$3:$O$100,
      (Sim_Mul_Bet100!$A$3:$A$100=E$2) * (Sim_Mul_Bet100!$C$3:$C$100=$B9),0
   ),
   0
)</f>
        <v>0</v>
      </c>
      <c r="J9">
        <v>6</v>
      </c>
      <c r="K9" s="206">
        <v>5</v>
      </c>
      <c r="L9" s="210" t="s">
        <v>90</v>
      </c>
      <c r="M9" s="216">
        <f t="shared" si="2"/>
        <v>1.6021270000000001E-2</v>
      </c>
      <c r="N9" s="160">
        <f t="shared" si="5"/>
        <v>5.0098853711347475</v>
      </c>
      <c r="O9" s="175">
        <v>3.3480000000000003E-2</v>
      </c>
      <c r="P9" s="175">
        <v>3.3500000000000002E-2</v>
      </c>
      <c r="Q9" s="175">
        <v>3.3376503237742799E-2</v>
      </c>
      <c r="R9" s="197">
        <f t="shared" si="0"/>
        <v>0.16773096222559136</v>
      </c>
      <c r="T9" s="184">
        <v>26258</v>
      </c>
      <c r="U9" s="199">
        <v>2.6258E-2</v>
      </c>
      <c r="V9" s="203">
        <f t="shared" si="1"/>
        <v>0.13154957007525619</v>
      </c>
      <c r="W9" s="169"/>
      <c r="X9" s="103"/>
      <c r="Y9" s="175">
        <f t="shared" si="6"/>
        <v>5.0000000000000001E-4</v>
      </c>
      <c r="Z9" s="175">
        <v>5.0000000000000001E-4</v>
      </c>
      <c r="AA9" s="175">
        <v>3.3376503237742799E-2</v>
      </c>
      <c r="AB9" s="272">
        <f t="shared" si="7"/>
        <v>2.5049426855673737E-3</v>
      </c>
      <c r="AD9" s="184">
        <f t="shared" si="3"/>
        <v>500</v>
      </c>
      <c r="AE9" s="199">
        <v>5.0000000000000001E-4</v>
      </c>
      <c r="AF9" s="278">
        <f t="shared" si="4"/>
        <v>2.5049426855673737E-3</v>
      </c>
    </row>
    <row r="10" spans="2:32">
      <c r="B10" s="142">
        <v>6</v>
      </c>
      <c r="C10" s="155" cm="1">
        <f t="array" ref="C10">_xlfn.IFNA(
   _xlfn._xlws.FILTER(
      Sim_Mul_Bet100!$H$3:$H$100,
      (Sim_Mul_Bet100!$A$3:$A$100=C$2) * (Sim_Mul_Bet100!$C$3:$C$100=$B10),0
   ),
   0
)</f>
        <v>1.2310000000000001E-5</v>
      </c>
      <c r="D10" s="156" cm="1">
        <f t="array" ref="D10">_xlfn.IFNA(
   _xlfn._xlws.FILTER(
      Sim_Mul_Bet100!$H$3:$H$100,
      (Sim_Mul_Bet100!$A$3:$A$100=D$2) * (Sim_Mul_Bet100!$C$3:$C$100=$B10),0
   ),
   0
)</f>
        <v>1.78667E-3</v>
      </c>
      <c r="E10" s="181" cm="1">
        <f t="array" ref="E10">_xlfn.IFNA(
   _xlfn._xlws.FILTER(
      Sim_Mul_Bet100!$H$3:$H$100,
      (Sim_Mul_Bet100!$A$3:$A$100=E$2) * (Sim_Mul_Bet100!$C$3:$C$100=$B10),0
   ),
   0
)</f>
        <v>0</v>
      </c>
      <c r="F10" s="150" cm="1">
        <f t="array" ref="F10">_xlfn.IFNA(
   _xlfn._xlws.FILTER(
      Sim_Mul_Bet100!$O$3:$O$100,
      (Sim_Mul_Bet100!$A$3:$A$100=C$2) * (Sim_Mul_Bet100!$C$3:$C$100=$B10),0
   ),
   0
)</f>
        <v>6.2218034118602761</v>
      </c>
      <c r="G10" s="146" cm="1">
        <f t="array" ref="G10">_xlfn.IFNA(
   _xlfn._xlws.FILTER(
      Sim_Mul_Bet100!$O$3:$O$100,
      (Sim_Mul_Bet100!$A$3:$A$100=D$2) * (Sim_Mul_Bet100!$C$3:$C$100=$B10),0
   ),
   0
)</f>
        <v>6.1627762261637562</v>
      </c>
      <c r="H10" s="147" cm="1">
        <f t="array" ref="H10">_xlfn.IFNA(
   _xlfn._xlws.FILTER(
      Sim_Mul_Bet100!$O$3:$O$100,
      (Sim_Mul_Bet100!$A$3:$A$100=E$2) * (Sim_Mul_Bet100!$C$3:$C$100=$B10),0
   ),
   0
)</f>
        <v>0</v>
      </c>
      <c r="J10">
        <v>7</v>
      </c>
      <c r="K10" s="206">
        <v>6</v>
      </c>
      <c r="L10" s="210" t="s">
        <v>91</v>
      </c>
      <c r="M10" s="216">
        <f t="shared" si="2"/>
        <v>1.78667E-3</v>
      </c>
      <c r="N10" s="160">
        <f t="shared" si="5"/>
        <v>6.1627762261637562</v>
      </c>
      <c r="O10" s="175">
        <v>3.7002775208140602E-5</v>
      </c>
      <c r="P10" s="175">
        <v>3.7002775208140602E-5</v>
      </c>
      <c r="Q10" s="175">
        <v>3.7002775208140602E-5</v>
      </c>
      <c r="R10" s="197">
        <f t="shared" si="0"/>
        <v>2.2803982335481055E-4</v>
      </c>
      <c r="T10" s="184">
        <v>42</v>
      </c>
      <c r="U10" s="199">
        <v>4.1999999999999998E-5</v>
      </c>
      <c r="V10" s="203">
        <f t="shared" si="1"/>
        <v>2.5883660149887775E-4</v>
      </c>
      <c r="W10" s="169"/>
      <c r="X10" s="103"/>
      <c r="Y10" s="175">
        <f t="shared" si="6"/>
        <v>3.0000000000000001E-5</v>
      </c>
      <c r="Z10" s="175">
        <v>3.0000000000000001E-5</v>
      </c>
      <c r="AA10" s="175">
        <v>3.7002775208140602E-5</v>
      </c>
      <c r="AB10" s="272">
        <f t="shared" si="7"/>
        <v>1.8488328678491268E-4</v>
      </c>
      <c r="AD10" s="184">
        <f t="shared" si="3"/>
        <v>30</v>
      </c>
      <c r="AE10" s="199">
        <v>3.0000000000000001E-5</v>
      </c>
      <c r="AF10" s="278">
        <f t="shared" si="4"/>
        <v>1.8488328678491268E-4</v>
      </c>
    </row>
    <row r="11" spans="2:32">
      <c r="B11" s="142">
        <v>7</v>
      </c>
      <c r="C11" s="155" cm="1">
        <f t="array" ref="C11">_xlfn.IFNA(
   _xlfn._xlws.FILTER(
      Sim_Mul_Bet100!$H$3:$H$100,
      (Sim_Mul_Bet100!$A$3:$A$100=C$2) * (Sim_Mul_Bet100!$C$3:$C$100=$B11),0
   ),
   0
)</f>
        <v>5.7519999999999998E-5</v>
      </c>
      <c r="D11" s="156" cm="1">
        <f t="array" ref="D11">_xlfn.IFNA(
   _xlfn._xlws.FILTER(
      Sim_Mul_Bet100!$H$3:$H$100,
      (Sim_Mul_Bet100!$A$3:$A$100=D$2) * (Sim_Mul_Bet100!$C$3:$C$100=$B11),0
   ),
   0
)</f>
        <v>5.0814999999999996E-4</v>
      </c>
      <c r="E11" s="181" cm="1">
        <f t="array" ref="E11">_xlfn.IFNA(
   _xlfn._xlws.FILTER(
      Sim_Mul_Bet100!$H$3:$H$100,
      (Sim_Mul_Bet100!$A$3:$A$100=E$2) * (Sim_Mul_Bet100!$C$3:$C$100=$B11),0
   ),
   0
)</f>
        <v>0</v>
      </c>
      <c r="F11" s="150" cm="1">
        <f t="array" ref="F11">_xlfn.IFNA(
   _xlfn._xlws.FILTER(
      Sim_Mul_Bet100!$O$3:$O$100,
      (Sim_Mul_Bet100!$A$3:$A$100=C$2) * (Sim_Mul_Bet100!$C$3:$C$100=$B11),0
   ),
   0
)</f>
        <v>7.5009805285118212</v>
      </c>
      <c r="G11" s="146" cm="1">
        <f t="array" ref="G11">_xlfn.IFNA(
   _xlfn._xlws.FILTER(
      Sim_Mul_Bet100!$O$3:$O$100,
      (Sim_Mul_Bet100!$A$3:$A$100=D$2) * (Sim_Mul_Bet100!$C$3:$C$100=$B11),0
   ),
   0
)</f>
        <v>7.5926738167863812</v>
      </c>
      <c r="H11" s="147" cm="1">
        <f t="array" ref="H11">_xlfn.IFNA(
   _xlfn._xlws.FILTER(
      Sim_Mul_Bet100!$O$3:$O$100,
      (Sim_Mul_Bet100!$A$3:$A$100=E$2) * (Sim_Mul_Bet100!$C$3:$C$100=$B11),0
   ),
   0
)</f>
        <v>0</v>
      </c>
      <c r="J11">
        <v>8</v>
      </c>
      <c r="K11" s="206">
        <v>7</v>
      </c>
      <c r="L11" s="210" t="s">
        <v>91</v>
      </c>
      <c r="M11" s="216">
        <f t="shared" si="2"/>
        <v>5.0814999999999996E-4</v>
      </c>
      <c r="N11" s="160">
        <f t="shared" si="5"/>
        <v>7.5926738167863812</v>
      </c>
      <c r="O11" s="175">
        <v>0</v>
      </c>
      <c r="P11" s="175">
        <v>0</v>
      </c>
      <c r="Q11" s="175">
        <v>0</v>
      </c>
      <c r="R11" s="197">
        <f t="shared" si="0"/>
        <v>0</v>
      </c>
      <c r="T11" s="184">
        <v>1</v>
      </c>
      <c r="U11" s="199">
        <v>9.9999999999999995E-7</v>
      </c>
      <c r="V11" s="203">
        <f t="shared" si="1"/>
        <v>7.5926738167863812E-6</v>
      </c>
      <c r="W11" s="169"/>
      <c r="X11" s="103"/>
      <c r="Y11" s="175">
        <f t="shared" si="6"/>
        <v>0</v>
      </c>
      <c r="Z11" s="175">
        <v>0</v>
      </c>
      <c r="AA11" s="175">
        <v>0</v>
      </c>
      <c r="AB11" s="272">
        <f t="shared" si="7"/>
        <v>0</v>
      </c>
      <c r="AD11" s="184">
        <f t="shared" si="3"/>
        <v>0</v>
      </c>
      <c r="AE11" s="199">
        <v>0</v>
      </c>
      <c r="AF11" s="278">
        <f t="shared" si="4"/>
        <v>0</v>
      </c>
    </row>
    <row r="12" spans="2:32">
      <c r="B12" s="142">
        <v>8</v>
      </c>
      <c r="C12" s="155" cm="1">
        <f t="array" ref="C12">_xlfn.IFNA(
   _xlfn._xlws.FILTER(
      Sim_Mul_Bet100!$H$3:$H$100,
      (Sim_Mul_Bet100!$A$3:$A$100=C$2) * (Sim_Mul_Bet100!$C$3:$C$100=$B12),0
   ),
   0
)</f>
        <v>0</v>
      </c>
      <c r="D12" s="156" cm="1">
        <f t="array" ref="D12">_xlfn.IFNA(
   _xlfn._xlws.FILTER(
      Sim_Mul_Bet100!$H$3:$H$100,
      (Sim_Mul_Bet100!$A$3:$A$100=D$2) * (Sim_Mul_Bet100!$C$3:$C$100=$B12),0
   ),
   0
)</f>
        <v>0</v>
      </c>
      <c r="E12" s="181" cm="1">
        <f t="array" ref="E12">_xlfn.IFNA(
   _xlfn._xlws.FILTER(
      Sim_Mul_Bet100!$H$3:$H$100,
      (Sim_Mul_Bet100!$A$3:$A$100=E$2) * (Sim_Mul_Bet100!$C$3:$C$100=$B12),0
   ),
   0
)</f>
        <v>0</v>
      </c>
      <c r="F12" s="150" cm="1">
        <f t="array" ref="F12">_xlfn.IFNA(
   _xlfn._xlws.FILTER(
      Sim_Mul_Bet100!$O$3:$O$100,
      (Sim_Mul_Bet100!$A$3:$A$100=C$2) * (Sim_Mul_Bet100!$C$3:$C$100=$B12),0
   ),
   0
)</f>
        <v>0</v>
      </c>
      <c r="G12" s="146" cm="1">
        <f t="array" ref="G12">_xlfn.IFNA(
   _xlfn._xlws.FILTER(
      Sim_Mul_Bet100!$O$3:$O$100,
      (Sim_Mul_Bet100!$A$3:$A$100=D$2) * (Sim_Mul_Bet100!$C$3:$C$100=$B12),0
   ),
   0
)</f>
        <v>0</v>
      </c>
      <c r="H12" s="147" cm="1">
        <f t="array" ref="H12">_xlfn.IFNA(
   _xlfn._xlws.FILTER(
      Sim_Mul_Bet100!$O$3:$O$100,
      (Sim_Mul_Bet100!$A$3:$A$100=E$2) * (Sim_Mul_Bet100!$C$3:$C$100=$B12),0
   ),
   0
)</f>
        <v>0</v>
      </c>
      <c r="J12">
        <v>9</v>
      </c>
      <c r="K12" s="206">
        <v>8</v>
      </c>
      <c r="L12" s="210" t="s">
        <v>90</v>
      </c>
      <c r="M12" s="216">
        <f t="shared" si="2"/>
        <v>0</v>
      </c>
      <c r="N12" s="160">
        <f t="shared" si="5"/>
        <v>0</v>
      </c>
      <c r="O12" s="175">
        <v>0</v>
      </c>
      <c r="P12" s="175">
        <v>0</v>
      </c>
      <c r="Q12" s="175">
        <v>0</v>
      </c>
      <c r="R12" s="197">
        <f t="shared" si="0"/>
        <v>0</v>
      </c>
      <c r="T12" s="184">
        <v>0</v>
      </c>
      <c r="U12" s="199">
        <v>0</v>
      </c>
      <c r="V12" s="203">
        <f t="shared" si="1"/>
        <v>0</v>
      </c>
      <c r="W12" s="169"/>
      <c r="X12" s="103"/>
      <c r="Y12" s="175">
        <f t="shared" si="6"/>
        <v>0</v>
      </c>
      <c r="Z12" s="175">
        <v>0</v>
      </c>
      <c r="AA12" s="175">
        <v>0</v>
      </c>
      <c r="AB12" s="272">
        <f t="shared" si="7"/>
        <v>0</v>
      </c>
      <c r="AD12" s="184">
        <f t="shared" si="3"/>
        <v>0</v>
      </c>
      <c r="AE12" s="199">
        <v>0</v>
      </c>
      <c r="AF12" s="278">
        <f t="shared" si="4"/>
        <v>0</v>
      </c>
    </row>
    <row r="13" spans="2:32">
      <c r="B13" s="142">
        <v>9</v>
      </c>
      <c r="C13" s="155" cm="1">
        <f t="array" ref="C13">_xlfn.IFNA(
   _xlfn._xlws.FILTER(
      Sim_Mul_Bet100!$H$3:$H$100,
      (Sim_Mul_Bet100!$A$3:$A$100=C$2) * (Sim_Mul_Bet100!$C$3:$C$100=$B13),0
   ),
   0
)</f>
        <v>0</v>
      </c>
      <c r="D13" s="156" cm="1">
        <f t="array" ref="D13">_xlfn.IFNA(
   _xlfn._xlws.FILTER(
      Sim_Mul_Bet100!$H$3:$H$100,
      (Sim_Mul_Bet100!$A$3:$A$100=D$2) * (Sim_Mul_Bet100!$C$3:$C$100=$B13),0
   ),
   0
)</f>
        <v>2.570801E-2</v>
      </c>
      <c r="E13" s="181" cm="1">
        <f t="array" ref="E13">_xlfn.IFNA(
   _xlfn._xlws.FILTER(
      Sim_Mul_Bet100!$H$3:$H$100,
      (Sim_Mul_Bet100!$A$3:$A$100=E$2) * (Sim_Mul_Bet100!$C$3:$C$100=$B13),0
   ),
   0
)</f>
        <v>0.33336948999999999</v>
      </c>
      <c r="F13" s="150" cm="1">
        <f t="array" ref="F13">_xlfn.IFNA(
   _xlfn._xlws.FILTER(
      Sim_Mul_Bet100!$O$3:$O$100,
      (Sim_Mul_Bet100!$A$3:$A$100=C$2) * (Sim_Mul_Bet100!$C$3:$C$100=$B13),0
   ),
   0
)</f>
        <v>0</v>
      </c>
      <c r="G13" s="146" cm="1">
        <f t="array" ref="G13">_xlfn.IFNA(
   _xlfn._xlws.FILTER(
      Sim_Mul_Bet100!$O$3:$O$100,
      (Sim_Mul_Bet100!$A$3:$A$100=D$2) * (Sim_Mul_Bet100!$C$3:$C$100=$B13),0
   ),
   0
)</f>
        <v>10</v>
      </c>
      <c r="H13" s="147" cm="1">
        <f t="array" ref="H13">_xlfn.IFNA(
   _xlfn._xlws.FILTER(
      Sim_Mul_Bet100!$O$3:$O$100,
      (Sim_Mul_Bet100!$A$3:$A$100=E$2) * (Sim_Mul_Bet100!$C$3:$C$100=$B13),0
   ),
   0
)</f>
        <v>10</v>
      </c>
      <c r="J13">
        <v>10</v>
      </c>
      <c r="K13" s="206">
        <v>9</v>
      </c>
      <c r="L13" s="210" t="s">
        <v>90</v>
      </c>
      <c r="M13" s="216">
        <f t="shared" si="2"/>
        <v>0</v>
      </c>
      <c r="N13" s="160">
        <f t="shared" si="5"/>
        <v>0</v>
      </c>
      <c r="O13" s="175">
        <v>5.4000000000000003E-3</v>
      </c>
      <c r="P13" s="175">
        <v>5.4000000000000003E-3</v>
      </c>
      <c r="Q13" s="175">
        <v>4.4773358001850101E-3</v>
      </c>
      <c r="R13" s="197">
        <f t="shared" si="0"/>
        <v>0</v>
      </c>
      <c r="T13" s="184">
        <v>4632</v>
      </c>
      <c r="U13" s="199">
        <v>4.6319999999999998E-3</v>
      </c>
      <c r="V13" s="203">
        <f t="shared" si="1"/>
        <v>0</v>
      </c>
      <c r="W13" s="169"/>
      <c r="X13" s="103"/>
      <c r="Y13" s="175">
        <f t="shared" si="6"/>
        <v>1.0630000000000001E-2</v>
      </c>
      <c r="Z13" s="175">
        <v>1.0630000000000001E-2</v>
      </c>
      <c r="AA13" s="175">
        <v>4.4773358001850101E-3</v>
      </c>
      <c r="AB13" s="272">
        <f t="shared" si="7"/>
        <v>0</v>
      </c>
      <c r="AD13" s="184">
        <f t="shared" si="3"/>
        <v>10630</v>
      </c>
      <c r="AE13" s="199">
        <v>1.0630000000000001E-2</v>
      </c>
      <c r="AF13" s="278">
        <f t="shared" si="4"/>
        <v>0</v>
      </c>
    </row>
    <row r="14" spans="2:32">
      <c r="B14" s="142">
        <v>10</v>
      </c>
      <c r="C14" s="155" cm="1">
        <f t="array" ref="C14">_xlfn.IFNA(
   _xlfn._xlws.FILTER(
      Sim_Mul_Bet100!$H$3:$H$100,
      (Sim_Mul_Bet100!$A$3:$A$100=C$2) * (Sim_Mul_Bet100!$C$3:$C$100=$B14),0
   ),
   0
)</f>
        <v>2.2589049999999999E-2</v>
      </c>
      <c r="D14" s="156" cm="1">
        <f t="array" ref="D14">_xlfn.IFNA(
   _xlfn._xlws.FILTER(
      Sim_Mul_Bet100!$H$3:$H$100,
      (Sim_Mul_Bet100!$A$3:$A$100=D$2) * (Sim_Mul_Bet100!$C$3:$C$100=$B14),0
   ),
   0
)</f>
        <v>6.5605629999999998E-2</v>
      </c>
      <c r="E14" s="181" cm="1">
        <f t="array" ref="E14">_xlfn.IFNA(
   _xlfn._xlws.FILTER(
      Sim_Mul_Bet100!$H$3:$H$100,
      (Sim_Mul_Bet100!$A$3:$A$100=E$2) * (Sim_Mul_Bet100!$C$3:$C$100=$B14),0
   ),
   0
)</f>
        <v>0.17727524</v>
      </c>
      <c r="F14" s="150" cm="1">
        <f t="array" ref="F14">_xlfn.IFNA(
   _xlfn._xlws.FILTER(
      Sim_Mul_Bet100!$O$3:$O$100,
      (Sim_Mul_Bet100!$A$3:$A$100=C$2) * (Sim_Mul_Bet100!$C$3:$C$100=$B14),0
   ),
   0
)</f>
        <v>10.277616778926072</v>
      </c>
      <c r="G14" s="146" cm="1">
        <f t="array" ref="G14">_xlfn.IFNA(
   _xlfn._xlws.FILTER(
      Sim_Mul_Bet100!$O$3:$O$100,
      (Sim_Mul_Bet100!$A$3:$A$100=D$2) * (Sim_Mul_Bet100!$C$3:$C$100=$B14),0
   ),
   0
)</f>
        <v>10.489147550294083</v>
      </c>
      <c r="H14" s="147" cm="1">
        <f t="array" ref="H14">_xlfn.IFNA(
   _xlfn._xlws.FILTER(
      Sim_Mul_Bet100!$O$3:$O$100,
      (Sim_Mul_Bet100!$A$3:$A$100=E$2) * (Sim_Mul_Bet100!$C$3:$C$100=$B14),0
   ),
   0
)</f>
        <v>10.313067026731989</v>
      </c>
      <c r="J14">
        <v>11</v>
      </c>
      <c r="K14" s="206">
        <v>10</v>
      </c>
      <c r="L14" s="210" t="s">
        <v>90</v>
      </c>
      <c r="M14" s="216">
        <f t="shared" si="2"/>
        <v>2.2589049999999999E-2</v>
      </c>
      <c r="N14" s="160">
        <f t="shared" si="5"/>
        <v>10.277616778926072</v>
      </c>
      <c r="O14" s="175">
        <v>0.01</v>
      </c>
      <c r="P14" s="175">
        <v>0.01</v>
      </c>
      <c r="Q14" s="175">
        <v>8.4736355226642003E-3</v>
      </c>
      <c r="R14" s="197">
        <f t="shared" si="0"/>
        <v>0.10277616778926073</v>
      </c>
      <c r="T14" s="184">
        <v>7501</v>
      </c>
      <c r="U14" s="199">
        <v>7.5009999999999999E-3</v>
      </c>
      <c r="V14" s="203">
        <f t="shared" si="1"/>
        <v>7.7092403458724465E-2</v>
      </c>
      <c r="W14" s="169"/>
      <c r="X14" s="103"/>
      <c r="Y14" s="175">
        <f t="shared" si="6"/>
        <v>2.9999999999999997E-4</v>
      </c>
      <c r="Z14" s="175">
        <v>2.9999999999999997E-4</v>
      </c>
      <c r="AA14" s="175">
        <v>8.4736355226642003E-3</v>
      </c>
      <c r="AB14" s="272">
        <f t="shared" si="7"/>
        <v>3.0832850336778212E-3</v>
      </c>
      <c r="AD14" s="184">
        <f t="shared" si="3"/>
        <v>300</v>
      </c>
      <c r="AE14" s="199">
        <v>2.9999999999999997E-4</v>
      </c>
      <c r="AF14" s="278">
        <f t="shared" si="4"/>
        <v>3.0832850336778212E-3</v>
      </c>
    </row>
    <row r="15" spans="2:32">
      <c r="B15" s="142">
        <v>15</v>
      </c>
      <c r="C15" s="155" cm="1">
        <f t="array" ref="C15">_xlfn.IFNA(
   _xlfn._xlws.FILTER(
      Sim_Mul_Bet100!$H$3:$H$100,
      (Sim_Mul_Bet100!$A$3:$A$100=C$2) * (Sim_Mul_Bet100!$C$3:$C$100=$B15),0
   ),
   0
)</f>
        <v>4.2965299999999998E-3</v>
      </c>
      <c r="D15" s="156" cm="1">
        <f t="array" ref="D15">_xlfn.IFNA(
   _xlfn._xlws.FILTER(
      Sim_Mul_Bet100!$H$3:$H$100,
      (Sim_Mul_Bet100!$A$3:$A$100=D$2) * (Sim_Mul_Bet100!$C$3:$C$100=$B15),0
   ),
   0
)</f>
        <v>9.7910099999999993E-3</v>
      </c>
      <c r="E15" s="181" cm="1">
        <f t="array" ref="E15">_xlfn.IFNA(
   _xlfn._xlws.FILTER(
      Sim_Mul_Bet100!$H$3:$H$100,
      (Sim_Mul_Bet100!$A$3:$A$100=E$2) * (Sim_Mul_Bet100!$C$3:$C$100=$B15),0
   ),
   0
)</f>
        <v>9.6480609999999994E-2</v>
      </c>
      <c r="F15" s="150" cm="1">
        <f t="array" ref="F15">_xlfn.IFNA(
   _xlfn._xlws.FILTER(
      Sim_Mul_Bet100!$O$3:$O$100,
      (Sim_Mul_Bet100!$A$3:$A$100=C$2) * (Sim_Mul_Bet100!$C$3:$C$100=$B15),0
   ),
   0
)</f>
        <v>15.112184134638882</v>
      </c>
      <c r="G15" s="146" cm="1">
        <f t="array" ref="G15">_xlfn.IFNA(
   _xlfn._xlws.FILTER(
      Sim_Mul_Bet100!$O$3:$O$100,
      (Sim_Mul_Bet100!$A$3:$A$100=D$2) * (Sim_Mul_Bet100!$C$3:$C$100=$B15),0
   ),
   0
)</f>
        <v>18.273854209116323</v>
      </c>
      <c r="H15" s="147" cm="1">
        <f t="array" ref="H15">_xlfn.IFNA(
   _xlfn._xlws.FILTER(
      Sim_Mul_Bet100!$O$3:$O$100,
      (Sim_Mul_Bet100!$A$3:$A$100=E$2) * (Sim_Mul_Bet100!$C$3:$C$100=$B15),0
   ),
   0
)</f>
        <v>19.934741448048474</v>
      </c>
      <c r="J15">
        <v>12</v>
      </c>
      <c r="K15" s="206">
        <v>15</v>
      </c>
      <c r="L15" s="210" t="s">
        <v>90</v>
      </c>
      <c r="M15" s="216">
        <f t="shared" si="2"/>
        <v>4.2965299999999998E-3</v>
      </c>
      <c r="N15" s="160">
        <f t="shared" si="5"/>
        <v>15.112184134638882</v>
      </c>
      <c r="O15" s="175">
        <v>7.9000000000000008E-3</v>
      </c>
      <c r="P15" s="175">
        <v>7.9555966697502298E-3</v>
      </c>
      <c r="Q15" s="175">
        <v>7.9555966697502298E-3</v>
      </c>
      <c r="R15" s="197">
        <f t="shared" si="0"/>
        <v>0.11938625466364718</v>
      </c>
      <c r="T15" s="184">
        <v>7188</v>
      </c>
      <c r="U15" s="199">
        <v>7.1879999999999999E-3</v>
      </c>
      <c r="V15" s="203">
        <f t="shared" si="1"/>
        <v>0.10862637955978428</v>
      </c>
      <c r="W15" s="169"/>
      <c r="X15" s="103"/>
      <c r="Y15" s="175">
        <f t="shared" si="6"/>
        <v>0.01</v>
      </c>
      <c r="Z15" s="175">
        <v>0.01</v>
      </c>
      <c r="AA15" s="175">
        <v>7.9555966697502298E-3</v>
      </c>
      <c r="AB15" s="272">
        <f t="shared" si="7"/>
        <v>0.15112184134638881</v>
      </c>
      <c r="AD15" s="184">
        <f t="shared" si="3"/>
        <v>10000</v>
      </c>
      <c r="AE15" s="199">
        <v>0.01</v>
      </c>
      <c r="AF15" s="278">
        <f t="shared" si="4"/>
        <v>0.15112184134638881</v>
      </c>
    </row>
    <row r="16" spans="2:32">
      <c r="B16" s="142">
        <v>20</v>
      </c>
      <c r="C16" s="155" cm="1">
        <f t="array" ref="C16">_xlfn.IFNA(
   _xlfn._xlws.FILTER(
      Sim_Mul_Bet100!$H$3:$H$100,
      (Sim_Mul_Bet100!$A$3:$A$100=C$2) * (Sim_Mul_Bet100!$C$3:$C$100=$B16),0
   ),
   0
)</f>
        <v>4.2418999999999998E-3</v>
      </c>
      <c r="D16" s="156" cm="1">
        <f t="array" ref="D16">_xlfn.IFNA(
   _xlfn._xlws.FILTER(
      Sim_Mul_Bet100!$H$3:$H$100,
      (Sim_Mul_Bet100!$A$3:$A$100=D$2) * (Sim_Mul_Bet100!$C$3:$C$100=$B16),0
   ),
   0
)</f>
        <v>1.5997890000000001E-2</v>
      </c>
      <c r="E16" s="181" cm="1">
        <f t="array" ref="E16">_xlfn.IFNA(
   _xlfn._xlws.FILTER(
      Sim_Mul_Bet100!$H$3:$H$100,
      (Sim_Mul_Bet100!$A$3:$A$100=E$2) * (Sim_Mul_Bet100!$C$3:$C$100=$B16),0
   ),
   0
)</f>
        <v>9.5175839999999998E-2</v>
      </c>
      <c r="F16" s="150" cm="1">
        <f t="array" ref="F16">_xlfn.IFNA(
   _xlfn._xlws.FILTER(
      Sim_Mul_Bet100!$O$3:$O$100,
      (Sim_Mul_Bet100!$A$3:$A$100=C$2) * (Sim_Mul_Bet100!$C$3:$C$100=$B16),0
   ),
   0
)</f>
        <v>20.117077818901908</v>
      </c>
      <c r="G16" s="146" cm="1">
        <f t="array" ref="G16">_xlfn.IFNA(
   _xlfn._xlws.FILTER(
      Sim_Mul_Bet100!$O$3:$O$100,
      (Sim_Mul_Bet100!$A$3:$A$100=D$2) * (Sim_Mul_Bet100!$C$3:$C$100=$B16),0
   ),
   0
)</f>
        <v>21.204750764007002</v>
      </c>
      <c r="H16" s="147" cm="1">
        <f t="array" ref="H16">_xlfn.IFNA(
   _xlfn._xlws.FILTER(
      Sim_Mul_Bet100!$O$3:$O$100,
      (Sim_Mul_Bet100!$A$3:$A$100=E$2) * (Sim_Mul_Bet100!$C$3:$C$100=$B16),0
   ),
   0
)</f>
        <v>20.955571526345341</v>
      </c>
      <c r="J16">
        <v>13</v>
      </c>
      <c r="K16" s="206">
        <v>20</v>
      </c>
      <c r="L16" s="210" t="s">
        <v>90</v>
      </c>
      <c r="M16" s="216">
        <f t="shared" si="2"/>
        <v>4.2418999999999998E-3</v>
      </c>
      <c r="N16" s="160">
        <f t="shared" si="5"/>
        <v>20.117077818901908</v>
      </c>
      <c r="O16" s="175">
        <v>1.72E-3</v>
      </c>
      <c r="P16" s="175">
        <v>1.7391304347826101E-3</v>
      </c>
      <c r="Q16" s="175">
        <v>1.7391304347826101E-3</v>
      </c>
      <c r="R16" s="197">
        <f t="shared" si="0"/>
        <v>3.460137384851128E-2</v>
      </c>
      <c r="T16" s="184">
        <v>2650</v>
      </c>
      <c r="U16" s="199">
        <v>2.65E-3</v>
      </c>
      <c r="V16" s="203">
        <f t="shared" si="1"/>
        <v>5.3310256220090058E-2</v>
      </c>
      <c r="W16" s="169"/>
      <c r="X16" s="103"/>
      <c r="Y16" s="175">
        <f t="shared" si="6"/>
        <v>3.0000000000000001E-3</v>
      </c>
      <c r="Z16" s="175">
        <v>3.0000000000000001E-3</v>
      </c>
      <c r="AA16" s="175">
        <v>1.7391304347826101E-3</v>
      </c>
      <c r="AB16" s="272">
        <f t="shared" si="7"/>
        <v>6.0351233456705726E-2</v>
      </c>
      <c r="AD16" s="184">
        <f t="shared" si="3"/>
        <v>3000</v>
      </c>
      <c r="AE16" s="199">
        <v>3.0000000000000001E-3</v>
      </c>
      <c r="AF16" s="278">
        <f t="shared" si="4"/>
        <v>6.0351233456705726E-2</v>
      </c>
    </row>
    <row r="17" spans="2:32">
      <c r="B17" s="142">
        <v>25</v>
      </c>
      <c r="C17" s="155" cm="1">
        <f t="array" ref="C17">_xlfn.IFNA(
   _xlfn._xlws.FILTER(
      Sim_Mul_Bet100!$H$3:$H$100,
      (Sim_Mul_Bet100!$A$3:$A$100=C$2) * (Sim_Mul_Bet100!$C$3:$C$100=$B17),0
   ),
   0
)</f>
        <v>1.1421700000000001E-3</v>
      </c>
      <c r="D17" s="156" cm="1">
        <f t="array" ref="D17">_xlfn.IFNA(
   _xlfn._xlws.FILTER(
      Sim_Mul_Bet100!$H$3:$H$100,
      (Sim_Mul_Bet100!$A$3:$A$100=D$2) * (Sim_Mul_Bet100!$C$3:$C$100=$B17),0
   ),
   0
)</f>
        <v>7.6906300000000004E-3</v>
      </c>
      <c r="E17" s="181" cm="1">
        <f t="array" ref="E17">_xlfn.IFNA(
   _xlfn._xlws.FILTER(
      Sim_Mul_Bet100!$H$3:$H$100,
      (Sim_Mul_Bet100!$A$3:$A$100=E$2) * (Sim_Mul_Bet100!$C$3:$C$100=$B17),0
   ),
   0
)</f>
        <v>3.9191539999999997E-2</v>
      </c>
      <c r="F17" s="150" cm="1">
        <f t="array" ref="F17">_xlfn.IFNA(
   _xlfn._xlws.FILTER(
      Sim_Mul_Bet100!$O$3:$O$100,
      (Sim_Mul_Bet100!$A$3:$A$100=C$2) * (Sim_Mul_Bet100!$C$3:$C$100=$B17),0
   ),
   0
)</f>
        <v>25.047546599893185</v>
      </c>
      <c r="G17" s="146" cm="1">
        <f t="array" ref="G17">_xlfn.IFNA(
   _xlfn._xlws.FILTER(
      Sim_Mul_Bet100!$O$3:$O$100,
      (Sim_Mul_Bet100!$A$3:$A$100=D$2) * (Sim_Mul_Bet100!$C$3:$C$100=$B17),0
   ),
   0
)</f>
        <v>27.722762296456857</v>
      </c>
      <c r="H17" s="147" cm="1">
        <f t="array" ref="H17">_xlfn.IFNA(
   _xlfn._xlws.FILTER(
      Sim_Mul_Bet100!$O$3:$O$100,
      (Sim_Mul_Bet100!$A$3:$A$100=E$2) * (Sim_Mul_Bet100!$C$3:$C$100=$B17),0
   ),
   0
)</f>
        <v>27.80182556745665</v>
      </c>
      <c r="J17">
        <v>14</v>
      </c>
      <c r="K17" s="206">
        <v>25</v>
      </c>
      <c r="L17" s="210" t="s">
        <v>91</v>
      </c>
      <c r="M17" s="216">
        <f t="shared" si="2"/>
        <v>7.6906300000000004E-3</v>
      </c>
      <c r="N17" s="160">
        <f t="shared" si="5"/>
        <v>27.722762296456857</v>
      </c>
      <c r="O17" s="175">
        <v>5.0000000000000001E-4</v>
      </c>
      <c r="P17" s="175">
        <v>5.1803885291396901E-4</v>
      </c>
      <c r="Q17" s="175">
        <v>5.1803885291396901E-4</v>
      </c>
      <c r="R17" s="197">
        <f t="shared" si="0"/>
        <v>1.3861381148228429E-2</v>
      </c>
      <c r="T17" s="184">
        <v>934</v>
      </c>
      <c r="U17" s="199">
        <v>9.3400000000000004E-4</v>
      </c>
      <c r="V17" s="203">
        <f t="shared" si="1"/>
        <v>2.5893059984890707E-2</v>
      </c>
      <c r="W17" s="169"/>
      <c r="X17" s="103"/>
      <c r="Y17" s="175">
        <f t="shared" si="6"/>
        <v>1E-4</v>
      </c>
      <c r="Z17" s="175">
        <v>1E-4</v>
      </c>
      <c r="AA17" s="175">
        <v>5.1803885291396901E-4</v>
      </c>
      <c r="AB17" s="272">
        <f t="shared" si="7"/>
        <v>2.7722762296456859E-3</v>
      </c>
      <c r="AD17" s="184">
        <f t="shared" si="3"/>
        <v>100</v>
      </c>
      <c r="AE17" s="199">
        <v>1E-4</v>
      </c>
      <c r="AF17" s="278">
        <f t="shared" si="4"/>
        <v>2.7722762296456859E-3</v>
      </c>
    </row>
    <row r="18" spans="2:32">
      <c r="B18" s="142">
        <v>30</v>
      </c>
      <c r="C18" s="155" cm="1">
        <f t="array" ref="C18">_xlfn.IFNA(
   _xlfn._xlws.FILTER(
      Sim_Mul_Bet100!$H$3:$H$100,
      (Sim_Mul_Bet100!$A$3:$A$100=C$2) * (Sim_Mul_Bet100!$C$3:$C$100=$B18),0
   ),
   0
)</f>
        <v>1.9554500000000001E-3</v>
      </c>
      <c r="D18" s="156" cm="1">
        <f t="array" ref="D18">_xlfn.IFNA(
   _xlfn._xlws.FILTER(
      Sim_Mul_Bet100!$H$3:$H$100,
      (Sim_Mul_Bet100!$A$3:$A$100=D$2) * (Sim_Mul_Bet100!$C$3:$C$100=$B18),0
   ),
   0
)</f>
        <v>8.17763E-3</v>
      </c>
      <c r="E18" s="181" cm="1">
        <f t="array" ref="E18">_xlfn.IFNA(
   _xlfn._xlws.FILTER(
      Sim_Mul_Bet100!$H$3:$H$100,
      (Sim_Mul_Bet100!$A$3:$A$100=E$2) * (Sim_Mul_Bet100!$C$3:$C$100=$B18),0
   ),
   0
)</f>
        <v>1.0648349999999999E-2</v>
      </c>
      <c r="F18" s="150" cm="1">
        <f t="array" ref="F18">_xlfn.IFNA(
   _xlfn._xlws.FILTER(
      Sim_Mul_Bet100!$O$3:$O$100,
      (Sim_Mul_Bet100!$A$3:$A$100=C$2) * (Sim_Mul_Bet100!$C$3:$C$100=$B18),0
   ),
   0
)</f>
        <v>30.062929300161091</v>
      </c>
      <c r="G18" s="146" cm="1">
        <f t="array" ref="G18">_xlfn.IFNA(
   _xlfn._xlws.FILTER(
      Sim_Mul_Bet100!$O$3:$O$100,
      (Sim_Mul_Bet100!$A$3:$A$100=D$2) * (Sim_Mul_Bet100!$C$3:$C$100=$B18),0
   ),
   0
)</f>
        <v>30.51218359108935</v>
      </c>
      <c r="H18" s="147" cm="1">
        <f t="array" ref="H18">_xlfn.IFNA(
   _xlfn._xlws.FILTER(
      Sim_Mul_Bet100!$O$3:$O$100,
      (Sim_Mul_Bet100!$A$3:$A$100=E$2) * (Sim_Mul_Bet100!$C$3:$C$100=$B18),0
   ),
   0
)</f>
        <v>30.24710580512474</v>
      </c>
      <c r="J18">
        <v>15</v>
      </c>
      <c r="K18" s="206">
        <v>30</v>
      </c>
      <c r="L18" s="210" t="s">
        <v>91</v>
      </c>
      <c r="M18" s="216">
        <f t="shared" si="2"/>
        <v>8.17763E-3</v>
      </c>
      <c r="N18" s="160">
        <f t="shared" si="5"/>
        <v>30.51218359108935</v>
      </c>
      <c r="O18" s="175">
        <v>2.5799999999999998E-4</v>
      </c>
      <c r="P18" s="175">
        <v>2.5901942645698402E-4</v>
      </c>
      <c r="Q18" s="175">
        <v>2.5901942645698402E-4</v>
      </c>
      <c r="R18" s="197">
        <f t="shared" si="0"/>
        <v>7.8721433665010516E-3</v>
      </c>
      <c r="T18" s="184">
        <v>16</v>
      </c>
      <c r="U18" s="199">
        <v>1.5999999999999999E-5</v>
      </c>
      <c r="V18" s="203">
        <f t="shared" si="1"/>
        <v>4.8819493745742956E-4</v>
      </c>
      <c r="W18" s="169"/>
      <c r="X18" s="103"/>
      <c r="Y18" s="175">
        <f t="shared" si="6"/>
        <v>2.5000000000000001E-4</v>
      </c>
      <c r="Z18" s="175">
        <v>2.5000000000000001E-4</v>
      </c>
      <c r="AA18" s="175">
        <v>2.5901942645698402E-4</v>
      </c>
      <c r="AB18" s="272">
        <f t="shared" si="7"/>
        <v>7.6280458977723373E-3</v>
      </c>
      <c r="AD18" s="184">
        <f t="shared" si="3"/>
        <v>250</v>
      </c>
      <c r="AE18" s="199">
        <v>2.5000000000000001E-4</v>
      </c>
      <c r="AF18" s="278">
        <f t="shared" si="4"/>
        <v>7.6280458977723373E-3</v>
      </c>
    </row>
    <row r="19" spans="2:32">
      <c r="B19" s="142">
        <v>35</v>
      </c>
      <c r="C19" s="155" cm="1">
        <f t="array" ref="C19">_xlfn.IFNA(
   _xlfn._xlws.FILTER(
      Sim_Mul_Bet100!$H$3:$H$100,
      (Sim_Mul_Bet100!$A$3:$A$100=C$2) * (Sim_Mul_Bet100!$C$3:$C$100=$B19),0
   ),
   0
)</f>
        <v>7.3599999999999998E-6</v>
      </c>
      <c r="D19" s="156" cm="1">
        <f t="array" ref="D19">_xlfn.IFNA(
   _xlfn._xlws.FILTER(
      Sim_Mul_Bet100!$H$3:$H$100,
      (Sim_Mul_Bet100!$A$3:$A$100=D$2) * (Sim_Mul_Bet100!$C$3:$C$100=$B19),0
   ),
   0
)</f>
        <v>8.0071999999999999E-4</v>
      </c>
      <c r="E19" s="181" cm="1">
        <f t="array" ref="E19">_xlfn.IFNA(
   _xlfn._xlws.FILTER(
      Sim_Mul_Bet100!$H$3:$H$100,
      (Sim_Mul_Bet100!$A$3:$A$100=E$2) * (Sim_Mul_Bet100!$C$3:$C$100=$B19),0
   ),
   0
)</f>
        <v>1.533706E-2</v>
      </c>
      <c r="F19" s="150" cm="1">
        <f t="array" ref="F19">_xlfn.IFNA(
   _xlfn._xlws.FILTER(
      Sim_Mul_Bet100!$O$3:$O$100,
      (Sim_Mul_Bet100!$A$3:$A$100=C$2) * (Sim_Mul_Bet100!$C$3:$C$100=$B19),0
   ),
   0
)</f>
        <v>35.010135869565218</v>
      </c>
      <c r="G19" s="146" cm="1">
        <f t="array" ref="G19">_xlfn.IFNA(
   _xlfn._xlws.FILTER(
      Sim_Mul_Bet100!$O$3:$O$100,
      (Sim_Mul_Bet100!$A$3:$A$100=D$2) * (Sim_Mul_Bet100!$C$3:$C$100=$B19),0
   ),
   0
)</f>
        <v>37.203039514437002</v>
      </c>
      <c r="H19" s="147" cm="1">
        <f t="array" ref="H19">_xlfn.IFNA(
   _xlfn._xlws.FILTER(
      Sim_Mul_Bet100!$O$3:$O$100,
      (Sim_Mul_Bet100!$A$3:$A$100=E$2) * (Sim_Mul_Bet100!$C$3:$C$100=$B19),0
   ),
   0
)</f>
        <v>40</v>
      </c>
      <c r="J19">
        <v>16</v>
      </c>
      <c r="K19" s="206">
        <v>35</v>
      </c>
      <c r="L19" s="210" t="s">
        <v>92</v>
      </c>
      <c r="M19" s="216">
        <f t="shared" si="2"/>
        <v>1.533706E-2</v>
      </c>
      <c r="N19" s="160">
        <f t="shared" si="5"/>
        <v>40</v>
      </c>
      <c r="O19" s="175">
        <v>1.85E-4</v>
      </c>
      <c r="P19" s="175">
        <v>1.85E-4</v>
      </c>
      <c r="Q19" s="175">
        <v>1.8501387604070299E-4</v>
      </c>
      <c r="R19" s="197">
        <f t="shared" si="0"/>
        <v>7.4000000000000003E-3</v>
      </c>
      <c r="T19" s="184">
        <v>17</v>
      </c>
      <c r="U19" s="199">
        <v>1.7E-5</v>
      </c>
      <c r="V19" s="203">
        <f t="shared" si="1"/>
        <v>6.8000000000000005E-4</v>
      </c>
      <c r="W19" s="169"/>
      <c r="X19" s="103"/>
      <c r="Y19" s="175">
        <f t="shared" si="6"/>
        <v>1.8000000000000001E-4</v>
      </c>
      <c r="Z19" s="175">
        <v>1.8000000000000001E-4</v>
      </c>
      <c r="AA19" s="175">
        <v>1.8501387604070299E-4</v>
      </c>
      <c r="AB19" s="272">
        <f t="shared" si="7"/>
        <v>7.2000000000000007E-3</v>
      </c>
      <c r="AD19" s="184">
        <f t="shared" si="3"/>
        <v>180</v>
      </c>
      <c r="AE19" s="199">
        <v>1.8000000000000001E-4</v>
      </c>
      <c r="AF19" s="278">
        <f t="shared" si="4"/>
        <v>7.2000000000000007E-3</v>
      </c>
    </row>
    <row r="20" spans="2:32">
      <c r="B20" s="142">
        <v>40</v>
      </c>
      <c r="C20" s="155" cm="1">
        <f t="array" ref="C20">_xlfn.IFNA(
   _xlfn._xlws.FILTER(
      Sim_Mul_Bet100!$H$3:$H$100,
      (Sim_Mul_Bet100!$A$3:$A$100=C$2) * (Sim_Mul_Bet100!$C$3:$C$100=$B20),0
   ),
   0
)</f>
        <v>8.1699999999999997E-6</v>
      </c>
      <c r="D20" s="156" cm="1">
        <f t="array" ref="D20">_xlfn.IFNA(
   _xlfn._xlws.FILTER(
      Sim_Mul_Bet100!$H$3:$H$100,
      (Sim_Mul_Bet100!$A$3:$A$100=D$2) * (Sim_Mul_Bet100!$C$3:$C$100=$B20),0
   ),
   0
)</f>
        <v>6.3237000000000005E-4</v>
      </c>
      <c r="E20" s="181" cm="1">
        <f t="array" ref="E20">_xlfn.IFNA(
   _xlfn._xlws.FILTER(
      Sim_Mul_Bet100!$H$3:$H$100,
      (Sim_Mul_Bet100!$A$3:$A$100=E$2) * (Sim_Mul_Bet100!$C$3:$C$100=$B20),0
   ),
   0
)</f>
        <v>7.65432E-3</v>
      </c>
      <c r="F20" s="150" cm="1">
        <f t="array" ref="F20">_xlfn.IFNA(
   _xlfn._xlws.FILTER(
      Sim_Mul_Bet100!$O$3:$O$100,
      (Sim_Mul_Bet100!$A$3:$A$100=C$2) * (Sim_Mul_Bet100!$C$3:$C$100=$B20),0
   ),
   0
)</f>
        <v>40.08917992656059</v>
      </c>
      <c r="G20" s="146" cm="1">
        <f t="array" ref="G20">_xlfn.IFNA(
   _xlfn._xlws.FILTER(
      Sim_Mul_Bet100!$O$3:$O$100,
      (Sim_Mul_Bet100!$A$3:$A$100=D$2) * (Sim_Mul_Bet100!$C$3:$C$100=$B20),0
   ),
   0
)</f>
        <v>40.451258124199441</v>
      </c>
      <c r="H20" s="147" cm="1">
        <f t="array" ref="H20">_xlfn.IFNA(
   _xlfn._xlws.FILTER(
      Sim_Mul_Bet100!$O$3:$O$100,
      (Sim_Mul_Bet100!$A$3:$A$100=E$2) * (Sim_Mul_Bet100!$C$3:$C$100=$B20),0
   ),
   0
)</f>
        <v>40.247073195267511</v>
      </c>
      <c r="J20">
        <v>17</v>
      </c>
      <c r="K20" s="206">
        <v>40</v>
      </c>
      <c r="L20" s="210" t="s">
        <v>92</v>
      </c>
      <c r="M20" s="216">
        <f t="shared" si="2"/>
        <v>7.65432E-3</v>
      </c>
      <c r="N20" s="160">
        <f t="shared" si="5"/>
        <v>40.247073195267511</v>
      </c>
      <c r="O20" s="175">
        <v>5.1699999999999999E-4</v>
      </c>
      <c r="P20" s="175">
        <v>5.1803885291396901E-4</v>
      </c>
      <c r="Q20" s="175">
        <v>5.1803885291396901E-4</v>
      </c>
      <c r="R20" s="197">
        <f t="shared" si="0"/>
        <v>2.0807736841953303E-2</v>
      </c>
      <c r="T20" s="184">
        <v>7</v>
      </c>
      <c r="U20" s="199">
        <v>6.9999999999999999E-6</v>
      </c>
      <c r="V20" s="203">
        <f t="shared" si="1"/>
        <v>2.8172951236687255E-4</v>
      </c>
      <c r="W20" s="169"/>
      <c r="X20" s="103"/>
      <c r="Y20" s="175">
        <f t="shared" si="6"/>
        <v>5.0000000000000001E-4</v>
      </c>
      <c r="Z20" s="175">
        <v>5.0000000000000001E-4</v>
      </c>
      <c r="AA20" s="175">
        <v>5.1803885291396901E-4</v>
      </c>
      <c r="AB20" s="272">
        <f t="shared" si="7"/>
        <v>2.0123536597633756E-2</v>
      </c>
      <c r="AD20" s="184">
        <f t="shared" si="3"/>
        <v>500</v>
      </c>
      <c r="AE20" s="199">
        <v>5.0000000000000001E-4</v>
      </c>
      <c r="AF20" s="278">
        <f t="shared" si="4"/>
        <v>2.0123536597633756E-2</v>
      </c>
    </row>
    <row r="21" spans="2:32">
      <c r="B21" s="142">
        <v>45</v>
      </c>
      <c r="C21" s="155" cm="1">
        <f t="array" ref="C21">_xlfn.IFNA(
   _xlfn._xlws.FILTER(
      Sim_Mul_Bet100!$H$3:$H$100,
      (Sim_Mul_Bet100!$A$3:$A$100=C$2) * (Sim_Mul_Bet100!$C$3:$C$100=$B21),0
   ),
   0
)</f>
        <v>0</v>
      </c>
      <c r="D21" s="156" cm="1">
        <f t="array" ref="D21">_xlfn.IFNA(
   _xlfn._xlws.FILTER(
      Sim_Mul_Bet100!$H$3:$H$100,
      (Sim_Mul_Bet100!$A$3:$A$100=D$2) * (Sim_Mul_Bet100!$C$3:$C$100=$B21),0
   ),
   0
)</f>
        <v>1.012999E-2</v>
      </c>
      <c r="E21" s="181" cm="1">
        <f t="array" ref="E21">_xlfn.IFNA(
   _xlfn._xlws.FILTER(
      Sim_Mul_Bet100!$H$3:$H$100,
      (Sim_Mul_Bet100!$A$3:$A$100=E$2) * (Sim_Mul_Bet100!$C$3:$C$100=$B21),0
   ),
   0
)</f>
        <v>6.6687819999999995E-2</v>
      </c>
      <c r="F21" s="150" cm="1">
        <f t="array" ref="F21">_xlfn.IFNA(
   _xlfn._xlws.FILTER(
      Sim_Mul_Bet100!$O$3:$O$100,
      (Sim_Mul_Bet100!$A$3:$A$100=C$2) * (Sim_Mul_Bet100!$C$3:$C$100=$B21),0
   ),
   0
)</f>
        <v>0</v>
      </c>
      <c r="G21" s="146" cm="1">
        <f t="array" ref="G21">_xlfn.IFNA(
   _xlfn._xlws.FILTER(
      Sim_Mul_Bet100!$O$3:$O$100,
      (Sim_Mul_Bet100!$A$3:$A$100=D$2) * (Sim_Mul_Bet100!$C$3:$C$100=$B21),0
   ),
   0
)</f>
        <v>49.989962971335608</v>
      </c>
      <c r="H21" s="147" cm="1">
        <f t="array" ref="H21">_xlfn.IFNA(
   _xlfn._xlws.FILTER(
      Sim_Mul_Bet100!$O$3:$O$100,
      (Sim_Mul_Bet100!$A$3:$A$100=E$2) * (Sim_Mul_Bet100!$C$3:$C$100=$B21),0
   ),
   0
)</f>
        <v>50</v>
      </c>
      <c r="J21">
        <v>18</v>
      </c>
      <c r="K21" s="206">
        <v>45</v>
      </c>
      <c r="L21" s="210" t="s">
        <v>91</v>
      </c>
      <c r="M21" s="216">
        <f t="shared" si="2"/>
        <v>1.012999E-2</v>
      </c>
      <c r="N21" s="160">
        <f t="shared" si="5"/>
        <v>49.989962971335608</v>
      </c>
      <c r="O21" s="175">
        <v>8.2580000000000001E-4</v>
      </c>
      <c r="P21" s="175">
        <v>9.2500000000000004E-4</v>
      </c>
      <c r="Q21" s="175">
        <v>9.2506938020351498E-4</v>
      </c>
      <c r="R21" s="197">
        <f t="shared" si="0"/>
        <v>4.1281711421728942E-2</v>
      </c>
      <c r="T21" s="184">
        <v>1915</v>
      </c>
      <c r="U21" s="199">
        <v>1.915E-3</v>
      </c>
      <c r="V21" s="203">
        <f t="shared" si="1"/>
        <v>9.5730779090107687E-2</v>
      </c>
      <c r="W21" s="169"/>
      <c r="X21" s="103"/>
      <c r="Y21" s="175">
        <f t="shared" si="6"/>
        <v>1E-3</v>
      </c>
      <c r="Z21" s="175">
        <v>1E-3</v>
      </c>
      <c r="AA21" s="175">
        <v>9.2506938020351498E-4</v>
      </c>
      <c r="AB21" s="272">
        <f t="shared" si="7"/>
        <v>4.9989962971335608E-2</v>
      </c>
      <c r="AD21" s="184">
        <f t="shared" si="3"/>
        <v>1000</v>
      </c>
      <c r="AE21" s="199">
        <v>1E-3</v>
      </c>
      <c r="AF21" s="278">
        <f t="shared" si="4"/>
        <v>4.9989962971335608E-2</v>
      </c>
    </row>
    <row r="22" spans="2:32">
      <c r="B22" s="142">
        <v>50</v>
      </c>
      <c r="C22" s="155" cm="1">
        <f t="array" ref="C22">_xlfn.IFNA(
   _xlfn._xlws.FILTER(
      Sim_Mul_Bet100!$H$3:$H$100,
      (Sim_Mul_Bet100!$A$3:$A$100=C$2) * (Sim_Mul_Bet100!$C$3:$C$100=$B22),0
   ),
   0
)</f>
        <v>4.60407E-3</v>
      </c>
      <c r="D22" s="156" cm="1">
        <f t="array" ref="D22">_xlfn.IFNA(
   _xlfn._xlws.FILTER(
      Sim_Mul_Bet100!$H$3:$H$100,
      (Sim_Mul_Bet100!$A$3:$A$100=D$2) * (Sim_Mul_Bet100!$C$3:$C$100=$B22),0
   ),
   0
)</f>
        <v>3.1304270000000002E-2</v>
      </c>
      <c r="E22" s="181" cm="1">
        <f t="array" ref="E22">_xlfn.IFNA(
   _xlfn._xlws.FILTER(
      Sim_Mul_Bet100!$H$3:$H$100,
      (Sim_Mul_Bet100!$A$3:$A$100=E$2) * (Sim_Mul_Bet100!$C$3:$C$100=$B22),0
   ),
   0
)</f>
        <v>4.343122E-2</v>
      </c>
      <c r="F22" s="150" cm="1">
        <f t="array" ref="F22">_xlfn.IFNA(
   _xlfn._xlws.FILTER(
      Sim_Mul_Bet100!$O$3:$O$100,
      (Sim_Mul_Bet100!$A$3:$A$100=C$2) * (Sim_Mul_Bet100!$C$3:$C$100=$B22),0
   ),
   0
)</f>
        <v>50.999184200066466</v>
      </c>
      <c r="G22" s="146" cm="1">
        <f t="array" ref="G22">_xlfn.IFNA(
   _xlfn._xlws.FILTER(
      Sim_Mul_Bet100!$O$3:$O$100,
      (Sim_Mul_Bet100!$A$3:$A$100=D$2) * (Sim_Mul_Bet100!$C$3:$C$100=$B22),0
   ),
   0
)</f>
        <v>51.493922372251454</v>
      </c>
      <c r="H22" s="147" cm="1">
        <f t="array" ref="H22">_xlfn.IFNA(
   _xlfn._xlws.FILTER(
      Sim_Mul_Bet100!$O$3:$O$100,
      (Sim_Mul_Bet100!$A$3:$A$100=E$2) * (Sim_Mul_Bet100!$C$3:$C$100=$B22),0
   ),
   0
)</f>
        <v>53.270739735149043</v>
      </c>
      <c r="J22">
        <v>19</v>
      </c>
      <c r="K22" s="206">
        <v>50</v>
      </c>
      <c r="L22" s="210" t="s">
        <v>90</v>
      </c>
      <c r="M22" s="216">
        <f t="shared" si="2"/>
        <v>4.60407E-3</v>
      </c>
      <c r="N22" s="160">
        <f t="shared" si="5"/>
        <v>50.999184200066466</v>
      </c>
      <c r="O22" s="175">
        <v>3.0599999999999998E-3</v>
      </c>
      <c r="P22" s="175">
        <v>3.065E-3</v>
      </c>
      <c r="Q22" s="175">
        <v>3.0712303422756699E-3</v>
      </c>
      <c r="R22" s="197">
        <f t="shared" si="0"/>
        <v>0.15605750365220339</v>
      </c>
      <c r="T22" s="184">
        <v>2489</v>
      </c>
      <c r="U22" s="199">
        <v>2.4889999999999999E-3</v>
      </c>
      <c r="V22" s="203">
        <f t="shared" si="1"/>
        <v>0.12693696947396543</v>
      </c>
      <c r="W22" s="169"/>
      <c r="X22" s="103"/>
      <c r="Y22" s="175">
        <f t="shared" si="6"/>
        <v>3.0699999999999998E-3</v>
      </c>
      <c r="Z22" s="175">
        <v>3.0699999999999998E-3</v>
      </c>
      <c r="AA22" s="175">
        <v>3.0712303422756699E-3</v>
      </c>
      <c r="AB22" s="272">
        <f t="shared" si="7"/>
        <v>0.15656749549420404</v>
      </c>
      <c r="AD22" s="184">
        <f t="shared" si="3"/>
        <v>3070</v>
      </c>
      <c r="AE22" s="199">
        <v>3.0699999999999998E-3</v>
      </c>
      <c r="AF22" s="278">
        <f t="shared" si="4"/>
        <v>0.15656749549420404</v>
      </c>
    </row>
    <row r="23" spans="2:32">
      <c r="B23" s="142">
        <v>60</v>
      </c>
      <c r="C23" s="155" cm="1">
        <f t="array" ref="C23">_xlfn.IFNA(
   _xlfn._xlws.FILTER(
      Sim_Mul_Bet100!$H$3:$H$100,
      (Sim_Mul_Bet100!$A$3:$A$100=C$2) * (Sim_Mul_Bet100!$C$3:$C$100=$B23),0
   ),
   0
)</f>
        <v>1.543E-5</v>
      </c>
      <c r="D23" s="156" cm="1">
        <f t="array" ref="D23">_xlfn.IFNA(
   _xlfn._xlws.FILTER(
      Sim_Mul_Bet100!$H$3:$H$100,
      (Sim_Mul_Bet100!$A$3:$A$100=D$2) * (Sim_Mul_Bet100!$C$3:$C$100=$B23),0
   ),
   0
)</f>
        <v>1.3517399999999999E-3</v>
      </c>
      <c r="E23" s="181" cm="1">
        <f t="array" ref="E23">_xlfn.IFNA(
   _xlfn._xlws.FILTER(
      Sim_Mul_Bet100!$H$3:$H$100,
      (Sim_Mul_Bet100!$A$3:$A$100=E$2) * (Sim_Mul_Bet100!$C$3:$C$100=$B23),0
   ),
   0
)</f>
        <v>1.40494E-2</v>
      </c>
      <c r="F23" s="150" cm="1">
        <f t="array" ref="F23">_xlfn.IFNA(
   _xlfn._xlws.FILTER(
      Sim_Mul_Bet100!$O$3:$O$100,
      (Sim_Mul_Bet100!$A$3:$A$100=C$2) * (Sim_Mul_Bet100!$C$3:$C$100=$B23),0
   ),
   0
)</f>
        <v>61.145936487362277</v>
      </c>
      <c r="G23" s="146" cm="1">
        <f t="array" ref="G23">_xlfn.IFNA(
   _xlfn._xlws.FILTER(
      Sim_Mul_Bet100!$O$3:$O$100,
      (Sim_Mul_Bet100!$A$3:$A$100=D$2) * (Sim_Mul_Bet100!$C$3:$C$100=$B23),0
   ),
   0
)</f>
        <v>61.378102297779158</v>
      </c>
      <c r="H23" s="147" cm="1">
        <f t="array" ref="H23">_xlfn.IFNA(
   _xlfn._xlws.FILTER(
      Sim_Mul_Bet100!$O$3:$O$100,
      (Sim_Mul_Bet100!$A$3:$A$100=E$2) * (Sim_Mul_Bet100!$C$3:$C$100=$B23),0
   ),
   0
)</f>
        <v>61.693938687773141</v>
      </c>
      <c r="J23">
        <v>20</v>
      </c>
      <c r="K23" s="206">
        <v>60</v>
      </c>
      <c r="L23" s="210" t="s">
        <v>92</v>
      </c>
      <c r="M23" s="216">
        <f t="shared" si="2"/>
        <v>1.40494E-2</v>
      </c>
      <c r="N23" s="160">
        <f t="shared" si="5"/>
        <v>61.693938687773141</v>
      </c>
      <c r="O23" s="175">
        <v>0</v>
      </c>
      <c r="P23" s="175">
        <v>0</v>
      </c>
      <c r="Q23" s="175">
        <v>0</v>
      </c>
      <c r="R23" s="197">
        <f t="shared" si="0"/>
        <v>0</v>
      </c>
      <c r="T23" s="184">
        <v>26</v>
      </c>
      <c r="U23" s="199">
        <v>2.5999999999999998E-5</v>
      </c>
      <c r="V23" s="203">
        <f t="shared" si="1"/>
        <v>1.6040424058821016E-3</v>
      </c>
      <c r="W23" s="169"/>
      <c r="X23" s="103"/>
      <c r="Y23" s="175">
        <f t="shared" si="6"/>
        <v>0</v>
      </c>
      <c r="Z23" s="175">
        <v>0</v>
      </c>
      <c r="AA23" s="175">
        <v>0</v>
      </c>
      <c r="AB23" s="272">
        <f t="shared" si="7"/>
        <v>0</v>
      </c>
      <c r="AD23" s="184">
        <f t="shared" si="3"/>
        <v>0</v>
      </c>
      <c r="AE23" s="199">
        <v>0</v>
      </c>
      <c r="AF23" s="278">
        <f t="shared" si="4"/>
        <v>0</v>
      </c>
    </row>
    <row r="24" spans="2:32">
      <c r="B24" s="142">
        <v>70</v>
      </c>
      <c r="C24" s="155" cm="1">
        <f t="array" ref="C24">_xlfn.IFNA(
   _xlfn._xlws.FILTER(
      Sim_Mul_Bet100!$H$3:$H$100,
      (Sim_Mul_Bet100!$A$3:$A$100=C$2) * (Sim_Mul_Bet100!$C$3:$C$100=$B24),0
   ),
   0
)</f>
        <v>2.2999999999999999E-7</v>
      </c>
      <c r="D24" s="156" cm="1">
        <f t="array" ref="D24">_xlfn.IFNA(
   _xlfn._xlws.FILTER(
      Sim_Mul_Bet100!$H$3:$H$100,
      (Sim_Mul_Bet100!$A$3:$A$100=D$2) * (Sim_Mul_Bet100!$C$3:$C$100=$B24),0
   ),
   0
)</f>
        <v>5.9845999999999999E-4</v>
      </c>
      <c r="E24" s="181" cm="1">
        <f t="array" ref="E24">_xlfn.IFNA(
   _xlfn._xlws.FILTER(
      Sim_Mul_Bet100!$H$3:$H$100,
      (Sim_Mul_Bet100!$A$3:$A$100=E$2) * (Sim_Mul_Bet100!$C$3:$C$100=$B24),0
   ),
   0
)</f>
        <v>0</v>
      </c>
      <c r="F24" s="150" cm="1">
        <f t="array" ref="F24">_xlfn.IFNA(
   _xlfn._xlws.FILTER(
      Sim_Mul_Bet100!$O$3:$O$100,
      (Sim_Mul_Bet100!$A$3:$A$100=C$2) * (Sim_Mul_Bet100!$C$3:$C$100=$B24),0
   ),
   0
)</f>
        <v>72.434782608695656</v>
      </c>
      <c r="G24" s="146" cm="1">
        <f t="array" ref="G24">_xlfn.IFNA(
   _xlfn._xlws.FILTER(
      Sim_Mul_Bet100!$O$3:$O$100,
      (Sim_Mul_Bet100!$A$3:$A$100=D$2) * (Sim_Mul_Bet100!$C$3:$C$100=$B24),0
   ),
   0
)</f>
        <v>74.229118905189992</v>
      </c>
      <c r="H24" s="147" cm="1">
        <f t="array" ref="H24">_xlfn.IFNA(
   _xlfn._xlws.FILTER(
      Sim_Mul_Bet100!$O$3:$O$100,
      (Sim_Mul_Bet100!$A$3:$A$100=E$2) * (Sim_Mul_Bet100!$C$3:$C$100=$B24),0
   ),
   0
)</f>
        <v>0</v>
      </c>
      <c r="J24">
        <v>21</v>
      </c>
      <c r="K24" s="206">
        <v>70</v>
      </c>
      <c r="L24" s="210" t="s">
        <v>91</v>
      </c>
      <c r="M24" s="216">
        <f t="shared" si="2"/>
        <v>5.9845999999999999E-4</v>
      </c>
      <c r="N24" s="160">
        <f t="shared" si="5"/>
        <v>74.229118905189992</v>
      </c>
      <c r="O24" s="175">
        <v>0</v>
      </c>
      <c r="P24" s="175">
        <v>0</v>
      </c>
      <c r="Q24" s="175">
        <v>0</v>
      </c>
      <c r="R24" s="197">
        <f t="shared" si="0"/>
        <v>0</v>
      </c>
      <c r="T24" s="184">
        <v>1</v>
      </c>
      <c r="U24" s="199">
        <v>9.9999999999999995E-7</v>
      </c>
      <c r="V24" s="203">
        <f t="shared" si="1"/>
        <v>7.4229118905189985E-5</v>
      </c>
      <c r="W24" s="169"/>
      <c r="X24" s="103"/>
      <c r="Y24" s="175">
        <f t="shared" si="6"/>
        <v>0</v>
      </c>
      <c r="Z24" s="175">
        <v>0</v>
      </c>
      <c r="AA24" s="175">
        <v>0</v>
      </c>
      <c r="AB24" s="272">
        <f t="shared" si="7"/>
        <v>0</v>
      </c>
      <c r="AD24" s="184">
        <f t="shared" si="3"/>
        <v>0</v>
      </c>
      <c r="AE24" s="199">
        <v>0</v>
      </c>
      <c r="AF24" s="278">
        <f t="shared" si="4"/>
        <v>0</v>
      </c>
    </row>
    <row r="25" spans="2:32">
      <c r="B25" s="142">
        <v>80</v>
      </c>
      <c r="C25" s="155" cm="1">
        <f t="array" ref="C25">_xlfn.IFNA(
   _xlfn._xlws.FILTER(
      Sim_Mul_Bet100!$H$3:$H$100,
      (Sim_Mul_Bet100!$A$3:$A$100=C$2) * (Sim_Mul_Bet100!$C$3:$C$100=$B25),0
   ),
   0
)</f>
        <v>1.1999999999999999E-7</v>
      </c>
      <c r="D25" s="156" cm="1">
        <f t="array" ref="D25">_xlfn.IFNA(
   _xlfn._xlws.FILTER(
      Sim_Mul_Bet100!$H$3:$H$100,
      (Sim_Mul_Bet100!$A$3:$A$100=D$2) * (Sim_Mul_Bet100!$C$3:$C$100=$B25),0
   ),
   0
)</f>
        <v>2.1117E-4</v>
      </c>
      <c r="E25" s="181" cm="1">
        <f t="array" ref="E25">_xlfn.IFNA(
   _xlfn._xlws.FILTER(
      Sim_Mul_Bet100!$H$3:$H$100,
      (Sim_Mul_Bet100!$A$3:$A$100=E$2) * (Sim_Mul_Bet100!$C$3:$C$100=$B25),0
   ),
   0
)</f>
        <v>0</v>
      </c>
      <c r="F25" s="150" cm="1">
        <f t="array" ref="F25">_xlfn.IFNA(
   _xlfn._xlws.FILTER(
      Sim_Mul_Bet100!$O$3:$O$100,
      (Sim_Mul_Bet100!$A$3:$A$100=C$2) * (Sim_Mul_Bet100!$C$3:$C$100=$B25),0
   ),
   0
)</f>
        <v>80.416666666666671</v>
      </c>
      <c r="G25" s="146" cm="1">
        <f t="array" ref="G25">_xlfn.IFNA(
   _xlfn._xlws.FILTER(
      Sim_Mul_Bet100!$O$3:$O$100,
      (Sim_Mul_Bet100!$A$3:$A$100=D$2) * (Sim_Mul_Bet100!$C$3:$C$100=$B25),0
   ),
   0
)</f>
        <v>81.540082398067909</v>
      </c>
      <c r="H25" s="147" cm="1">
        <f t="array" ref="H25">_xlfn.IFNA(
   _xlfn._xlws.FILTER(
      Sim_Mul_Bet100!$O$3:$O$100,
      (Sim_Mul_Bet100!$A$3:$A$100=E$2) * (Sim_Mul_Bet100!$C$3:$C$100=$B25),0
   ),
   0
)</f>
        <v>0</v>
      </c>
      <c r="J25">
        <v>22</v>
      </c>
      <c r="K25" s="206">
        <v>80</v>
      </c>
      <c r="L25" s="210" t="s">
        <v>90</v>
      </c>
      <c r="M25" s="216">
        <f t="shared" si="2"/>
        <v>1.1999999999999999E-7</v>
      </c>
      <c r="N25" s="160">
        <f t="shared" si="5"/>
        <v>80.416666666666671</v>
      </c>
      <c r="O25" s="175">
        <v>0</v>
      </c>
      <c r="P25" s="175">
        <v>0</v>
      </c>
      <c r="Q25" s="175">
        <v>0</v>
      </c>
      <c r="R25" s="197">
        <f t="shared" si="0"/>
        <v>0</v>
      </c>
      <c r="T25" s="184">
        <v>0</v>
      </c>
      <c r="U25" s="199">
        <v>0</v>
      </c>
      <c r="V25" s="203">
        <f t="shared" si="1"/>
        <v>0</v>
      </c>
      <c r="W25" s="169"/>
      <c r="X25" s="103"/>
      <c r="Y25" s="175">
        <f t="shared" si="6"/>
        <v>0</v>
      </c>
      <c r="Z25" s="175">
        <v>0</v>
      </c>
      <c r="AA25" s="175">
        <v>0</v>
      </c>
      <c r="AB25" s="272">
        <f t="shared" si="7"/>
        <v>0</v>
      </c>
      <c r="AD25" s="184">
        <f t="shared" si="3"/>
        <v>0</v>
      </c>
      <c r="AE25" s="199">
        <v>0</v>
      </c>
      <c r="AF25" s="278">
        <f t="shared" si="4"/>
        <v>0</v>
      </c>
    </row>
    <row r="26" spans="2:32">
      <c r="B26" s="142">
        <v>90</v>
      </c>
      <c r="C26" s="155" cm="1">
        <f t="array" ref="C26">_xlfn.IFNA(
   _xlfn._xlws.FILTER(
      Sim_Mul_Bet100!$H$3:$H$100,
      (Sim_Mul_Bet100!$A$3:$A$100=C$2) * (Sim_Mul_Bet100!$C$3:$C$100=$B26),0
   ),
   0
)</f>
        <v>0</v>
      </c>
      <c r="D26" s="156" cm="1">
        <f t="array" ref="D26">_xlfn.IFNA(
   _xlfn._xlws.FILTER(
      Sim_Mul_Bet100!$H$3:$H$100,
      (Sim_Mul_Bet100!$A$3:$A$100=D$2) * (Sim_Mul_Bet100!$C$3:$C$100=$B26),0
   ),
   0
)</f>
        <v>9.1235099999999996E-3</v>
      </c>
      <c r="E26" s="181" cm="1">
        <f t="array" ref="E26">_xlfn.IFNA(
   _xlfn._xlws.FILTER(
      Sim_Mul_Bet100!$H$3:$H$100,
      (Sim_Mul_Bet100!$A$3:$A$100=E$2) * (Sim_Mul_Bet100!$C$3:$C$100=$B26),0
   ),
   0
)</f>
        <v>6.6660499999999998E-2</v>
      </c>
      <c r="F26" s="150" cm="1">
        <f t="array" ref="F26">_xlfn.IFNA(
   _xlfn._xlws.FILTER(
      Sim_Mul_Bet100!$O$3:$O$100,
      (Sim_Mul_Bet100!$A$3:$A$100=C$2) * (Sim_Mul_Bet100!$C$3:$C$100=$B26),0
   ),
   0
)</f>
        <v>0</v>
      </c>
      <c r="G26" s="146" cm="1">
        <f t="array" ref="G26">_xlfn.IFNA(
   _xlfn._xlws.FILTER(
      Sim_Mul_Bet100!$O$3:$O$100,
      (Sim_Mul_Bet100!$A$3:$A$100=D$2) * (Sim_Mul_Bet100!$C$3:$C$100=$B26),0
   ),
   0
)</f>
        <v>100</v>
      </c>
      <c r="H26" s="147" cm="1">
        <f t="array" ref="H26">_xlfn.IFNA(
   _xlfn._xlws.FILTER(
      Sim_Mul_Bet100!$O$3:$O$100,
      (Sim_Mul_Bet100!$A$3:$A$100=E$2) * (Sim_Mul_Bet100!$C$3:$C$100=$B26),0
   ),
   0
)</f>
        <v>100</v>
      </c>
      <c r="J26">
        <v>23</v>
      </c>
      <c r="K26" s="206">
        <v>90</v>
      </c>
      <c r="L26" s="210" t="s">
        <v>91</v>
      </c>
      <c r="M26" s="216">
        <f t="shared" si="2"/>
        <v>9.1235099999999996E-3</v>
      </c>
      <c r="N26" s="160">
        <f t="shared" si="5"/>
        <v>100</v>
      </c>
      <c r="O26" s="175">
        <v>3.6000000000000001E-5</v>
      </c>
      <c r="P26" s="175">
        <v>3.7002775208140602E-5</v>
      </c>
      <c r="Q26" s="175">
        <v>3.7002775208140602E-5</v>
      </c>
      <c r="R26" s="197">
        <f t="shared" si="0"/>
        <v>3.5999999999999999E-3</v>
      </c>
      <c r="T26" s="184">
        <v>317</v>
      </c>
      <c r="U26" s="199">
        <v>3.1700000000000001E-4</v>
      </c>
      <c r="V26" s="203">
        <f t="shared" si="1"/>
        <v>3.1699999999999999E-2</v>
      </c>
      <c r="W26" s="169"/>
      <c r="X26" s="103"/>
      <c r="Y26" s="175">
        <f t="shared" si="6"/>
        <v>1E-4</v>
      </c>
      <c r="Z26" s="175">
        <v>1E-4</v>
      </c>
      <c r="AA26" s="175">
        <v>3.7002775208140602E-5</v>
      </c>
      <c r="AB26" s="272">
        <f t="shared" si="7"/>
        <v>0.01</v>
      </c>
      <c r="AD26" s="184">
        <f t="shared" si="3"/>
        <v>100</v>
      </c>
      <c r="AE26" s="199">
        <v>1E-4</v>
      </c>
      <c r="AF26" s="278">
        <f t="shared" si="4"/>
        <v>0.01</v>
      </c>
    </row>
    <row r="27" spans="2:32">
      <c r="B27" s="142">
        <v>100</v>
      </c>
      <c r="C27" s="155" cm="1">
        <f t="array" ref="C27">_xlfn.IFNA(
   _xlfn._xlws.FILTER(
      Sim_Mul_Bet100!$H$3:$H$100,
      (Sim_Mul_Bet100!$A$3:$A$100=C$2) * (Sim_Mul_Bet100!$C$3:$C$100=$B27),0
   ),
   0
)</f>
        <v>7.9314000000000001E-4</v>
      </c>
      <c r="D27" s="156" cm="1">
        <f t="array" ref="D27">_xlfn.IFNA(
   _xlfn._xlws.FILTER(
      Sim_Mul_Bet100!$H$3:$H$100,
      (Sim_Mul_Bet100!$A$3:$A$100=D$2) * (Sim_Mul_Bet100!$C$3:$C$100=$B27),0
   ),
   0
)</f>
        <v>3.5792490000000003E-2</v>
      </c>
      <c r="E27" s="181" cm="1">
        <f t="array" ref="E27">_xlfn.IFNA(
   _xlfn._xlws.FILTER(
      Sim_Mul_Bet100!$H$3:$H$100,
      (Sim_Mul_Bet100!$A$3:$A$100=E$2) * (Sim_Mul_Bet100!$C$3:$C$100=$B27),0
   ),
   0
)</f>
        <v>3.3939379999999998E-2</v>
      </c>
      <c r="F27" s="150" cm="1">
        <f t="array" ref="F27">_xlfn.IFNA(
   _xlfn._xlws.FILTER(
      Sim_Mul_Bet100!$O$3:$O$100,
      (Sim_Mul_Bet100!$A$3:$A$100=C$2) * (Sim_Mul_Bet100!$C$3:$C$100=$B27),0
   ),
   0
)</f>
        <v>100.86985046776104</v>
      </c>
      <c r="G27" s="146" cm="1">
        <f t="array" ref="G27">_xlfn.IFNA(
   _xlfn._xlws.FILTER(
      Sim_Mul_Bet100!$O$3:$O$100,
      (Sim_Mul_Bet100!$A$3:$A$100=D$2) * (Sim_Mul_Bet100!$C$3:$C$100=$B27),0
   ),
   0
)</f>
        <v>102.81593541550197</v>
      </c>
      <c r="H27" s="147" cm="1">
        <f t="array" ref="H27">_xlfn.IFNA(
   _xlfn._xlws.FILTER(
      Sim_Mul_Bet100!$O$3:$O$100,
      (Sim_Mul_Bet100!$A$3:$A$100=E$2) * (Sim_Mul_Bet100!$C$3:$C$100=$B27),0
   ),
   0
)</f>
        <v>102.60749374325637</v>
      </c>
      <c r="J27">
        <v>24</v>
      </c>
      <c r="K27" s="206">
        <v>100</v>
      </c>
      <c r="L27" s="210" t="s">
        <v>91</v>
      </c>
      <c r="M27" s="216">
        <f t="shared" si="2"/>
        <v>3.5792490000000003E-2</v>
      </c>
      <c r="N27" s="160">
        <f t="shared" si="5"/>
        <v>102.81593541550197</v>
      </c>
      <c r="O27" s="175">
        <v>6.9999999999999994E-5</v>
      </c>
      <c r="P27" s="175">
        <v>7.4005550416281205E-5</v>
      </c>
      <c r="Q27" s="175">
        <v>7.4005550416281205E-5</v>
      </c>
      <c r="R27" s="197">
        <f t="shared" si="0"/>
        <v>7.1971154790851375E-3</v>
      </c>
      <c r="T27" s="184">
        <v>83</v>
      </c>
      <c r="U27" s="199">
        <v>8.2999999999999998E-5</v>
      </c>
      <c r="V27" s="203">
        <f t="shared" si="1"/>
        <v>8.5337226394866638E-3</v>
      </c>
      <c r="W27" s="169"/>
      <c r="X27" s="103"/>
      <c r="Y27" s="175">
        <f t="shared" si="6"/>
        <v>8.0000000000000007E-5</v>
      </c>
      <c r="Z27" s="175">
        <v>8.0000000000000007E-5</v>
      </c>
      <c r="AA27" s="175">
        <v>7.4005550416281205E-5</v>
      </c>
      <c r="AB27" s="272">
        <f t="shared" si="7"/>
        <v>8.2252748332401586E-3</v>
      </c>
      <c r="AD27" s="184">
        <f t="shared" si="3"/>
        <v>80</v>
      </c>
      <c r="AE27" s="199">
        <v>8.0000000000000007E-5</v>
      </c>
      <c r="AF27" s="278">
        <f t="shared" si="4"/>
        <v>8.2252748332401586E-3</v>
      </c>
    </row>
    <row r="28" spans="2:32">
      <c r="B28" s="142">
        <v>120</v>
      </c>
      <c r="C28" s="155" cm="1">
        <f t="array" ref="C28">_xlfn.IFNA(
   _xlfn._xlws.FILTER(
      Sim_Mul_Bet100!$H$3:$H$100,
      (Sim_Mul_Bet100!$A$3:$A$100=C$2) * (Sim_Mul_Bet100!$C$3:$C$100=$B28),0
   ),
   0
)</f>
        <v>2.6E-7</v>
      </c>
      <c r="D28" s="156" cm="1">
        <f t="array" ref="D28">_xlfn.IFNA(
   _xlfn._xlws.FILTER(
      Sim_Mul_Bet100!$H$3:$H$100,
      (Sim_Mul_Bet100!$A$3:$A$100=D$2) * (Sim_Mul_Bet100!$C$3:$C$100=$B28),0
   ),
   0
)</f>
        <v>6.8066999999999997E-4</v>
      </c>
      <c r="E28" s="181" cm="1">
        <f t="array" ref="E28">_xlfn.IFNA(
   _xlfn._xlws.FILTER(
      Sim_Mul_Bet100!$H$3:$H$100,
      (Sim_Mul_Bet100!$A$3:$A$100=E$2) * (Sim_Mul_Bet100!$C$3:$C$100=$B28),0
   ),
   0
)</f>
        <v>0</v>
      </c>
      <c r="F28" s="150" cm="1">
        <f t="array" ref="F28">_xlfn.IFNA(
   _xlfn._xlws.FILTER(
      Sim_Mul_Bet100!$O$3:$O$100,
      (Sim_Mul_Bet100!$A$3:$A$100=C$2) * (Sim_Mul_Bet100!$C$3:$C$100=$B28),0
   ),
   0
)</f>
        <v>123.80769230769231</v>
      </c>
      <c r="G28" s="146" cm="1">
        <f t="array" ref="G28">_xlfn.IFNA(
   _xlfn._xlws.FILTER(
      Sim_Mul_Bet100!$O$3:$O$100,
      (Sim_Mul_Bet100!$A$3:$A$100=D$2) * (Sim_Mul_Bet100!$C$3:$C$100=$B28),0
   ),
   0
)</f>
        <v>126.62899980901172</v>
      </c>
      <c r="H28" s="147" cm="1">
        <f t="array" ref="H28">_xlfn.IFNA(
   _xlfn._xlws.FILTER(
      Sim_Mul_Bet100!$O$3:$O$100,
      (Sim_Mul_Bet100!$A$3:$A$100=E$2) * (Sim_Mul_Bet100!$C$3:$C$100=$B28),0
   ),
   0
)</f>
        <v>0</v>
      </c>
      <c r="J28">
        <v>25</v>
      </c>
      <c r="K28" s="206">
        <v>120</v>
      </c>
      <c r="L28" s="210" t="s">
        <v>91</v>
      </c>
      <c r="M28" s="216">
        <f t="shared" si="2"/>
        <v>6.8066999999999997E-4</v>
      </c>
      <c r="N28" s="160">
        <f t="shared" si="5"/>
        <v>126.62899980901172</v>
      </c>
      <c r="O28" s="175">
        <v>0</v>
      </c>
      <c r="P28" s="175">
        <v>0</v>
      </c>
      <c r="Q28" s="175">
        <v>0</v>
      </c>
      <c r="R28" s="197">
        <f t="shared" si="0"/>
        <v>0</v>
      </c>
      <c r="T28" s="184">
        <v>1</v>
      </c>
      <c r="U28" s="199">
        <v>9.9999999999999995E-7</v>
      </c>
      <c r="V28" s="203">
        <f t="shared" si="1"/>
        <v>1.266289998090117E-4</v>
      </c>
      <c r="W28" s="169"/>
      <c r="X28" s="103"/>
      <c r="Y28" s="175">
        <f t="shared" si="6"/>
        <v>0</v>
      </c>
      <c r="Z28" s="175">
        <v>0</v>
      </c>
      <c r="AA28" s="175">
        <v>0</v>
      </c>
      <c r="AB28" s="272">
        <f t="shared" si="7"/>
        <v>0</v>
      </c>
      <c r="AD28" s="184">
        <f t="shared" si="3"/>
        <v>0</v>
      </c>
      <c r="AE28" s="199">
        <v>0</v>
      </c>
      <c r="AF28" s="278">
        <f t="shared" si="4"/>
        <v>0</v>
      </c>
    </row>
    <row r="29" spans="2:32">
      <c r="B29" s="142">
        <v>140</v>
      </c>
      <c r="C29" s="155" cm="1">
        <f t="array" ref="C29">_xlfn.IFNA(
   _xlfn._xlws.FILTER(
      Sim_Mul_Bet100!$H$3:$H$100,
      (Sim_Mul_Bet100!$A$3:$A$100=C$2) * (Sim_Mul_Bet100!$C$3:$C$100=$B29),0
   ),
   0
)</f>
        <v>8.0000000000000002E-8</v>
      </c>
      <c r="D29" s="156" cm="1">
        <f t="array" ref="D29">_xlfn.IFNA(
   _xlfn._xlws.FILTER(
      Sim_Mul_Bet100!$H$3:$H$100,
      (Sim_Mul_Bet100!$A$3:$A$100=D$2) * (Sim_Mul_Bet100!$C$3:$C$100=$B29),0
   ),
   0
)</f>
        <v>1.0555499999999999E-3</v>
      </c>
      <c r="E29" s="181" cm="1">
        <f t="array" ref="E29">_xlfn.IFNA(
   _xlfn._xlws.FILTER(
      Sim_Mul_Bet100!$H$3:$H$100,
      (Sim_Mul_Bet100!$A$3:$A$100=E$2) * (Sim_Mul_Bet100!$C$3:$C$100=$B29),0
   ),
   0
)</f>
        <v>0</v>
      </c>
      <c r="F29" s="150" cm="1">
        <f t="array" ref="F29">_xlfn.IFNA(
   _xlfn._xlws.FILTER(
      Sim_Mul_Bet100!$O$3:$O$100,
      (Sim_Mul_Bet100!$A$3:$A$100=C$2) * (Sim_Mul_Bet100!$C$3:$C$100=$B29),0
   ),
   0
)</f>
        <v>150.75</v>
      </c>
      <c r="G29" s="146" cm="1">
        <f t="array" ref="G29">_xlfn.IFNA(
   _xlfn._xlws.FILTER(
      Sim_Mul_Bet100!$O$3:$O$100,
      (Sim_Mul_Bet100!$A$3:$A$100=D$2) * (Sim_Mul_Bet100!$C$3:$C$100=$B29),0
   ),
   0
)</f>
        <v>151.06099133153333</v>
      </c>
      <c r="H29" s="147" cm="1">
        <f t="array" ref="H29">_xlfn.IFNA(
   _xlfn._xlws.FILTER(
      Sim_Mul_Bet100!$O$3:$O$100,
      (Sim_Mul_Bet100!$A$3:$A$100=E$2) * (Sim_Mul_Bet100!$C$3:$C$100=$B29),0
   ),
   0
)</f>
        <v>0</v>
      </c>
      <c r="J29">
        <v>26</v>
      </c>
      <c r="K29" s="206">
        <v>140</v>
      </c>
      <c r="L29" s="210" t="s">
        <v>91</v>
      </c>
      <c r="M29" s="216">
        <f t="shared" si="2"/>
        <v>1.0555499999999999E-3</v>
      </c>
      <c r="N29" s="160">
        <f t="shared" si="5"/>
        <v>151.06099133153333</v>
      </c>
      <c r="O29" s="175">
        <v>0</v>
      </c>
      <c r="P29" s="175">
        <v>0</v>
      </c>
      <c r="Q29" s="175">
        <v>0</v>
      </c>
      <c r="R29" s="197">
        <f t="shared" si="0"/>
        <v>0</v>
      </c>
      <c r="T29" s="184">
        <v>2</v>
      </c>
      <c r="U29" s="199">
        <v>1.9999999999999999E-6</v>
      </c>
      <c r="V29" s="203">
        <f t="shared" si="1"/>
        <v>3.0212198266306667E-4</v>
      </c>
      <c r="W29" s="169"/>
      <c r="X29" s="103"/>
      <c r="Y29" s="175">
        <f t="shared" si="6"/>
        <v>0</v>
      </c>
      <c r="Z29" s="175">
        <v>0</v>
      </c>
      <c r="AA29" s="175">
        <v>0</v>
      </c>
      <c r="AB29" s="272">
        <f t="shared" si="7"/>
        <v>0</v>
      </c>
      <c r="AD29" s="184">
        <f t="shared" si="3"/>
        <v>0</v>
      </c>
      <c r="AE29" s="199">
        <v>0</v>
      </c>
      <c r="AF29" s="278">
        <f t="shared" si="4"/>
        <v>0</v>
      </c>
    </row>
    <row r="30" spans="2:32">
      <c r="B30" s="142">
        <v>160</v>
      </c>
      <c r="C30" s="155" cm="1">
        <f t="array" ref="C30">_xlfn.IFNA(
   _xlfn._xlws.FILTER(
      Sim_Mul_Bet100!$H$3:$H$100,
      (Sim_Mul_Bet100!$A$3:$A$100=C$2) * (Sim_Mul_Bet100!$C$3:$C$100=$B30),0
   ),
   0
)</f>
        <v>0</v>
      </c>
      <c r="D30" s="156" cm="1">
        <f t="array" ref="D30">_xlfn.IFNA(
   _xlfn._xlws.FILTER(
      Sim_Mul_Bet100!$H$3:$H$100,
      (Sim_Mul_Bet100!$A$3:$A$100=D$2) * (Sim_Mul_Bet100!$C$3:$C$100=$B30),0
   ),
   0
)</f>
        <v>3.9560000000000001E-5</v>
      </c>
      <c r="E30" s="181" cm="1">
        <f t="array" ref="E30">_xlfn.IFNA(
   _xlfn._xlws.FILTER(
      Sim_Mul_Bet100!$H$3:$H$100,
      (Sim_Mul_Bet100!$A$3:$A$100=E$2) * (Sim_Mul_Bet100!$C$3:$C$100=$B30),0
   ),
   0
)</f>
        <v>0</v>
      </c>
      <c r="F30" s="150" cm="1">
        <f t="array" ref="F30">_xlfn.IFNA(
   _xlfn._xlws.FILTER(
      Sim_Mul_Bet100!$O$3:$O$100,
      (Sim_Mul_Bet100!$A$3:$A$100=C$2) * (Sim_Mul_Bet100!$C$3:$C$100=$B30),0
   ),
   0
)</f>
        <v>0</v>
      </c>
      <c r="G30" s="146" cm="1">
        <f t="array" ref="G30">_xlfn.IFNA(
   _xlfn._xlws.FILTER(
      Sim_Mul_Bet100!$O$3:$O$100,
      (Sim_Mul_Bet100!$A$3:$A$100=D$2) * (Sim_Mul_Bet100!$C$3:$C$100=$B30),0
   ),
   0
)</f>
        <v>160.65406723963599</v>
      </c>
      <c r="H30" s="147" cm="1">
        <f t="array" ref="H30">_xlfn.IFNA(
   _xlfn._xlws.FILTER(
      Sim_Mul_Bet100!$O$3:$O$100,
      (Sim_Mul_Bet100!$A$3:$A$100=E$2) * (Sim_Mul_Bet100!$C$3:$C$100=$B30),0
   ),
   0
)</f>
        <v>0</v>
      </c>
      <c r="J30">
        <v>27</v>
      </c>
      <c r="K30" s="206">
        <v>160</v>
      </c>
      <c r="L30" s="210" t="s">
        <v>90</v>
      </c>
      <c r="M30" s="216">
        <f t="shared" si="2"/>
        <v>0</v>
      </c>
      <c r="N30" s="160">
        <f t="shared" si="5"/>
        <v>0</v>
      </c>
      <c r="O30" s="175">
        <v>0</v>
      </c>
      <c r="P30" s="175">
        <v>0</v>
      </c>
      <c r="Q30" s="175">
        <v>0</v>
      </c>
      <c r="R30" s="197">
        <f t="shared" si="0"/>
        <v>0</v>
      </c>
      <c r="T30" s="184">
        <v>0</v>
      </c>
      <c r="U30" s="199">
        <v>0</v>
      </c>
      <c r="V30" s="203">
        <f t="shared" si="1"/>
        <v>0</v>
      </c>
      <c r="W30" s="169"/>
      <c r="X30" s="103"/>
      <c r="Y30" s="175">
        <f t="shared" si="6"/>
        <v>0</v>
      </c>
      <c r="Z30" s="175">
        <v>0</v>
      </c>
      <c r="AA30" s="175">
        <v>0</v>
      </c>
      <c r="AB30" s="272">
        <f t="shared" si="7"/>
        <v>0</v>
      </c>
      <c r="AD30" s="184">
        <f t="shared" si="3"/>
        <v>0</v>
      </c>
      <c r="AE30" s="199">
        <v>0</v>
      </c>
      <c r="AF30" s="278">
        <f t="shared" si="4"/>
        <v>0</v>
      </c>
    </row>
    <row r="31" spans="2:32">
      <c r="B31" s="142">
        <v>180</v>
      </c>
      <c r="C31" s="155" cm="1">
        <f t="array" ref="C31">_xlfn.IFNA(
   _xlfn._xlws.FILTER(
      Sim_Mul_Bet100!$H$3:$H$100,
      (Sim_Mul_Bet100!$A$3:$A$100=C$2) * (Sim_Mul_Bet100!$C$3:$C$100=$B31),0
   ),
   0
)</f>
        <v>0</v>
      </c>
      <c r="D31" s="156" cm="1">
        <f t="array" ref="D31">_xlfn.IFNA(
   _xlfn._xlws.FILTER(
      Sim_Mul_Bet100!$H$3:$H$100,
      (Sim_Mul_Bet100!$A$3:$A$100=D$2) * (Sim_Mul_Bet100!$C$3:$C$100=$B31),0
   ),
   0
)</f>
        <v>3.6773000000000001E-3</v>
      </c>
      <c r="E31" s="181" cm="1">
        <f t="array" ref="E31">_xlfn.IFNA(
   _xlfn._xlws.FILTER(
      Sim_Mul_Bet100!$H$3:$H$100,
      (Sim_Mul_Bet100!$A$3:$A$100=E$2) * (Sim_Mul_Bet100!$C$3:$C$100=$B31),0
   ),
   0
)</f>
        <v>0</v>
      </c>
      <c r="F31" s="150" cm="1">
        <f t="array" ref="F31">_xlfn.IFNA(
   _xlfn._xlws.FILTER(
      Sim_Mul_Bet100!$O$3:$O$100,
      (Sim_Mul_Bet100!$A$3:$A$100=C$2) * (Sim_Mul_Bet100!$C$3:$C$100=$B31),0
   ),
   0
)</f>
        <v>0</v>
      </c>
      <c r="G31" s="146" cm="1">
        <f t="array" ref="G31">_xlfn.IFNA(
   _xlfn._xlws.FILTER(
      Sim_Mul_Bet100!$O$3:$O$100,
      (Sim_Mul_Bet100!$A$3:$A$100=D$2) * (Sim_Mul_Bet100!$C$3:$C$100=$B31),0
   ),
   0
)</f>
        <v>200</v>
      </c>
      <c r="H31" s="147" cm="1">
        <f t="array" ref="H31">_xlfn.IFNA(
   _xlfn._xlws.FILTER(
      Sim_Mul_Bet100!$O$3:$O$100,
      (Sim_Mul_Bet100!$A$3:$A$100=E$2) * (Sim_Mul_Bet100!$C$3:$C$100=$B31),0
   ),
   0
)</f>
        <v>0</v>
      </c>
      <c r="J31">
        <v>28</v>
      </c>
      <c r="K31" s="206">
        <v>180</v>
      </c>
      <c r="L31" s="210" t="s">
        <v>91</v>
      </c>
      <c r="M31" s="216">
        <f t="shared" si="2"/>
        <v>3.6773000000000001E-3</v>
      </c>
      <c r="N31" s="160">
        <f t="shared" si="5"/>
        <v>200</v>
      </c>
      <c r="O31" s="175">
        <v>3.4999999999999997E-5</v>
      </c>
      <c r="P31" s="175">
        <v>3.7002775208140602E-5</v>
      </c>
      <c r="Q31" s="175">
        <v>3.7002775208140602E-5</v>
      </c>
      <c r="R31" s="197">
        <f t="shared" si="0"/>
        <v>6.9999999999999993E-3</v>
      </c>
      <c r="T31" s="184">
        <v>7</v>
      </c>
      <c r="U31" s="199">
        <v>6.9999999999999999E-6</v>
      </c>
      <c r="V31" s="203">
        <f t="shared" si="1"/>
        <v>1.4E-3</v>
      </c>
      <c r="W31" s="169"/>
      <c r="X31" s="103"/>
      <c r="Y31" s="175">
        <f t="shared" si="6"/>
        <v>5.0000000000000002E-5</v>
      </c>
      <c r="Z31" s="175">
        <v>5.0000000000000002E-5</v>
      </c>
      <c r="AA31" s="175">
        <v>3.7002775208140602E-5</v>
      </c>
      <c r="AB31" s="272">
        <f t="shared" si="7"/>
        <v>0.01</v>
      </c>
      <c r="AD31" s="184">
        <f t="shared" si="3"/>
        <v>50</v>
      </c>
      <c r="AE31" s="199">
        <v>5.0000000000000002E-5</v>
      </c>
      <c r="AF31" s="278">
        <f t="shared" si="4"/>
        <v>0.01</v>
      </c>
    </row>
    <row r="32" spans="2:32">
      <c r="B32" s="142">
        <v>200</v>
      </c>
      <c r="C32" s="155" cm="1">
        <f t="array" ref="C32">_xlfn.IFNA(
   _xlfn._xlws.FILTER(
      Sim_Mul_Bet100!$H$3:$H$100,
      (Sim_Mul_Bet100!$A$3:$A$100=C$2) * (Sim_Mul_Bet100!$C$3:$C$100=$B32),0
   ),
   0
)</f>
        <v>4.9450000000000003E-5</v>
      </c>
      <c r="D32" s="156" cm="1">
        <f t="array" ref="D32">_xlfn.IFNA(
   _xlfn._xlws.FILTER(
      Sim_Mul_Bet100!$H$3:$H$100,
      (Sim_Mul_Bet100!$A$3:$A$100=D$2) * (Sim_Mul_Bet100!$C$3:$C$100=$B32),0
   ),
   0
)</f>
        <v>1.174833E-2</v>
      </c>
      <c r="E32" s="181" cm="1">
        <f t="array" ref="E32">_xlfn.IFNA(
   _xlfn._xlws.FILTER(
      Sim_Mul_Bet100!$H$3:$H$100,
      (Sim_Mul_Bet100!$A$3:$A$100=E$2) * (Sim_Mul_Bet100!$C$3:$C$100=$B32),0
   ),
   0
)</f>
        <v>9.9229999999999997E-5</v>
      </c>
      <c r="F32" s="150" cm="1">
        <f t="array" ref="F32">_xlfn.IFNA(
   _xlfn._xlws.FILTER(
      Sim_Mul_Bet100!$O$3:$O$100,
      (Sim_Mul_Bet100!$A$3:$A$100=C$2) * (Sim_Mul_Bet100!$C$3:$C$100=$B32),0
   ),
   0
)</f>
        <v>201.10950050556119</v>
      </c>
      <c r="G32" s="146" cm="1">
        <f t="array" ref="G32">_xlfn.IFNA(
   _xlfn._xlws.FILTER(
      Sim_Mul_Bet100!$O$3:$O$100,
      (Sim_Mul_Bet100!$A$3:$A$100=D$2) * (Sim_Mul_Bet100!$C$3:$C$100=$B32),0
   ),
   0
)</f>
        <v>204.14867536066828</v>
      </c>
      <c r="H32" s="147" cm="1">
        <f t="array" ref="H32">_xlfn.IFNA(
   _xlfn._xlws.FILTER(
      Sim_Mul_Bet100!$O$3:$O$100,
      (Sim_Mul_Bet100!$A$3:$A$100=E$2) * (Sim_Mul_Bet100!$C$3:$C$100=$B32),0
   ),
   0
)</f>
        <v>210.0826262219087</v>
      </c>
      <c r="J32">
        <v>29</v>
      </c>
      <c r="K32" s="206">
        <v>200</v>
      </c>
      <c r="L32" s="210" t="s">
        <v>91</v>
      </c>
      <c r="M32" s="216">
        <f t="shared" si="2"/>
        <v>1.174833E-2</v>
      </c>
      <c r="N32" s="160">
        <f t="shared" si="5"/>
        <v>204.14867536066828</v>
      </c>
      <c r="O32" s="175">
        <v>0</v>
      </c>
      <c r="P32" s="175">
        <v>0</v>
      </c>
      <c r="Q32" s="175">
        <v>0</v>
      </c>
      <c r="R32" s="197">
        <f t="shared" si="0"/>
        <v>0</v>
      </c>
      <c r="T32" s="184">
        <v>16</v>
      </c>
      <c r="U32" s="199">
        <v>1.5999999999999999E-5</v>
      </c>
      <c r="V32" s="203">
        <f t="shared" si="1"/>
        <v>3.2663788057706923E-3</v>
      </c>
      <c r="W32" s="169"/>
      <c r="X32" s="103"/>
      <c r="Y32" s="175">
        <f t="shared" si="6"/>
        <v>0</v>
      </c>
      <c r="Z32" s="175">
        <v>0</v>
      </c>
      <c r="AA32" s="175">
        <v>0</v>
      </c>
      <c r="AB32" s="272">
        <f t="shared" si="7"/>
        <v>0</v>
      </c>
      <c r="AD32" s="184">
        <f t="shared" si="3"/>
        <v>0</v>
      </c>
      <c r="AE32" s="199">
        <v>0</v>
      </c>
      <c r="AF32" s="278">
        <f t="shared" si="4"/>
        <v>0</v>
      </c>
    </row>
    <row r="33" spans="2:32">
      <c r="B33" s="142">
        <v>250</v>
      </c>
      <c r="C33" s="155" cm="1">
        <f t="array" ref="C33">_xlfn.IFNA(
   _xlfn._xlws.FILTER(
      Sim_Mul_Bet100!$H$3:$H$100,
      (Sim_Mul_Bet100!$A$3:$A$100=C$2) * (Sim_Mul_Bet100!$C$3:$C$100=$B33),0
   ),
   0
)</f>
        <v>0</v>
      </c>
      <c r="D33" s="156" cm="1">
        <f t="array" ref="D33">_xlfn.IFNA(
   _xlfn._xlws.FILTER(
      Sim_Mul_Bet100!$H$3:$H$100,
      (Sim_Mul_Bet100!$A$3:$A$100=D$2) * (Sim_Mul_Bet100!$C$3:$C$100=$B33),0
   ),
   0
)</f>
        <v>1.9685200000000001E-3</v>
      </c>
      <c r="E33" s="181" cm="1">
        <f t="array" ref="E33">_xlfn.IFNA(
   _xlfn._xlws.FILTER(
      Sim_Mul_Bet100!$H$3:$H$100,
      (Sim_Mul_Bet100!$A$3:$A$100=E$2) * (Sim_Mul_Bet100!$C$3:$C$100=$B33),0
   ),
   0
)</f>
        <v>0</v>
      </c>
      <c r="F33" s="150" cm="1">
        <f t="array" ref="F33">_xlfn.IFNA(
   _xlfn._xlws.FILTER(
      Sim_Mul_Bet100!$O$3:$O$100,
      (Sim_Mul_Bet100!$A$3:$A$100=C$2) * (Sim_Mul_Bet100!$C$3:$C$100=$B33),0
   ),
   0
)</f>
        <v>0</v>
      </c>
      <c r="G33" s="146" cm="1">
        <f t="array" ref="G33">_xlfn.IFNA(
   _xlfn._xlws.FILTER(
      Sim_Mul_Bet100!$O$3:$O$100,
      (Sim_Mul_Bet100!$A$3:$A$100=D$2) * (Sim_Mul_Bet100!$C$3:$C$100=$B33),0
   ),
   0
)</f>
        <v>258.39997079023834</v>
      </c>
      <c r="H33" s="147" cm="1">
        <f t="array" ref="H33">_xlfn.IFNA(
   _xlfn._xlws.FILTER(
      Sim_Mul_Bet100!$O$3:$O$100,
      (Sim_Mul_Bet100!$A$3:$A$100=E$2) * (Sim_Mul_Bet100!$C$3:$C$100=$B33),0
   ),
   0
)</f>
        <v>0</v>
      </c>
      <c r="J33">
        <v>30</v>
      </c>
      <c r="K33" s="206">
        <v>250</v>
      </c>
      <c r="L33" s="210" t="s">
        <v>91</v>
      </c>
      <c r="M33" s="216">
        <f t="shared" si="2"/>
        <v>1.9685200000000001E-3</v>
      </c>
      <c r="N33" s="160">
        <f t="shared" si="5"/>
        <v>258.39997079023834</v>
      </c>
      <c r="O33" s="175">
        <v>0</v>
      </c>
      <c r="P33" s="175">
        <v>0</v>
      </c>
      <c r="Q33" s="175">
        <v>0</v>
      </c>
      <c r="R33" s="197">
        <f t="shared" si="0"/>
        <v>0</v>
      </c>
      <c r="T33" s="184">
        <v>4</v>
      </c>
      <c r="U33" s="199">
        <v>3.9999999999999998E-6</v>
      </c>
      <c r="V33" s="203">
        <f t="shared" si="1"/>
        <v>1.0335998831609533E-3</v>
      </c>
      <c r="W33" s="169"/>
      <c r="X33" s="103"/>
      <c r="Y33" s="175">
        <f t="shared" si="6"/>
        <v>0</v>
      </c>
      <c r="Z33" s="175">
        <v>0</v>
      </c>
      <c r="AA33" s="175">
        <v>0</v>
      </c>
      <c r="AB33" s="272">
        <f t="shared" si="7"/>
        <v>0</v>
      </c>
      <c r="AD33" s="184">
        <f t="shared" si="3"/>
        <v>0</v>
      </c>
      <c r="AE33" s="199">
        <v>0</v>
      </c>
      <c r="AF33" s="278">
        <f t="shared" si="4"/>
        <v>0</v>
      </c>
    </row>
    <row r="34" spans="2:32">
      <c r="B34" s="142">
        <v>300</v>
      </c>
      <c r="C34" s="155" cm="1">
        <f t="array" ref="C34">_xlfn.IFNA(
   _xlfn._xlws.FILTER(
      Sim_Mul_Bet100!$H$3:$H$100,
      (Sim_Mul_Bet100!$A$3:$A$100=C$2) * (Sim_Mul_Bet100!$C$3:$C$100=$B34),0
   ),
   0
)</f>
        <v>0</v>
      </c>
      <c r="D34" s="156" cm="1">
        <f t="array" ref="D34">_xlfn.IFNA(
   _xlfn._xlws.FILTER(
      Sim_Mul_Bet100!$H$3:$H$100,
      (Sim_Mul_Bet100!$A$3:$A$100=D$2) * (Sim_Mul_Bet100!$C$3:$C$100=$B34),0
   ),
   0
)</f>
        <v>2.7457000000000002E-4</v>
      </c>
      <c r="E34" s="181" cm="1">
        <f t="array" ref="E34">_xlfn.IFNA(
   _xlfn._xlws.FILTER(
      Sim_Mul_Bet100!$H$3:$H$100,
      (Sim_Mul_Bet100!$A$3:$A$100=E$2) * (Sim_Mul_Bet100!$C$3:$C$100=$B34),0
   ),
   0
)</f>
        <v>0</v>
      </c>
      <c r="F34" s="150" cm="1">
        <f t="array" ref="F34">_xlfn.IFNA(
   _xlfn._xlws.FILTER(
      Sim_Mul_Bet100!$O$3:$O$100,
      (Sim_Mul_Bet100!$A$3:$A$100=C$2) * (Sim_Mul_Bet100!$C$3:$C$100=$B34),0
   ),
   0
)</f>
        <v>0</v>
      </c>
      <c r="G34" s="146" cm="1">
        <f t="array" ref="G34">_xlfn.IFNA(
   _xlfn._xlws.FILTER(
      Sim_Mul_Bet100!$O$3:$O$100,
      (Sim_Mul_Bet100!$A$3:$A$100=D$2) * (Sim_Mul_Bet100!$C$3:$C$100=$B34),0
   ),
   0
)</f>
        <v>302.7147401391266</v>
      </c>
      <c r="H34" s="147" cm="1">
        <f t="array" ref="H34">_xlfn.IFNA(
   _xlfn._xlws.FILTER(
      Sim_Mul_Bet100!$O$3:$O$100,
      (Sim_Mul_Bet100!$A$3:$A$100=E$2) * (Sim_Mul_Bet100!$C$3:$C$100=$B34),0
   ),
   0
)</f>
        <v>0</v>
      </c>
      <c r="J34">
        <v>31</v>
      </c>
      <c r="K34" s="206">
        <v>300</v>
      </c>
      <c r="L34" s="210" t="s">
        <v>90</v>
      </c>
      <c r="M34" s="216">
        <f t="shared" si="2"/>
        <v>0</v>
      </c>
      <c r="N34" s="160">
        <f t="shared" si="5"/>
        <v>0</v>
      </c>
      <c r="O34" s="175">
        <v>0</v>
      </c>
      <c r="P34" s="175">
        <v>0</v>
      </c>
      <c r="Q34" s="175">
        <v>0</v>
      </c>
      <c r="R34" s="197">
        <f t="shared" si="0"/>
        <v>0</v>
      </c>
      <c r="T34" s="184">
        <v>0</v>
      </c>
      <c r="U34" s="199">
        <v>0</v>
      </c>
      <c r="V34" s="203">
        <f t="shared" si="1"/>
        <v>0</v>
      </c>
      <c r="W34" s="169"/>
      <c r="X34" s="103"/>
      <c r="Y34" s="175">
        <f t="shared" si="6"/>
        <v>0</v>
      </c>
      <c r="Z34" s="175">
        <v>0</v>
      </c>
      <c r="AA34" s="175">
        <v>0</v>
      </c>
      <c r="AB34" s="272">
        <f t="shared" si="7"/>
        <v>0</v>
      </c>
      <c r="AD34" s="184">
        <f t="shared" si="3"/>
        <v>0</v>
      </c>
      <c r="AE34" s="199">
        <v>0</v>
      </c>
      <c r="AF34" s="278">
        <f t="shared" si="4"/>
        <v>0</v>
      </c>
    </row>
    <row r="35" spans="2:32">
      <c r="B35" s="142">
        <v>350</v>
      </c>
      <c r="C35" s="155" cm="1">
        <f t="array" ref="C35">_xlfn.IFNA(
   _xlfn._xlws.FILTER(
      Sim_Mul_Bet100!$H$3:$H$100,
      (Sim_Mul_Bet100!$A$3:$A$100=C$2) * (Sim_Mul_Bet100!$C$3:$C$100=$B35),0
   ),
   0
)</f>
        <v>0</v>
      </c>
      <c r="D35" s="156" cm="1">
        <f t="array" ref="D35">_xlfn.IFNA(
   _xlfn._xlws.FILTER(
      Sim_Mul_Bet100!$H$3:$H$100,
      (Sim_Mul_Bet100!$A$3:$A$100=D$2) * (Sim_Mul_Bet100!$C$3:$C$100=$B35),0
   ),
   0
)</f>
        <v>0</v>
      </c>
      <c r="E35" s="181" cm="1">
        <f t="array" ref="E35">_xlfn.IFNA(
   _xlfn._xlws.FILTER(
      Sim_Mul_Bet100!$H$3:$H$100,
      (Sim_Mul_Bet100!$A$3:$A$100=E$2) * (Sim_Mul_Bet100!$C$3:$C$100=$B35),0
   ),
   0
)</f>
        <v>0</v>
      </c>
      <c r="F35" s="150" cm="1">
        <f t="array" ref="F35">_xlfn.IFNA(
   _xlfn._xlws.FILTER(
      Sim_Mul_Bet100!$O$3:$O$100,
      (Sim_Mul_Bet100!$A$3:$A$100=C$2) * (Sim_Mul_Bet100!$C$3:$C$100=$B35),0
   ),
   0
)</f>
        <v>0</v>
      </c>
      <c r="G35" s="146" cm="1">
        <f t="array" ref="G35">_xlfn.IFNA(
   _xlfn._xlws.FILTER(
      Sim_Mul_Bet100!$O$3:$O$100,
      (Sim_Mul_Bet100!$A$3:$A$100=D$2) * (Sim_Mul_Bet100!$C$3:$C$100=$B35),0
   ),
   0
)</f>
        <v>0</v>
      </c>
      <c r="H35" s="147" cm="1">
        <f t="array" ref="H35">_xlfn.IFNA(
   _xlfn._xlws.FILTER(
      Sim_Mul_Bet100!$O$3:$O$100,
      (Sim_Mul_Bet100!$A$3:$A$100=E$2) * (Sim_Mul_Bet100!$C$3:$C$100=$B35),0
   ),
   0
)</f>
        <v>0</v>
      </c>
      <c r="J35">
        <v>32</v>
      </c>
      <c r="K35" s="206">
        <v>350</v>
      </c>
      <c r="L35" s="210" t="s">
        <v>90</v>
      </c>
      <c r="M35" s="216">
        <f t="shared" si="2"/>
        <v>0</v>
      </c>
      <c r="N35" s="160">
        <f t="shared" si="5"/>
        <v>0</v>
      </c>
      <c r="O35" s="175">
        <v>0</v>
      </c>
      <c r="P35" s="175">
        <v>0</v>
      </c>
      <c r="Q35" s="175">
        <v>0</v>
      </c>
      <c r="R35" s="197">
        <f t="shared" si="0"/>
        <v>0</v>
      </c>
      <c r="T35" s="184">
        <v>0</v>
      </c>
      <c r="U35" s="199">
        <v>0</v>
      </c>
      <c r="V35" s="203">
        <f t="shared" si="1"/>
        <v>0</v>
      </c>
      <c r="W35" s="169"/>
      <c r="X35" s="103"/>
      <c r="Y35" s="175">
        <f t="shared" si="6"/>
        <v>0</v>
      </c>
      <c r="Z35" s="175">
        <v>0</v>
      </c>
      <c r="AA35" s="175">
        <v>0</v>
      </c>
      <c r="AB35" s="272">
        <f t="shared" si="7"/>
        <v>0</v>
      </c>
      <c r="AD35" s="184">
        <f t="shared" si="3"/>
        <v>0</v>
      </c>
      <c r="AE35" s="199">
        <v>0</v>
      </c>
      <c r="AF35" s="278">
        <f t="shared" si="4"/>
        <v>0</v>
      </c>
    </row>
    <row r="36" spans="2:32">
      <c r="B36" s="142">
        <v>400</v>
      </c>
      <c r="C36" s="155" cm="1">
        <f t="array" ref="C36">_xlfn.IFNA(
   _xlfn._xlws.FILTER(
      Sim_Mul_Bet100!$H$3:$H$100,
      (Sim_Mul_Bet100!$A$3:$A$100=C$2) * (Sim_Mul_Bet100!$C$3:$C$100=$B36),0
   ),
   0
)</f>
        <v>0</v>
      </c>
      <c r="D36" s="156" cm="1">
        <f t="array" ref="D36">_xlfn.IFNA(
   _xlfn._xlws.FILTER(
      Sim_Mul_Bet100!$H$3:$H$100,
      (Sim_Mul_Bet100!$A$3:$A$100=D$2) * (Sim_Mul_Bet100!$C$3:$C$100=$B36),0
   ),
   0
)</f>
        <v>0</v>
      </c>
      <c r="E36" s="181" cm="1">
        <f t="array" ref="E36">_xlfn.IFNA(
   _xlfn._xlws.FILTER(
      Sim_Mul_Bet100!$H$3:$H$100,
      (Sim_Mul_Bet100!$A$3:$A$100=E$2) * (Sim_Mul_Bet100!$C$3:$C$100=$B36),0
   ),
   0
)</f>
        <v>0</v>
      </c>
      <c r="F36" s="150" cm="1">
        <f t="array" ref="F36">_xlfn.IFNA(
   _xlfn._xlws.FILTER(
      Sim_Mul_Bet100!$O$3:$O$100,
      (Sim_Mul_Bet100!$A$3:$A$100=C$2) * (Sim_Mul_Bet100!$C$3:$C$100=$B36),0
   ),
   0
)</f>
        <v>0</v>
      </c>
      <c r="G36" s="146" cm="1">
        <f t="array" ref="G36">_xlfn.IFNA(
   _xlfn._xlws.FILTER(
      Sim_Mul_Bet100!$O$3:$O$100,
      (Sim_Mul_Bet100!$A$3:$A$100=D$2) * (Sim_Mul_Bet100!$C$3:$C$100=$B36),0
   ),
   0
)</f>
        <v>0</v>
      </c>
      <c r="H36" s="147" cm="1">
        <f t="array" ref="H36">_xlfn.IFNA(
   _xlfn._xlws.FILTER(
      Sim_Mul_Bet100!$O$3:$O$100,
      (Sim_Mul_Bet100!$A$3:$A$100=E$2) * (Sim_Mul_Bet100!$C$3:$C$100=$B36),0
   ),
   0
)</f>
        <v>0</v>
      </c>
      <c r="J36">
        <v>33</v>
      </c>
      <c r="K36" s="206">
        <v>400</v>
      </c>
      <c r="L36" s="210" t="s">
        <v>90</v>
      </c>
      <c r="M36" s="216">
        <f t="shared" si="2"/>
        <v>0</v>
      </c>
      <c r="N36" s="160">
        <f t="shared" si="5"/>
        <v>0</v>
      </c>
      <c r="O36" s="175">
        <v>0</v>
      </c>
      <c r="P36" s="175">
        <v>0</v>
      </c>
      <c r="Q36" s="175">
        <v>0</v>
      </c>
      <c r="R36" s="197">
        <f t="shared" si="0"/>
        <v>0</v>
      </c>
      <c r="T36" s="184">
        <v>0</v>
      </c>
      <c r="U36" s="199">
        <v>0</v>
      </c>
      <c r="V36" s="203">
        <f t="shared" si="1"/>
        <v>0</v>
      </c>
      <c r="W36" s="169"/>
      <c r="X36" s="103"/>
      <c r="Y36" s="175">
        <f t="shared" si="6"/>
        <v>0</v>
      </c>
      <c r="Z36" s="175">
        <v>0</v>
      </c>
      <c r="AA36" s="175">
        <v>0</v>
      </c>
      <c r="AB36" s="272">
        <f t="shared" si="7"/>
        <v>0</v>
      </c>
      <c r="AD36" s="184">
        <f t="shared" si="3"/>
        <v>0</v>
      </c>
      <c r="AE36" s="199">
        <v>0</v>
      </c>
      <c r="AF36" s="278">
        <f t="shared" si="4"/>
        <v>0</v>
      </c>
    </row>
    <row r="37" spans="2:32">
      <c r="B37" s="142">
        <v>450</v>
      </c>
      <c r="C37" s="155" cm="1">
        <f t="array" ref="C37">_xlfn.IFNA(
   _xlfn._xlws.FILTER(
      Sim_Mul_Bet100!$H$3:$H$100,
      (Sim_Mul_Bet100!$A$3:$A$100=C$2) * (Sim_Mul_Bet100!$C$3:$C$100=$B37),0
   ),
   0
)</f>
        <v>0</v>
      </c>
      <c r="D37" s="156" cm="1">
        <f t="array" ref="D37">_xlfn.IFNA(
   _xlfn._xlws.FILTER(
      Sim_Mul_Bet100!$H$3:$H$100,
      (Sim_Mul_Bet100!$A$3:$A$100=D$2) * (Sim_Mul_Bet100!$C$3:$C$100=$B37),0
   ),
   0
)</f>
        <v>3.9536800000000002E-3</v>
      </c>
      <c r="E37" s="181" cm="1">
        <f t="array" ref="E37">_xlfn.IFNA(
   _xlfn._xlws.FILTER(
      Sim_Mul_Bet100!$H$3:$H$100,
      (Sim_Mul_Bet100!$A$3:$A$100=E$2) * (Sim_Mul_Bet100!$C$3:$C$100=$B37),0
   ),
   0
)</f>
        <v>0</v>
      </c>
      <c r="F37" s="150" cm="1">
        <f t="array" ref="F37">_xlfn.IFNA(
   _xlfn._xlws.FILTER(
      Sim_Mul_Bet100!$O$3:$O$100,
      (Sim_Mul_Bet100!$A$3:$A$100=C$2) * (Sim_Mul_Bet100!$C$3:$C$100=$B37),0
   ),
   0
)</f>
        <v>0</v>
      </c>
      <c r="G37" s="146" cm="1">
        <f t="array" ref="G37">_xlfn.IFNA(
   _xlfn._xlws.FILTER(
      Sim_Mul_Bet100!$O$3:$O$100,
      (Sim_Mul_Bet100!$A$3:$A$100=D$2) * (Sim_Mul_Bet100!$C$3:$C$100=$B37),0
   ),
   0
)</f>
        <v>500</v>
      </c>
      <c r="H37" s="147" cm="1">
        <f t="array" ref="H37">_xlfn.IFNA(
   _xlfn._xlws.FILTER(
      Sim_Mul_Bet100!$O$3:$O$100,
      (Sim_Mul_Bet100!$A$3:$A$100=E$2) * (Sim_Mul_Bet100!$C$3:$C$100=$B37),0
   ),
   0
)</f>
        <v>0</v>
      </c>
      <c r="J37">
        <v>34</v>
      </c>
      <c r="K37" s="206">
        <v>450</v>
      </c>
      <c r="L37" s="210" t="s">
        <v>91</v>
      </c>
      <c r="M37" s="216">
        <f t="shared" si="2"/>
        <v>3.9536800000000002E-3</v>
      </c>
      <c r="N37" s="160">
        <f t="shared" si="5"/>
        <v>500</v>
      </c>
      <c r="O37" s="175">
        <v>1.9999999999999999E-6</v>
      </c>
      <c r="P37" s="175">
        <v>1.9999999999999999E-6</v>
      </c>
      <c r="Q37" s="175">
        <v>5.8919136851479198E-6</v>
      </c>
      <c r="R37" s="197">
        <f t="shared" si="0"/>
        <v>1E-3</v>
      </c>
      <c r="T37" s="184">
        <v>2</v>
      </c>
      <c r="U37" s="199">
        <v>1.9999999999999999E-6</v>
      </c>
      <c r="V37" s="203">
        <f t="shared" si="1"/>
        <v>1E-3</v>
      </c>
      <c r="W37" s="169"/>
      <c r="X37" s="103"/>
      <c r="Y37" s="175">
        <f t="shared" si="6"/>
        <v>1.0000000000000001E-5</v>
      </c>
      <c r="Z37" s="175">
        <v>1.0000000000000001E-5</v>
      </c>
      <c r="AA37" s="175">
        <v>5.8919136851479198E-6</v>
      </c>
      <c r="AB37" s="272">
        <f t="shared" si="7"/>
        <v>5.0000000000000001E-3</v>
      </c>
      <c r="AD37" s="184">
        <f t="shared" si="3"/>
        <v>10</v>
      </c>
      <c r="AE37" s="199">
        <v>1.0000000000000001E-5</v>
      </c>
      <c r="AF37" s="278">
        <f t="shared" si="4"/>
        <v>5.0000000000000001E-3</v>
      </c>
    </row>
    <row r="38" spans="2:32">
      <c r="B38" s="142">
        <v>500</v>
      </c>
      <c r="C38" s="155" cm="1">
        <f t="array" ref="C38">_xlfn.IFNA(
   _xlfn._xlws.FILTER(
      Sim_Mul_Bet100!$H$3:$H$100,
      (Sim_Mul_Bet100!$A$3:$A$100=C$2) * (Sim_Mul_Bet100!$C$3:$C$100=$B38),0
   ),
   0
)</f>
        <v>0</v>
      </c>
      <c r="D38" s="156" cm="1">
        <f t="array" ref="D38">_xlfn.IFNA(
   _xlfn._xlws.FILTER(
      Sim_Mul_Bet100!$H$3:$H$100,
      (Sim_Mul_Bet100!$A$3:$A$100=D$2) * (Sim_Mul_Bet100!$C$3:$C$100=$B38),0
   ),
   0
)</f>
        <v>1.240234E-2</v>
      </c>
      <c r="E38" s="181" cm="1">
        <f t="array" ref="E38">_xlfn.IFNA(
   _xlfn._xlws.FILTER(
      Sim_Mul_Bet100!$H$3:$H$100,
      (Sim_Mul_Bet100!$A$3:$A$100=E$2) * (Sim_Mul_Bet100!$C$3:$C$100=$B38),0
   ),
   0
)</f>
        <v>0</v>
      </c>
      <c r="F38" s="150" cm="1">
        <f t="array" ref="F38">_xlfn.IFNA(
   _xlfn._xlws.FILTER(
      Sim_Mul_Bet100!$O$3:$O$100,
      (Sim_Mul_Bet100!$A$3:$A$100=C$2) * (Sim_Mul_Bet100!$C$3:$C$100=$B38),0
   ),
   0
)</f>
        <v>0</v>
      </c>
      <c r="G38" s="146" cm="1">
        <f t="array" ref="G38">_xlfn.IFNA(
   _xlfn._xlws.FILTER(
      Sim_Mul_Bet100!$O$3:$O$100,
      (Sim_Mul_Bet100!$A$3:$A$100=D$2) * (Sim_Mul_Bet100!$C$3:$C$100=$B38),0
   ),
   0
)</f>
        <v>504.63651564946616</v>
      </c>
      <c r="H38" s="147" cm="1">
        <f t="array" ref="H38">_xlfn.IFNA(
   _xlfn._xlws.FILTER(
      Sim_Mul_Bet100!$O$3:$O$100,
      (Sim_Mul_Bet100!$A$3:$A$100=E$2) * (Sim_Mul_Bet100!$C$3:$C$100=$B38),0
   ),
   0
)</f>
        <v>0</v>
      </c>
      <c r="J38">
        <v>35</v>
      </c>
      <c r="K38" s="206">
        <v>500</v>
      </c>
      <c r="L38" s="210" t="s">
        <v>91</v>
      </c>
      <c r="M38" s="216">
        <f t="shared" si="2"/>
        <v>1.240234E-2</v>
      </c>
      <c r="N38" s="160">
        <f t="shared" si="5"/>
        <v>504.63651564946616</v>
      </c>
      <c r="O38" s="175">
        <v>3.0000000000000001E-6</v>
      </c>
      <c r="P38" s="175">
        <v>3.0000000000000001E-6</v>
      </c>
      <c r="Q38" s="175">
        <v>6.7336156401690502E-6</v>
      </c>
      <c r="R38" s="197">
        <f t="shared" si="0"/>
        <v>1.5139095469483986E-3</v>
      </c>
      <c r="T38" s="184">
        <v>3</v>
      </c>
      <c r="U38" s="199">
        <v>3.0000000000000001E-6</v>
      </c>
      <c r="V38" s="203">
        <f t="shared" si="1"/>
        <v>1.5139095469483986E-3</v>
      </c>
      <c r="W38" s="169"/>
      <c r="X38" s="103"/>
      <c r="Y38" s="175">
        <f t="shared" si="6"/>
        <v>6.9999999999999999E-6</v>
      </c>
      <c r="Z38" s="175">
        <v>6.9999999999999999E-6</v>
      </c>
      <c r="AA38" s="175">
        <v>6.7336156401690502E-6</v>
      </c>
      <c r="AB38" s="272">
        <f t="shared" si="7"/>
        <v>3.5324556095462632E-3</v>
      </c>
      <c r="AD38" s="184">
        <f t="shared" si="3"/>
        <v>7</v>
      </c>
      <c r="AE38" s="199">
        <v>6.9999999999999999E-6</v>
      </c>
      <c r="AF38" s="278">
        <f t="shared" si="4"/>
        <v>3.5324556095462632E-3</v>
      </c>
    </row>
    <row r="39" spans="2:32">
      <c r="B39" s="142">
        <v>550</v>
      </c>
      <c r="C39" s="155" cm="1">
        <f t="array" ref="C39">_xlfn.IFNA(
   _xlfn._xlws.FILTER(
      Sim_Mul_Bet100!$H$3:$H$100,
      (Sim_Mul_Bet100!$A$3:$A$100=C$2) * (Sim_Mul_Bet100!$C$3:$C$100=$B39),0
   ),
   0
)</f>
        <v>0</v>
      </c>
      <c r="D39" s="156" cm="1">
        <f t="array" ref="D39">_xlfn.IFNA(
   _xlfn._xlws.FILTER(
      Sim_Mul_Bet100!$H$3:$H$100,
      (Sim_Mul_Bet100!$A$3:$A$100=D$2) * (Sim_Mul_Bet100!$C$3:$C$100=$B39),0
   ),
   0
)</f>
        <v>6.1041999999999997E-4</v>
      </c>
      <c r="E39" s="181" cm="1">
        <f t="array" ref="E39">_xlfn.IFNA(
   _xlfn._xlws.FILTER(
      Sim_Mul_Bet100!$H$3:$H$100,
      (Sim_Mul_Bet100!$A$3:$A$100=E$2) * (Sim_Mul_Bet100!$C$3:$C$100=$B39),0
   ),
   0
)</f>
        <v>0</v>
      </c>
      <c r="F39" s="150" cm="1">
        <f t="array" ref="F39">_xlfn.IFNA(
   _xlfn._xlws.FILTER(
      Sim_Mul_Bet100!$O$3:$O$100,
      (Sim_Mul_Bet100!$A$3:$A$100=C$2) * (Sim_Mul_Bet100!$C$3:$C$100=$B39),0
   ),
   0
)</f>
        <v>0</v>
      </c>
      <c r="G39" s="146" cm="1">
        <f t="array" ref="G39">_xlfn.IFNA(
   _xlfn._xlws.FILTER(
      Sim_Mul_Bet100!$O$3:$O$100,
      (Sim_Mul_Bet100!$A$3:$A$100=D$2) * (Sim_Mul_Bet100!$C$3:$C$100=$B39),0
   ),
   0
)</f>
        <v>556.12596015857935</v>
      </c>
      <c r="H39" s="147" cm="1">
        <f t="array" ref="H39">_xlfn.IFNA(
   _xlfn._xlws.FILTER(
      Sim_Mul_Bet100!$O$3:$O$100,
      (Sim_Mul_Bet100!$A$3:$A$100=E$2) * (Sim_Mul_Bet100!$C$3:$C$100=$B39),0
   ),
   0
)</f>
        <v>0</v>
      </c>
      <c r="J39">
        <v>36</v>
      </c>
      <c r="K39" s="206">
        <v>550</v>
      </c>
      <c r="L39" s="210" t="s">
        <v>91</v>
      </c>
      <c r="M39" s="216">
        <f t="shared" si="2"/>
        <v>6.1041999999999997E-4</v>
      </c>
      <c r="N39" s="160">
        <f t="shared" si="5"/>
        <v>556.12596015857935</v>
      </c>
      <c r="O39" s="175">
        <v>0</v>
      </c>
      <c r="P39" s="175">
        <v>0</v>
      </c>
      <c r="Q39" s="175">
        <v>0</v>
      </c>
      <c r="R39" s="197">
        <f t="shared" si="0"/>
        <v>0</v>
      </c>
      <c r="T39" s="184">
        <v>1</v>
      </c>
      <c r="U39" s="199">
        <v>9.9999999999999995E-7</v>
      </c>
      <c r="V39" s="203">
        <f t="shared" si="1"/>
        <v>5.5612596015857936E-4</v>
      </c>
      <c r="W39" s="169"/>
      <c r="X39" s="103"/>
      <c r="Y39" s="175">
        <f t="shared" si="6"/>
        <v>0</v>
      </c>
      <c r="Z39" s="175">
        <v>0</v>
      </c>
      <c r="AA39" s="175">
        <v>0</v>
      </c>
      <c r="AB39" s="272">
        <f t="shared" si="7"/>
        <v>0</v>
      </c>
      <c r="AD39" s="184">
        <f t="shared" si="3"/>
        <v>0</v>
      </c>
      <c r="AE39" s="199">
        <v>0</v>
      </c>
      <c r="AF39" s="278">
        <f t="shared" si="4"/>
        <v>0</v>
      </c>
    </row>
    <row r="40" spans="2:32">
      <c r="B40" s="142">
        <v>600</v>
      </c>
      <c r="C40" s="155" cm="1">
        <f t="array" ref="C40">_xlfn.IFNA(
   _xlfn._xlws.FILTER(
      Sim_Mul_Bet100!$H$3:$H$100,
      (Sim_Mul_Bet100!$A$3:$A$100=C$2) * (Sim_Mul_Bet100!$C$3:$C$100=$B40),0
   ),
   0
)</f>
        <v>0</v>
      </c>
      <c r="D40" s="156" cm="1">
        <f t="array" ref="D40">_xlfn.IFNA(
   _xlfn._xlws.FILTER(
      Sim_Mul_Bet100!$H$3:$H$100,
      (Sim_Mul_Bet100!$A$3:$A$100=D$2) * (Sim_Mul_Bet100!$C$3:$C$100=$B40),0
   ),
   0
)</f>
        <v>2.7042E-4</v>
      </c>
      <c r="E40" s="181" cm="1">
        <f t="array" ref="E40">_xlfn.IFNA(
   _xlfn._xlws.FILTER(
      Sim_Mul_Bet100!$H$3:$H$100,
      (Sim_Mul_Bet100!$A$3:$A$100=E$2) * (Sim_Mul_Bet100!$C$3:$C$100=$B40),0
   ),
   0
)</f>
        <v>0</v>
      </c>
      <c r="F40" s="150" cm="1">
        <f t="array" ref="F40">_xlfn.IFNA(
   _xlfn._xlws.FILTER(
      Sim_Mul_Bet100!$O$3:$O$100,
      (Sim_Mul_Bet100!$A$3:$A$100=C$2) * (Sim_Mul_Bet100!$C$3:$C$100=$B40),0
   ),
   0
)</f>
        <v>0</v>
      </c>
      <c r="G40" s="146" cm="1">
        <f t="array" ref="G40">_xlfn.IFNA(
   _xlfn._xlws.FILTER(
      Sim_Mul_Bet100!$O$3:$O$100,
      (Sim_Mul_Bet100!$A$3:$A$100=D$2) * (Sim_Mul_Bet100!$C$3:$C$100=$B40),0
   ),
   0
)</f>
        <v>602.76882627024634</v>
      </c>
      <c r="H40" s="147" cm="1">
        <f t="array" ref="H40">_xlfn.IFNA(
   _xlfn._xlws.FILTER(
      Sim_Mul_Bet100!$O$3:$O$100,
      (Sim_Mul_Bet100!$A$3:$A$100=E$2) * (Sim_Mul_Bet100!$C$3:$C$100=$B40),0
   ),
   0
)</f>
        <v>0</v>
      </c>
      <c r="J40">
        <v>37</v>
      </c>
      <c r="K40" s="206">
        <v>600</v>
      </c>
      <c r="L40" s="210" t="s">
        <v>90</v>
      </c>
      <c r="M40" s="216">
        <f t="shared" si="2"/>
        <v>0</v>
      </c>
      <c r="N40" s="160">
        <f t="shared" si="5"/>
        <v>0</v>
      </c>
      <c r="O40" s="175">
        <v>0</v>
      </c>
      <c r="P40" s="175">
        <v>0</v>
      </c>
      <c r="Q40" s="175">
        <v>0</v>
      </c>
      <c r="R40" s="197">
        <f t="shared" si="0"/>
        <v>0</v>
      </c>
      <c r="T40" s="184">
        <v>0</v>
      </c>
      <c r="U40" s="199">
        <v>0</v>
      </c>
      <c r="V40" s="203">
        <f t="shared" si="1"/>
        <v>0</v>
      </c>
      <c r="W40" s="169"/>
      <c r="X40" s="103"/>
      <c r="Y40" s="175">
        <f t="shared" si="6"/>
        <v>0</v>
      </c>
      <c r="Z40" s="175">
        <v>0</v>
      </c>
      <c r="AA40" s="175">
        <v>0</v>
      </c>
      <c r="AB40" s="272">
        <f t="shared" si="7"/>
        <v>0</v>
      </c>
      <c r="AD40" s="184">
        <f t="shared" si="3"/>
        <v>0</v>
      </c>
      <c r="AE40" s="199">
        <v>0</v>
      </c>
      <c r="AF40" s="278">
        <f t="shared" si="4"/>
        <v>0</v>
      </c>
    </row>
    <row r="41" spans="2:32">
      <c r="B41" s="142">
        <v>650</v>
      </c>
      <c r="C41" s="155" cm="1">
        <f t="array" ref="C41">_xlfn.IFNA(
   _xlfn._xlws.FILTER(
      Sim_Mul_Bet100!$H$3:$H$100,
      (Sim_Mul_Bet100!$A$3:$A$100=C$2) * (Sim_Mul_Bet100!$C$3:$C$100=$B41),0
   ),
   0
)</f>
        <v>0</v>
      </c>
      <c r="D41" s="156" cm="1">
        <f t="array" ref="D41">_xlfn.IFNA(
   _xlfn._xlws.FILTER(
      Sim_Mul_Bet100!$H$3:$H$100,
      (Sim_Mul_Bet100!$A$3:$A$100=D$2) * (Sim_Mul_Bet100!$C$3:$C$100=$B41),0
   ),
   0
)</f>
        <v>0</v>
      </c>
      <c r="E41" s="181" cm="1">
        <f t="array" ref="E41">_xlfn.IFNA(
   _xlfn._xlws.FILTER(
      Sim_Mul_Bet100!$H$3:$H$100,
      (Sim_Mul_Bet100!$A$3:$A$100=E$2) * (Sim_Mul_Bet100!$C$3:$C$100=$B41),0
   ),
   0
)</f>
        <v>0</v>
      </c>
      <c r="F41" s="150" cm="1">
        <f t="array" ref="F41">_xlfn.IFNA(
   _xlfn._xlws.FILTER(
      Sim_Mul_Bet100!$O$3:$O$100,
      (Sim_Mul_Bet100!$A$3:$A$100=C$2) * (Sim_Mul_Bet100!$C$3:$C$100=$B41),0
   ),
   0
)</f>
        <v>0</v>
      </c>
      <c r="G41" s="146" cm="1">
        <f t="array" ref="G41">_xlfn.IFNA(
   _xlfn._xlws.FILTER(
      Sim_Mul_Bet100!$O$3:$O$100,
      (Sim_Mul_Bet100!$A$3:$A$100=D$2) * (Sim_Mul_Bet100!$C$3:$C$100=$B41),0
   ),
   0
)</f>
        <v>0</v>
      </c>
      <c r="H41" s="147" cm="1">
        <f t="array" ref="H41">_xlfn.IFNA(
   _xlfn._xlws.FILTER(
      Sim_Mul_Bet100!$O$3:$O$100,
      (Sim_Mul_Bet100!$A$3:$A$100=E$2) * (Sim_Mul_Bet100!$C$3:$C$100=$B41),0
   ),
   0
)</f>
        <v>0</v>
      </c>
      <c r="J41">
        <v>38</v>
      </c>
      <c r="K41" s="206">
        <v>650</v>
      </c>
      <c r="L41" s="210" t="s">
        <v>90</v>
      </c>
      <c r="M41" s="216">
        <f t="shared" si="2"/>
        <v>0</v>
      </c>
      <c r="N41" s="160">
        <f t="shared" si="5"/>
        <v>0</v>
      </c>
      <c r="O41" s="175">
        <v>0</v>
      </c>
      <c r="P41" s="175">
        <v>0</v>
      </c>
      <c r="Q41" s="175">
        <v>0</v>
      </c>
      <c r="R41" s="197">
        <f t="shared" si="0"/>
        <v>0</v>
      </c>
      <c r="T41" s="184">
        <v>0</v>
      </c>
      <c r="U41" s="199">
        <v>0</v>
      </c>
      <c r="V41" s="203">
        <f t="shared" si="1"/>
        <v>0</v>
      </c>
      <c r="W41" s="169"/>
      <c r="X41" s="103"/>
      <c r="Y41" s="175">
        <f t="shared" si="6"/>
        <v>0</v>
      </c>
      <c r="Z41" s="175">
        <v>0</v>
      </c>
      <c r="AA41" s="175">
        <v>0</v>
      </c>
      <c r="AB41" s="272">
        <f t="shared" si="7"/>
        <v>0</v>
      </c>
      <c r="AD41" s="184">
        <f t="shared" si="3"/>
        <v>0</v>
      </c>
      <c r="AE41" s="199">
        <v>0</v>
      </c>
      <c r="AF41" s="278">
        <f t="shared" si="4"/>
        <v>0</v>
      </c>
    </row>
    <row r="42" spans="2:32">
      <c r="B42" s="142">
        <v>700</v>
      </c>
      <c r="C42" s="155" cm="1">
        <f t="array" ref="C42">_xlfn.IFNA(
   _xlfn._xlws.FILTER(
      Sim_Mul_Bet100!$H$3:$H$100,
      (Sim_Mul_Bet100!$A$3:$A$100=C$2) * (Sim_Mul_Bet100!$C$3:$C$100=$B42),0
   ),
   0
)</f>
        <v>0</v>
      </c>
      <c r="D42" s="156" cm="1">
        <f t="array" ref="D42">_xlfn.IFNA(
   _xlfn._xlws.FILTER(
      Sim_Mul_Bet100!$H$3:$H$100,
      (Sim_Mul_Bet100!$A$3:$A$100=D$2) * (Sim_Mul_Bet100!$C$3:$C$100=$B42),0
   ),
   0
)</f>
        <v>0</v>
      </c>
      <c r="E42" s="181" cm="1">
        <f t="array" ref="E42">_xlfn.IFNA(
   _xlfn._xlws.FILTER(
      Sim_Mul_Bet100!$H$3:$H$100,
      (Sim_Mul_Bet100!$A$3:$A$100=E$2) * (Sim_Mul_Bet100!$C$3:$C$100=$B42),0
   ),
   0
)</f>
        <v>0</v>
      </c>
      <c r="F42" s="150" cm="1">
        <f t="array" ref="F42">_xlfn.IFNA(
   _xlfn._xlws.FILTER(
      Sim_Mul_Bet100!$O$3:$O$100,
      (Sim_Mul_Bet100!$A$3:$A$100=C$2) * (Sim_Mul_Bet100!$C$3:$C$100=$B42),0
   ),
   0
)</f>
        <v>0</v>
      </c>
      <c r="G42" s="146" cm="1">
        <f t="array" ref="G42">_xlfn.IFNA(
   _xlfn._xlws.FILTER(
      Sim_Mul_Bet100!$O$3:$O$100,
      (Sim_Mul_Bet100!$A$3:$A$100=D$2) * (Sim_Mul_Bet100!$C$3:$C$100=$B42),0
   ),
   0
)</f>
        <v>0</v>
      </c>
      <c r="H42" s="147" cm="1">
        <f t="array" ref="H42">_xlfn.IFNA(
   _xlfn._xlws.FILTER(
      Sim_Mul_Bet100!$O$3:$O$100,
      (Sim_Mul_Bet100!$A$3:$A$100=E$2) * (Sim_Mul_Bet100!$C$3:$C$100=$B42),0
   ),
   0
)</f>
        <v>0</v>
      </c>
      <c r="J42">
        <v>39</v>
      </c>
      <c r="K42" s="206">
        <v>700</v>
      </c>
      <c r="L42" s="210" t="s">
        <v>90</v>
      </c>
      <c r="M42" s="216">
        <f t="shared" si="2"/>
        <v>0</v>
      </c>
      <c r="N42" s="160">
        <f t="shared" si="5"/>
        <v>0</v>
      </c>
      <c r="O42" s="175">
        <v>0</v>
      </c>
      <c r="P42" s="175">
        <v>0</v>
      </c>
      <c r="Q42" s="175">
        <v>0</v>
      </c>
      <c r="R42" s="197">
        <f t="shared" si="0"/>
        <v>0</v>
      </c>
      <c r="T42" s="184">
        <v>0</v>
      </c>
      <c r="U42" s="199">
        <v>0</v>
      </c>
      <c r="V42" s="203">
        <f t="shared" si="1"/>
        <v>0</v>
      </c>
      <c r="W42" s="169"/>
      <c r="Y42" s="175">
        <f t="shared" si="6"/>
        <v>0</v>
      </c>
      <c r="Z42" s="175">
        <v>0</v>
      </c>
      <c r="AA42" s="175">
        <v>0</v>
      </c>
      <c r="AB42" s="272">
        <f t="shared" si="7"/>
        <v>0</v>
      </c>
      <c r="AD42" s="184">
        <f t="shared" si="3"/>
        <v>0</v>
      </c>
      <c r="AE42" s="199">
        <v>0</v>
      </c>
      <c r="AF42" s="278">
        <f t="shared" si="4"/>
        <v>0</v>
      </c>
    </row>
    <row r="43" spans="2:32">
      <c r="B43" s="142">
        <v>750</v>
      </c>
      <c r="C43" s="155" cm="1">
        <f t="array" ref="C43">_xlfn.IFNA(
   _xlfn._xlws.FILTER(
      Sim_Mul_Bet100!$H$3:$H$100,
      (Sim_Mul_Bet100!$A$3:$A$100=C$2) * (Sim_Mul_Bet100!$C$3:$C$100=$B43),0
   ),
   0
)</f>
        <v>0</v>
      </c>
      <c r="D43" s="156" cm="1">
        <f t="array" ref="D43">_xlfn.IFNA(
   _xlfn._xlws.FILTER(
      Sim_Mul_Bet100!$H$3:$H$100,
      (Sim_Mul_Bet100!$A$3:$A$100=D$2) * (Sim_Mul_Bet100!$C$3:$C$100=$B43),0
   ),
   0
)</f>
        <v>0</v>
      </c>
      <c r="E43" s="181" cm="1">
        <f t="array" ref="E43">_xlfn.IFNA(
   _xlfn._xlws.FILTER(
      Sim_Mul_Bet100!$H$3:$H$100,
      (Sim_Mul_Bet100!$A$3:$A$100=E$2) * (Sim_Mul_Bet100!$C$3:$C$100=$B43),0
   ),
   0
)</f>
        <v>0</v>
      </c>
      <c r="F43" s="150" cm="1">
        <f t="array" ref="F43">_xlfn.IFNA(
   _xlfn._xlws.FILTER(
      Sim_Mul_Bet100!$O$3:$O$100,
      (Sim_Mul_Bet100!$A$3:$A$100=C$2) * (Sim_Mul_Bet100!$C$3:$C$100=$B43),0
   ),
   0
)</f>
        <v>0</v>
      </c>
      <c r="G43" s="146" cm="1">
        <f t="array" ref="G43">_xlfn.IFNA(
   _xlfn._xlws.FILTER(
      Sim_Mul_Bet100!$O$3:$O$100,
      (Sim_Mul_Bet100!$A$3:$A$100=D$2) * (Sim_Mul_Bet100!$C$3:$C$100=$B43),0
   ),
   0
)</f>
        <v>0</v>
      </c>
      <c r="H43" s="147" cm="1">
        <f t="array" ref="H43">_xlfn.IFNA(
   _xlfn._xlws.FILTER(
      Sim_Mul_Bet100!$O$3:$O$100,
      (Sim_Mul_Bet100!$A$3:$A$100=E$2) * (Sim_Mul_Bet100!$C$3:$C$100=$B43),0
   ),
   0
)</f>
        <v>0</v>
      </c>
      <c r="J43">
        <v>40</v>
      </c>
      <c r="K43" s="206">
        <v>750</v>
      </c>
      <c r="L43" s="210" t="s">
        <v>90</v>
      </c>
      <c r="M43" s="216">
        <f t="shared" si="2"/>
        <v>0</v>
      </c>
      <c r="N43" s="160">
        <f t="shared" si="5"/>
        <v>0</v>
      </c>
      <c r="O43" s="175">
        <v>0</v>
      </c>
      <c r="P43" s="175">
        <v>0</v>
      </c>
      <c r="Q43" s="175">
        <v>0</v>
      </c>
      <c r="R43" s="197">
        <f t="shared" si="0"/>
        <v>0</v>
      </c>
      <c r="T43" s="184">
        <v>0</v>
      </c>
      <c r="U43" s="199">
        <v>0</v>
      </c>
      <c r="V43" s="203">
        <f t="shared" si="1"/>
        <v>0</v>
      </c>
      <c r="W43" s="169"/>
      <c r="Y43" s="175">
        <f t="shared" si="6"/>
        <v>0</v>
      </c>
      <c r="Z43" s="175">
        <v>0</v>
      </c>
      <c r="AA43" s="175">
        <v>0</v>
      </c>
      <c r="AB43" s="272">
        <f t="shared" si="7"/>
        <v>0</v>
      </c>
      <c r="AD43" s="184">
        <f t="shared" si="3"/>
        <v>0</v>
      </c>
      <c r="AE43" s="199">
        <v>0</v>
      </c>
      <c r="AF43" s="278">
        <f t="shared" si="4"/>
        <v>0</v>
      </c>
    </row>
    <row r="44" spans="2:32">
      <c r="B44" s="142">
        <v>800</v>
      </c>
      <c r="C44" s="155" cm="1">
        <f t="array" ref="C44">_xlfn.IFNA(
   _xlfn._xlws.FILTER(
      Sim_Mul_Bet100!$H$3:$H$100,
      (Sim_Mul_Bet100!$A$3:$A$100=C$2) * (Sim_Mul_Bet100!$C$3:$C$100=$B44),0
   ),
   0
)</f>
        <v>0</v>
      </c>
      <c r="D44" s="156" cm="1">
        <f t="array" ref="D44">_xlfn.IFNA(
   _xlfn._xlws.FILTER(
      Sim_Mul_Bet100!$H$3:$H$100,
      (Sim_Mul_Bet100!$A$3:$A$100=D$2) * (Sim_Mul_Bet100!$C$3:$C$100=$B44),0
   ),
   0
)</f>
        <v>0</v>
      </c>
      <c r="E44" s="181" cm="1">
        <f t="array" ref="E44">_xlfn.IFNA(
   _xlfn._xlws.FILTER(
      Sim_Mul_Bet100!$H$3:$H$100,
      (Sim_Mul_Bet100!$A$3:$A$100=E$2) * (Sim_Mul_Bet100!$C$3:$C$100=$B44),0
   ),
   0
)</f>
        <v>0</v>
      </c>
      <c r="F44" s="150" cm="1">
        <f t="array" ref="F44">_xlfn.IFNA(
   _xlfn._xlws.FILTER(
      Sim_Mul_Bet100!$O$3:$O$100,
      (Sim_Mul_Bet100!$A$3:$A$100=C$2) * (Sim_Mul_Bet100!$C$3:$C$100=$B44),0
   ),
   0
)</f>
        <v>0</v>
      </c>
      <c r="G44" s="146" cm="1">
        <f t="array" ref="G44">_xlfn.IFNA(
   _xlfn._xlws.FILTER(
      Sim_Mul_Bet100!$O$3:$O$100,
      (Sim_Mul_Bet100!$A$3:$A$100=D$2) * (Sim_Mul_Bet100!$C$3:$C$100=$B44),0
   ),
   0
)</f>
        <v>0</v>
      </c>
      <c r="H44" s="147" cm="1">
        <f t="array" ref="H44">_xlfn.IFNA(
   _xlfn._xlws.FILTER(
      Sim_Mul_Bet100!$O$3:$O$100,
      (Sim_Mul_Bet100!$A$3:$A$100=E$2) * (Sim_Mul_Bet100!$C$3:$C$100=$B44),0
   ),
   0
)</f>
        <v>0</v>
      </c>
      <c r="J44">
        <v>41</v>
      </c>
      <c r="K44" s="206">
        <v>800</v>
      </c>
      <c r="L44" s="210" t="s">
        <v>90</v>
      </c>
      <c r="M44" s="216">
        <f t="shared" si="2"/>
        <v>0</v>
      </c>
      <c r="N44" s="160">
        <f t="shared" si="5"/>
        <v>0</v>
      </c>
      <c r="O44" s="175">
        <v>0</v>
      </c>
      <c r="P44" s="175">
        <v>0</v>
      </c>
      <c r="Q44" s="175">
        <v>0</v>
      </c>
      <c r="R44" s="197">
        <f t="shared" si="0"/>
        <v>0</v>
      </c>
      <c r="T44" s="184">
        <v>0</v>
      </c>
      <c r="U44" s="199">
        <v>0</v>
      </c>
      <c r="V44" s="203">
        <f t="shared" si="1"/>
        <v>0</v>
      </c>
      <c r="W44" s="169"/>
      <c r="Y44" s="175">
        <f t="shared" si="6"/>
        <v>0</v>
      </c>
      <c r="Z44" s="175">
        <v>0</v>
      </c>
      <c r="AA44" s="175">
        <v>0</v>
      </c>
      <c r="AB44" s="272">
        <f t="shared" si="7"/>
        <v>0</v>
      </c>
      <c r="AD44" s="184">
        <f t="shared" si="3"/>
        <v>0</v>
      </c>
      <c r="AE44" s="199">
        <v>0</v>
      </c>
      <c r="AF44" s="278">
        <f t="shared" si="4"/>
        <v>0</v>
      </c>
    </row>
    <row r="45" spans="2:32">
      <c r="B45" s="142">
        <v>850</v>
      </c>
      <c r="C45" s="155" cm="1">
        <f t="array" ref="C45">_xlfn.IFNA(
   _xlfn._xlws.FILTER(
      Sim_Mul_Bet100!$H$3:$H$100,
      (Sim_Mul_Bet100!$A$3:$A$100=C$2) * (Sim_Mul_Bet100!$C$3:$C$100=$B45),0
   ),
   0
)</f>
        <v>0</v>
      </c>
      <c r="D45" s="156" cm="1">
        <f t="array" ref="D45">_xlfn.IFNA(
   _xlfn._xlws.FILTER(
      Sim_Mul_Bet100!$H$3:$H$100,
      (Sim_Mul_Bet100!$A$3:$A$100=D$2) * (Sim_Mul_Bet100!$C$3:$C$100=$B45),0
   ),
   0
)</f>
        <v>0</v>
      </c>
      <c r="E45" s="181" cm="1">
        <f t="array" ref="E45">_xlfn.IFNA(
   _xlfn._xlws.FILTER(
      Sim_Mul_Bet100!$H$3:$H$100,
      (Sim_Mul_Bet100!$A$3:$A$100=E$2) * (Sim_Mul_Bet100!$C$3:$C$100=$B45),0
   ),
   0
)</f>
        <v>0</v>
      </c>
      <c r="F45" s="150" cm="1">
        <f t="array" ref="F45">_xlfn.IFNA(
   _xlfn._xlws.FILTER(
      Sim_Mul_Bet100!$O$3:$O$100,
      (Sim_Mul_Bet100!$A$3:$A$100=C$2) * (Sim_Mul_Bet100!$C$3:$C$100=$B45),0
   ),
   0
)</f>
        <v>0</v>
      </c>
      <c r="G45" s="146" cm="1">
        <f t="array" ref="G45">_xlfn.IFNA(
   _xlfn._xlws.FILTER(
      Sim_Mul_Bet100!$O$3:$O$100,
      (Sim_Mul_Bet100!$A$3:$A$100=D$2) * (Sim_Mul_Bet100!$C$3:$C$100=$B45),0
   ),
   0
)</f>
        <v>0</v>
      </c>
      <c r="H45" s="147" cm="1">
        <f t="array" ref="H45">_xlfn.IFNA(
   _xlfn._xlws.FILTER(
      Sim_Mul_Bet100!$O$3:$O$100,
      (Sim_Mul_Bet100!$A$3:$A$100=E$2) * (Sim_Mul_Bet100!$C$3:$C$100=$B45),0
   ),
   0
)</f>
        <v>0</v>
      </c>
      <c r="J45">
        <v>42</v>
      </c>
      <c r="K45" s="206">
        <v>850</v>
      </c>
      <c r="L45" s="210" t="s">
        <v>90</v>
      </c>
      <c r="M45" s="216">
        <f t="shared" si="2"/>
        <v>0</v>
      </c>
      <c r="N45" s="160">
        <f t="shared" si="5"/>
        <v>0</v>
      </c>
      <c r="O45" s="175">
        <v>0</v>
      </c>
      <c r="P45" s="175">
        <v>0</v>
      </c>
      <c r="Q45" s="175">
        <v>0</v>
      </c>
      <c r="R45" s="197">
        <f t="shared" si="0"/>
        <v>0</v>
      </c>
      <c r="T45" s="184">
        <v>0</v>
      </c>
      <c r="U45" s="199">
        <v>0</v>
      </c>
      <c r="V45" s="203">
        <f t="shared" si="1"/>
        <v>0</v>
      </c>
      <c r="W45" s="169"/>
      <c r="Y45" s="175">
        <f t="shared" si="6"/>
        <v>0</v>
      </c>
      <c r="Z45" s="175">
        <v>0</v>
      </c>
      <c r="AA45" s="175">
        <v>0</v>
      </c>
      <c r="AB45" s="272">
        <f t="shared" si="7"/>
        <v>0</v>
      </c>
      <c r="AD45" s="184">
        <f t="shared" si="3"/>
        <v>0</v>
      </c>
      <c r="AE45" s="199">
        <v>0</v>
      </c>
      <c r="AF45" s="278">
        <f t="shared" si="4"/>
        <v>0</v>
      </c>
    </row>
    <row r="46" spans="2:32">
      <c r="B46" s="142">
        <v>900</v>
      </c>
      <c r="C46" s="155" cm="1">
        <f t="array" ref="C46">_xlfn.IFNA(
   _xlfn._xlws.FILTER(
      Sim_Mul_Bet100!$H$3:$H$100,
      (Sim_Mul_Bet100!$A$3:$A$100=C$2) * (Sim_Mul_Bet100!$C$3:$C$100=$B46),0
   ),
   0
)</f>
        <v>0</v>
      </c>
      <c r="D46" s="156" cm="1">
        <f t="array" ref="D46">_xlfn.IFNA(
   _xlfn._xlws.FILTER(
      Sim_Mul_Bet100!$H$3:$H$100,
      (Sim_Mul_Bet100!$A$3:$A$100=D$2) * (Sim_Mul_Bet100!$C$3:$C$100=$B46),0
   ),
   0
)</f>
        <v>0</v>
      </c>
      <c r="E46" s="181" cm="1">
        <f t="array" ref="E46">_xlfn.IFNA(
   _xlfn._xlws.FILTER(
      Sim_Mul_Bet100!$H$3:$H$100,
      (Sim_Mul_Bet100!$A$3:$A$100=E$2) * (Sim_Mul_Bet100!$C$3:$C$100=$B46),0
   ),
   0
)</f>
        <v>0</v>
      </c>
      <c r="F46" s="150" cm="1">
        <f t="array" ref="F46">_xlfn.IFNA(
   _xlfn._xlws.FILTER(
      Sim_Mul_Bet100!$O$3:$O$100,
      (Sim_Mul_Bet100!$A$3:$A$100=C$2) * (Sim_Mul_Bet100!$C$3:$C$100=$B46),0
   ),
   0
)</f>
        <v>0</v>
      </c>
      <c r="G46" s="146" cm="1">
        <f t="array" ref="G46">_xlfn.IFNA(
   _xlfn._xlws.FILTER(
      Sim_Mul_Bet100!$O$3:$O$100,
      (Sim_Mul_Bet100!$A$3:$A$100=D$2) * (Sim_Mul_Bet100!$C$3:$C$100=$B46),0
   ),
   0
)</f>
        <v>0</v>
      </c>
      <c r="H46" s="147" cm="1">
        <f t="array" ref="H46">_xlfn.IFNA(
   _xlfn._xlws.FILTER(
      Sim_Mul_Bet100!$O$3:$O$100,
      (Sim_Mul_Bet100!$A$3:$A$100=E$2) * (Sim_Mul_Bet100!$C$3:$C$100=$B46),0
   ),
   0
)</f>
        <v>0</v>
      </c>
      <c r="J46">
        <v>43</v>
      </c>
      <c r="K46" s="206">
        <v>900</v>
      </c>
      <c r="L46" s="210" t="s">
        <v>90</v>
      </c>
      <c r="M46" s="216">
        <f t="shared" si="2"/>
        <v>0</v>
      </c>
      <c r="N46" s="160">
        <f t="shared" si="5"/>
        <v>0</v>
      </c>
      <c r="O46" s="175">
        <v>0</v>
      </c>
      <c r="P46" s="175">
        <v>0</v>
      </c>
      <c r="Q46" s="175">
        <v>0</v>
      </c>
      <c r="R46" s="197">
        <f t="shared" si="0"/>
        <v>0</v>
      </c>
      <c r="T46" s="184">
        <v>0</v>
      </c>
      <c r="U46" s="199">
        <v>0</v>
      </c>
      <c r="V46" s="203">
        <f t="shared" si="1"/>
        <v>0</v>
      </c>
      <c r="W46" s="169"/>
      <c r="Y46" s="175">
        <f t="shared" si="6"/>
        <v>0</v>
      </c>
      <c r="Z46" s="175">
        <v>0</v>
      </c>
      <c r="AA46" s="175">
        <v>0</v>
      </c>
      <c r="AB46" s="272">
        <f t="shared" si="7"/>
        <v>0</v>
      </c>
      <c r="AD46" s="184">
        <f t="shared" si="3"/>
        <v>0</v>
      </c>
      <c r="AE46" s="199">
        <v>0</v>
      </c>
      <c r="AF46" s="278">
        <f t="shared" si="4"/>
        <v>0</v>
      </c>
    </row>
    <row r="47" spans="2:32">
      <c r="B47" s="142">
        <v>950</v>
      </c>
      <c r="C47" s="155" cm="1">
        <f t="array" ref="C47">_xlfn.IFNA(
   _xlfn._xlws.FILTER(
      Sim_Mul_Bet100!$H$3:$H$100,
      (Sim_Mul_Bet100!$A$3:$A$100=C$2) * (Sim_Mul_Bet100!$C$3:$C$100=$B47),0
   ),
   0
)</f>
        <v>0</v>
      </c>
      <c r="D47" s="156" cm="1">
        <f t="array" ref="D47">_xlfn.IFNA(
   _xlfn._xlws.FILTER(
      Sim_Mul_Bet100!$H$3:$H$100,
      (Sim_Mul_Bet100!$A$3:$A$100=D$2) * (Sim_Mul_Bet100!$C$3:$C$100=$B47),0
   ),
   0
)</f>
        <v>3.6030900000000002E-3</v>
      </c>
      <c r="E47" s="181" cm="1">
        <f t="array" ref="E47">_xlfn.IFNA(
   _xlfn._xlws.FILTER(
      Sim_Mul_Bet100!$H$3:$H$100,
      (Sim_Mul_Bet100!$A$3:$A$100=E$2) * (Sim_Mul_Bet100!$C$3:$C$100=$B47),0
   ),
   0
)</f>
        <v>0</v>
      </c>
      <c r="F47" s="150" cm="1">
        <f t="array" ref="F47">_xlfn.IFNA(
   _xlfn._xlws.FILTER(
      Sim_Mul_Bet100!$O$3:$O$100,
      (Sim_Mul_Bet100!$A$3:$A$100=C$2) * (Sim_Mul_Bet100!$C$3:$C$100=$B47),0
   ),
   0
)</f>
        <v>0</v>
      </c>
      <c r="G47" s="146" cm="1">
        <f t="array" ref="G47">_xlfn.IFNA(
   _xlfn._xlws.FILTER(
      Sim_Mul_Bet100!$O$3:$O$100,
      (Sim_Mul_Bet100!$A$3:$A$100=D$2) * (Sim_Mul_Bet100!$C$3:$C$100=$B47),0
   ),
   0
)</f>
        <v>1000</v>
      </c>
      <c r="H47" s="147" cm="1">
        <f t="array" ref="H47">_xlfn.IFNA(
   _xlfn._xlws.FILTER(
      Sim_Mul_Bet100!$O$3:$O$100,
      (Sim_Mul_Bet100!$A$3:$A$100=E$2) * (Sim_Mul_Bet100!$C$3:$C$100=$B47),0
   ),
   0
)</f>
        <v>0</v>
      </c>
      <c r="J47">
        <v>44</v>
      </c>
      <c r="K47" s="206">
        <v>950</v>
      </c>
      <c r="L47" s="210" t="s">
        <v>91</v>
      </c>
      <c r="M47" s="216">
        <f t="shared" si="2"/>
        <v>3.6030900000000002E-3</v>
      </c>
      <c r="N47" s="160">
        <f t="shared" si="5"/>
        <v>1000</v>
      </c>
      <c r="O47" s="175">
        <v>9.9999999999999995E-7</v>
      </c>
      <c r="P47" s="175">
        <v>9.9999999999999995E-7</v>
      </c>
      <c r="Q47" s="175">
        <v>0</v>
      </c>
      <c r="R47" s="197">
        <f t="shared" si="0"/>
        <v>1E-3</v>
      </c>
      <c r="T47" s="184">
        <v>1</v>
      </c>
      <c r="U47" s="199">
        <v>9.9999999999999995E-7</v>
      </c>
      <c r="V47" s="203">
        <f t="shared" si="1"/>
        <v>1E-3</v>
      </c>
      <c r="W47" s="169"/>
      <c r="Y47" s="175">
        <f t="shared" si="6"/>
        <v>0</v>
      </c>
      <c r="Z47" s="175">
        <v>0</v>
      </c>
      <c r="AA47" s="175">
        <v>0</v>
      </c>
      <c r="AB47" s="272">
        <f t="shared" si="7"/>
        <v>0</v>
      </c>
      <c r="AD47" s="184">
        <f t="shared" si="3"/>
        <v>0</v>
      </c>
      <c r="AE47" s="199">
        <v>0</v>
      </c>
      <c r="AF47" s="278">
        <f t="shared" si="4"/>
        <v>0</v>
      </c>
    </row>
    <row r="48" spans="2:32">
      <c r="B48" s="142">
        <v>1000</v>
      </c>
      <c r="C48" s="155" cm="1">
        <f t="array" ref="C48">_xlfn.IFNA(
   _xlfn._xlws.FILTER(
      Sim_Mul_Bet100!$H$3:$H$100,
      (Sim_Mul_Bet100!$A$3:$A$100=C$2) * (Sim_Mul_Bet100!$C$3:$C$100=$B48),0
   ),
   0
)</f>
        <v>0</v>
      </c>
      <c r="D48" s="156" cm="1">
        <f t="array" ref="D48">_xlfn.IFNA(
   _xlfn._xlws.FILTER(
      Sim_Mul_Bet100!$H$3:$H$100,
      (Sim_Mul_Bet100!$A$3:$A$100=D$2) * (Sim_Mul_Bet100!$C$3:$C$100=$B48),0
   ),
   0
)</f>
        <v>1.1574350000000001E-2</v>
      </c>
      <c r="E48" s="181" cm="1">
        <f t="array" ref="E48">_xlfn.IFNA(
   _xlfn._xlws.FILTER(
      Sim_Mul_Bet100!$H$3:$H$100,
      (Sim_Mul_Bet100!$A$3:$A$100=E$2) * (Sim_Mul_Bet100!$C$3:$C$100=$B48),0
   ),
   0
)</f>
        <v>0</v>
      </c>
      <c r="F48" s="150" cm="1">
        <f t="array" ref="F48">_xlfn.IFNA(
   _xlfn._xlws.FILTER(
      Sim_Mul_Bet100!$O$3:$O$100,
      (Sim_Mul_Bet100!$A$3:$A$100=C$2) * (Sim_Mul_Bet100!$C$3:$C$100=$B48),0
   ),
   0
)</f>
        <v>0</v>
      </c>
      <c r="G48" s="146" cm="1">
        <f t="array" ref="G48">_xlfn.IFNA(
   _xlfn._xlws.FILTER(
      Sim_Mul_Bet100!$O$3:$O$100,
      (Sim_Mul_Bet100!$A$3:$A$100=D$2) * (Sim_Mul_Bet100!$C$3:$C$100=$B48),0
   ),
   0
)</f>
        <v>1010.7342356417424</v>
      </c>
      <c r="H48" s="147" cm="1">
        <f t="array" ref="H48">_xlfn.IFNA(
   _xlfn._xlws.FILTER(
      Sim_Mul_Bet100!$O$3:$O$100,
      (Sim_Mul_Bet100!$A$3:$A$100=E$2) * (Sim_Mul_Bet100!$C$3:$C$100=$B48),0
   ),
   0
)</f>
        <v>0</v>
      </c>
      <c r="J48">
        <v>45</v>
      </c>
      <c r="K48" s="206">
        <v>1000</v>
      </c>
      <c r="L48" s="210" t="s">
        <v>91</v>
      </c>
      <c r="M48" s="216">
        <f t="shared" si="2"/>
        <v>1.1574350000000001E-2</v>
      </c>
      <c r="N48" s="160">
        <f t="shared" si="5"/>
        <v>1010.7342356417424</v>
      </c>
      <c r="O48" s="175">
        <v>9.9999999999999995E-7</v>
      </c>
      <c r="P48" s="175">
        <v>9.9999999999999995E-7</v>
      </c>
      <c r="Q48" s="175">
        <v>0</v>
      </c>
      <c r="R48" s="197">
        <f t="shared" si="0"/>
        <v>1.0107342356417423E-3</v>
      </c>
      <c r="T48" s="184">
        <v>1</v>
      </c>
      <c r="U48" s="199">
        <v>9.9999999999999995E-7</v>
      </c>
      <c r="V48" s="203">
        <f t="shared" si="1"/>
        <v>1.0107342356417423E-3</v>
      </c>
      <c r="W48" s="169"/>
      <c r="Y48" s="175">
        <f t="shared" si="6"/>
        <v>0</v>
      </c>
      <c r="Z48" s="175">
        <v>0</v>
      </c>
      <c r="AA48" s="175">
        <v>0</v>
      </c>
      <c r="AB48" s="272">
        <f t="shared" si="7"/>
        <v>0</v>
      </c>
      <c r="AD48" s="184">
        <f t="shared" si="3"/>
        <v>0</v>
      </c>
      <c r="AE48" s="199">
        <v>0</v>
      </c>
      <c r="AF48" s="278">
        <f t="shared" si="4"/>
        <v>0</v>
      </c>
    </row>
    <row r="49" spans="2:32">
      <c r="B49" s="142">
        <v>2000</v>
      </c>
      <c r="C49" s="155" cm="1">
        <f t="array" ref="C49">_xlfn.IFNA(
   _xlfn._xlws.FILTER(
      Sim_Mul_Bet100!$H$3:$H$100,
      (Sim_Mul_Bet100!$A$3:$A$100=C$2) * (Sim_Mul_Bet100!$C$3:$C$100=$B49),0
   ),
   0
)</f>
        <v>0</v>
      </c>
      <c r="D49" s="156" cm="1">
        <f t="array" ref="D49">_xlfn.IFNA(
   _xlfn._xlws.FILTER(
      Sim_Mul_Bet100!$H$3:$H$100,
      (Sim_Mul_Bet100!$A$3:$A$100=D$2) * (Sim_Mul_Bet100!$C$3:$C$100=$B49),0
   ),
   0
)</f>
        <v>0</v>
      </c>
      <c r="E49" s="181" cm="1">
        <f t="array" ref="E49">_xlfn.IFNA(
   _xlfn._xlws.FILTER(
      Sim_Mul_Bet100!$H$3:$H$100,
      (Sim_Mul_Bet100!$A$3:$A$100=E$2) * (Sim_Mul_Bet100!$C$3:$C$100=$B49),0
   ),
   0
)</f>
        <v>0</v>
      </c>
      <c r="F49" s="150" cm="1">
        <f t="array" ref="F49">_xlfn.IFNA(
   _xlfn._xlws.FILTER(
      Sim_Mul_Bet100!$O$3:$O$100,
      (Sim_Mul_Bet100!$A$3:$A$100=C$2) * (Sim_Mul_Bet100!$C$3:$C$100=$B49),0
   ),
   0
)</f>
        <v>0</v>
      </c>
      <c r="G49" s="146" cm="1">
        <f t="array" ref="G49">_xlfn.IFNA(
   _xlfn._xlws.FILTER(
      Sim_Mul_Bet100!$O$3:$O$100,
      (Sim_Mul_Bet100!$A$3:$A$100=D$2) * (Sim_Mul_Bet100!$C$3:$C$100=$B49),0
   ),
   0
)</f>
        <v>0</v>
      </c>
      <c r="H49" s="147" cm="1">
        <f t="array" ref="H49">_xlfn.IFNA(
   _xlfn._xlws.FILTER(
      Sim_Mul_Bet100!$O$3:$O$100,
      (Sim_Mul_Bet100!$A$3:$A$100=E$2) * (Sim_Mul_Bet100!$C$3:$C$100=$B49),0
   ),
   0
)</f>
        <v>0</v>
      </c>
      <c r="J49">
        <v>46</v>
      </c>
      <c r="K49" s="206">
        <v>2000</v>
      </c>
      <c r="L49" s="210" t="s">
        <v>91</v>
      </c>
      <c r="M49" s="216">
        <f t="shared" si="2"/>
        <v>0</v>
      </c>
      <c r="N49" s="160">
        <f t="shared" si="5"/>
        <v>0</v>
      </c>
      <c r="O49" s="175">
        <v>0</v>
      </c>
      <c r="P49" s="175">
        <v>0</v>
      </c>
      <c r="Q49" s="175">
        <v>0</v>
      </c>
      <c r="R49" s="197">
        <f t="shared" si="0"/>
        <v>0</v>
      </c>
      <c r="T49" s="184">
        <v>2</v>
      </c>
      <c r="U49" s="199">
        <v>1.9999999999999999E-6</v>
      </c>
      <c r="V49" s="203">
        <f t="shared" si="1"/>
        <v>0</v>
      </c>
      <c r="W49" s="169"/>
      <c r="Y49" s="175">
        <f t="shared" si="6"/>
        <v>0</v>
      </c>
      <c r="Z49" s="175">
        <v>0</v>
      </c>
      <c r="AA49" s="175">
        <v>0</v>
      </c>
      <c r="AB49" s="272">
        <f t="shared" si="7"/>
        <v>0</v>
      </c>
      <c r="AD49" s="184">
        <f t="shared" si="3"/>
        <v>0</v>
      </c>
      <c r="AE49" s="199">
        <v>0</v>
      </c>
      <c r="AF49" s="278">
        <f t="shared" si="4"/>
        <v>0</v>
      </c>
    </row>
    <row r="50" spans="2:32">
      <c r="B50" s="142">
        <v>3000</v>
      </c>
      <c r="C50" s="155" cm="1">
        <f t="array" ref="C50">_xlfn.IFNA(
   _xlfn._xlws.FILTER(
      Sim_Mul_Bet100!$H$3:$H$100,
      (Sim_Mul_Bet100!$A$3:$A$100=C$2) * (Sim_Mul_Bet100!$C$3:$C$100=$B50),0
   ),
   0
)</f>
        <v>0</v>
      </c>
      <c r="D50" s="156" cm="1">
        <f t="array" ref="D50">_xlfn.IFNA(
   _xlfn._xlws.FILTER(
      Sim_Mul_Bet100!$H$3:$H$100,
      (Sim_Mul_Bet100!$A$3:$A$100=D$2) * (Sim_Mul_Bet100!$C$3:$C$100=$B50),0
   ),
   0
)</f>
        <v>0</v>
      </c>
      <c r="E50" s="181" cm="1">
        <f t="array" ref="E50">_xlfn.IFNA(
   _xlfn._xlws.FILTER(
      Sim_Mul_Bet100!$H$3:$H$100,
      (Sim_Mul_Bet100!$A$3:$A$100=E$2) * (Sim_Mul_Bet100!$C$3:$C$100=$B50),0
   ),
   0
)</f>
        <v>0</v>
      </c>
      <c r="F50" s="150" cm="1">
        <f t="array" ref="F50">_xlfn.IFNA(
   _xlfn._xlws.FILTER(
      Sim_Mul_Bet100!$O$3:$O$100,
      (Sim_Mul_Bet100!$A$3:$A$100=C$2) * (Sim_Mul_Bet100!$C$3:$C$100=$B50),0
   ),
   0
)</f>
        <v>0</v>
      </c>
      <c r="G50" s="146" cm="1">
        <f t="array" ref="G50">_xlfn.IFNA(
   _xlfn._xlws.FILTER(
      Sim_Mul_Bet100!$O$3:$O$100,
      (Sim_Mul_Bet100!$A$3:$A$100=D$2) * (Sim_Mul_Bet100!$C$3:$C$100=$B50),0
   ),
   0
)</f>
        <v>0</v>
      </c>
      <c r="H50" s="147" cm="1">
        <f t="array" ref="H50">_xlfn.IFNA(
   _xlfn._xlws.FILTER(
      Sim_Mul_Bet100!$O$3:$O$100,
      (Sim_Mul_Bet100!$A$3:$A$100=E$2) * (Sim_Mul_Bet100!$C$3:$C$100=$B50),0
   ),
   0
)</f>
        <v>0</v>
      </c>
      <c r="J50">
        <v>47</v>
      </c>
      <c r="K50" s="206">
        <v>3000</v>
      </c>
      <c r="L50" s="210" t="s">
        <v>90</v>
      </c>
      <c r="M50" s="216">
        <f t="shared" si="2"/>
        <v>0</v>
      </c>
      <c r="N50" s="160">
        <f t="shared" si="5"/>
        <v>0</v>
      </c>
      <c r="O50" s="175">
        <v>0</v>
      </c>
      <c r="P50" s="175">
        <v>0</v>
      </c>
      <c r="Q50" s="175">
        <v>0</v>
      </c>
      <c r="R50" s="197">
        <f t="shared" si="0"/>
        <v>0</v>
      </c>
      <c r="T50" s="184">
        <v>0</v>
      </c>
      <c r="U50" s="199">
        <v>0</v>
      </c>
      <c r="V50" s="203">
        <f t="shared" si="1"/>
        <v>0</v>
      </c>
      <c r="W50" s="169"/>
      <c r="Y50" s="175">
        <f t="shared" si="6"/>
        <v>0</v>
      </c>
      <c r="Z50" s="175">
        <v>0</v>
      </c>
      <c r="AA50" s="175">
        <v>0</v>
      </c>
      <c r="AB50" s="272">
        <f t="shared" si="7"/>
        <v>0</v>
      </c>
      <c r="AD50" s="184">
        <f t="shared" si="3"/>
        <v>0</v>
      </c>
      <c r="AE50" s="199">
        <v>0</v>
      </c>
      <c r="AF50" s="278">
        <f t="shared" si="4"/>
        <v>0</v>
      </c>
    </row>
    <row r="51" spans="2:32">
      <c r="B51" s="142">
        <v>4000</v>
      </c>
      <c r="C51" s="155" cm="1">
        <f t="array" ref="C51">_xlfn.IFNA(
   _xlfn._xlws.FILTER(
      Sim_Mul_Bet100!$H$3:$H$100,
      (Sim_Mul_Bet100!$A$3:$A$100=C$2) * (Sim_Mul_Bet100!$C$3:$C$100=$B51),0
   ),
   0
)</f>
        <v>0</v>
      </c>
      <c r="D51" s="156" cm="1">
        <f t="array" ref="D51">_xlfn.IFNA(
   _xlfn._xlws.FILTER(
      Sim_Mul_Bet100!$H$3:$H$100,
      (Sim_Mul_Bet100!$A$3:$A$100=D$2) * (Sim_Mul_Bet100!$C$3:$C$100=$B51),0
   ),
   0
)</f>
        <v>0</v>
      </c>
      <c r="E51" s="181" cm="1">
        <f t="array" ref="E51">_xlfn.IFNA(
   _xlfn._xlws.FILTER(
      Sim_Mul_Bet100!$H$3:$H$100,
      (Sim_Mul_Bet100!$A$3:$A$100=E$2) * (Sim_Mul_Bet100!$C$3:$C$100=$B51),0
   ),
   0
)</f>
        <v>0</v>
      </c>
      <c r="F51" s="150" cm="1">
        <f t="array" ref="F51">_xlfn.IFNA(
   _xlfn._xlws.FILTER(
      Sim_Mul_Bet100!$O$3:$O$100,
      (Sim_Mul_Bet100!$A$3:$A$100=C$2) * (Sim_Mul_Bet100!$C$3:$C$100=$B51),0
   ),
   0
)</f>
        <v>0</v>
      </c>
      <c r="G51" s="146" cm="1">
        <f t="array" ref="G51">_xlfn.IFNA(
   _xlfn._xlws.FILTER(
      Sim_Mul_Bet100!$O$3:$O$100,
      (Sim_Mul_Bet100!$A$3:$A$100=D$2) * (Sim_Mul_Bet100!$C$3:$C$100=$B51),0
   ),
   0
)</f>
        <v>0</v>
      </c>
      <c r="H51" s="147" cm="1">
        <f t="array" ref="H51">_xlfn.IFNA(
   _xlfn._xlws.FILTER(
      Sim_Mul_Bet100!$O$3:$O$100,
      (Sim_Mul_Bet100!$A$3:$A$100=E$2) * (Sim_Mul_Bet100!$C$3:$C$100=$B51),0
   ),
   0
)</f>
        <v>0</v>
      </c>
      <c r="J51">
        <v>48</v>
      </c>
      <c r="K51" s="206">
        <v>4000</v>
      </c>
      <c r="L51" s="210" t="s">
        <v>90</v>
      </c>
      <c r="M51" s="216">
        <f t="shared" si="2"/>
        <v>0</v>
      </c>
      <c r="N51" s="160">
        <f t="shared" si="5"/>
        <v>0</v>
      </c>
      <c r="O51" s="175">
        <v>0</v>
      </c>
      <c r="P51" s="175">
        <v>0</v>
      </c>
      <c r="Q51" s="175">
        <v>0</v>
      </c>
      <c r="R51" s="197">
        <f t="shared" si="0"/>
        <v>0</v>
      </c>
      <c r="T51" s="184">
        <v>0</v>
      </c>
      <c r="U51" s="199">
        <v>0</v>
      </c>
      <c r="V51" s="203">
        <f t="shared" si="1"/>
        <v>0</v>
      </c>
      <c r="W51" s="169"/>
      <c r="Y51" s="175">
        <f t="shared" si="6"/>
        <v>0</v>
      </c>
      <c r="Z51" s="175">
        <v>0</v>
      </c>
      <c r="AA51" s="175">
        <v>0</v>
      </c>
      <c r="AB51" s="272">
        <f t="shared" si="7"/>
        <v>0</v>
      </c>
      <c r="AD51" s="184">
        <f t="shared" si="3"/>
        <v>0</v>
      </c>
      <c r="AE51" s="199">
        <v>0</v>
      </c>
      <c r="AF51" s="278">
        <f t="shared" si="4"/>
        <v>0</v>
      </c>
    </row>
    <row r="52" spans="2:32">
      <c r="B52" s="142">
        <v>5000</v>
      </c>
      <c r="C52" s="155" cm="1">
        <f t="array" ref="C52">_xlfn.IFNA(
   _xlfn._xlws.FILTER(
      Sim_Mul_Bet100!$H$3:$H$100,
      (Sim_Mul_Bet100!$A$3:$A$100=C$2) * (Sim_Mul_Bet100!$C$3:$C$100=$B52),0
   ),
   0
)</f>
        <v>0</v>
      </c>
      <c r="D52" s="156" cm="1">
        <f t="array" ref="D52">_xlfn.IFNA(
   _xlfn._xlws.FILTER(
      Sim_Mul_Bet100!$H$3:$H$100,
      (Sim_Mul_Bet100!$A$3:$A$100=D$2) * (Sim_Mul_Bet100!$C$3:$C$100=$B52),0
   ),
   0
)</f>
        <v>0</v>
      </c>
      <c r="E52" s="181" cm="1">
        <f t="array" ref="E52">_xlfn.IFNA(
   _xlfn._xlws.FILTER(
      Sim_Mul_Bet100!$H$3:$H$100,
      (Sim_Mul_Bet100!$A$3:$A$100=E$2) * (Sim_Mul_Bet100!$C$3:$C$100=$B52),0
   ),
   0
)</f>
        <v>0</v>
      </c>
      <c r="F52" s="150" cm="1">
        <f t="array" ref="F52">_xlfn.IFNA(
   _xlfn._xlws.FILTER(
      Sim_Mul_Bet100!$O$3:$O$100,
      (Sim_Mul_Bet100!$A$3:$A$100=C$2) * (Sim_Mul_Bet100!$C$3:$C$100=$B52),0
   ),
   0
)</f>
        <v>0</v>
      </c>
      <c r="G52" s="146" cm="1">
        <f t="array" ref="G52">_xlfn.IFNA(
   _xlfn._xlws.FILTER(
      Sim_Mul_Bet100!$O$3:$O$100,
      (Sim_Mul_Bet100!$A$3:$A$100=D$2) * (Sim_Mul_Bet100!$C$3:$C$100=$B52),0
   ),
   0
)</f>
        <v>0</v>
      </c>
      <c r="H52" s="147" cm="1">
        <f t="array" ref="H52">_xlfn.IFNA(
   _xlfn._xlws.FILTER(
      Sim_Mul_Bet100!$O$3:$O$100,
      (Sim_Mul_Bet100!$A$3:$A$100=E$2) * (Sim_Mul_Bet100!$C$3:$C$100=$B52),0
   ),
   0
)</f>
        <v>0</v>
      </c>
      <c r="J52">
        <v>49</v>
      </c>
      <c r="K52" s="206">
        <v>5000</v>
      </c>
      <c r="L52" s="210" t="s">
        <v>91</v>
      </c>
      <c r="M52" s="216">
        <f t="shared" si="2"/>
        <v>0</v>
      </c>
      <c r="N52" s="160">
        <f t="shared" si="5"/>
        <v>0</v>
      </c>
      <c r="O52" s="175">
        <v>0</v>
      </c>
      <c r="P52" s="175">
        <v>0</v>
      </c>
      <c r="Q52" s="175">
        <v>0</v>
      </c>
      <c r="R52" s="197">
        <f t="shared" si="0"/>
        <v>0</v>
      </c>
      <c r="T52" s="184">
        <v>2</v>
      </c>
      <c r="U52" s="199">
        <v>1.9999999999999999E-6</v>
      </c>
      <c r="V52" s="203">
        <f t="shared" si="1"/>
        <v>0</v>
      </c>
      <c r="W52" s="169"/>
      <c r="Y52" s="175">
        <f t="shared" si="6"/>
        <v>0</v>
      </c>
      <c r="Z52" s="175">
        <v>0</v>
      </c>
      <c r="AA52" s="175">
        <v>0</v>
      </c>
      <c r="AB52" s="272">
        <f t="shared" si="7"/>
        <v>0</v>
      </c>
      <c r="AD52" s="184">
        <f t="shared" si="3"/>
        <v>0</v>
      </c>
      <c r="AE52" s="199">
        <v>0</v>
      </c>
      <c r="AF52" s="278">
        <f t="shared" si="4"/>
        <v>0</v>
      </c>
    </row>
    <row r="53" spans="2:32">
      <c r="B53" s="142">
        <v>6000</v>
      </c>
      <c r="C53" s="155" cm="1">
        <f t="array" ref="C53">_xlfn.IFNA(
   _xlfn._xlws.FILTER(
      Sim_Mul_Bet100!$H$3:$H$100,
      (Sim_Mul_Bet100!$A$3:$A$100=C$2) * (Sim_Mul_Bet100!$C$3:$C$100=$B53),0
   ),
   0
)</f>
        <v>0</v>
      </c>
      <c r="D53" s="156" cm="1">
        <f t="array" ref="D53">_xlfn.IFNA(
   _xlfn._xlws.FILTER(
      Sim_Mul_Bet100!$H$3:$H$100,
      (Sim_Mul_Bet100!$A$3:$A$100=D$2) * (Sim_Mul_Bet100!$C$3:$C$100=$B53),0
   ),
   0
)</f>
        <v>0</v>
      </c>
      <c r="E53" s="181" cm="1">
        <f t="array" ref="E53">_xlfn.IFNA(
   _xlfn._xlws.FILTER(
      Sim_Mul_Bet100!$H$3:$H$100,
      (Sim_Mul_Bet100!$A$3:$A$100=E$2) * (Sim_Mul_Bet100!$C$3:$C$100=$B53),0
   ),
   0
)</f>
        <v>0</v>
      </c>
      <c r="F53" s="150" cm="1">
        <f t="array" ref="F53">_xlfn.IFNA(
   _xlfn._xlws.FILTER(
      Sim_Mul_Bet100!$O$3:$O$100,
      (Sim_Mul_Bet100!$A$3:$A$100=C$2) * (Sim_Mul_Bet100!$C$3:$C$100=$B53),0
   ),
   0
)</f>
        <v>0</v>
      </c>
      <c r="G53" s="146" cm="1">
        <f t="array" ref="G53">_xlfn.IFNA(
   _xlfn._xlws.FILTER(
      Sim_Mul_Bet100!$O$3:$O$100,
      (Sim_Mul_Bet100!$A$3:$A$100=D$2) * (Sim_Mul_Bet100!$C$3:$C$100=$B53),0
   ),
   0
)</f>
        <v>0</v>
      </c>
      <c r="H53" s="147" cm="1">
        <f t="array" ref="H53">_xlfn.IFNA(
   _xlfn._xlws.FILTER(
      Sim_Mul_Bet100!$O$3:$O$100,
      (Sim_Mul_Bet100!$A$3:$A$100=E$2) * (Sim_Mul_Bet100!$C$3:$C$100=$B53),0
   ),
   0
)</f>
        <v>0</v>
      </c>
      <c r="J53">
        <v>50</v>
      </c>
      <c r="K53" s="206">
        <v>6000</v>
      </c>
      <c r="L53" s="210" t="s">
        <v>90</v>
      </c>
      <c r="M53" s="216">
        <f t="shared" si="2"/>
        <v>0</v>
      </c>
      <c r="N53" s="160">
        <f t="shared" si="5"/>
        <v>0</v>
      </c>
      <c r="O53" s="175">
        <v>0</v>
      </c>
      <c r="P53" s="175">
        <v>0</v>
      </c>
      <c r="Q53" s="175">
        <v>0</v>
      </c>
      <c r="R53" s="197">
        <f t="shared" si="0"/>
        <v>0</v>
      </c>
      <c r="T53" s="184">
        <v>0</v>
      </c>
      <c r="U53" s="199">
        <v>0</v>
      </c>
      <c r="V53" s="203">
        <f t="shared" si="1"/>
        <v>0</v>
      </c>
      <c r="W53" s="169"/>
      <c r="Y53" s="175">
        <f t="shared" si="6"/>
        <v>0</v>
      </c>
      <c r="Z53" s="175">
        <v>0</v>
      </c>
      <c r="AA53" s="175">
        <v>0</v>
      </c>
      <c r="AB53" s="272">
        <f t="shared" si="7"/>
        <v>0</v>
      </c>
      <c r="AD53" s="184">
        <f t="shared" si="3"/>
        <v>0</v>
      </c>
      <c r="AE53" s="199">
        <v>0</v>
      </c>
      <c r="AF53" s="278">
        <f t="shared" si="4"/>
        <v>0</v>
      </c>
    </row>
    <row r="54" spans="2:32" ht="16.8" thickBot="1">
      <c r="B54" s="143">
        <v>7000</v>
      </c>
      <c r="C54" s="157" cm="1">
        <f t="array" ref="C54">_xlfn.IFNA(
   _xlfn._xlws.FILTER(
      Sim_Mul_Bet100!$H$3:$H$100,
      (Sim_Mul_Bet100!$A$3:$A$100=C$2) * (Sim_Mul_Bet100!$C$3:$C$100=$B54),0
   ),
   0
)</f>
        <v>0</v>
      </c>
      <c r="D54" s="158" cm="1">
        <f t="array" ref="D54">_xlfn.IFNA(
   _xlfn._xlws.FILTER(
      Sim_Mul_Bet100!$H$3:$H$100,
      (Sim_Mul_Bet100!$A$3:$A$100=D$2) * (Sim_Mul_Bet100!$C$3:$C$100=$B54),0
   ),
   0
)</f>
        <v>0</v>
      </c>
      <c r="E54" s="182" cm="1">
        <f t="array" ref="E54">_xlfn.IFNA(
   _xlfn._xlws.FILTER(
      Sim_Mul_Bet100!$H$3:$H$100,
      (Sim_Mul_Bet100!$A$3:$A$100=E$2) * (Sim_Mul_Bet100!$C$3:$C$100=$B54),0
   ),
   0
)</f>
        <v>0</v>
      </c>
      <c r="F54" s="151" cm="1">
        <f t="array" ref="F54">_xlfn.IFNA(
   _xlfn._xlws.FILTER(
      Sim_Mul_Bet100!$O$3:$O$100,
      (Sim_Mul_Bet100!$A$3:$A$100=C$2) * (Sim_Mul_Bet100!$C$3:$C$100=$B54),0
   ),
   0
)</f>
        <v>0</v>
      </c>
      <c r="G54" s="148" cm="1">
        <f t="array" ref="G54">_xlfn.IFNA(
   _xlfn._xlws.FILTER(
      Sim_Mul_Bet100!$O$3:$O$100,
      (Sim_Mul_Bet100!$A$3:$A$100=D$2) * (Sim_Mul_Bet100!$C$3:$C$100=$B54),0
   ),
   0
)</f>
        <v>0</v>
      </c>
      <c r="H54" s="149" cm="1">
        <f t="array" ref="H54">_xlfn.IFNA(
   _xlfn._xlws.FILTER(
      Sim_Mul_Bet100!$O$3:$O$100,
      (Sim_Mul_Bet100!$A$3:$A$100=E$2) * (Sim_Mul_Bet100!$C$3:$C$100=$B54),0
   ),
   0
)</f>
        <v>0</v>
      </c>
      <c r="J54">
        <v>51</v>
      </c>
      <c r="K54" s="207">
        <v>7000</v>
      </c>
      <c r="L54" s="211" t="s">
        <v>91</v>
      </c>
      <c r="M54" s="217">
        <f t="shared" si="2"/>
        <v>0</v>
      </c>
      <c r="N54" s="161">
        <f t="shared" si="5"/>
        <v>0</v>
      </c>
      <c r="O54" s="176">
        <v>0</v>
      </c>
      <c r="P54" s="176">
        <v>0</v>
      </c>
      <c r="Q54" s="176">
        <v>0</v>
      </c>
      <c r="R54" s="197">
        <f t="shared" si="0"/>
        <v>0</v>
      </c>
      <c r="T54" s="185">
        <v>1</v>
      </c>
      <c r="U54" s="200">
        <v>9.9999999999999995E-7</v>
      </c>
      <c r="V54" s="204">
        <f t="shared" si="1"/>
        <v>0</v>
      </c>
      <c r="W54" s="169"/>
      <c r="Y54" s="175">
        <f t="shared" si="6"/>
        <v>0</v>
      </c>
      <c r="Z54" s="176">
        <v>0</v>
      </c>
      <c r="AA54" s="176">
        <v>0</v>
      </c>
      <c r="AB54" s="272">
        <f t="shared" si="7"/>
        <v>0</v>
      </c>
      <c r="AD54" s="185">
        <f t="shared" si="3"/>
        <v>0</v>
      </c>
      <c r="AE54" s="200">
        <v>0</v>
      </c>
      <c r="AF54" s="279">
        <f t="shared" si="4"/>
        <v>0</v>
      </c>
    </row>
  </sheetData>
  <mergeCells count="2">
    <mergeCell ref="C1:E1"/>
    <mergeCell ref="F1:H1"/>
  </mergeCells>
  <phoneticPr fontId="1" type="noConversion"/>
  <conditionalFormatting sqref="T1:T1048576 O1:O2 O55:O1048576 C3:E54 Q55:Q1048576 Q1:Q2">
    <cfRule type="cellIs" dxfId="2022" priority="28" operator="equal">
      <formula>0</formula>
    </cfRule>
  </conditionalFormatting>
  <conditionalFormatting sqref="N1:N1048576">
    <cfRule type="cellIs" dxfId="2021" priority="27" operator="equal">
      <formula>0</formula>
    </cfRule>
  </conditionalFormatting>
  <conditionalFormatting sqref="F4:H54 G3">
    <cfRule type="cellIs" dxfId="2020" priority="26" operator="equal">
      <formula>0</formula>
    </cfRule>
  </conditionalFormatting>
  <conditionalFormatting sqref="O3">
    <cfRule type="cellIs" dxfId="2019" priority="24" operator="equal">
      <formula>0</formula>
    </cfRule>
  </conditionalFormatting>
  <conditionalFormatting sqref="Q3:Q54">
    <cfRule type="cellIs" dxfId="2018" priority="23" operator="equal">
      <formula>0</formula>
    </cfRule>
  </conditionalFormatting>
  <conditionalFormatting sqref="O49:O54">
    <cfRule type="cellIs" dxfId="2017" priority="21" operator="equal">
      <formula>0</formula>
    </cfRule>
  </conditionalFormatting>
  <conditionalFormatting sqref="M1:M1048576">
    <cfRule type="cellIs" dxfId="2016" priority="25" operator="lessThan">
      <formula>0.001</formula>
    </cfRule>
  </conditionalFormatting>
  <conditionalFormatting sqref="O4:O36">
    <cfRule type="cellIs" dxfId="2015" priority="19" operator="equal">
      <formula>0</formula>
    </cfRule>
  </conditionalFormatting>
  <conditionalFormatting sqref="P1:P2 P55:P1048576">
    <cfRule type="cellIs" dxfId="2014" priority="18" operator="equal">
      <formula>0</formula>
    </cfRule>
  </conditionalFormatting>
  <conditionalFormatting sqref="P3">
    <cfRule type="cellIs" dxfId="2013" priority="17" operator="equal">
      <formula>0</formula>
    </cfRule>
  </conditionalFormatting>
  <conditionalFormatting sqref="P37:P54">
    <cfRule type="cellIs" dxfId="2012" priority="16" operator="equal">
      <formula>0</formula>
    </cfRule>
  </conditionalFormatting>
  <conditionalFormatting sqref="P4:P36">
    <cfRule type="cellIs" dxfId="2011" priority="15" operator="equal">
      <formula>0</formula>
    </cfRule>
  </conditionalFormatting>
  <conditionalFormatting sqref="AD1:AD1048576 Y1:Y2 Y55:Y1048576 AA55:AA1048576 AA1:AA2">
    <cfRule type="cellIs" dxfId="2010" priority="14" operator="equal">
      <formula>0</formula>
    </cfRule>
  </conditionalFormatting>
  <conditionalFormatting sqref="Y3:Y54">
    <cfRule type="cellIs" dxfId="2009" priority="13" operator="equal">
      <formula>0</formula>
    </cfRule>
  </conditionalFormatting>
  <conditionalFormatting sqref="AA3">
    <cfRule type="cellIs" dxfId="2008" priority="12" operator="equal">
      <formula>0</formula>
    </cfRule>
  </conditionalFormatting>
  <conditionalFormatting sqref="Z1:Z2 Z55:Z1048576">
    <cfRule type="cellIs" dxfId="2007" priority="11" operator="equal">
      <formula>0</formula>
    </cfRule>
  </conditionalFormatting>
  <conditionalFormatting sqref="Z3">
    <cfRule type="cellIs" dxfId="2006" priority="10" operator="equal">
      <formula>0</formula>
    </cfRule>
  </conditionalFormatting>
  <conditionalFormatting sqref="AA4:AA54">
    <cfRule type="cellIs" dxfId="2005" priority="6" operator="equal">
      <formula>0</formula>
    </cfRule>
  </conditionalFormatting>
  <conditionalFormatting sqref="Z4:Z54">
    <cfRule type="cellIs" dxfId="2004" priority="3" operator="equal">
      <formula>0</formula>
    </cfRule>
  </conditionalFormatting>
  <conditionalFormatting sqref="O38:O48">
    <cfRule type="cellIs" dxfId="2003" priority="2" operator="equal">
      <formula>0</formula>
    </cfRule>
  </conditionalFormatting>
  <conditionalFormatting sqref="O37">
    <cfRule type="cellIs" dxfId="2002" priority="1" operator="equal">
      <formula>0</formula>
    </cfRule>
  </conditionalFormatting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A104D3-5C58-4FD8-9D3F-3A67433D042C}">
  <dimension ref="A2:D10"/>
  <sheetViews>
    <sheetView topLeftCell="B5" workbookViewId="0">
      <selection activeCell="B9" sqref="B9:D9"/>
    </sheetView>
  </sheetViews>
  <sheetFormatPr defaultRowHeight="15.6"/>
  <cols>
    <col min="1" max="1" width="8.88671875" style="15" customWidth="1"/>
    <col min="2" max="2" width="18.33203125" style="15" bestFit="1" customWidth="1"/>
    <col min="3" max="3" width="24.109375" style="15" bestFit="1" customWidth="1"/>
    <col min="4" max="4" width="20.5546875" style="15" customWidth="1"/>
    <col min="5" max="5" width="16.5546875" style="15" customWidth="1"/>
    <col min="6" max="6" width="24.109375" style="15" bestFit="1" customWidth="1"/>
    <col min="7" max="7" width="16.5546875" style="15" customWidth="1"/>
    <col min="8" max="8" width="8.88671875" style="15" customWidth="1"/>
    <col min="9" max="9" width="12.44140625" style="15" bestFit="1" customWidth="1"/>
    <col min="10" max="10" width="11" style="15" bestFit="1" customWidth="1"/>
    <col min="11" max="15" width="8.88671875" style="15" customWidth="1"/>
    <col min="16" max="16384" width="8.88671875" style="15"/>
  </cols>
  <sheetData>
    <row r="2" spans="1:4">
      <c r="B2" s="294" t="s">
        <v>221</v>
      </c>
      <c r="C2" s="295">
        <v>10000000000</v>
      </c>
    </row>
    <row r="4" spans="1:4">
      <c r="B4" s="296" t="s">
        <v>222</v>
      </c>
      <c r="C4" s="296" t="s">
        <v>223</v>
      </c>
      <c r="D4" s="296" t="s">
        <v>224</v>
      </c>
    </row>
    <row r="5" spans="1:4">
      <c r="A5" s="297"/>
      <c r="B5" s="298" t="s">
        <v>225</v>
      </c>
      <c r="C5" s="299">
        <v>118010000</v>
      </c>
      <c r="D5" s="298" t="s">
        <v>226</v>
      </c>
    </row>
    <row r="6" spans="1:4">
      <c r="A6" s="297"/>
      <c r="B6" s="298" t="s">
        <v>227</v>
      </c>
      <c r="C6" s="299">
        <v>201409333</v>
      </c>
      <c r="D6" s="298" t="s">
        <v>228</v>
      </c>
    </row>
    <row r="7" spans="1:4">
      <c r="A7" s="297"/>
      <c r="B7" s="298" t="s">
        <v>229</v>
      </c>
      <c r="C7" s="299">
        <v>206075333</v>
      </c>
      <c r="D7" s="298" t="s">
        <v>230</v>
      </c>
    </row>
    <row r="8" spans="1:4">
      <c r="A8" s="297"/>
      <c r="B8" s="298" t="s">
        <v>231</v>
      </c>
      <c r="C8" s="299">
        <v>260128333</v>
      </c>
      <c r="D8" s="298" t="s">
        <v>232</v>
      </c>
    </row>
    <row r="9" spans="1:4">
      <c r="A9" s="297"/>
      <c r="B9" s="298" t="s">
        <v>233</v>
      </c>
      <c r="C9" s="299">
        <v>292382000</v>
      </c>
      <c r="D9" s="298" t="s">
        <v>234</v>
      </c>
    </row>
    <row r="10" spans="1:4" ht="16.2">
      <c r="B10"/>
      <c r="C10"/>
      <c r="D10"/>
    </row>
  </sheetData>
  <phoneticPr fontId="1" type="noConversion"/>
  <pageMargins left="0.7" right="0.7" top="0.75" bottom="0.75" header="0.3" footer="0.3"/>
  <pageSetup paperSize="9"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9A89A8-1E88-4766-963F-7980C132098C}">
  <dimension ref="A1:AI81"/>
  <sheetViews>
    <sheetView workbookViewId="0">
      <selection sqref="A1:C1"/>
    </sheetView>
  </sheetViews>
  <sheetFormatPr defaultRowHeight="16.2"/>
  <cols>
    <col min="15" max="15" width="8.88671875" style="167"/>
    <col min="21" max="21" width="10.5546875" bestFit="1" customWidth="1"/>
  </cols>
  <sheetData>
    <row r="1" spans="1:35">
      <c r="O1" s="167">
        <v>100</v>
      </c>
    </row>
    <row r="3" spans="1:35">
      <c r="H3" s="137" t="s">
        <v>158</v>
      </c>
      <c r="O3" s="167" t="s">
        <v>157</v>
      </c>
      <c r="U3" t="s">
        <v>158</v>
      </c>
    </row>
    <row r="4" spans="1:35">
      <c r="A4" t="s">
        <v>90</v>
      </c>
      <c r="B4" t="s">
        <v>147</v>
      </c>
      <c r="C4">
        <v>0</v>
      </c>
      <c r="F4" t="s">
        <v>148</v>
      </c>
      <c r="G4">
        <v>87031550</v>
      </c>
      <c r="H4" s="137" cm="1">
        <f t="array" ref="H4:H25">G4:G25/SUM(G4:$G$25)</f>
        <v>0.87031550000000002</v>
      </c>
      <c r="K4" t="s">
        <v>149</v>
      </c>
      <c r="L4" t="s">
        <v>148</v>
      </c>
      <c r="M4">
        <v>0</v>
      </c>
      <c r="O4" s="167">
        <f>M4/G4/$O$1</f>
        <v>0</v>
      </c>
      <c r="R4" t="s">
        <v>150</v>
      </c>
      <c r="S4" t="s">
        <v>148</v>
      </c>
      <c r="T4" t="s">
        <v>156</v>
      </c>
      <c r="U4" s="137" cm="1">
        <f t="array" ref="U4">_xlfn.IFS(T4="null",0,T4="","",T4/G4&gt;=0,T4/G4)</f>
        <v>0</v>
      </c>
      <c r="X4" t="s">
        <v>152</v>
      </c>
      <c r="Y4" t="s">
        <v>148</v>
      </c>
      <c r="Z4" t="s">
        <v>156</v>
      </c>
      <c r="AA4" t="s">
        <v>153</v>
      </c>
      <c r="AB4" t="s">
        <v>148</v>
      </c>
      <c r="AC4" t="s">
        <v>156</v>
      </c>
      <c r="AD4" t="s">
        <v>154</v>
      </c>
      <c r="AE4" t="s">
        <v>148</v>
      </c>
      <c r="AF4" t="s">
        <v>156</v>
      </c>
      <c r="AG4" t="s">
        <v>155</v>
      </c>
      <c r="AH4" t="s">
        <v>148</v>
      </c>
      <c r="AI4" t="s">
        <v>156</v>
      </c>
    </row>
    <row r="5" spans="1:35">
      <c r="A5" t="s">
        <v>90</v>
      </c>
      <c r="B5" t="s">
        <v>147</v>
      </c>
      <c r="C5">
        <v>1</v>
      </c>
      <c r="F5" t="s">
        <v>148</v>
      </c>
      <c r="G5">
        <v>6178345</v>
      </c>
      <c r="H5">
        <v>6.1783449999999997E-2</v>
      </c>
      <c r="K5" t="s">
        <v>149</v>
      </c>
      <c r="L5" t="s">
        <v>148</v>
      </c>
      <c r="M5">
        <v>624958815</v>
      </c>
      <c r="O5" s="167">
        <f t="shared" ref="O5:O25" si="0">M5/G5/$O$1</f>
        <v>1.0115311058220284</v>
      </c>
      <c r="R5" t="s">
        <v>150</v>
      </c>
      <c r="S5" t="s">
        <v>148</v>
      </c>
      <c r="T5" t="s">
        <v>156</v>
      </c>
      <c r="U5" s="137" cm="1">
        <f t="array" ref="U5">_xlfn.IFS(T5="null",0,T5="","",T5/G5&gt;=0,T5/G5)</f>
        <v>0</v>
      </c>
      <c r="X5" t="s">
        <v>152</v>
      </c>
      <c r="Y5" t="s">
        <v>148</v>
      </c>
      <c r="Z5" t="s">
        <v>156</v>
      </c>
      <c r="AA5" t="s">
        <v>153</v>
      </c>
      <c r="AB5" t="s">
        <v>148</v>
      </c>
      <c r="AC5" t="s">
        <v>156</v>
      </c>
      <c r="AD5" t="s">
        <v>154</v>
      </c>
      <c r="AE5" t="s">
        <v>148</v>
      </c>
      <c r="AF5" t="s">
        <v>156</v>
      </c>
      <c r="AG5" t="s">
        <v>155</v>
      </c>
      <c r="AH5" t="s">
        <v>148</v>
      </c>
      <c r="AI5" t="s">
        <v>156</v>
      </c>
    </row>
    <row r="6" spans="1:35">
      <c r="A6" t="s">
        <v>90</v>
      </c>
      <c r="B6" t="s">
        <v>147</v>
      </c>
      <c r="C6">
        <v>2</v>
      </c>
      <c r="F6" t="s">
        <v>148</v>
      </c>
      <c r="G6">
        <v>1203305</v>
      </c>
      <c r="H6">
        <v>1.203305E-2</v>
      </c>
      <c r="K6" t="s">
        <v>149</v>
      </c>
      <c r="L6" t="s">
        <v>148</v>
      </c>
      <c r="M6">
        <v>263218014</v>
      </c>
      <c r="O6" s="167">
        <f t="shared" si="0"/>
        <v>2.1874588238227215</v>
      </c>
      <c r="R6" t="s">
        <v>150</v>
      </c>
      <c r="S6" t="s">
        <v>148</v>
      </c>
      <c r="T6" t="s">
        <v>156</v>
      </c>
      <c r="U6" s="137" cm="1">
        <f t="array" ref="U6">_xlfn.IFS(T6="null",0,T6="","",T6/G6&gt;=0,T6/G6)</f>
        <v>0</v>
      </c>
      <c r="X6" t="s">
        <v>152</v>
      </c>
      <c r="Y6" t="s">
        <v>148</v>
      </c>
      <c r="Z6" t="s">
        <v>156</v>
      </c>
      <c r="AA6" t="s">
        <v>153</v>
      </c>
      <c r="AB6" t="s">
        <v>148</v>
      </c>
      <c r="AC6" t="s">
        <v>156</v>
      </c>
      <c r="AD6" t="s">
        <v>154</v>
      </c>
      <c r="AE6" t="s">
        <v>148</v>
      </c>
      <c r="AF6" t="s">
        <v>156</v>
      </c>
      <c r="AG6" t="s">
        <v>155</v>
      </c>
      <c r="AH6" t="s">
        <v>148</v>
      </c>
      <c r="AI6" t="s">
        <v>156</v>
      </c>
    </row>
    <row r="7" spans="1:35">
      <c r="A7" t="s">
        <v>90</v>
      </c>
      <c r="B7" t="s">
        <v>147</v>
      </c>
      <c r="C7">
        <v>3</v>
      </c>
      <c r="F7" t="s">
        <v>148</v>
      </c>
      <c r="G7">
        <v>7349</v>
      </c>
      <c r="H7">
        <v>7.3490000000000003E-5</v>
      </c>
      <c r="K7" t="s">
        <v>149</v>
      </c>
      <c r="L7" t="s">
        <v>148</v>
      </c>
      <c r="M7">
        <v>2205178</v>
      </c>
      <c r="O7" s="167">
        <f t="shared" si="0"/>
        <v>3.0006504286297457</v>
      </c>
      <c r="R7" t="s">
        <v>150</v>
      </c>
      <c r="S7" t="s">
        <v>148</v>
      </c>
      <c r="T7" t="s">
        <v>156</v>
      </c>
      <c r="U7" s="137" cm="1">
        <f t="array" ref="U7">_xlfn.IFS(T7="null",0,T7="","",T7/G7&gt;=0,T7/G7)</f>
        <v>0</v>
      </c>
      <c r="X7" t="s">
        <v>152</v>
      </c>
      <c r="Y7" t="s">
        <v>148</v>
      </c>
      <c r="Z7" t="s">
        <v>156</v>
      </c>
      <c r="AA7" t="s">
        <v>153</v>
      </c>
      <c r="AB7" t="s">
        <v>148</v>
      </c>
      <c r="AC7" t="s">
        <v>156</v>
      </c>
      <c r="AD7" t="s">
        <v>154</v>
      </c>
      <c r="AE7" t="s">
        <v>148</v>
      </c>
      <c r="AF7" t="s">
        <v>156</v>
      </c>
      <c r="AG7" t="s">
        <v>155</v>
      </c>
      <c r="AH7" t="s">
        <v>148</v>
      </c>
      <c r="AI7" t="s">
        <v>156</v>
      </c>
    </row>
    <row r="8" spans="1:35">
      <c r="A8" t="s">
        <v>90</v>
      </c>
      <c r="B8" t="s">
        <v>147</v>
      </c>
      <c r="C8">
        <v>5</v>
      </c>
      <c r="F8" t="s">
        <v>148</v>
      </c>
      <c r="G8">
        <v>1602127</v>
      </c>
      <c r="H8">
        <v>1.6021270000000001E-2</v>
      </c>
      <c r="K8" t="s">
        <v>149</v>
      </c>
      <c r="L8" t="s">
        <v>148</v>
      </c>
      <c r="M8">
        <v>802647262</v>
      </c>
      <c r="O8" s="167">
        <f t="shared" si="0"/>
        <v>5.0098853711347475</v>
      </c>
      <c r="R8" t="s">
        <v>150</v>
      </c>
      <c r="S8" t="s">
        <v>148</v>
      </c>
      <c r="T8" t="s">
        <v>156</v>
      </c>
      <c r="U8" s="137" cm="1">
        <f t="array" ref="U8">_xlfn.IFS(T8="null",0,T8="","",T8/G8&gt;=0,T8/G8)</f>
        <v>0</v>
      </c>
      <c r="X8" t="s">
        <v>152</v>
      </c>
      <c r="Y8" t="s">
        <v>148</v>
      </c>
      <c r="Z8" t="s">
        <v>156</v>
      </c>
      <c r="AA8" t="s">
        <v>153</v>
      </c>
      <c r="AB8" t="s">
        <v>148</v>
      </c>
      <c r="AC8" t="s">
        <v>156</v>
      </c>
      <c r="AD8" t="s">
        <v>154</v>
      </c>
      <c r="AE8" t="s">
        <v>148</v>
      </c>
      <c r="AF8" t="s">
        <v>156</v>
      </c>
      <c r="AG8" t="s">
        <v>155</v>
      </c>
      <c r="AH8" t="s">
        <v>148</v>
      </c>
      <c r="AI8" t="s">
        <v>156</v>
      </c>
    </row>
    <row r="9" spans="1:35">
      <c r="A9" t="s">
        <v>90</v>
      </c>
      <c r="B9" t="s">
        <v>147</v>
      </c>
      <c r="C9">
        <v>6</v>
      </c>
      <c r="F9" t="s">
        <v>148</v>
      </c>
      <c r="G9">
        <v>1231</v>
      </c>
      <c r="H9">
        <v>1.2310000000000001E-5</v>
      </c>
      <c r="K9" t="s">
        <v>149</v>
      </c>
      <c r="L9" t="s">
        <v>148</v>
      </c>
      <c r="M9">
        <v>765904</v>
      </c>
      <c r="O9" s="167">
        <f t="shared" si="0"/>
        <v>6.2218034118602761</v>
      </c>
      <c r="R9" t="s">
        <v>150</v>
      </c>
      <c r="S9" t="s">
        <v>148</v>
      </c>
      <c r="T9" t="s">
        <v>156</v>
      </c>
      <c r="U9" s="137" cm="1">
        <f t="array" ref="U9">_xlfn.IFS(T9="null",0,T9="","",T9/G9&gt;=0,T9/G9)</f>
        <v>0</v>
      </c>
      <c r="X9" t="s">
        <v>152</v>
      </c>
      <c r="Y9" t="s">
        <v>148</v>
      </c>
      <c r="Z9" t="s">
        <v>156</v>
      </c>
      <c r="AA9" t="s">
        <v>153</v>
      </c>
      <c r="AB9" t="s">
        <v>148</v>
      </c>
      <c r="AC9" t="s">
        <v>156</v>
      </c>
      <c r="AD9" t="s">
        <v>154</v>
      </c>
      <c r="AE9" t="s">
        <v>148</v>
      </c>
      <c r="AF9" t="s">
        <v>156</v>
      </c>
      <c r="AG9" t="s">
        <v>155</v>
      </c>
      <c r="AH9" t="s">
        <v>148</v>
      </c>
      <c r="AI9" t="s">
        <v>156</v>
      </c>
    </row>
    <row r="10" spans="1:35">
      <c r="A10" t="s">
        <v>90</v>
      </c>
      <c r="B10" t="s">
        <v>147</v>
      </c>
      <c r="C10">
        <v>7</v>
      </c>
      <c r="F10" t="s">
        <v>148</v>
      </c>
      <c r="G10">
        <v>5752</v>
      </c>
      <c r="H10">
        <v>5.7519999999999998E-5</v>
      </c>
      <c r="K10" t="s">
        <v>149</v>
      </c>
      <c r="L10" t="s">
        <v>148</v>
      </c>
      <c r="M10">
        <v>4314564</v>
      </c>
      <c r="O10" s="167">
        <f t="shared" si="0"/>
        <v>7.5009805285118212</v>
      </c>
      <c r="R10" t="s">
        <v>150</v>
      </c>
      <c r="S10" t="s">
        <v>148</v>
      </c>
      <c r="T10" t="s">
        <v>156</v>
      </c>
      <c r="U10" s="137" cm="1">
        <f t="array" ref="U10">_xlfn.IFS(T10="null",0,T10="","",T10/G10&gt;=0,T10/G10)</f>
        <v>0</v>
      </c>
      <c r="X10" t="s">
        <v>152</v>
      </c>
      <c r="Y10" t="s">
        <v>148</v>
      </c>
      <c r="Z10" t="s">
        <v>156</v>
      </c>
      <c r="AA10" t="s">
        <v>153</v>
      </c>
      <c r="AB10" t="s">
        <v>148</v>
      </c>
      <c r="AC10" t="s">
        <v>156</v>
      </c>
      <c r="AD10" t="s">
        <v>154</v>
      </c>
      <c r="AE10" t="s">
        <v>148</v>
      </c>
      <c r="AF10" t="s">
        <v>156</v>
      </c>
      <c r="AG10" t="s">
        <v>155</v>
      </c>
      <c r="AH10" t="s">
        <v>148</v>
      </c>
      <c r="AI10" t="s">
        <v>156</v>
      </c>
    </row>
    <row r="11" spans="1:35">
      <c r="A11" t="s">
        <v>90</v>
      </c>
      <c r="B11" t="s">
        <v>147</v>
      </c>
      <c r="C11">
        <v>10</v>
      </c>
      <c r="F11" t="s">
        <v>148</v>
      </c>
      <c r="G11">
        <v>2258905</v>
      </c>
      <c r="H11">
        <v>2.2589049999999999E-2</v>
      </c>
      <c r="K11" t="s">
        <v>149</v>
      </c>
      <c r="L11" t="s">
        <v>148</v>
      </c>
      <c r="M11">
        <v>2321615993</v>
      </c>
      <c r="O11" s="167">
        <f t="shared" si="0"/>
        <v>10.277616778926072</v>
      </c>
      <c r="R11" t="s">
        <v>150</v>
      </c>
      <c r="S11" t="s">
        <v>148</v>
      </c>
      <c r="T11">
        <v>261269</v>
      </c>
      <c r="U11" s="137" cm="1">
        <f t="array" ref="U11">_xlfn.IFS(T11="null",0,T11="","",T11/G11&gt;=0,T11/G11)</f>
        <v>0.11566179188589161</v>
      </c>
      <c r="X11" t="s">
        <v>152</v>
      </c>
      <c r="Y11" t="s">
        <v>148</v>
      </c>
      <c r="Z11" t="s">
        <v>156</v>
      </c>
      <c r="AA11" t="s">
        <v>153</v>
      </c>
      <c r="AB11" t="s">
        <v>148</v>
      </c>
      <c r="AC11" t="s">
        <v>156</v>
      </c>
      <c r="AD11" t="s">
        <v>154</v>
      </c>
      <c r="AE11" t="s">
        <v>148</v>
      </c>
      <c r="AF11" t="s">
        <v>156</v>
      </c>
      <c r="AG11" t="s">
        <v>155</v>
      </c>
      <c r="AH11" t="s">
        <v>148</v>
      </c>
      <c r="AI11" t="s">
        <v>156</v>
      </c>
    </row>
    <row r="12" spans="1:35">
      <c r="A12" t="s">
        <v>90</v>
      </c>
      <c r="B12" t="s">
        <v>147</v>
      </c>
      <c r="C12">
        <v>15</v>
      </c>
      <c r="F12" t="s">
        <v>148</v>
      </c>
      <c r="G12">
        <v>429653</v>
      </c>
      <c r="H12">
        <v>4.2965299999999998E-3</v>
      </c>
      <c r="K12" t="s">
        <v>149</v>
      </c>
      <c r="L12" t="s">
        <v>148</v>
      </c>
      <c r="M12">
        <v>649299525</v>
      </c>
      <c r="O12" s="167">
        <f t="shared" si="0"/>
        <v>15.112184134638882</v>
      </c>
      <c r="R12" t="s">
        <v>150</v>
      </c>
      <c r="S12" t="s">
        <v>148</v>
      </c>
      <c r="T12">
        <v>1085</v>
      </c>
      <c r="U12" s="137" cm="1">
        <f t="array" ref="U12">_xlfn.IFS(T12="null",0,T12="","",T12/G12&gt;=0,T12/G12)</f>
        <v>2.5252936672151712E-3</v>
      </c>
      <c r="X12" t="s">
        <v>152</v>
      </c>
      <c r="Y12" t="s">
        <v>148</v>
      </c>
      <c r="Z12" t="s">
        <v>156</v>
      </c>
      <c r="AA12" t="s">
        <v>153</v>
      </c>
      <c r="AB12" t="s">
        <v>148</v>
      </c>
      <c r="AC12" t="s">
        <v>156</v>
      </c>
      <c r="AD12" t="s">
        <v>154</v>
      </c>
      <c r="AE12" t="s">
        <v>148</v>
      </c>
      <c r="AF12" t="s">
        <v>156</v>
      </c>
      <c r="AG12" t="s">
        <v>155</v>
      </c>
      <c r="AH12" t="s">
        <v>148</v>
      </c>
      <c r="AI12" t="s">
        <v>156</v>
      </c>
    </row>
    <row r="13" spans="1:35">
      <c r="A13" t="s">
        <v>90</v>
      </c>
      <c r="B13" t="s">
        <v>147</v>
      </c>
      <c r="C13">
        <v>20</v>
      </c>
      <c r="F13" t="s">
        <v>148</v>
      </c>
      <c r="G13">
        <v>424190</v>
      </c>
      <c r="H13">
        <v>4.2418999999999998E-3</v>
      </c>
      <c r="K13" t="s">
        <v>149</v>
      </c>
      <c r="L13" t="s">
        <v>148</v>
      </c>
      <c r="M13">
        <v>853346324</v>
      </c>
      <c r="O13" s="167">
        <f t="shared" si="0"/>
        <v>20.117077818901908</v>
      </c>
      <c r="R13" t="s">
        <v>150</v>
      </c>
      <c r="S13" t="s">
        <v>148</v>
      </c>
      <c r="T13">
        <v>270295</v>
      </c>
      <c r="U13" s="137" cm="1">
        <f t="array" ref="U13">_xlfn.IFS(T13="null",0,T13="","",T13/G13&gt;=0,T13/G13)</f>
        <v>0.63720266861547892</v>
      </c>
      <c r="X13" t="s">
        <v>152</v>
      </c>
      <c r="Y13" t="s">
        <v>148</v>
      </c>
      <c r="Z13" t="s">
        <v>156</v>
      </c>
      <c r="AA13" t="s">
        <v>153</v>
      </c>
      <c r="AB13" t="s">
        <v>148</v>
      </c>
      <c r="AC13" t="s">
        <v>156</v>
      </c>
      <c r="AD13" t="s">
        <v>154</v>
      </c>
      <c r="AE13" t="s">
        <v>148</v>
      </c>
      <c r="AF13" t="s">
        <v>156</v>
      </c>
      <c r="AG13" t="s">
        <v>155</v>
      </c>
      <c r="AH13" t="s">
        <v>148</v>
      </c>
      <c r="AI13" t="s">
        <v>156</v>
      </c>
    </row>
    <row r="14" spans="1:35">
      <c r="A14" t="s">
        <v>90</v>
      </c>
      <c r="B14" t="s">
        <v>147</v>
      </c>
      <c r="C14">
        <v>25</v>
      </c>
      <c r="F14" t="s">
        <v>148</v>
      </c>
      <c r="G14">
        <v>114217</v>
      </c>
      <c r="H14">
        <v>1.1421700000000001E-3</v>
      </c>
      <c r="K14" t="s">
        <v>149</v>
      </c>
      <c r="L14" t="s">
        <v>148</v>
      </c>
      <c r="M14">
        <v>286085563</v>
      </c>
      <c r="O14" s="167">
        <f t="shared" si="0"/>
        <v>25.047546599893185</v>
      </c>
      <c r="R14" t="s">
        <v>150</v>
      </c>
      <c r="S14" t="s">
        <v>148</v>
      </c>
      <c r="T14">
        <v>1078</v>
      </c>
      <c r="U14" s="137" cm="1">
        <f t="array" ref="U14">_xlfn.IFS(T14="null",0,T14="","",T14/G14&gt;=0,T14/G14)</f>
        <v>9.4381747025399018E-3</v>
      </c>
      <c r="X14" t="s">
        <v>152</v>
      </c>
      <c r="Y14" t="s">
        <v>148</v>
      </c>
      <c r="Z14" t="s">
        <v>156</v>
      </c>
      <c r="AA14" t="s">
        <v>153</v>
      </c>
      <c r="AB14" t="s">
        <v>148</v>
      </c>
      <c r="AC14" t="s">
        <v>156</v>
      </c>
      <c r="AD14" t="s">
        <v>154</v>
      </c>
      <c r="AE14" t="s">
        <v>148</v>
      </c>
      <c r="AF14" t="s">
        <v>156</v>
      </c>
      <c r="AG14" t="s">
        <v>155</v>
      </c>
      <c r="AH14" t="s">
        <v>148</v>
      </c>
      <c r="AI14" t="s">
        <v>156</v>
      </c>
    </row>
    <row r="15" spans="1:35">
      <c r="A15" t="s">
        <v>90</v>
      </c>
      <c r="B15" t="s">
        <v>147</v>
      </c>
      <c r="C15">
        <v>30</v>
      </c>
      <c r="F15" t="s">
        <v>148</v>
      </c>
      <c r="G15">
        <v>195545</v>
      </c>
      <c r="H15">
        <v>1.9554500000000001E-3</v>
      </c>
      <c r="K15" t="s">
        <v>149</v>
      </c>
      <c r="L15" t="s">
        <v>148</v>
      </c>
      <c r="M15">
        <v>587865551</v>
      </c>
      <c r="O15" s="167">
        <f t="shared" si="0"/>
        <v>30.062929300161091</v>
      </c>
      <c r="R15" t="s">
        <v>150</v>
      </c>
      <c r="S15" t="s">
        <v>148</v>
      </c>
      <c r="T15">
        <v>195536</v>
      </c>
      <c r="U15" s="137" cm="1">
        <f t="array" ref="U15">_xlfn.IFS(T15="null",0,T15="","",T15/G15&gt;=0,T15/G15)</f>
        <v>0.99995397478841186</v>
      </c>
      <c r="X15" t="s">
        <v>152</v>
      </c>
      <c r="Y15" t="s">
        <v>148</v>
      </c>
      <c r="Z15" t="s">
        <v>156</v>
      </c>
      <c r="AA15" t="s">
        <v>153</v>
      </c>
      <c r="AB15" t="s">
        <v>148</v>
      </c>
      <c r="AC15" t="s">
        <v>156</v>
      </c>
      <c r="AD15" t="s">
        <v>154</v>
      </c>
      <c r="AE15" t="s">
        <v>148</v>
      </c>
      <c r="AF15" t="s">
        <v>156</v>
      </c>
      <c r="AG15" t="s">
        <v>155</v>
      </c>
      <c r="AH15" t="s">
        <v>148</v>
      </c>
      <c r="AI15" t="s">
        <v>156</v>
      </c>
    </row>
    <row r="16" spans="1:35">
      <c r="A16" t="s">
        <v>90</v>
      </c>
      <c r="B16" t="s">
        <v>147</v>
      </c>
      <c r="C16">
        <v>35</v>
      </c>
      <c r="F16" t="s">
        <v>148</v>
      </c>
      <c r="G16">
        <v>736</v>
      </c>
      <c r="H16">
        <v>7.3599999999999998E-6</v>
      </c>
      <c r="K16" t="s">
        <v>149</v>
      </c>
      <c r="L16" t="s">
        <v>148</v>
      </c>
      <c r="M16">
        <v>2576746</v>
      </c>
      <c r="O16" s="167">
        <f t="shared" si="0"/>
        <v>35.010135869565218</v>
      </c>
      <c r="R16" t="s">
        <v>150</v>
      </c>
      <c r="S16" t="s">
        <v>148</v>
      </c>
      <c r="T16">
        <v>736</v>
      </c>
      <c r="U16" s="137" cm="1">
        <f t="array" ref="U16">_xlfn.IFS(T16="null",0,T16="","",T16/G16&gt;=0,T16/G16)</f>
        <v>1</v>
      </c>
      <c r="X16" t="s">
        <v>152</v>
      </c>
      <c r="Y16" t="s">
        <v>148</v>
      </c>
      <c r="Z16" t="s">
        <v>156</v>
      </c>
      <c r="AA16" t="s">
        <v>153</v>
      </c>
      <c r="AB16" t="s">
        <v>148</v>
      </c>
      <c r="AC16" t="s">
        <v>156</v>
      </c>
      <c r="AD16" t="s">
        <v>154</v>
      </c>
      <c r="AE16" t="s">
        <v>148</v>
      </c>
      <c r="AF16" t="s">
        <v>156</v>
      </c>
      <c r="AG16" t="s">
        <v>155</v>
      </c>
      <c r="AH16" t="s">
        <v>148</v>
      </c>
      <c r="AI16" t="s">
        <v>156</v>
      </c>
    </row>
    <row r="17" spans="1:35">
      <c r="A17" t="s">
        <v>90</v>
      </c>
      <c r="B17" t="s">
        <v>147</v>
      </c>
      <c r="C17">
        <v>40</v>
      </c>
      <c r="F17" t="s">
        <v>148</v>
      </c>
      <c r="G17">
        <v>817</v>
      </c>
      <c r="H17">
        <v>8.1699999999999997E-6</v>
      </c>
      <c r="K17" t="s">
        <v>149</v>
      </c>
      <c r="L17" t="s">
        <v>148</v>
      </c>
      <c r="M17">
        <v>3275286</v>
      </c>
      <c r="O17" s="167">
        <f t="shared" si="0"/>
        <v>40.08917992656059</v>
      </c>
      <c r="R17" t="s">
        <v>150</v>
      </c>
      <c r="S17" t="s">
        <v>148</v>
      </c>
      <c r="T17">
        <v>817</v>
      </c>
      <c r="U17" s="137" cm="1">
        <f t="array" ref="U17">_xlfn.IFS(T17="null",0,T17="","",T17/G17&gt;=0,T17/G17)</f>
        <v>1</v>
      </c>
      <c r="X17" t="s">
        <v>152</v>
      </c>
      <c r="Y17" t="s">
        <v>148</v>
      </c>
      <c r="Z17" t="s">
        <v>156</v>
      </c>
      <c r="AA17" t="s">
        <v>153</v>
      </c>
      <c r="AB17" t="s">
        <v>148</v>
      </c>
      <c r="AC17" t="s">
        <v>156</v>
      </c>
      <c r="AD17" t="s">
        <v>154</v>
      </c>
      <c r="AE17" t="s">
        <v>148</v>
      </c>
      <c r="AF17" t="s">
        <v>156</v>
      </c>
      <c r="AG17" t="s">
        <v>155</v>
      </c>
      <c r="AH17" t="s">
        <v>148</v>
      </c>
      <c r="AI17" t="s">
        <v>156</v>
      </c>
    </row>
    <row r="18" spans="1:35">
      <c r="A18" t="s">
        <v>90</v>
      </c>
      <c r="B18" t="s">
        <v>147</v>
      </c>
      <c r="C18">
        <v>50</v>
      </c>
      <c r="F18" t="s">
        <v>148</v>
      </c>
      <c r="G18">
        <v>460407</v>
      </c>
      <c r="H18">
        <v>4.60407E-3</v>
      </c>
      <c r="K18" t="s">
        <v>149</v>
      </c>
      <c r="L18" t="s">
        <v>148</v>
      </c>
      <c r="M18">
        <v>2348038140</v>
      </c>
      <c r="O18" s="167">
        <f t="shared" si="0"/>
        <v>50.999184200066466</v>
      </c>
      <c r="R18" t="s">
        <v>150</v>
      </c>
      <c r="S18" t="s">
        <v>148</v>
      </c>
      <c r="T18">
        <v>114803</v>
      </c>
      <c r="U18" s="137" cm="1">
        <f t="array" ref="U18">_xlfn.IFS(T18="null",0,T18="","",T18/G18&gt;=0,T18/G18)</f>
        <v>0.24935111759812514</v>
      </c>
      <c r="X18" t="s">
        <v>152</v>
      </c>
      <c r="Y18" t="s">
        <v>148</v>
      </c>
      <c r="Z18" t="s">
        <v>156</v>
      </c>
      <c r="AA18" t="s">
        <v>153</v>
      </c>
      <c r="AB18" t="s">
        <v>148</v>
      </c>
      <c r="AC18" t="s">
        <v>156</v>
      </c>
      <c r="AD18" t="s">
        <v>154</v>
      </c>
      <c r="AE18" t="s">
        <v>148</v>
      </c>
      <c r="AF18" t="s">
        <v>156</v>
      </c>
      <c r="AG18" t="s">
        <v>155</v>
      </c>
      <c r="AH18" t="s">
        <v>148</v>
      </c>
      <c r="AI18" t="s">
        <v>156</v>
      </c>
    </row>
    <row r="19" spans="1:35">
      <c r="A19" t="s">
        <v>90</v>
      </c>
      <c r="B19" t="s">
        <v>147</v>
      </c>
      <c r="C19">
        <v>60</v>
      </c>
      <c r="F19" t="s">
        <v>148</v>
      </c>
      <c r="G19">
        <v>1543</v>
      </c>
      <c r="H19">
        <v>1.543E-5</v>
      </c>
      <c r="K19" t="s">
        <v>149</v>
      </c>
      <c r="L19" t="s">
        <v>148</v>
      </c>
      <c r="M19">
        <v>9434818</v>
      </c>
      <c r="O19" s="167">
        <f t="shared" si="0"/>
        <v>61.145936487362277</v>
      </c>
      <c r="R19" t="s">
        <v>150</v>
      </c>
      <c r="S19" t="s">
        <v>148</v>
      </c>
      <c r="T19">
        <v>483</v>
      </c>
      <c r="U19" s="137" cm="1">
        <f t="array" ref="U19">_xlfn.IFS(T19="null",0,T19="","",T19/G19&gt;=0,T19/G19)</f>
        <v>0.31302657161373948</v>
      </c>
      <c r="X19" t="s">
        <v>152</v>
      </c>
      <c r="Y19" t="s">
        <v>148</v>
      </c>
      <c r="Z19" t="s">
        <v>156</v>
      </c>
      <c r="AA19" t="s">
        <v>153</v>
      </c>
      <c r="AB19" t="s">
        <v>148</v>
      </c>
      <c r="AC19" t="s">
        <v>156</v>
      </c>
      <c r="AD19" t="s">
        <v>154</v>
      </c>
      <c r="AE19" t="s">
        <v>148</v>
      </c>
      <c r="AF19" t="s">
        <v>156</v>
      </c>
      <c r="AG19" t="s">
        <v>155</v>
      </c>
      <c r="AH19" t="s">
        <v>148</v>
      </c>
      <c r="AI19" t="s">
        <v>156</v>
      </c>
    </row>
    <row r="20" spans="1:35">
      <c r="A20" t="s">
        <v>90</v>
      </c>
      <c r="B20" t="s">
        <v>147</v>
      </c>
      <c r="C20">
        <v>70</v>
      </c>
      <c r="F20" t="s">
        <v>148</v>
      </c>
      <c r="G20">
        <v>23</v>
      </c>
      <c r="H20">
        <v>2.2999999999999999E-7</v>
      </c>
      <c r="K20" t="s">
        <v>149</v>
      </c>
      <c r="L20" t="s">
        <v>148</v>
      </c>
      <c r="M20">
        <v>166600</v>
      </c>
      <c r="O20" s="167">
        <f t="shared" si="0"/>
        <v>72.434782608695656</v>
      </c>
      <c r="R20" t="s">
        <v>150</v>
      </c>
      <c r="S20" t="s">
        <v>148</v>
      </c>
      <c r="T20">
        <v>14</v>
      </c>
      <c r="U20" s="137" cm="1">
        <f t="array" ref="U20">_xlfn.IFS(T20="null",0,T20="","",T20/G20&gt;=0,T20/G20)</f>
        <v>0.60869565217391308</v>
      </c>
      <c r="X20" t="s">
        <v>152</v>
      </c>
      <c r="Y20" t="s">
        <v>148</v>
      </c>
      <c r="Z20" t="s">
        <v>156</v>
      </c>
      <c r="AA20" t="s">
        <v>153</v>
      </c>
      <c r="AB20" t="s">
        <v>148</v>
      </c>
      <c r="AC20" t="s">
        <v>156</v>
      </c>
      <c r="AD20" t="s">
        <v>154</v>
      </c>
      <c r="AE20" t="s">
        <v>148</v>
      </c>
      <c r="AF20" t="s">
        <v>156</v>
      </c>
      <c r="AG20" t="s">
        <v>155</v>
      </c>
      <c r="AH20" t="s">
        <v>148</v>
      </c>
      <c r="AI20" t="s">
        <v>156</v>
      </c>
    </row>
    <row r="21" spans="1:35">
      <c r="A21" t="s">
        <v>90</v>
      </c>
      <c r="B21" t="s">
        <v>147</v>
      </c>
      <c r="C21">
        <v>80</v>
      </c>
      <c r="F21" t="s">
        <v>148</v>
      </c>
      <c r="G21">
        <v>12</v>
      </c>
      <c r="H21">
        <v>1.1999999999999999E-7</v>
      </c>
      <c r="K21" t="s">
        <v>149</v>
      </c>
      <c r="L21" t="s">
        <v>148</v>
      </c>
      <c r="M21">
        <v>96500</v>
      </c>
      <c r="O21" s="167">
        <f t="shared" si="0"/>
        <v>80.416666666666671</v>
      </c>
      <c r="R21" t="s">
        <v>150</v>
      </c>
      <c r="S21" t="s">
        <v>148</v>
      </c>
      <c r="T21">
        <v>12</v>
      </c>
      <c r="U21" s="137" cm="1">
        <f t="array" ref="U21">_xlfn.IFS(T21="null",0,T21="","",T21/G21&gt;=0,T21/G21)</f>
        <v>1</v>
      </c>
      <c r="X21" t="s">
        <v>152</v>
      </c>
      <c r="Y21" t="s">
        <v>148</v>
      </c>
      <c r="Z21" t="s">
        <v>156</v>
      </c>
      <c r="AA21" t="s">
        <v>153</v>
      </c>
      <c r="AB21" t="s">
        <v>148</v>
      </c>
      <c r="AC21" t="s">
        <v>156</v>
      </c>
      <c r="AD21" t="s">
        <v>154</v>
      </c>
      <c r="AE21" t="s">
        <v>148</v>
      </c>
      <c r="AF21" t="s">
        <v>156</v>
      </c>
      <c r="AG21" t="s">
        <v>155</v>
      </c>
      <c r="AH21" t="s">
        <v>148</v>
      </c>
      <c r="AI21" t="s">
        <v>156</v>
      </c>
    </row>
    <row r="22" spans="1:35">
      <c r="A22" t="s">
        <v>90</v>
      </c>
      <c r="B22" t="s">
        <v>147</v>
      </c>
      <c r="C22">
        <v>100</v>
      </c>
      <c r="F22" t="s">
        <v>148</v>
      </c>
      <c r="G22">
        <v>79314</v>
      </c>
      <c r="H22">
        <v>7.9314000000000001E-4</v>
      </c>
      <c r="K22" t="s">
        <v>149</v>
      </c>
      <c r="L22" t="s">
        <v>148</v>
      </c>
      <c r="M22">
        <v>800039132</v>
      </c>
      <c r="O22" s="167">
        <f t="shared" si="0"/>
        <v>100.86985046776104</v>
      </c>
      <c r="R22" t="s">
        <v>150</v>
      </c>
      <c r="S22" t="s">
        <v>148</v>
      </c>
      <c r="T22">
        <v>4181</v>
      </c>
      <c r="U22" s="137" cm="1">
        <f t="array" ref="U22">_xlfn.IFS(T22="null",0,T22="","",T22/G22&gt;=0,T22/G22)</f>
        <v>5.2714527069622007E-2</v>
      </c>
      <c r="X22" t="s">
        <v>152</v>
      </c>
      <c r="Y22" t="s">
        <v>148</v>
      </c>
      <c r="Z22" t="s">
        <v>156</v>
      </c>
      <c r="AA22" t="s">
        <v>153</v>
      </c>
      <c r="AB22" t="s">
        <v>148</v>
      </c>
      <c r="AC22" t="s">
        <v>156</v>
      </c>
      <c r="AD22" t="s">
        <v>154</v>
      </c>
      <c r="AE22" t="s">
        <v>148</v>
      </c>
      <c r="AF22" t="s">
        <v>156</v>
      </c>
      <c r="AG22" t="s">
        <v>155</v>
      </c>
      <c r="AH22" t="s">
        <v>148</v>
      </c>
      <c r="AI22" t="s">
        <v>156</v>
      </c>
    </row>
    <row r="23" spans="1:35">
      <c r="A23" t="s">
        <v>90</v>
      </c>
      <c r="B23" t="s">
        <v>147</v>
      </c>
      <c r="C23">
        <v>120</v>
      </c>
      <c r="F23" t="s">
        <v>148</v>
      </c>
      <c r="G23">
        <v>26</v>
      </c>
      <c r="H23">
        <v>2.6E-7</v>
      </c>
      <c r="K23" t="s">
        <v>149</v>
      </c>
      <c r="L23" t="s">
        <v>148</v>
      </c>
      <c r="M23">
        <v>321900</v>
      </c>
      <c r="O23" s="167">
        <f t="shared" si="0"/>
        <v>123.80769230769231</v>
      </c>
      <c r="R23" t="s">
        <v>150</v>
      </c>
      <c r="S23" t="s">
        <v>148</v>
      </c>
      <c r="T23">
        <v>26</v>
      </c>
      <c r="U23" s="137" cm="1">
        <f t="array" ref="U23">_xlfn.IFS(T23="null",0,T23="","",T23/G23&gt;=0,T23/G23)</f>
        <v>1</v>
      </c>
      <c r="X23" t="s">
        <v>152</v>
      </c>
      <c r="Y23" t="s">
        <v>148</v>
      </c>
      <c r="Z23" t="s">
        <v>156</v>
      </c>
      <c r="AA23" t="s">
        <v>153</v>
      </c>
      <c r="AB23" t="s">
        <v>148</v>
      </c>
      <c r="AC23" t="s">
        <v>156</v>
      </c>
      <c r="AD23" t="s">
        <v>154</v>
      </c>
      <c r="AE23" t="s">
        <v>148</v>
      </c>
      <c r="AF23" t="s">
        <v>156</v>
      </c>
      <c r="AG23" t="s">
        <v>155</v>
      </c>
      <c r="AH23" t="s">
        <v>148</v>
      </c>
      <c r="AI23" t="s">
        <v>156</v>
      </c>
    </row>
    <row r="24" spans="1:35">
      <c r="A24" t="s">
        <v>90</v>
      </c>
      <c r="B24" t="s">
        <v>147</v>
      </c>
      <c r="C24">
        <v>140</v>
      </c>
      <c r="F24" t="s">
        <v>148</v>
      </c>
      <c r="G24">
        <v>8</v>
      </c>
      <c r="H24">
        <v>8.0000000000000002E-8</v>
      </c>
      <c r="K24" t="s">
        <v>149</v>
      </c>
      <c r="L24" t="s">
        <v>148</v>
      </c>
      <c r="M24">
        <v>120600</v>
      </c>
      <c r="O24" s="167">
        <f t="shared" si="0"/>
        <v>150.75</v>
      </c>
      <c r="R24" t="s">
        <v>150</v>
      </c>
      <c r="S24" t="s">
        <v>148</v>
      </c>
      <c r="T24">
        <v>6</v>
      </c>
      <c r="U24" s="137" cm="1">
        <f t="array" ref="U24">_xlfn.IFS(T24="null",0,T24="","",T24/G24&gt;=0,T24/G24)</f>
        <v>0.75</v>
      </c>
      <c r="X24" t="s">
        <v>152</v>
      </c>
      <c r="Y24" t="s">
        <v>148</v>
      </c>
      <c r="Z24" t="s">
        <v>156</v>
      </c>
      <c r="AA24" t="s">
        <v>153</v>
      </c>
      <c r="AB24" t="s">
        <v>148</v>
      </c>
      <c r="AC24" t="s">
        <v>156</v>
      </c>
      <c r="AD24" t="s">
        <v>154</v>
      </c>
      <c r="AE24" t="s">
        <v>148</v>
      </c>
      <c r="AF24" t="s">
        <v>156</v>
      </c>
      <c r="AG24" t="s">
        <v>155</v>
      </c>
      <c r="AH24" t="s">
        <v>148</v>
      </c>
      <c r="AI24" t="s">
        <v>156</v>
      </c>
    </row>
    <row r="25" spans="1:35">
      <c r="A25" t="s">
        <v>90</v>
      </c>
      <c r="B25" t="s">
        <v>147</v>
      </c>
      <c r="C25">
        <v>200</v>
      </c>
      <c r="F25" t="s">
        <v>148</v>
      </c>
      <c r="G25">
        <v>4945</v>
      </c>
      <c r="H25">
        <v>4.9450000000000003E-5</v>
      </c>
      <c r="K25" t="s">
        <v>149</v>
      </c>
      <c r="L25" t="s">
        <v>148</v>
      </c>
      <c r="M25">
        <v>99448648</v>
      </c>
      <c r="O25" s="167">
        <f t="shared" si="0"/>
        <v>201.10950050556119</v>
      </c>
      <c r="R25" t="s">
        <v>150</v>
      </c>
      <c r="S25" t="s">
        <v>148</v>
      </c>
      <c r="T25">
        <v>826</v>
      </c>
      <c r="U25" s="137" cm="1">
        <f t="array" ref="U25">_xlfn.IFS(T25="null",0,T25="","",T25/G25&gt;=0,T25/G25)</f>
        <v>0.16703741152679474</v>
      </c>
      <c r="X25" t="s">
        <v>152</v>
      </c>
      <c r="Y25" t="s">
        <v>148</v>
      </c>
      <c r="Z25" t="s">
        <v>156</v>
      </c>
      <c r="AA25" t="s">
        <v>153</v>
      </c>
      <c r="AB25" t="s">
        <v>148</v>
      </c>
      <c r="AC25" t="s">
        <v>156</v>
      </c>
      <c r="AD25" t="s">
        <v>154</v>
      </c>
      <c r="AE25" t="s">
        <v>148</v>
      </c>
      <c r="AF25" t="s">
        <v>156</v>
      </c>
      <c r="AG25" t="s">
        <v>155</v>
      </c>
      <c r="AH25" t="s">
        <v>148</v>
      </c>
      <c r="AI25" t="s">
        <v>156</v>
      </c>
    </row>
    <row r="26" spans="1:35">
      <c r="U26" s="137" t="str" cm="1">
        <f t="array" ref="U26">_xlfn.IFS(T26="null",0,T26="","",T26/G26&gt;=0,T26/G26)</f>
        <v/>
      </c>
    </row>
    <row r="28" spans="1:35">
      <c r="A28" t="s">
        <v>92</v>
      </c>
      <c r="B28" t="s">
        <v>147</v>
      </c>
      <c r="C28">
        <v>-1</v>
      </c>
      <c r="F28" t="s">
        <v>148</v>
      </c>
      <c r="G28">
        <v>0</v>
      </c>
      <c r="H28" s="191" cm="1">
        <f t="array" ref="H28:H42">G28:G42/SUM(G28:$G42)</f>
        <v>0</v>
      </c>
      <c r="O28"/>
      <c r="U28" s="167"/>
    </row>
    <row r="29" spans="1:35">
      <c r="A29" t="s">
        <v>92</v>
      </c>
      <c r="B29" t="s">
        <v>147</v>
      </c>
      <c r="C29">
        <v>9</v>
      </c>
      <c r="F29" t="s">
        <v>148</v>
      </c>
      <c r="G29">
        <v>33336949</v>
      </c>
      <c r="H29" s="191">
        <v>0.33336948999999999</v>
      </c>
      <c r="K29" t="s">
        <v>149</v>
      </c>
      <c r="L29" t="s">
        <v>148</v>
      </c>
      <c r="M29">
        <v>3333694900000</v>
      </c>
      <c r="O29" s="167">
        <f>M29/G29/$O$1/100</f>
        <v>10</v>
      </c>
      <c r="R29" t="s">
        <v>150</v>
      </c>
      <c r="S29" t="s">
        <v>148</v>
      </c>
      <c r="T29" t="s">
        <v>156</v>
      </c>
      <c r="U29" t="s">
        <v>152</v>
      </c>
      <c r="V29" t="s">
        <v>148</v>
      </c>
      <c r="W29" t="s">
        <v>156</v>
      </c>
      <c r="X29" t="s">
        <v>153</v>
      </c>
      <c r="Y29" s="167" t="s">
        <v>148</v>
      </c>
      <c r="Z29" t="s">
        <v>156</v>
      </c>
      <c r="AA29" t="s">
        <v>154</v>
      </c>
      <c r="AB29" t="s">
        <v>148</v>
      </c>
      <c r="AC29" t="s">
        <v>156</v>
      </c>
      <c r="AD29" t="s">
        <v>155</v>
      </c>
      <c r="AE29" t="s">
        <v>148</v>
      </c>
      <c r="AF29" t="s">
        <v>156</v>
      </c>
    </row>
    <row r="30" spans="1:35">
      <c r="A30" t="s">
        <v>92</v>
      </c>
      <c r="B30" t="s">
        <v>147</v>
      </c>
      <c r="C30">
        <v>10</v>
      </c>
      <c r="F30" t="s">
        <v>148</v>
      </c>
      <c r="G30">
        <v>17727524</v>
      </c>
      <c r="H30" s="191">
        <v>0.17727524</v>
      </c>
      <c r="K30" t="s">
        <v>149</v>
      </c>
      <c r="L30" t="s">
        <v>148</v>
      </c>
      <c r="M30">
        <v>1828251432300</v>
      </c>
      <c r="O30" s="167">
        <f t="shared" ref="O30:O42" si="1">M30/G30/$O$1/100</f>
        <v>10.313067026731989</v>
      </c>
      <c r="R30" t="s">
        <v>150</v>
      </c>
      <c r="S30" t="s">
        <v>148</v>
      </c>
      <c r="T30" t="s">
        <v>156</v>
      </c>
      <c r="U30" t="s">
        <v>152</v>
      </c>
      <c r="V30" t="s">
        <v>148</v>
      </c>
      <c r="W30">
        <v>1064152</v>
      </c>
      <c r="X30" t="s">
        <v>153</v>
      </c>
      <c r="Y30" s="167" t="s">
        <v>148</v>
      </c>
      <c r="Z30" t="s">
        <v>156</v>
      </c>
      <c r="AA30" t="s">
        <v>154</v>
      </c>
      <c r="AB30" t="s">
        <v>148</v>
      </c>
      <c r="AC30" t="s">
        <v>156</v>
      </c>
      <c r="AD30" t="s">
        <v>155</v>
      </c>
      <c r="AE30" t="s">
        <v>148</v>
      </c>
      <c r="AF30" t="s">
        <v>156</v>
      </c>
    </row>
    <row r="31" spans="1:35">
      <c r="A31" t="s">
        <v>92</v>
      </c>
      <c r="B31" t="s">
        <v>147</v>
      </c>
      <c r="C31">
        <v>15</v>
      </c>
      <c r="F31" t="s">
        <v>148</v>
      </c>
      <c r="G31">
        <v>9648061</v>
      </c>
      <c r="H31" s="191">
        <v>9.6480609999999994E-2</v>
      </c>
      <c r="K31" t="s">
        <v>149</v>
      </c>
      <c r="L31" t="s">
        <v>148</v>
      </c>
      <c r="M31">
        <v>1923316015100</v>
      </c>
      <c r="O31" s="167">
        <f t="shared" si="1"/>
        <v>19.934741448048474</v>
      </c>
      <c r="R31" t="s">
        <v>150</v>
      </c>
      <c r="S31" t="s">
        <v>148</v>
      </c>
      <c r="T31">
        <v>2068461</v>
      </c>
      <c r="U31" t="s">
        <v>152</v>
      </c>
      <c r="V31" t="s">
        <v>148</v>
      </c>
      <c r="W31">
        <v>916827</v>
      </c>
      <c r="X31" t="s">
        <v>153</v>
      </c>
      <c r="Y31" s="167" t="s">
        <v>148</v>
      </c>
      <c r="Z31" t="s">
        <v>156</v>
      </c>
      <c r="AA31" t="s">
        <v>154</v>
      </c>
      <c r="AB31" t="s">
        <v>148</v>
      </c>
      <c r="AC31" t="s">
        <v>156</v>
      </c>
      <c r="AD31" t="s">
        <v>155</v>
      </c>
      <c r="AE31" t="s">
        <v>148</v>
      </c>
      <c r="AF31" t="s">
        <v>156</v>
      </c>
    </row>
    <row r="32" spans="1:35">
      <c r="A32" t="s">
        <v>92</v>
      </c>
      <c r="B32" t="s">
        <v>147</v>
      </c>
      <c r="C32">
        <v>20</v>
      </c>
      <c r="F32" t="s">
        <v>148</v>
      </c>
      <c r="G32">
        <v>9517584</v>
      </c>
      <c r="H32" s="191">
        <v>9.5175839999999998E-2</v>
      </c>
      <c r="K32" t="s">
        <v>149</v>
      </c>
      <c r="L32" t="s">
        <v>148</v>
      </c>
      <c r="M32">
        <v>1994464122700</v>
      </c>
      <c r="O32" s="167">
        <f t="shared" si="1"/>
        <v>20.955571526345341</v>
      </c>
      <c r="R32" t="s">
        <v>150</v>
      </c>
      <c r="S32" t="s">
        <v>148</v>
      </c>
      <c r="T32">
        <v>1033717</v>
      </c>
      <c r="U32" t="s">
        <v>152</v>
      </c>
      <c r="V32" t="s">
        <v>148</v>
      </c>
      <c r="W32">
        <v>5149721</v>
      </c>
      <c r="X32" t="s">
        <v>153</v>
      </c>
      <c r="Y32" s="167" t="s">
        <v>148</v>
      </c>
      <c r="Z32" t="s">
        <v>156</v>
      </c>
      <c r="AA32" t="s">
        <v>154</v>
      </c>
      <c r="AB32" t="s">
        <v>148</v>
      </c>
      <c r="AC32" t="s">
        <v>156</v>
      </c>
      <c r="AD32" t="s">
        <v>155</v>
      </c>
      <c r="AE32" t="s">
        <v>148</v>
      </c>
      <c r="AF32" t="s">
        <v>156</v>
      </c>
    </row>
    <row r="33" spans="1:32">
      <c r="A33" t="s">
        <v>92</v>
      </c>
      <c r="B33" t="s">
        <v>147</v>
      </c>
      <c r="C33">
        <v>25</v>
      </c>
      <c r="F33" t="s">
        <v>148</v>
      </c>
      <c r="G33">
        <v>3919154</v>
      </c>
      <c r="H33" s="191">
        <v>3.9191539999999997E-2</v>
      </c>
      <c r="K33" t="s">
        <v>149</v>
      </c>
      <c r="L33" t="s">
        <v>148</v>
      </c>
      <c r="M33">
        <v>1089596358800</v>
      </c>
      <c r="O33" s="167">
        <f t="shared" si="1"/>
        <v>27.80182556745665</v>
      </c>
      <c r="R33" t="s">
        <v>150</v>
      </c>
      <c r="S33" t="s">
        <v>148</v>
      </c>
      <c r="T33">
        <v>2125581</v>
      </c>
      <c r="U33" t="s">
        <v>152</v>
      </c>
      <c r="V33" t="s">
        <v>148</v>
      </c>
      <c r="W33">
        <v>1793573</v>
      </c>
      <c r="X33" t="s">
        <v>153</v>
      </c>
      <c r="Y33" s="167" t="s">
        <v>148</v>
      </c>
      <c r="Z33" t="s">
        <v>156</v>
      </c>
      <c r="AA33" t="s">
        <v>154</v>
      </c>
      <c r="AB33" t="s">
        <v>148</v>
      </c>
      <c r="AC33" t="s">
        <v>156</v>
      </c>
      <c r="AD33" t="s">
        <v>155</v>
      </c>
      <c r="AE33" t="s">
        <v>148</v>
      </c>
      <c r="AF33" t="s">
        <v>156</v>
      </c>
    </row>
    <row r="34" spans="1:32">
      <c r="A34" t="s">
        <v>92</v>
      </c>
      <c r="B34" t="s">
        <v>147</v>
      </c>
      <c r="C34">
        <v>30</v>
      </c>
      <c r="F34" t="s">
        <v>148</v>
      </c>
      <c r="G34">
        <v>1064835</v>
      </c>
      <c r="H34" s="191">
        <v>1.0648349999999999E-2</v>
      </c>
      <c r="K34" t="s">
        <v>149</v>
      </c>
      <c r="L34" t="s">
        <v>148</v>
      </c>
      <c r="M34">
        <v>322081769100</v>
      </c>
      <c r="O34" s="167">
        <f t="shared" si="1"/>
        <v>30.24710580512474</v>
      </c>
      <c r="R34" t="s">
        <v>150</v>
      </c>
      <c r="S34" t="s">
        <v>148</v>
      </c>
      <c r="T34">
        <v>1064835</v>
      </c>
      <c r="U34" t="s">
        <v>152</v>
      </c>
      <c r="V34" t="s">
        <v>148</v>
      </c>
      <c r="W34" t="s">
        <v>156</v>
      </c>
      <c r="X34" t="s">
        <v>153</v>
      </c>
      <c r="Y34" s="167" t="s">
        <v>148</v>
      </c>
      <c r="Z34" t="s">
        <v>156</v>
      </c>
      <c r="AA34" t="s">
        <v>154</v>
      </c>
      <c r="AB34" t="s">
        <v>148</v>
      </c>
      <c r="AC34" t="s">
        <v>156</v>
      </c>
      <c r="AD34" t="s">
        <v>155</v>
      </c>
      <c r="AE34" t="s">
        <v>148</v>
      </c>
      <c r="AF34" t="s">
        <v>156</v>
      </c>
    </row>
    <row r="35" spans="1:32">
      <c r="A35" t="s">
        <v>92</v>
      </c>
      <c r="B35" t="s">
        <v>147</v>
      </c>
      <c r="C35">
        <v>35</v>
      </c>
      <c r="F35" t="s">
        <v>148</v>
      </c>
      <c r="G35">
        <v>1533706</v>
      </c>
      <c r="H35" s="191">
        <v>1.533706E-2</v>
      </c>
      <c r="K35" t="s">
        <v>149</v>
      </c>
      <c r="L35" t="s">
        <v>148</v>
      </c>
      <c r="M35">
        <v>613482400000</v>
      </c>
      <c r="O35" s="167">
        <f t="shared" si="1"/>
        <v>40</v>
      </c>
      <c r="R35" t="s">
        <v>150</v>
      </c>
      <c r="S35" t="s">
        <v>148</v>
      </c>
      <c r="T35">
        <v>1533706</v>
      </c>
      <c r="U35" t="s">
        <v>152</v>
      </c>
      <c r="V35" t="s">
        <v>148</v>
      </c>
      <c r="W35" t="s">
        <v>156</v>
      </c>
      <c r="X35" t="s">
        <v>153</v>
      </c>
      <c r="Y35" s="167" t="s">
        <v>148</v>
      </c>
      <c r="Z35" t="s">
        <v>156</v>
      </c>
      <c r="AA35" t="s">
        <v>154</v>
      </c>
      <c r="AB35" t="s">
        <v>148</v>
      </c>
      <c r="AC35" t="s">
        <v>156</v>
      </c>
      <c r="AD35" t="s">
        <v>155</v>
      </c>
      <c r="AE35" t="s">
        <v>148</v>
      </c>
      <c r="AF35" t="s">
        <v>156</v>
      </c>
    </row>
    <row r="36" spans="1:32">
      <c r="A36" t="s">
        <v>92</v>
      </c>
      <c r="B36" t="s">
        <v>147</v>
      </c>
      <c r="C36">
        <v>40</v>
      </c>
      <c r="F36" t="s">
        <v>148</v>
      </c>
      <c r="G36">
        <v>765432</v>
      </c>
      <c r="H36" s="191">
        <v>7.65432E-3</v>
      </c>
      <c r="K36" t="s">
        <v>149</v>
      </c>
      <c r="L36" t="s">
        <v>148</v>
      </c>
      <c r="M36">
        <v>308063977300</v>
      </c>
      <c r="O36" s="167">
        <f t="shared" si="1"/>
        <v>40.247073195267511</v>
      </c>
      <c r="R36" t="s">
        <v>150</v>
      </c>
      <c r="S36" t="s">
        <v>148</v>
      </c>
      <c r="T36">
        <v>765432</v>
      </c>
      <c r="U36" t="s">
        <v>152</v>
      </c>
      <c r="V36" t="s">
        <v>148</v>
      </c>
      <c r="W36" t="s">
        <v>156</v>
      </c>
      <c r="X36" t="s">
        <v>153</v>
      </c>
      <c r="Y36" s="167" t="s">
        <v>148</v>
      </c>
      <c r="Z36" t="s">
        <v>156</v>
      </c>
      <c r="AA36" t="s">
        <v>154</v>
      </c>
      <c r="AB36" t="s">
        <v>148</v>
      </c>
      <c r="AC36" t="s">
        <v>156</v>
      </c>
      <c r="AD36" t="s">
        <v>155</v>
      </c>
      <c r="AE36" t="s">
        <v>148</v>
      </c>
      <c r="AF36" t="s">
        <v>156</v>
      </c>
    </row>
    <row r="37" spans="1:32">
      <c r="A37" t="s">
        <v>92</v>
      </c>
      <c r="B37" t="s">
        <v>147</v>
      </c>
      <c r="C37">
        <v>45</v>
      </c>
      <c r="F37" t="s">
        <v>148</v>
      </c>
      <c r="G37">
        <v>6668782</v>
      </c>
      <c r="H37" s="191">
        <v>6.6687819999999995E-2</v>
      </c>
      <c r="K37" t="s">
        <v>149</v>
      </c>
      <c r="L37" t="s">
        <v>148</v>
      </c>
      <c r="M37">
        <v>3334391000000</v>
      </c>
      <c r="O37" s="167">
        <f t="shared" si="1"/>
        <v>50</v>
      </c>
      <c r="R37" t="s">
        <v>150</v>
      </c>
      <c r="S37" t="s">
        <v>148</v>
      </c>
      <c r="T37" t="s">
        <v>156</v>
      </c>
      <c r="U37" t="s">
        <v>152</v>
      </c>
      <c r="V37" t="s">
        <v>148</v>
      </c>
      <c r="W37" t="s">
        <v>156</v>
      </c>
      <c r="X37" t="s">
        <v>153</v>
      </c>
      <c r="Y37" s="167" t="s">
        <v>148</v>
      </c>
      <c r="Z37" t="s">
        <v>156</v>
      </c>
      <c r="AA37" t="s">
        <v>154</v>
      </c>
      <c r="AB37" t="s">
        <v>148</v>
      </c>
      <c r="AC37" t="s">
        <v>156</v>
      </c>
      <c r="AD37" t="s">
        <v>155</v>
      </c>
      <c r="AE37" t="s">
        <v>148</v>
      </c>
      <c r="AF37" t="s">
        <v>156</v>
      </c>
    </row>
    <row r="38" spans="1:32">
      <c r="A38" t="s">
        <v>92</v>
      </c>
      <c r="B38" t="s">
        <v>147</v>
      </c>
      <c r="C38">
        <v>50</v>
      </c>
      <c r="F38" t="s">
        <v>148</v>
      </c>
      <c r="G38">
        <v>4343122</v>
      </c>
      <c r="H38" s="191">
        <v>4.343122E-2</v>
      </c>
      <c r="K38" t="s">
        <v>149</v>
      </c>
      <c r="L38" t="s">
        <v>148</v>
      </c>
      <c r="M38">
        <v>2313613217000</v>
      </c>
      <c r="O38" s="167">
        <f t="shared" si="1"/>
        <v>53.270739735149043</v>
      </c>
      <c r="R38" t="s">
        <v>150</v>
      </c>
      <c r="S38" t="s">
        <v>148</v>
      </c>
      <c r="T38">
        <v>900379</v>
      </c>
      <c r="U38" t="s">
        <v>152</v>
      </c>
      <c r="V38" t="s">
        <v>148</v>
      </c>
      <c r="W38">
        <v>107367</v>
      </c>
      <c r="X38" t="s">
        <v>153</v>
      </c>
      <c r="Y38" s="167" t="s">
        <v>148</v>
      </c>
      <c r="Z38" t="s">
        <v>156</v>
      </c>
      <c r="AA38" t="s">
        <v>154</v>
      </c>
      <c r="AB38" t="s">
        <v>148</v>
      </c>
      <c r="AC38" t="s">
        <v>156</v>
      </c>
      <c r="AD38" t="s">
        <v>155</v>
      </c>
      <c r="AE38" t="s">
        <v>148</v>
      </c>
      <c r="AF38" t="s">
        <v>156</v>
      </c>
    </row>
    <row r="39" spans="1:32">
      <c r="A39" t="s">
        <v>92</v>
      </c>
      <c r="B39" t="s">
        <v>147</v>
      </c>
      <c r="C39">
        <v>60</v>
      </c>
      <c r="F39" t="s">
        <v>148</v>
      </c>
      <c r="G39">
        <v>1404940</v>
      </c>
      <c r="H39" s="191">
        <v>1.40494E-2</v>
      </c>
      <c r="K39" t="s">
        <v>149</v>
      </c>
      <c r="L39" t="s">
        <v>148</v>
      </c>
      <c r="M39">
        <v>866762822200</v>
      </c>
      <c r="O39" s="167">
        <f t="shared" si="1"/>
        <v>61.693938687773141</v>
      </c>
      <c r="R39" t="s">
        <v>150</v>
      </c>
      <c r="S39" t="s">
        <v>148</v>
      </c>
      <c r="T39">
        <v>449242</v>
      </c>
      <c r="U39" t="s">
        <v>152</v>
      </c>
      <c r="V39" t="s">
        <v>148</v>
      </c>
      <c r="W39">
        <v>955698</v>
      </c>
      <c r="X39" t="s">
        <v>153</v>
      </c>
      <c r="Y39" s="167" t="s">
        <v>148</v>
      </c>
      <c r="Z39" t="s">
        <v>156</v>
      </c>
      <c r="AA39" t="s">
        <v>154</v>
      </c>
      <c r="AB39" t="s">
        <v>148</v>
      </c>
      <c r="AC39" t="s">
        <v>156</v>
      </c>
      <c r="AD39" t="s">
        <v>155</v>
      </c>
      <c r="AE39" t="s">
        <v>148</v>
      </c>
      <c r="AF39" t="s">
        <v>156</v>
      </c>
    </row>
    <row r="40" spans="1:32">
      <c r="A40" t="s">
        <v>92</v>
      </c>
      <c r="B40" t="s">
        <v>147</v>
      </c>
      <c r="C40">
        <v>90</v>
      </c>
      <c r="F40" t="s">
        <v>148</v>
      </c>
      <c r="G40">
        <v>6666050</v>
      </c>
      <c r="H40" s="191">
        <v>6.6660499999999998E-2</v>
      </c>
      <c r="K40" t="s">
        <v>149</v>
      </c>
      <c r="L40" t="s">
        <v>148</v>
      </c>
      <c r="M40">
        <v>6666050000000</v>
      </c>
      <c r="O40" s="167">
        <f t="shared" si="1"/>
        <v>100</v>
      </c>
      <c r="R40" t="s">
        <v>150</v>
      </c>
      <c r="S40" t="s">
        <v>148</v>
      </c>
      <c r="T40" t="s">
        <v>156</v>
      </c>
      <c r="U40" t="s">
        <v>152</v>
      </c>
      <c r="V40" t="s">
        <v>148</v>
      </c>
      <c r="W40" t="s">
        <v>156</v>
      </c>
      <c r="X40" t="s">
        <v>153</v>
      </c>
      <c r="Y40" s="167" t="s">
        <v>148</v>
      </c>
      <c r="Z40" t="s">
        <v>156</v>
      </c>
      <c r="AA40" t="s">
        <v>154</v>
      </c>
      <c r="AB40" t="s">
        <v>148</v>
      </c>
      <c r="AC40" t="s">
        <v>156</v>
      </c>
      <c r="AD40" t="s">
        <v>155</v>
      </c>
      <c r="AE40" t="s">
        <v>148</v>
      </c>
      <c r="AF40" t="s">
        <v>156</v>
      </c>
    </row>
    <row r="41" spans="1:32">
      <c r="A41" t="s">
        <v>92</v>
      </c>
      <c r="B41" t="s">
        <v>147</v>
      </c>
      <c r="C41">
        <v>100</v>
      </c>
      <c r="F41" t="s">
        <v>148</v>
      </c>
      <c r="G41">
        <v>3393938</v>
      </c>
      <c r="H41" s="191">
        <v>3.3939379999999998E-2</v>
      </c>
      <c r="K41" t="s">
        <v>149</v>
      </c>
      <c r="L41" t="s">
        <v>148</v>
      </c>
      <c r="M41">
        <v>3482434721000</v>
      </c>
      <c r="O41" s="167">
        <f t="shared" si="1"/>
        <v>102.60749374325637</v>
      </c>
      <c r="R41" t="s">
        <v>150</v>
      </c>
      <c r="S41" t="s">
        <v>148</v>
      </c>
      <c r="T41">
        <v>48861</v>
      </c>
      <c r="U41" t="s">
        <v>152</v>
      </c>
      <c r="V41" t="s">
        <v>148</v>
      </c>
      <c r="W41">
        <v>8565</v>
      </c>
      <c r="X41" t="s">
        <v>153</v>
      </c>
      <c r="Y41" s="167" t="s">
        <v>148</v>
      </c>
      <c r="Z41" t="s">
        <v>156</v>
      </c>
      <c r="AA41" t="s">
        <v>154</v>
      </c>
      <c r="AB41" t="s">
        <v>148</v>
      </c>
      <c r="AC41" t="s">
        <v>156</v>
      </c>
      <c r="AD41" t="s">
        <v>155</v>
      </c>
      <c r="AE41" t="s">
        <v>148</v>
      </c>
      <c r="AF41" t="s">
        <v>156</v>
      </c>
    </row>
    <row r="42" spans="1:32">
      <c r="A42" t="s">
        <v>92</v>
      </c>
      <c r="B42" t="s">
        <v>147</v>
      </c>
      <c r="C42">
        <v>200</v>
      </c>
      <c r="F42" t="s">
        <v>148</v>
      </c>
      <c r="G42">
        <v>9923</v>
      </c>
      <c r="H42" s="191">
        <v>9.9229999999999997E-5</v>
      </c>
      <c r="K42" t="s">
        <v>149</v>
      </c>
      <c r="L42" t="s">
        <v>148</v>
      </c>
      <c r="M42">
        <v>20846499000</v>
      </c>
      <c r="O42" s="167">
        <f t="shared" si="1"/>
        <v>210.0826262219087</v>
      </c>
      <c r="R42" t="s">
        <v>150</v>
      </c>
      <c r="S42" t="s">
        <v>148</v>
      </c>
      <c r="T42">
        <v>9923</v>
      </c>
      <c r="U42" t="s">
        <v>152</v>
      </c>
      <c r="V42" t="s">
        <v>148</v>
      </c>
      <c r="W42" t="s">
        <v>156</v>
      </c>
      <c r="X42" t="s">
        <v>153</v>
      </c>
      <c r="Y42" s="167" t="s">
        <v>148</v>
      </c>
      <c r="Z42" t="s">
        <v>156</v>
      </c>
      <c r="AA42" t="s">
        <v>154</v>
      </c>
      <c r="AB42" t="s">
        <v>148</v>
      </c>
      <c r="AC42" t="s">
        <v>156</v>
      </c>
      <c r="AD42" t="s">
        <v>155</v>
      </c>
      <c r="AE42" t="s">
        <v>148</v>
      </c>
      <c r="AF42" t="s">
        <v>156</v>
      </c>
    </row>
    <row r="45" spans="1:32">
      <c r="A45" t="s">
        <v>91</v>
      </c>
      <c r="B45" t="s">
        <v>147</v>
      </c>
      <c r="C45">
        <v>-1</v>
      </c>
      <c r="F45" t="s">
        <v>148</v>
      </c>
      <c r="G45">
        <v>19865425</v>
      </c>
      <c r="H45" cm="1">
        <f t="array" ref="H45:H81">G45:G81/SUM(G45:G81)</f>
        <v>0.19865425</v>
      </c>
      <c r="O45"/>
      <c r="T45" s="167"/>
    </row>
    <row r="46" spans="1:32">
      <c r="A46" t="s">
        <v>91</v>
      </c>
      <c r="B46" t="s">
        <v>147</v>
      </c>
      <c r="C46">
        <v>0</v>
      </c>
      <c r="F46" t="s">
        <v>148</v>
      </c>
      <c r="G46">
        <v>35717713</v>
      </c>
      <c r="H46">
        <v>0.35717713000000001</v>
      </c>
      <c r="K46" t="s">
        <v>149</v>
      </c>
      <c r="L46" t="s">
        <v>148</v>
      </c>
      <c r="M46">
        <v>468916323500</v>
      </c>
      <c r="O46">
        <f>M46/G46/500/$O$1</f>
        <v>0.26256794408981338</v>
      </c>
      <c r="R46" t="s">
        <v>150</v>
      </c>
      <c r="S46" t="s">
        <v>148</v>
      </c>
      <c r="T46" t="s">
        <v>156</v>
      </c>
      <c r="U46" t="s">
        <v>152</v>
      </c>
      <c r="V46" t="s">
        <v>148</v>
      </c>
      <c r="W46">
        <v>368688</v>
      </c>
      <c r="X46" s="167" t="s">
        <v>153</v>
      </c>
      <c r="Y46" t="s">
        <v>148</v>
      </c>
      <c r="Z46" t="s">
        <v>156</v>
      </c>
      <c r="AA46" t="s">
        <v>154</v>
      </c>
      <c r="AB46" t="s">
        <v>148</v>
      </c>
      <c r="AC46" t="s">
        <v>156</v>
      </c>
      <c r="AD46" t="s">
        <v>155</v>
      </c>
      <c r="AE46" t="s">
        <v>148</v>
      </c>
      <c r="AF46" t="s">
        <v>156</v>
      </c>
    </row>
    <row r="47" spans="1:32">
      <c r="A47" t="s">
        <v>91</v>
      </c>
      <c r="B47" t="s">
        <v>147</v>
      </c>
      <c r="C47">
        <v>1</v>
      </c>
      <c r="F47" t="s">
        <v>148</v>
      </c>
      <c r="G47">
        <v>8462167</v>
      </c>
      <c r="H47">
        <v>8.4621669999999996E-2</v>
      </c>
      <c r="K47" t="s">
        <v>149</v>
      </c>
      <c r="L47" t="s">
        <v>148</v>
      </c>
      <c r="M47">
        <v>496514175000</v>
      </c>
      <c r="O47">
        <f t="shared" ref="O47:O81" si="2">M47/G47/500/$O$1</f>
        <v>1.1734917899871276</v>
      </c>
      <c r="R47" t="s">
        <v>150</v>
      </c>
      <c r="S47" t="s">
        <v>148</v>
      </c>
      <c r="T47" t="s">
        <v>156</v>
      </c>
      <c r="U47" t="s">
        <v>152</v>
      </c>
      <c r="V47" t="s">
        <v>148</v>
      </c>
      <c r="W47">
        <v>3157695</v>
      </c>
      <c r="X47" s="167" t="s">
        <v>153</v>
      </c>
      <c r="Y47" t="s">
        <v>148</v>
      </c>
      <c r="Z47" t="s">
        <v>156</v>
      </c>
      <c r="AA47" t="s">
        <v>154</v>
      </c>
      <c r="AB47" t="s">
        <v>148</v>
      </c>
      <c r="AC47" t="s">
        <v>156</v>
      </c>
      <c r="AD47" t="s">
        <v>155</v>
      </c>
      <c r="AE47" t="s">
        <v>148</v>
      </c>
      <c r="AF47" t="s">
        <v>156</v>
      </c>
    </row>
    <row r="48" spans="1:32">
      <c r="A48" t="s">
        <v>91</v>
      </c>
      <c r="B48" t="s">
        <v>147</v>
      </c>
      <c r="C48">
        <v>2</v>
      </c>
      <c r="F48" t="s">
        <v>148</v>
      </c>
      <c r="G48">
        <v>1611447</v>
      </c>
      <c r="H48">
        <v>1.6114469999999999E-2</v>
      </c>
      <c r="K48" t="s">
        <v>149</v>
      </c>
      <c r="L48" t="s">
        <v>148</v>
      </c>
      <c r="M48">
        <v>187165800000</v>
      </c>
      <c r="O48">
        <f t="shared" si="2"/>
        <v>2.3229532215456046</v>
      </c>
      <c r="R48" t="s">
        <v>150</v>
      </c>
      <c r="S48" t="s">
        <v>148</v>
      </c>
      <c r="T48" t="s">
        <v>156</v>
      </c>
      <c r="U48" t="s">
        <v>152</v>
      </c>
      <c r="V48" t="s">
        <v>148</v>
      </c>
      <c r="W48">
        <v>191455</v>
      </c>
      <c r="X48" s="167" t="s">
        <v>153</v>
      </c>
      <c r="Y48" t="s">
        <v>148</v>
      </c>
      <c r="Z48" t="s">
        <v>156</v>
      </c>
      <c r="AA48" t="s">
        <v>154</v>
      </c>
      <c r="AB48" t="s">
        <v>148</v>
      </c>
      <c r="AC48" t="s">
        <v>156</v>
      </c>
      <c r="AD48" t="s">
        <v>155</v>
      </c>
      <c r="AE48" t="s">
        <v>148</v>
      </c>
      <c r="AF48" t="s">
        <v>156</v>
      </c>
    </row>
    <row r="49" spans="1:32">
      <c r="A49" t="s">
        <v>91</v>
      </c>
      <c r="B49" t="s">
        <v>147</v>
      </c>
      <c r="C49">
        <v>3</v>
      </c>
      <c r="F49" t="s">
        <v>148</v>
      </c>
      <c r="G49">
        <v>34093</v>
      </c>
      <c r="H49">
        <v>3.4092999999999998E-4</v>
      </c>
      <c r="K49" t="s">
        <v>149</v>
      </c>
      <c r="L49" t="s">
        <v>148</v>
      </c>
      <c r="M49">
        <v>5216411000</v>
      </c>
      <c r="O49">
        <f t="shared" si="2"/>
        <v>3.0601067667849708</v>
      </c>
      <c r="R49" t="s">
        <v>150</v>
      </c>
      <c r="S49" t="s">
        <v>148</v>
      </c>
      <c r="T49" t="s">
        <v>156</v>
      </c>
      <c r="U49" t="s">
        <v>152</v>
      </c>
      <c r="V49" t="s">
        <v>148</v>
      </c>
      <c r="W49">
        <v>320</v>
      </c>
      <c r="X49" s="167" t="s">
        <v>153</v>
      </c>
      <c r="Y49" t="s">
        <v>148</v>
      </c>
      <c r="Z49" t="s">
        <v>156</v>
      </c>
      <c r="AA49" t="s">
        <v>154</v>
      </c>
      <c r="AB49" t="s">
        <v>148</v>
      </c>
      <c r="AC49" t="s">
        <v>156</v>
      </c>
      <c r="AD49" t="s">
        <v>155</v>
      </c>
      <c r="AE49" t="s">
        <v>148</v>
      </c>
      <c r="AF49" t="s">
        <v>156</v>
      </c>
    </row>
    <row r="50" spans="1:32">
      <c r="A50" t="s">
        <v>91</v>
      </c>
      <c r="B50" t="s">
        <v>147</v>
      </c>
      <c r="C50">
        <v>4</v>
      </c>
      <c r="F50" t="s">
        <v>148</v>
      </c>
      <c r="G50">
        <v>2106057</v>
      </c>
      <c r="H50">
        <v>2.1060570000000001E-2</v>
      </c>
      <c r="K50" t="s">
        <v>149</v>
      </c>
      <c r="L50" t="s">
        <v>148</v>
      </c>
      <c r="M50">
        <v>526514250000</v>
      </c>
      <c r="O50">
        <f t="shared" si="2"/>
        <v>5</v>
      </c>
      <c r="R50" t="s">
        <v>150</v>
      </c>
      <c r="S50" t="s">
        <v>148</v>
      </c>
      <c r="T50" t="s">
        <v>156</v>
      </c>
      <c r="U50" t="s">
        <v>152</v>
      </c>
      <c r="V50" t="s">
        <v>148</v>
      </c>
      <c r="W50">
        <v>247968</v>
      </c>
      <c r="X50" s="167" t="s">
        <v>153</v>
      </c>
      <c r="Y50" t="s">
        <v>148</v>
      </c>
      <c r="Z50" t="s">
        <v>156</v>
      </c>
      <c r="AA50" t="s">
        <v>154</v>
      </c>
      <c r="AB50" t="s">
        <v>148</v>
      </c>
      <c r="AC50" t="s">
        <v>156</v>
      </c>
      <c r="AD50" t="s">
        <v>155</v>
      </c>
      <c r="AE50" t="s">
        <v>148</v>
      </c>
      <c r="AF50" t="s">
        <v>156</v>
      </c>
    </row>
    <row r="51" spans="1:32">
      <c r="A51" t="s">
        <v>91</v>
      </c>
      <c r="B51" t="s">
        <v>147</v>
      </c>
      <c r="C51">
        <v>5</v>
      </c>
      <c r="F51" t="s">
        <v>148</v>
      </c>
      <c r="G51">
        <v>4496184</v>
      </c>
      <c r="H51">
        <v>4.4961840000000003E-2</v>
      </c>
      <c r="K51" t="s">
        <v>149</v>
      </c>
      <c r="L51" t="s">
        <v>148</v>
      </c>
      <c r="M51">
        <v>1171096540000</v>
      </c>
      <c r="O51">
        <f t="shared" si="2"/>
        <v>5.2092909898705217</v>
      </c>
      <c r="R51" t="s">
        <v>150</v>
      </c>
      <c r="S51" t="s">
        <v>148</v>
      </c>
      <c r="T51" t="s">
        <v>156</v>
      </c>
      <c r="U51" t="s">
        <v>152</v>
      </c>
      <c r="V51" t="s">
        <v>148</v>
      </c>
      <c r="W51">
        <v>1539628</v>
      </c>
      <c r="X51" s="167" t="s">
        <v>153</v>
      </c>
      <c r="Y51" t="s">
        <v>148</v>
      </c>
      <c r="Z51" t="s">
        <v>156</v>
      </c>
      <c r="AA51" t="s">
        <v>154</v>
      </c>
      <c r="AB51" t="s">
        <v>148</v>
      </c>
      <c r="AC51" t="s">
        <v>156</v>
      </c>
      <c r="AD51" t="s">
        <v>155</v>
      </c>
      <c r="AE51" t="s">
        <v>148</v>
      </c>
      <c r="AF51" t="s">
        <v>156</v>
      </c>
    </row>
    <row r="52" spans="1:32">
      <c r="A52" t="s">
        <v>91</v>
      </c>
      <c r="B52" t="s">
        <v>147</v>
      </c>
      <c r="C52">
        <v>6</v>
      </c>
      <c r="F52" t="s">
        <v>148</v>
      </c>
      <c r="G52">
        <v>178667</v>
      </c>
      <c r="H52">
        <v>1.78667E-3</v>
      </c>
      <c r="K52" t="s">
        <v>149</v>
      </c>
      <c r="L52" t="s">
        <v>148</v>
      </c>
      <c r="M52">
        <v>55054237000</v>
      </c>
      <c r="O52">
        <f t="shared" si="2"/>
        <v>6.1627762261637562</v>
      </c>
      <c r="R52" t="s">
        <v>150</v>
      </c>
      <c r="S52" t="s">
        <v>148</v>
      </c>
      <c r="T52" t="s">
        <v>156</v>
      </c>
      <c r="U52" t="s">
        <v>152</v>
      </c>
      <c r="V52" t="s">
        <v>148</v>
      </c>
      <c r="W52">
        <v>178667</v>
      </c>
      <c r="X52" s="167" t="s">
        <v>153</v>
      </c>
      <c r="Y52" t="s">
        <v>148</v>
      </c>
      <c r="Z52" t="s">
        <v>156</v>
      </c>
      <c r="AA52" t="s">
        <v>154</v>
      </c>
      <c r="AB52" t="s">
        <v>148</v>
      </c>
      <c r="AC52" t="s">
        <v>156</v>
      </c>
      <c r="AD52" t="s">
        <v>155</v>
      </c>
      <c r="AE52" t="s">
        <v>148</v>
      </c>
      <c r="AF52" t="s">
        <v>156</v>
      </c>
    </row>
    <row r="53" spans="1:32">
      <c r="A53" t="s">
        <v>91</v>
      </c>
      <c r="B53" t="s">
        <v>147</v>
      </c>
      <c r="C53">
        <v>7</v>
      </c>
      <c r="F53" t="s">
        <v>148</v>
      </c>
      <c r="G53">
        <v>50815</v>
      </c>
      <c r="H53">
        <v>5.0814999999999996E-4</v>
      </c>
      <c r="K53" t="s">
        <v>149</v>
      </c>
      <c r="L53" t="s">
        <v>148</v>
      </c>
      <c r="M53">
        <v>19291086000</v>
      </c>
      <c r="O53">
        <f t="shared" si="2"/>
        <v>7.5926738167863812</v>
      </c>
      <c r="R53" t="s">
        <v>150</v>
      </c>
      <c r="S53" t="s">
        <v>148</v>
      </c>
      <c r="T53" t="s">
        <v>156</v>
      </c>
      <c r="U53" t="s">
        <v>152</v>
      </c>
      <c r="V53" t="s">
        <v>148</v>
      </c>
      <c r="W53">
        <v>654</v>
      </c>
      <c r="X53" s="167" t="s">
        <v>153</v>
      </c>
      <c r="Y53" t="s">
        <v>148</v>
      </c>
      <c r="Z53" t="s">
        <v>156</v>
      </c>
      <c r="AA53" t="s">
        <v>154</v>
      </c>
      <c r="AB53" t="s">
        <v>148</v>
      </c>
      <c r="AC53" t="s">
        <v>156</v>
      </c>
      <c r="AD53" t="s">
        <v>155</v>
      </c>
      <c r="AE53" t="s">
        <v>148</v>
      </c>
      <c r="AF53" t="s">
        <v>156</v>
      </c>
    </row>
    <row r="54" spans="1:32">
      <c r="A54" t="s">
        <v>91</v>
      </c>
      <c r="B54" t="s">
        <v>147</v>
      </c>
      <c r="C54">
        <v>9</v>
      </c>
      <c r="F54" t="s">
        <v>148</v>
      </c>
      <c r="G54">
        <v>2570801</v>
      </c>
      <c r="H54">
        <v>2.570801E-2</v>
      </c>
      <c r="K54" t="s">
        <v>149</v>
      </c>
      <c r="L54" t="s">
        <v>148</v>
      </c>
      <c r="M54">
        <v>1285400500000</v>
      </c>
      <c r="O54">
        <f t="shared" si="2"/>
        <v>10</v>
      </c>
      <c r="R54" t="s">
        <v>150</v>
      </c>
      <c r="S54" t="s">
        <v>148</v>
      </c>
      <c r="T54">
        <v>310239</v>
      </c>
      <c r="U54" t="s">
        <v>152</v>
      </c>
      <c r="V54" t="s">
        <v>148</v>
      </c>
      <c r="W54">
        <v>217567</v>
      </c>
      <c r="X54" s="167" t="s">
        <v>153</v>
      </c>
      <c r="Y54" t="s">
        <v>148</v>
      </c>
      <c r="Z54" t="s">
        <v>156</v>
      </c>
      <c r="AA54" t="s">
        <v>154</v>
      </c>
      <c r="AB54" t="s">
        <v>148</v>
      </c>
      <c r="AC54" t="s">
        <v>156</v>
      </c>
      <c r="AD54" t="s">
        <v>155</v>
      </c>
      <c r="AE54" t="s">
        <v>148</v>
      </c>
      <c r="AF54" t="s">
        <v>156</v>
      </c>
    </row>
    <row r="55" spans="1:32">
      <c r="A55" t="s">
        <v>91</v>
      </c>
      <c r="B55" t="s">
        <v>147</v>
      </c>
      <c r="C55">
        <v>10</v>
      </c>
      <c r="F55" t="s">
        <v>148</v>
      </c>
      <c r="G55">
        <v>6560563</v>
      </c>
      <c r="H55">
        <v>6.5605629999999998E-2</v>
      </c>
      <c r="K55" t="s">
        <v>149</v>
      </c>
      <c r="L55" t="s">
        <v>148</v>
      </c>
      <c r="M55">
        <v>3440735666000</v>
      </c>
      <c r="O55">
        <f t="shared" si="2"/>
        <v>10.489147550294083</v>
      </c>
      <c r="R55" t="s">
        <v>150</v>
      </c>
      <c r="S55" t="s">
        <v>148</v>
      </c>
      <c r="T55">
        <v>737534</v>
      </c>
      <c r="U55" t="s">
        <v>152</v>
      </c>
      <c r="V55" t="s">
        <v>148</v>
      </c>
      <c r="W55">
        <v>2174651</v>
      </c>
      <c r="X55" s="167" t="s">
        <v>153</v>
      </c>
      <c r="Y55" t="s">
        <v>148</v>
      </c>
      <c r="Z55" t="s">
        <v>156</v>
      </c>
      <c r="AA55" t="s">
        <v>154</v>
      </c>
      <c r="AB55" t="s">
        <v>148</v>
      </c>
      <c r="AC55" t="s">
        <v>156</v>
      </c>
      <c r="AD55" t="s">
        <v>155</v>
      </c>
      <c r="AE55" t="s">
        <v>148</v>
      </c>
      <c r="AF55" t="s">
        <v>156</v>
      </c>
    </row>
    <row r="56" spans="1:32">
      <c r="A56" t="s">
        <v>91</v>
      </c>
      <c r="B56" t="s">
        <v>147</v>
      </c>
      <c r="C56">
        <v>15</v>
      </c>
      <c r="F56" t="s">
        <v>148</v>
      </c>
      <c r="G56">
        <v>979101</v>
      </c>
      <c r="H56">
        <v>9.7910099999999993E-3</v>
      </c>
      <c r="K56" t="s">
        <v>149</v>
      </c>
      <c r="L56" t="s">
        <v>148</v>
      </c>
      <c r="M56">
        <v>894597446500</v>
      </c>
      <c r="O56">
        <f t="shared" si="2"/>
        <v>18.273854209116323</v>
      </c>
      <c r="R56" t="s">
        <v>150</v>
      </c>
      <c r="S56" t="s">
        <v>148</v>
      </c>
      <c r="T56">
        <v>388114</v>
      </c>
      <c r="U56" t="s">
        <v>152</v>
      </c>
      <c r="V56" t="s">
        <v>148</v>
      </c>
      <c r="W56">
        <v>203487</v>
      </c>
      <c r="X56" s="167" t="s">
        <v>153</v>
      </c>
      <c r="Y56" t="s">
        <v>148</v>
      </c>
      <c r="Z56" t="s">
        <v>156</v>
      </c>
      <c r="AA56" t="s">
        <v>154</v>
      </c>
      <c r="AB56" t="s">
        <v>148</v>
      </c>
      <c r="AC56" t="s">
        <v>156</v>
      </c>
      <c r="AD56" t="s">
        <v>155</v>
      </c>
      <c r="AE56" t="s">
        <v>148</v>
      </c>
      <c r="AF56" t="s">
        <v>156</v>
      </c>
    </row>
    <row r="57" spans="1:32">
      <c r="A57" t="s">
        <v>91</v>
      </c>
      <c r="B57" t="s">
        <v>147</v>
      </c>
      <c r="C57">
        <v>20</v>
      </c>
      <c r="F57" t="s">
        <v>148</v>
      </c>
      <c r="G57">
        <v>1599789</v>
      </c>
      <c r="H57">
        <v>1.5997890000000001E-2</v>
      </c>
      <c r="K57" t="s">
        <v>149</v>
      </c>
      <c r="L57" t="s">
        <v>148</v>
      </c>
      <c r="M57">
        <v>1696156351000</v>
      </c>
      <c r="O57">
        <f t="shared" si="2"/>
        <v>21.204750764007002</v>
      </c>
      <c r="R57" t="s">
        <v>150</v>
      </c>
      <c r="S57" t="s">
        <v>148</v>
      </c>
      <c r="T57">
        <v>800632</v>
      </c>
      <c r="U57" t="s">
        <v>152</v>
      </c>
      <c r="V57" t="s">
        <v>148</v>
      </c>
      <c r="W57">
        <v>72722</v>
      </c>
      <c r="X57" s="167" t="s">
        <v>153</v>
      </c>
      <c r="Y57" t="s">
        <v>148</v>
      </c>
      <c r="Z57" t="s">
        <v>156</v>
      </c>
      <c r="AA57" t="s">
        <v>154</v>
      </c>
      <c r="AB57" t="s">
        <v>148</v>
      </c>
      <c r="AC57" t="s">
        <v>156</v>
      </c>
      <c r="AD57" t="s">
        <v>155</v>
      </c>
      <c r="AE57" t="s">
        <v>148</v>
      </c>
      <c r="AF57" t="s">
        <v>156</v>
      </c>
    </row>
    <row r="58" spans="1:32">
      <c r="A58" t="s">
        <v>91</v>
      </c>
      <c r="B58" t="s">
        <v>147</v>
      </c>
      <c r="C58">
        <v>25</v>
      </c>
      <c r="F58" t="s">
        <v>148</v>
      </c>
      <c r="G58">
        <v>769063</v>
      </c>
      <c r="H58">
        <v>7.6906300000000004E-3</v>
      </c>
      <c r="K58" t="s">
        <v>149</v>
      </c>
      <c r="L58" t="s">
        <v>148</v>
      </c>
      <c r="M58">
        <v>1066027537000</v>
      </c>
      <c r="O58">
        <f t="shared" si="2"/>
        <v>27.722762296456857</v>
      </c>
      <c r="R58" t="s">
        <v>150</v>
      </c>
      <c r="S58" t="s">
        <v>148</v>
      </c>
      <c r="T58">
        <v>391080</v>
      </c>
      <c r="U58" t="s">
        <v>152</v>
      </c>
      <c r="V58" t="s">
        <v>148</v>
      </c>
      <c r="W58">
        <v>5672</v>
      </c>
      <c r="X58" s="167" t="s">
        <v>153</v>
      </c>
      <c r="Y58" t="s">
        <v>148</v>
      </c>
      <c r="Z58" t="s">
        <v>156</v>
      </c>
      <c r="AA58" t="s">
        <v>154</v>
      </c>
      <c r="AB58" t="s">
        <v>148</v>
      </c>
      <c r="AC58" t="s">
        <v>156</v>
      </c>
      <c r="AD58" t="s">
        <v>155</v>
      </c>
      <c r="AE58" t="s">
        <v>148</v>
      </c>
      <c r="AF58" t="s">
        <v>156</v>
      </c>
    </row>
    <row r="59" spans="1:32">
      <c r="A59" t="s">
        <v>91</v>
      </c>
      <c r="B59" t="s">
        <v>147</v>
      </c>
      <c r="C59">
        <v>30</v>
      </c>
      <c r="F59" t="s">
        <v>148</v>
      </c>
      <c r="G59">
        <v>817763</v>
      </c>
      <c r="H59">
        <v>8.17763E-3</v>
      </c>
      <c r="K59" t="s">
        <v>149</v>
      </c>
      <c r="L59" t="s">
        <v>148</v>
      </c>
      <c r="M59">
        <v>1247586739500</v>
      </c>
      <c r="O59">
        <f t="shared" si="2"/>
        <v>30.51218359108935</v>
      </c>
      <c r="R59" t="s">
        <v>150</v>
      </c>
      <c r="S59" t="s">
        <v>148</v>
      </c>
      <c r="T59">
        <v>800915</v>
      </c>
      <c r="U59" t="s">
        <v>152</v>
      </c>
      <c r="V59" t="s">
        <v>148</v>
      </c>
      <c r="W59">
        <v>126</v>
      </c>
      <c r="X59" s="167" t="s">
        <v>153</v>
      </c>
      <c r="Y59" t="s">
        <v>148</v>
      </c>
      <c r="Z59" t="s">
        <v>156</v>
      </c>
      <c r="AA59" t="s">
        <v>154</v>
      </c>
      <c r="AB59" t="s">
        <v>148</v>
      </c>
      <c r="AC59" t="s">
        <v>156</v>
      </c>
      <c r="AD59" t="s">
        <v>155</v>
      </c>
      <c r="AE59" t="s">
        <v>148</v>
      </c>
      <c r="AF59" t="s">
        <v>156</v>
      </c>
    </row>
    <row r="60" spans="1:32">
      <c r="A60" t="s">
        <v>91</v>
      </c>
      <c r="B60" t="s">
        <v>147</v>
      </c>
      <c r="C60">
        <v>35</v>
      </c>
      <c r="F60" t="s">
        <v>148</v>
      </c>
      <c r="G60">
        <v>80072</v>
      </c>
      <c r="H60">
        <v>8.0071999999999999E-4</v>
      </c>
      <c r="K60" t="s">
        <v>149</v>
      </c>
      <c r="L60" t="s">
        <v>148</v>
      </c>
      <c r="M60">
        <v>148946089000</v>
      </c>
      <c r="O60">
        <f t="shared" si="2"/>
        <v>37.203039514437002</v>
      </c>
      <c r="R60" t="s">
        <v>150</v>
      </c>
      <c r="S60" t="s">
        <v>148</v>
      </c>
      <c r="T60">
        <v>80072</v>
      </c>
      <c r="U60" t="s">
        <v>152</v>
      </c>
      <c r="V60" t="s">
        <v>148</v>
      </c>
      <c r="W60" t="s">
        <v>156</v>
      </c>
      <c r="X60" s="167" t="s">
        <v>153</v>
      </c>
      <c r="Y60" t="s">
        <v>148</v>
      </c>
      <c r="Z60" t="s">
        <v>156</v>
      </c>
      <c r="AA60" t="s">
        <v>154</v>
      </c>
      <c r="AB60" t="s">
        <v>148</v>
      </c>
      <c r="AC60" t="s">
        <v>156</v>
      </c>
      <c r="AD60" t="s">
        <v>155</v>
      </c>
      <c r="AE60" t="s">
        <v>148</v>
      </c>
      <c r="AF60" t="s">
        <v>156</v>
      </c>
    </row>
    <row r="61" spans="1:32">
      <c r="A61" t="s">
        <v>91</v>
      </c>
      <c r="B61" t="s">
        <v>147</v>
      </c>
      <c r="C61">
        <v>40</v>
      </c>
      <c r="F61" t="s">
        <v>148</v>
      </c>
      <c r="G61">
        <v>63237</v>
      </c>
      <c r="H61">
        <v>6.3237000000000005E-4</v>
      </c>
      <c r="K61" t="s">
        <v>149</v>
      </c>
      <c r="L61" t="s">
        <v>148</v>
      </c>
      <c r="M61">
        <v>127900810500</v>
      </c>
      <c r="O61">
        <f t="shared" si="2"/>
        <v>40.451258124199441</v>
      </c>
      <c r="R61" t="s">
        <v>150</v>
      </c>
      <c r="S61" t="s">
        <v>148</v>
      </c>
      <c r="T61">
        <v>63237</v>
      </c>
      <c r="U61" t="s">
        <v>152</v>
      </c>
      <c r="V61" t="s">
        <v>148</v>
      </c>
      <c r="W61" t="s">
        <v>156</v>
      </c>
      <c r="X61" s="167" t="s">
        <v>153</v>
      </c>
      <c r="Y61" t="s">
        <v>148</v>
      </c>
      <c r="Z61" t="s">
        <v>156</v>
      </c>
      <c r="AA61" t="s">
        <v>154</v>
      </c>
      <c r="AB61" t="s">
        <v>148</v>
      </c>
      <c r="AC61" t="s">
        <v>156</v>
      </c>
      <c r="AD61" t="s">
        <v>155</v>
      </c>
      <c r="AE61" t="s">
        <v>148</v>
      </c>
      <c r="AF61" t="s">
        <v>156</v>
      </c>
    </row>
    <row r="62" spans="1:32">
      <c r="A62" t="s">
        <v>91</v>
      </c>
      <c r="B62" t="s">
        <v>147</v>
      </c>
      <c r="C62">
        <v>45</v>
      </c>
      <c r="F62" t="s">
        <v>148</v>
      </c>
      <c r="G62">
        <v>1012999</v>
      </c>
      <c r="H62">
        <v>1.012999E-2</v>
      </c>
      <c r="K62" t="s">
        <v>149</v>
      </c>
      <c r="L62" t="s">
        <v>148</v>
      </c>
      <c r="M62">
        <v>2531989125000</v>
      </c>
      <c r="O62">
        <f t="shared" si="2"/>
        <v>49.989962971335608</v>
      </c>
      <c r="R62" t="s">
        <v>150</v>
      </c>
      <c r="S62" t="s">
        <v>148</v>
      </c>
      <c r="T62">
        <v>311385</v>
      </c>
      <c r="U62" t="s">
        <v>152</v>
      </c>
      <c r="V62" t="s">
        <v>148</v>
      </c>
      <c r="W62">
        <v>26211</v>
      </c>
      <c r="X62" s="167" t="s">
        <v>153</v>
      </c>
      <c r="Y62" t="s">
        <v>148</v>
      </c>
      <c r="Z62" t="s">
        <v>156</v>
      </c>
      <c r="AA62" t="s">
        <v>154</v>
      </c>
      <c r="AB62" t="s">
        <v>148</v>
      </c>
      <c r="AC62" t="s">
        <v>156</v>
      </c>
      <c r="AD62" t="s">
        <v>155</v>
      </c>
      <c r="AE62" t="s">
        <v>148</v>
      </c>
      <c r="AF62" t="s">
        <v>156</v>
      </c>
    </row>
    <row r="63" spans="1:32">
      <c r="A63" t="s">
        <v>91</v>
      </c>
      <c r="B63" t="s">
        <v>147</v>
      </c>
      <c r="C63">
        <v>50</v>
      </c>
      <c r="F63" t="s">
        <v>148</v>
      </c>
      <c r="G63">
        <v>3130427</v>
      </c>
      <c r="H63">
        <v>3.1304270000000002E-2</v>
      </c>
      <c r="K63" t="s">
        <v>149</v>
      </c>
      <c r="L63" t="s">
        <v>148</v>
      </c>
      <c r="M63">
        <v>8059898246500</v>
      </c>
      <c r="O63">
        <f t="shared" si="2"/>
        <v>51.493922372251454</v>
      </c>
      <c r="R63" t="s">
        <v>150</v>
      </c>
      <c r="S63" t="s">
        <v>148</v>
      </c>
      <c r="T63">
        <v>819742</v>
      </c>
      <c r="U63" t="s">
        <v>152</v>
      </c>
      <c r="V63" t="s">
        <v>148</v>
      </c>
      <c r="W63">
        <v>620582</v>
      </c>
      <c r="X63" s="167" t="s">
        <v>153</v>
      </c>
      <c r="Y63" t="s">
        <v>148</v>
      </c>
      <c r="Z63" t="s">
        <v>156</v>
      </c>
      <c r="AA63" t="s">
        <v>154</v>
      </c>
      <c r="AB63" t="s">
        <v>148</v>
      </c>
      <c r="AC63" t="s">
        <v>156</v>
      </c>
      <c r="AD63" t="s">
        <v>155</v>
      </c>
      <c r="AE63" t="s">
        <v>148</v>
      </c>
      <c r="AF63" t="s">
        <v>156</v>
      </c>
    </row>
    <row r="64" spans="1:32">
      <c r="A64" t="s">
        <v>91</v>
      </c>
      <c r="B64" t="s">
        <v>147</v>
      </c>
      <c r="C64">
        <v>60</v>
      </c>
      <c r="F64" t="s">
        <v>148</v>
      </c>
      <c r="G64">
        <v>135174</v>
      </c>
      <c r="H64">
        <v>1.3517399999999999E-3</v>
      </c>
      <c r="K64" t="s">
        <v>149</v>
      </c>
      <c r="L64" t="s">
        <v>148</v>
      </c>
      <c r="M64">
        <v>414836180000</v>
      </c>
      <c r="O64">
        <f t="shared" si="2"/>
        <v>61.378102297779158</v>
      </c>
      <c r="R64" t="s">
        <v>150</v>
      </c>
      <c r="S64" t="s">
        <v>148</v>
      </c>
      <c r="T64">
        <v>90846</v>
      </c>
      <c r="U64" t="s">
        <v>152</v>
      </c>
      <c r="V64" t="s">
        <v>148</v>
      </c>
      <c r="W64">
        <v>44328</v>
      </c>
      <c r="X64" s="167" t="s">
        <v>153</v>
      </c>
      <c r="Y64" t="s">
        <v>148</v>
      </c>
      <c r="Z64" t="s">
        <v>156</v>
      </c>
      <c r="AA64" t="s">
        <v>154</v>
      </c>
      <c r="AB64" t="s">
        <v>148</v>
      </c>
      <c r="AC64" t="s">
        <v>156</v>
      </c>
      <c r="AD64" t="s">
        <v>155</v>
      </c>
      <c r="AE64" t="s">
        <v>148</v>
      </c>
      <c r="AF64" t="s">
        <v>156</v>
      </c>
    </row>
    <row r="65" spans="1:32">
      <c r="A65" t="s">
        <v>91</v>
      </c>
      <c r="B65" t="s">
        <v>147</v>
      </c>
      <c r="C65">
        <v>70</v>
      </c>
      <c r="F65" t="s">
        <v>148</v>
      </c>
      <c r="G65">
        <v>59846</v>
      </c>
      <c r="H65">
        <v>5.9845999999999999E-4</v>
      </c>
      <c r="K65" t="s">
        <v>149</v>
      </c>
      <c r="L65" t="s">
        <v>148</v>
      </c>
      <c r="M65">
        <v>222115792500</v>
      </c>
      <c r="O65">
        <f t="shared" si="2"/>
        <v>74.229118905189992</v>
      </c>
      <c r="R65" t="s">
        <v>150</v>
      </c>
      <c r="S65" t="s">
        <v>148</v>
      </c>
      <c r="T65">
        <v>25512</v>
      </c>
      <c r="U65" t="s">
        <v>152</v>
      </c>
      <c r="V65" t="s">
        <v>148</v>
      </c>
      <c r="W65">
        <v>212</v>
      </c>
      <c r="X65" s="167" t="s">
        <v>153</v>
      </c>
      <c r="Y65" t="s">
        <v>148</v>
      </c>
      <c r="Z65" t="s">
        <v>156</v>
      </c>
      <c r="AA65" t="s">
        <v>154</v>
      </c>
      <c r="AB65" t="s">
        <v>148</v>
      </c>
      <c r="AC65" t="s">
        <v>156</v>
      </c>
      <c r="AD65" t="s">
        <v>155</v>
      </c>
      <c r="AE65" t="s">
        <v>148</v>
      </c>
      <c r="AF65" t="s">
        <v>156</v>
      </c>
    </row>
    <row r="66" spans="1:32">
      <c r="A66" t="s">
        <v>91</v>
      </c>
      <c r="B66" t="s">
        <v>147</v>
      </c>
      <c r="C66">
        <v>80</v>
      </c>
      <c r="F66" t="s">
        <v>148</v>
      </c>
      <c r="G66">
        <v>21117</v>
      </c>
      <c r="H66">
        <v>2.1117E-4</v>
      </c>
      <c r="K66" t="s">
        <v>149</v>
      </c>
      <c r="L66" t="s">
        <v>148</v>
      </c>
      <c r="M66">
        <v>86094096000</v>
      </c>
      <c r="O66">
        <f t="shared" si="2"/>
        <v>81.540082398067909</v>
      </c>
      <c r="R66" t="s">
        <v>150</v>
      </c>
      <c r="S66" t="s">
        <v>148</v>
      </c>
      <c r="T66">
        <v>21117</v>
      </c>
      <c r="U66" t="s">
        <v>152</v>
      </c>
      <c r="V66" t="s">
        <v>148</v>
      </c>
      <c r="W66" t="s">
        <v>156</v>
      </c>
      <c r="X66" s="167" t="s">
        <v>153</v>
      </c>
      <c r="Y66" t="s">
        <v>148</v>
      </c>
      <c r="Z66" t="s">
        <v>156</v>
      </c>
      <c r="AA66" t="s">
        <v>154</v>
      </c>
      <c r="AB66" t="s">
        <v>148</v>
      </c>
      <c r="AC66" t="s">
        <v>156</v>
      </c>
      <c r="AD66" t="s">
        <v>155</v>
      </c>
      <c r="AE66" t="s">
        <v>148</v>
      </c>
      <c r="AF66" t="s">
        <v>156</v>
      </c>
    </row>
    <row r="67" spans="1:32">
      <c r="A67" t="s">
        <v>91</v>
      </c>
      <c r="B67" t="s">
        <v>147</v>
      </c>
      <c r="C67">
        <v>90</v>
      </c>
      <c r="F67" t="s">
        <v>148</v>
      </c>
      <c r="G67">
        <v>912351</v>
      </c>
      <c r="H67">
        <v>9.1235099999999996E-3</v>
      </c>
      <c r="K67" t="s">
        <v>149</v>
      </c>
      <c r="L67" t="s">
        <v>148</v>
      </c>
      <c r="M67">
        <v>4561755000000</v>
      </c>
      <c r="O67">
        <f t="shared" si="2"/>
        <v>100</v>
      </c>
      <c r="R67" t="s">
        <v>150</v>
      </c>
      <c r="S67" t="s">
        <v>148</v>
      </c>
      <c r="T67">
        <v>314700</v>
      </c>
      <c r="U67" t="s">
        <v>152</v>
      </c>
      <c r="V67" t="s">
        <v>148</v>
      </c>
      <c r="W67">
        <v>39911</v>
      </c>
      <c r="X67" s="167" t="s">
        <v>153</v>
      </c>
      <c r="Y67" t="s">
        <v>148</v>
      </c>
      <c r="Z67" t="s">
        <v>156</v>
      </c>
      <c r="AA67" t="s">
        <v>154</v>
      </c>
      <c r="AB67" t="s">
        <v>148</v>
      </c>
      <c r="AC67" t="s">
        <v>156</v>
      </c>
      <c r="AD67" t="s">
        <v>155</v>
      </c>
      <c r="AE67" t="s">
        <v>148</v>
      </c>
      <c r="AF67" t="s">
        <v>156</v>
      </c>
    </row>
    <row r="68" spans="1:32">
      <c r="A68" t="s">
        <v>91</v>
      </c>
      <c r="B68" t="s">
        <v>147</v>
      </c>
      <c r="C68">
        <v>100</v>
      </c>
      <c r="F68" t="s">
        <v>148</v>
      </c>
      <c r="G68">
        <v>3579249</v>
      </c>
      <c r="H68">
        <v>3.5792490000000003E-2</v>
      </c>
      <c r="K68" t="s">
        <v>149</v>
      </c>
      <c r="L68" t="s">
        <v>148</v>
      </c>
      <c r="M68">
        <v>18400191701000</v>
      </c>
      <c r="O68">
        <f t="shared" si="2"/>
        <v>102.81593541550197</v>
      </c>
      <c r="R68" t="s">
        <v>150</v>
      </c>
      <c r="S68" t="s">
        <v>148</v>
      </c>
      <c r="T68">
        <v>940096</v>
      </c>
      <c r="U68" t="s">
        <v>152</v>
      </c>
      <c r="V68" t="s">
        <v>148</v>
      </c>
      <c r="W68">
        <v>882237</v>
      </c>
      <c r="X68" s="167" t="s">
        <v>153</v>
      </c>
      <c r="Y68" t="s">
        <v>148</v>
      </c>
      <c r="Z68" t="s">
        <v>156</v>
      </c>
      <c r="AA68" t="s">
        <v>154</v>
      </c>
      <c r="AB68" t="s">
        <v>148</v>
      </c>
      <c r="AC68" t="s">
        <v>156</v>
      </c>
      <c r="AD68" t="s">
        <v>155</v>
      </c>
      <c r="AE68" t="s">
        <v>148</v>
      </c>
      <c r="AF68" t="s">
        <v>156</v>
      </c>
    </row>
    <row r="69" spans="1:32">
      <c r="A69" t="s">
        <v>91</v>
      </c>
      <c r="B69" t="s">
        <v>147</v>
      </c>
      <c r="C69">
        <v>120</v>
      </c>
      <c r="F69" t="s">
        <v>148</v>
      </c>
      <c r="G69">
        <v>68067</v>
      </c>
      <c r="H69">
        <v>6.8066999999999997E-4</v>
      </c>
      <c r="K69" t="s">
        <v>149</v>
      </c>
      <c r="L69" t="s">
        <v>148</v>
      </c>
      <c r="M69">
        <v>430962806500</v>
      </c>
      <c r="O69">
        <f t="shared" si="2"/>
        <v>126.62899980901172</v>
      </c>
      <c r="R69" t="s">
        <v>150</v>
      </c>
      <c r="S69" t="s">
        <v>148</v>
      </c>
      <c r="T69">
        <v>61808</v>
      </c>
      <c r="U69" t="s">
        <v>152</v>
      </c>
      <c r="V69" t="s">
        <v>148</v>
      </c>
      <c r="W69">
        <v>6259</v>
      </c>
      <c r="X69" s="167" t="s">
        <v>153</v>
      </c>
      <c r="Y69" t="s">
        <v>148</v>
      </c>
      <c r="Z69" t="s">
        <v>156</v>
      </c>
      <c r="AA69" t="s">
        <v>154</v>
      </c>
      <c r="AB69" t="s">
        <v>148</v>
      </c>
      <c r="AC69" t="s">
        <v>156</v>
      </c>
      <c r="AD69" t="s">
        <v>155</v>
      </c>
      <c r="AE69" t="s">
        <v>148</v>
      </c>
      <c r="AF69" t="s">
        <v>156</v>
      </c>
    </row>
    <row r="70" spans="1:32">
      <c r="A70" t="s">
        <v>91</v>
      </c>
      <c r="B70" t="s">
        <v>147</v>
      </c>
      <c r="C70">
        <v>140</v>
      </c>
      <c r="F70" t="s">
        <v>148</v>
      </c>
      <c r="G70">
        <v>105555</v>
      </c>
      <c r="H70">
        <v>1.0555499999999999E-3</v>
      </c>
      <c r="K70" t="s">
        <v>149</v>
      </c>
      <c r="L70" t="s">
        <v>148</v>
      </c>
      <c r="M70">
        <v>797262147000</v>
      </c>
      <c r="O70">
        <f t="shared" si="2"/>
        <v>151.06099133153333</v>
      </c>
      <c r="R70" t="s">
        <v>150</v>
      </c>
      <c r="S70" t="s">
        <v>148</v>
      </c>
      <c r="T70">
        <v>59171</v>
      </c>
      <c r="U70" t="s">
        <v>152</v>
      </c>
      <c r="V70" t="s">
        <v>148</v>
      </c>
      <c r="W70">
        <v>12704</v>
      </c>
      <c r="X70" s="167" t="s">
        <v>153</v>
      </c>
      <c r="Y70" t="s">
        <v>148</v>
      </c>
      <c r="Z70" t="s">
        <v>156</v>
      </c>
      <c r="AA70" t="s">
        <v>154</v>
      </c>
      <c r="AB70" t="s">
        <v>148</v>
      </c>
      <c r="AC70" t="s">
        <v>156</v>
      </c>
      <c r="AD70" t="s">
        <v>155</v>
      </c>
      <c r="AE70" t="s">
        <v>148</v>
      </c>
      <c r="AF70" t="s">
        <v>156</v>
      </c>
    </row>
    <row r="71" spans="1:32">
      <c r="A71" t="s">
        <v>91</v>
      </c>
      <c r="B71" t="s">
        <v>147</v>
      </c>
      <c r="C71">
        <v>160</v>
      </c>
      <c r="F71" t="s">
        <v>148</v>
      </c>
      <c r="G71">
        <v>3956</v>
      </c>
      <c r="H71">
        <v>3.9560000000000001E-5</v>
      </c>
      <c r="K71" t="s">
        <v>149</v>
      </c>
      <c r="L71" t="s">
        <v>148</v>
      </c>
      <c r="M71">
        <v>31777374500</v>
      </c>
      <c r="O71">
        <f t="shared" si="2"/>
        <v>160.65406723963599</v>
      </c>
      <c r="R71" t="s">
        <v>150</v>
      </c>
      <c r="S71" t="s">
        <v>148</v>
      </c>
      <c r="T71">
        <v>2104</v>
      </c>
      <c r="U71" t="s">
        <v>152</v>
      </c>
      <c r="V71" t="s">
        <v>148</v>
      </c>
      <c r="W71">
        <v>1852</v>
      </c>
      <c r="X71" s="167" t="s">
        <v>153</v>
      </c>
      <c r="Y71" t="s">
        <v>148</v>
      </c>
      <c r="Z71" t="s">
        <v>156</v>
      </c>
      <c r="AA71" t="s">
        <v>154</v>
      </c>
      <c r="AB71" t="s">
        <v>148</v>
      </c>
      <c r="AC71" t="s">
        <v>156</v>
      </c>
      <c r="AD71" t="s">
        <v>155</v>
      </c>
      <c r="AE71" t="s">
        <v>148</v>
      </c>
      <c r="AF71" t="s">
        <v>156</v>
      </c>
    </row>
    <row r="72" spans="1:32">
      <c r="A72" t="s">
        <v>91</v>
      </c>
      <c r="B72" t="s">
        <v>147</v>
      </c>
      <c r="C72">
        <v>180</v>
      </c>
      <c r="F72" t="s">
        <v>148</v>
      </c>
      <c r="G72">
        <v>367730</v>
      </c>
      <c r="H72">
        <v>3.6773000000000001E-3</v>
      </c>
      <c r="K72" t="s">
        <v>149</v>
      </c>
      <c r="L72" t="s">
        <v>148</v>
      </c>
      <c r="M72">
        <v>3677300000000</v>
      </c>
      <c r="O72">
        <f t="shared" si="2"/>
        <v>200</v>
      </c>
      <c r="R72" t="s">
        <v>150</v>
      </c>
      <c r="S72" t="s">
        <v>148</v>
      </c>
      <c r="T72">
        <v>316586</v>
      </c>
      <c r="U72" t="s">
        <v>152</v>
      </c>
      <c r="V72" t="s">
        <v>148</v>
      </c>
      <c r="W72">
        <v>331</v>
      </c>
      <c r="X72" s="167" t="s">
        <v>153</v>
      </c>
      <c r="Y72" t="s">
        <v>148</v>
      </c>
      <c r="Z72" t="s">
        <v>156</v>
      </c>
      <c r="AA72" t="s">
        <v>154</v>
      </c>
      <c r="AB72" t="s">
        <v>148</v>
      </c>
      <c r="AC72" t="s">
        <v>156</v>
      </c>
      <c r="AD72" t="s">
        <v>155</v>
      </c>
      <c r="AE72" t="s">
        <v>148</v>
      </c>
      <c r="AF72" t="s">
        <v>156</v>
      </c>
    </row>
    <row r="73" spans="1:32">
      <c r="A73" t="s">
        <v>91</v>
      </c>
      <c r="B73" t="s">
        <v>147</v>
      </c>
      <c r="C73">
        <v>200</v>
      </c>
      <c r="F73" t="s">
        <v>148</v>
      </c>
      <c r="G73">
        <v>1174833</v>
      </c>
      <c r="H73">
        <v>1.174833E-2</v>
      </c>
      <c r="K73" t="s">
        <v>149</v>
      </c>
      <c r="L73" t="s">
        <v>148</v>
      </c>
      <c r="M73">
        <v>11992030036000</v>
      </c>
      <c r="O73">
        <f t="shared" si="2"/>
        <v>204.14867536066828</v>
      </c>
      <c r="R73" t="s">
        <v>150</v>
      </c>
      <c r="S73" t="s">
        <v>148</v>
      </c>
      <c r="T73">
        <v>912064</v>
      </c>
      <c r="U73" t="s">
        <v>152</v>
      </c>
      <c r="V73" t="s">
        <v>148</v>
      </c>
      <c r="W73">
        <v>9313</v>
      </c>
      <c r="X73" s="167" t="s">
        <v>153</v>
      </c>
      <c r="Y73" t="s">
        <v>148</v>
      </c>
      <c r="Z73" t="s">
        <v>156</v>
      </c>
      <c r="AA73" t="s">
        <v>154</v>
      </c>
      <c r="AB73" t="s">
        <v>148</v>
      </c>
      <c r="AC73" t="s">
        <v>156</v>
      </c>
      <c r="AD73" t="s">
        <v>155</v>
      </c>
      <c r="AE73" t="s">
        <v>148</v>
      </c>
      <c r="AF73" t="s">
        <v>156</v>
      </c>
    </row>
    <row r="74" spans="1:32">
      <c r="A74" t="s">
        <v>91</v>
      </c>
      <c r="B74" t="s">
        <v>147</v>
      </c>
      <c r="C74">
        <v>250</v>
      </c>
      <c r="F74" t="s">
        <v>148</v>
      </c>
      <c r="G74">
        <v>196852</v>
      </c>
      <c r="H74">
        <v>1.9685200000000001E-3</v>
      </c>
      <c r="K74" t="s">
        <v>149</v>
      </c>
      <c r="L74" t="s">
        <v>148</v>
      </c>
      <c r="M74">
        <v>2543327552500</v>
      </c>
      <c r="O74">
        <f t="shared" si="2"/>
        <v>258.39997079023834</v>
      </c>
      <c r="R74" t="s">
        <v>150</v>
      </c>
      <c r="S74" t="s">
        <v>148</v>
      </c>
      <c r="T74">
        <v>27303</v>
      </c>
      <c r="U74" t="s">
        <v>152</v>
      </c>
      <c r="V74" t="s">
        <v>148</v>
      </c>
      <c r="W74" t="s">
        <v>156</v>
      </c>
      <c r="X74" s="167" t="s">
        <v>153</v>
      </c>
      <c r="Y74" t="s">
        <v>148</v>
      </c>
      <c r="Z74" t="s">
        <v>156</v>
      </c>
      <c r="AA74" t="s">
        <v>154</v>
      </c>
      <c r="AB74" t="s">
        <v>148</v>
      </c>
      <c r="AC74" t="s">
        <v>156</v>
      </c>
      <c r="AD74" t="s">
        <v>155</v>
      </c>
      <c r="AE74" t="s">
        <v>148</v>
      </c>
      <c r="AF74" t="s">
        <v>156</v>
      </c>
    </row>
    <row r="75" spans="1:32">
      <c r="A75" t="s">
        <v>91</v>
      </c>
      <c r="B75" t="s">
        <v>147</v>
      </c>
      <c r="C75">
        <v>300</v>
      </c>
      <c r="F75" t="s">
        <v>148</v>
      </c>
      <c r="G75">
        <v>27457</v>
      </c>
      <c r="H75">
        <v>2.7457000000000002E-4</v>
      </c>
      <c r="K75" t="s">
        <v>149</v>
      </c>
      <c r="L75" t="s">
        <v>148</v>
      </c>
      <c r="M75">
        <v>415581931000</v>
      </c>
      <c r="O75">
        <f t="shared" si="2"/>
        <v>302.7147401391266</v>
      </c>
      <c r="R75" t="s">
        <v>150</v>
      </c>
      <c r="S75" t="s">
        <v>148</v>
      </c>
      <c r="T75">
        <v>27457</v>
      </c>
      <c r="U75" t="s">
        <v>152</v>
      </c>
      <c r="V75" t="s">
        <v>148</v>
      </c>
      <c r="W75" t="s">
        <v>156</v>
      </c>
      <c r="X75" s="167" t="s">
        <v>153</v>
      </c>
      <c r="Y75" t="s">
        <v>148</v>
      </c>
      <c r="Z75" t="s">
        <v>156</v>
      </c>
      <c r="AA75" t="s">
        <v>154</v>
      </c>
      <c r="AB75" t="s">
        <v>148</v>
      </c>
      <c r="AC75" t="s">
        <v>156</v>
      </c>
      <c r="AD75" t="s">
        <v>155</v>
      </c>
      <c r="AE75" t="s">
        <v>148</v>
      </c>
      <c r="AF75" t="s">
        <v>156</v>
      </c>
    </row>
    <row r="76" spans="1:32">
      <c r="A76" t="s">
        <v>91</v>
      </c>
      <c r="B76" t="s">
        <v>147</v>
      </c>
      <c r="C76">
        <v>450</v>
      </c>
      <c r="F76" t="s">
        <v>148</v>
      </c>
      <c r="G76">
        <v>395368</v>
      </c>
      <c r="H76">
        <v>3.9536800000000002E-3</v>
      </c>
      <c r="K76" t="s">
        <v>149</v>
      </c>
      <c r="L76" t="s">
        <v>148</v>
      </c>
      <c r="M76">
        <v>9884200000000</v>
      </c>
      <c r="O76">
        <f t="shared" si="2"/>
        <v>500</v>
      </c>
      <c r="R76" t="s">
        <v>150</v>
      </c>
      <c r="S76" t="s">
        <v>148</v>
      </c>
      <c r="T76">
        <v>310516</v>
      </c>
      <c r="U76" t="s">
        <v>152</v>
      </c>
      <c r="V76" t="s">
        <v>148</v>
      </c>
      <c r="W76" t="s">
        <v>156</v>
      </c>
      <c r="X76" s="167" t="s">
        <v>153</v>
      </c>
      <c r="Y76" t="s">
        <v>148</v>
      </c>
      <c r="Z76" t="s">
        <v>156</v>
      </c>
      <c r="AA76" t="s">
        <v>154</v>
      </c>
      <c r="AB76" t="s">
        <v>148</v>
      </c>
      <c r="AC76" t="s">
        <v>156</v>
      </c>
      <c r="AD76" t="s">
        <v>155</v>
      </c>
      <c r="AE76" t="s">
        <v>148</v>
      </c>
      <c r="AF76" t="s">
        <v>156</v>
      </c>
    </row>
    <row r="77" spans="1:32">
      <c r="A77" t="s">
        <v>91</v>
      </c>
      <c r="B77" t="s">
        <v>147</v>
      </c>
      <c r="C77">
        <v>500</v>
      </c>
      <c r="F77" t="s">
        <v>148</v>
      </c>
      <c r="G77">
        <v>1240234</v>
      </c>
      <c r="H77">
        <v>1.240234E-2</v>
      </c>
      <c r="K77" t="s">
        <v>149</v>
      </c>
      <c r="L77" t="s">
        <v>148</v>
      </c>
      <c r="M77">
        <v>31293368217500</v>
      </c>
      <c r="O77">
        <f t="shared" si="2"/>
        <v>504.63651564946616</v>
      </c>
      <c r="R77" t="s">
        <v>150</v>
      </c>
      <c r="S77" t="s">
        <v>148</v>
      </c>
      <c r="T77">
        <v>885930</v>
      </c>
      <c r="U77" t="s">
        <v>152</v>
      </c>
      <c r="V77" t="s">
        <v>148</v>
      </c>
      <c r="W77" t="s">
        <v>156</v>
      </c>
      <c r="X77" s="167" t="s">
        <v>153</v>
      </c>
      <c r="Y77" t="s">
        <v>148</v>
      </c>
      <c r="Z77" t="s">
        <v>156</v>
      </c>
      <c r="AA77" t="s">
        <v>154</v>
      </c>
      <c r="AB77" t="s">
        <v>148</v>
      </c>
      <c r="AC77" t="s">
        <v>156</v>
      </c>
      <c r="AD77" t="s">
        <v>155</v>
      </c>
      <c r="AE77" t="s">
        <v>148</v>
      </c>
      <c r="AF77" t="s">
        <v>156</v>
      </c>
    </row>
    <row r="78" spans="1:32">
      <c r="A78" t="s">
        <v>91</v>
      </c>
      <c r="B78" t="s">
        <v>147</v>
      </c>
      <c r="C78">
        <v>550</v>
      </c>
      <c r="F78" t="s">
        <v>148</v>
      </c>
      <c r="G78">
        <v>61042</v>
      </c>
      <c r="H78">
        <v>6.1041999999999997E-4</v>
      </c>
      <c r="K78" t="s">
        <v>149</v>
      </c>
      <c r="L78" t="s">
        <v>148</v>
      </c>
      <c r="M78">
        <v>1697352043000</v>
      </c>
      <c r="O78">
        <f t="shared" si="2"/>
        <v>556.12596015857935</v>
      </c>
      <c r="R78" t="s">
        <v>150</v>
      </c>
      <c r="S78" t="s">
        <v>148</v>
      </c>
      <c r="T78">
        <v>27386</v>
      </c>
      <c r="U78" t="s">
        <v>152</v>
      </c>
      <c r="V78" t="s">
        <v>148</v>
      </c>
      <c r="W78" t="s">
        <v>156</v>
      </c>
      <c r="X78" s="167" t="s">
        <v>153</v>
      </c>
      <c r="Y78" t="s">
        <v>148</v>
      </c>
      <c r="Z78" t="s">
        <v>156</v>
      </c>
      <c r="AA78" t="s">
        <v>154</v>
      </c>
      <c r="AB78" t="s">
        <v>148</v>
      </c>
      <c r="AC78" t="s">
        <v>156</v>
      </c>
      <c r="AD78" t="s">
        <v>155</v>
      </c>
      <c r="AE78" t="s">
        <v>148</v>
      </c>
      <c r="AF78" t="s">
        <v>156</v>
      </c>
    </row>
    <row r="79" spans="1:32">
      <c r="A79" t="s">
        <v>91</v>
      </c>
      <c r="B79" t="s">
        <v>147</v>
      </c>
      <c r="C79">
        <v>600</v>
      </c>
      <c r="F79" t="s">
        <v>148</v>
      </c>
      <c r="G79">
        <v>27042</v>
      </c>
      <c r="H79">
        <v>2.7042E-4</v>
      </c>
      <c r="K79" t="s">
        <v>149</v>
      </c>
      <c r="L79" t="s">
        <v>148</v>
      </c>
      <c r="M79">
        <v>815003730000</v>
      </c>
      <c r="O79">
        <f t="shared" si="2"/>
        <v>602.76882627024634</v>
      </c>
      <c r="R79" t="s">
        <v>150</v>
      </c>
      <c r="S79" t="s">
        <v>148</v>
      </c>
      <c r="T79">
        <v>27042</v>
      </c>
      <c r="U79" t="s">
        <v>152</v>
      </c>
      <c r="V79" t="s">
        <v>148</v>
      </c>
      <c r="W79" t="s">
        <v>156</v>
      </c>
      <c r="X79" s="167" t="s">
        <v>153</v>
      </c>
      <c r="Y79" t="s">
        <v>148</v>
      </c>
      <c r="Z79" t="s">
        <v>156</v>
      </c>
      <c r="AA79" t="s">
        <v>154</v>
      </c>
      <c r="AB79" t="s">
        <v>148</v>
      </c>
      <c r="AC79" t="s">
        <v>156</v>
      </c>
      <c r="AD79" t="s">
        <v>155</v>
      </c>
      <c r="AE79" t="s">
        <v>148</v>
      </c>
      <c r="AF79" t="s">
        <v>156</v>
      </c>
    </row>
    <row r="80" spans="1:32">
      <c r="A80" t="s">
        <v>91</v>
      </c>
      <c r="B80" t="s">
        <v>147</v>
      </c>
      <c r="C80">
        <v>950</v>
      </c>
      <c r="F80" t="s">
        <v>148</v>
      </c>
      <c r="G80">
        <v>360309</v>
      </c>
      <c r="H80">
        <v>3.6030900000000002E-3</v>
      </c>
      <c r="K80" t="s">
        <v>149</v>
      </c>
      <c r="L80" t="s">
        <v>148</v>
      </c>
      <c r="M80">
        <v>18015450000000</v>
      </c>
      <c r="O80">
        <f t="shared" si="2"/>
        <v>1000</v>
      </c>
      <c r="R80" t="s">
        <v>150</v>
      </c>
      <c r="S80" t="s">
        <v>148</v>
      </c>
      <c r="T80">
        <v>309974</v>
      </c>
      <c r="U80" t="s">
        <v>152</v>
      </c>
      <c r="V80" t="s">
        <v>148</v>
      </c>
      <c r="W80" t="s">
        <v>156</v>
      </c>
      <c r="X80" s="167" t="s">
        <v>153</v>
      </c>
      <c r="Y80" t="s">
        <v>148</v>
      </c>
      <c r="Z80" t="s">
        <v>156</v>
      </c>
      <c r="AA80" t="s">
        <v>154</v>
      </c>
      <c r="AB80" t="s">
        <v>148</v>
      </c>
      <c r="AC80" t="s">
        <v>156</v>
      </c>
      <c r="AD80" t="s">
        <v>155</v>
      </c>
      <c r="AE80" t="s">
        <v>148</v>
      </c>
      <c r="AF80" t="s">
        <v>156</v>
      </c>
    </row>
    <row r="81" spans="1:32">
      <c r="A81" t="s">
        <v>91</v>
      </c>
      <c r="B81" t="s">
        <v>147</v>
      </c>
      <c r="C81">
        <v>1000</v>
      </c>
      <c r="F81" t="s">
        <v>148</v>
      </c>
      <c r="G81">
        <v>1157435</v>
      </c>
      <c r="H81">
        <v>1.1574350000000001E-2</v>
      </c>
      <c r="K81" t="s">
        <v>149</v>
      </c>
      <c r="L81" t="s">
        <v>148</v>
      </c>
      <c r="M81">
        <v>58492959001500</v>
      </c>
      <c r="O81">
        <f t="shared" si="2"/>
        <v>1010.7342356417424</v>
      </c>
      <c r="R81" t="s">
        <v>150</v>
      </c>
      <c r="S81" t="s">
        <v>148</v>
      </c>
      <c r="T81">
        <v>937822</v>
      </c>
      <c r="U81" t="s">
        <v>152</v>
      </c>
      <c r="V81" t="s">
        <v>148</v>
      </c>
      <c r="W81" t="s">
        <v>156</v>
      </c>
      <c r="X81" s="167" t="s">
        <v>153</v>
      </c>
      <c r="Y81" t="s">
        <v>148</v>
      </c>
      <c r="Z81" t="s">
        <v>156</v>
      </c>
      <c r="AA81" t="s">
        <v>154</v>
      </c>
      <c r="AB81" t="s">
        <v>148</v>
      </c>
      <c r="AC81" t="s">
        <v>156</v>
      </c>
      <c r="AD81" t="s">
        <v>155</v>
      </c>
      <c r="AE81" t="s">
        <v>148</v>
      </c>
      <c r="AF81" t="s">
        <v>156</v>
      </c>
    </row>
  </sheetData>
  <phoneticPr fontId="1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81DD38-4D39-456E-B518-1FC30DE5CA27}">
  <dimension ref="A1:BX120"/>
  <sheetViews>
    <sheetView workbookViewId="0">
      <selection sqref="A1:C1"/>
    </sheetView>
  </sheetViews>
  <sheetFormatPr defaultRowHeight="16.2"/>
  <cols>
    <col min="1" max="1" width="14.44140625" customWidth="1"/>
    <col min="2" max="2" width="5.77734375" customWidth="1"/>
    <col min="3" max="3" width="20.109375" customWidth="1"/>
    <col min="4" max="4" width="8.77734375" customWidth="1"/>
    <col min="5" max="5" width="7.21875" customWidth="1"/>
    <col min="6" max="6" width="7.77734375" customWidth="1"/>
    <col min="7" max="7" width="9.6640625" bestFit="1" customWidth="1"/>
    <col min="8" max="8" width="11.109375" bestFit="1" customWidth="1"/>
    <col min="9" max="9" width="12.44140625" bestFit="1" customWidth="1"/>
    <col min="10" max="10" width="39" bestFit="1" customWidth="1"/>
    <col min="11" max="11" width="15.44140625" bestFit="1" customWidth="1"/>
    <col min="12" max="12" width="9.6640625" bestFit="1" customWidth="1"/>
    <col min="13" max="13" width="9.33203125" bestFit="1" customWidth="1"/>
    <col min="14" max="15" width="9.6640625" bestFit="1" customWidth="1"/>
    <col min="18" max="18" width="10.6640625" style="15" bestFit="1" customWidth="1"/>
    <col min="19" max="21" width="9.77734375" style="16" customWidth="1"/>
    <col min="22" max="22" width="3.77734375" customWidth="1"/>
    <col min="24" max="26" width="4.44140625" customWidth="1"/>
    <col min="27" max="27" width="3.77734375" customWidth="1"/>
    <col min="28" max="28" width="9.88671875" customWidth="1"/>
    <col min="29" max="31" width="5.44140625" style="16" customWidth="1"/>
    <col min="32" max="32" width="3.6640625" customWidth="1"/>
    <col min="34" max="36" width="5.33203125" customWidth="1"/>
    <col min="37" max="37" width="3.44140625" customWidth="1"/>
    <col min="39" max="41" width="5.33203125" customWidth="1"/>
    <col min="42" max="42" width="13.44140625" customWidth="1"/>
    <col min="44" max="44" width="13.44140625" style="16" customWidth="1"/>
    <col min="45" max="45" width="3.77734375" customWidth="1"/>
    <col min="48" max="48" width="3.77734375" customWidth="1"/>
    <col min="49" max="49" width="12.44140625" customWidth="1"/>
    <col min="59" max="59" width="9.44140625" style="26" customWidth="1"/>
    <col min="61" max="61" width="15.33203125" customWidth="1"/>
    <col min="63" max="63" width="10.6640625" style="15" bestFit="1" customWidth="1"/>
    <col min="64" max="66" width="9.77734375" style="16" customWidth="1"/>
    <col min="67" max="67" width="3.77734375" customWidth="1"/>
    <col min="69" max="71" width="4.44140625" customWidth="1"/>
    <col min="72" max="72" width="3.77734375" customWidth="1"/>
    <col min="73" max="73" width="9.88671875" customWidth="1"/>
    <col min="74" max="76" width="5.44140625" style="16" customWidth="1"/>
  </cols>
  <sheetData>
    <row r="1" spans="1:76">
      <c r="A1" s="30" t="s">
        <v>115</v>
      </c>
      <c r="R1" s="9" t="s">
        <v>41</v>
      </c>
      <c r="S1" s="10"/>
      <c r="T1" s="10"/>
      <c r="U1" s="10"/>
      <c r="W1" s="18" t="s">
        <v>30</v>
      </c>
      <c r="AB1" s="10" t="s">
        <v>93</v>
      </c>
      <c r="AD1" s="10"/>
      <c r="AE1" s="10"/>
      <c r="AG1" s="10" t="s">
        <v>94</v>
      </c>
      <c r="AH1" s="16"/>
      <c r="AI1" s="10"/>
      <c r="AJ1" s="10"/>
      <c r="AL1" s="10" t="s">
        <v>95</v>
      </c>
      <c r="AM1" s="16"/>
      <c r="AN1" s="10"/>
      <c r="AO1" s="10"/>
      <c r="AQ1" s="19" t="s">
        <v>31</v>
      </c>
      <c r="AR1" s="10"/>
      <c r="AT1" s="19" t="s">
        <v>32</v>
      </c>
      <c r="AW1" s="19" t="s">
        <v>33</v>
      </c>
      <c r="AX1" s="16" t="s">
        <v>60</v>
      </c>
      <c r="AY1" s="16" t="s">
        <v>48</v>
      </c>
      <c r="AZ1" s="16" t="s">
        <v>49</v>
      </c>
      <c r="BA1" s="16" t="s">
        <v>50</v>
      </c>
      <c r="BB1" s="16" t="s">
        <v>51</v>
      </c>
      <c r="BC1" s="16" t="s">
        <v>52</v>
      </c>
      <c r="BD1" s="16" t="s">
        <v>53</v>
      </c>
      <c r="BE1" s="16" t="s">
        <v>54</v>
      </c>
      <c r="BF1" s="16" t="s">
        <v>55</v>
      </c>
      <c r="BG1" s="25" t="s">
        <v>87</v>
      </c>
      <c r="BH1" s="16" t="s">
        <v>88</v>
      </c>
      <c r="BI1" s="41" t="s">
        <v>89</v>
      </c>
      <c r="BK1" s="9" t="s">
        <v>43</v>
      </c>
      <c r="BL1" s="10"/>
      <c r="BM1" s="10"/>
      <c r="BN1" s="10"/>
      <c r="BP1" s="18" t="s">
        <v>45</v>
      </c>
      <c r="BU1" s="19" t="s">
        <v>44</v>
      </c>
      <c r="BW1" s="10"/>
      <c r="BX1" s="10"/>
    </row>
    <row r="2" spans="1:76" ht="18" customHeight="1">
      <c r="A2" s="30" t="s">
        <v>46</v>
      </c>
      <c r="B2" s="1" t="s">
        <v>86</v>
      </c>
      <c r="C2" s="2" t="s">
        <v>114</v>
      </c>
      <c r="D2" s="3" t="s">
        <v>0</v>
      </c>
      <c r="E2" s="116" t="s">
        <v>1</v>
      </c>
      <c r="F2" s="4" t="s">
        <v>2</v>
      </c>
      <c r="J2" s="301" t="s">
        <v>112</v>
      </c>
      <c r="K2" s="318"/>
      <c r="L2" s="318"/>
      <c r="M2" s="318"/>
      <c r="N2" s="319"/>
      <c r="R2" s="11" t="s">
        <v>17</v>
      </c>
      <c r="S2" s="12" t="s">
        <v>0</v>
      </c>
      <c r="T2" s="13" t="s">
        <v>1</v>
      </c>
      <c r="U2" s="12" t="s">
        <v>2</v>
      </c>
      <c r="W2" s="11" t="s">
        <v>17</v>
      </c>
      <c r="X2" s="12" t="s">
        <v>0</v>
      </c>
      <c r="Y2" s="13" t="s">
        <v>1</v>
      </c>
      <c r="Z2" s="12" t="s">
        <v>2</v>
      </c>
      <c r="AB2" s="11" t="s">
        <v>17</v>
      </c>
      <c r="AC2" s="12" t="s">
        <v>0</v>
      </c>
      <c r="AD2" s="13" t="s">
        <v>1</v>
      </c>
      <c r="AE2" s="12" t="s">
        <v>2</v>
      </c>
      <c r="AG2" s="11" t="s">
        <v>17</v>
      </c>
      <c r="AH2" s="12" t="s">
        <v>0</v>
      </c>
      <c r="AI2" s="13" t="s">
        <v>1</v>
      </c>
      <c r="AJ2" s="12" t="s">
        <v>2</v>
      </c>
      <c r="AL2" s="11" t="s">
        <v>17</v>
      </c>
      <c r="AM2" s="12" t="s">
        <v>0</v>
      </c>
      <c r="AN2" s="13" t="s">
        <v>1</v>
      </c>
      <c r="AO2" s="12" t="s">
        <v>2</v>
      </c>
      <c r="AQ2" s="11" t="s">
        <v>17</v>
      </c>
      <c r="AR2" s="13" t="s">
        <v>3</v>
      </c>
      <c r="AT2" s="11" t="s">
        <v>17</v>
      </c>
      <c r="AU2" s="13" t="s">
        <v>4</v>
      </c>
      <c r="AW2" s="11" t="s">
        <v>17</v>
      </c>
      <c r="AX2" s="12" t="s">
        <v>4</v>
      </c>
      <c r="AY2" s="12" t="s">
        <v>4</v>
      </c>
      <c r="AZ2" s="12" t="s">
        <v>4</v>
      </c>
      <c r="BA2" s="12" t="s">
        <v>4</v>
      </c>
      <c r="BB2" s="12" t="s">
        <v>4</v>
      </c>
      <c r="BC2" s="12" t="s">
        <v>4</v>
      </c>
      <c r="BD2" s="12" t="s">
        <v>4</v>
      </c>
      <c r="BE2" s="12" t="s">
        <v>4</v>
      </c>
      <c r="BF2" s="24" t="s">
        <v>4</v>
      </c>
      <c r="BG2" s="29" t="s">
        <v>4</v>
      </c>
      <c r="BH2" s="12" t="s">
        <v>4</v>
      </c>
      <c r="BI2" s="12" t="s">
        <v>4</v>
      </c>
      <c r="BK2" s="11" t="s">
        <v>17</v>
      </c>
      <c r="BL2" s="12" t="s">
        <v>0</v>
      </c>
      <c r="BM2" s="13" t="s">
        <v>1</v>
      </c>
      <c r="BN2" s="12" t="s">
        <v>2</v>
      </c>
      <c r="BP2" s="11" t="s">
        <v>17</v>
      </c>
      <c r="BQ2" s="12" t="s">
        <v>0</v>
      </c>
      <c r="BR2" s="13" t="s">
        <v>1</v>
      </c>
      <c r="BS2" s="12" t="s">
        <v>2</v>
      </c>
      <c r="BU2" s="11" t="s">
        <v>17</v>
      </c>
      <c r="BV2" s="12" t="s">
        <v>0</v>
      </c>
      <c r="BW2" s="13" t="s">
        <v>1</v>
      </c>
      <c r="BX2" s="12" t="s">
        <v>2</v>
      </c>
    </row>
    <row r="3" spans="1:76" ht="16.8">
      <c r="A3" s="1" t="s">
        <v>19</v>
      </c>
      <c r="B3" s="1">
        <v>0</v>
      </c>
      <c r="C3" s="3" t="s">
        <v>25</v>
      </c>
      <c r="D3" s="3">
        <f>SUMIF(S$3:S$38,$A3,AC$3:AC$38)</f>
        <v>9985</v>
      </c>
      <c r="E3" s="129">
        <f t="shared" ref="E3:F14" si="0">SUMIF(T$3:T$38,$A3,AD$3:AD$38)</f>
        <v>3443</v>
      </c>
      <c r="F3" s="4">
        <f t="shared" si="0"/>
        <v>10000</v>
      </c>
      <c r="H3" s="27"/>
      <c r="I3" s="27"/>
      <c r="J3" s="64" t="s">
        <v>79</v>
      </c>
      <c r="K3" s="64" t="s">
        <v>78</v>
      </c>
      <c r="L3" s="2" t="s">
        <v>80</v>
      </c>
      <c r="M3" s="2" t="s">
        <v>72</v>
      </c>
      <c r="N3" s="2" t="s">
        <v>73</v>
      </c>
      <c r="R3" s="11">
        <v>0</v>
      </c>
      <c r="S3" s="12">
        <v>1</v>
      </c>
      <c r="T3" s="12" t="s">
        <v>15</v>
      </c>
      <c r="U3" s="12" t="s">
        <v>15</v>
      </c>
      <c r="W3" s="11">
        <v>0</v>
      </c>
      <c r="X3" s="12">
        <v>2</v>
      </c>
      <c r="Y3" s="12">
        <v>0</v>
      </c>
      <c r="Z3" s="12">
        <v>0</v>
      </c>
      <c r="AB3" s="11">
        <v>0</v>
      </c>
      <c r="AC3" s="12">
        <v>0</v>
      </c>
      <c r="AD3" s="12">
        <v>192</v>
      </c>
      <c r="AE3" s="69">
        <v>556</v>
      </c>
      <c r="AG3" s="11">
        <v>0</v>
      </c>
      <c r="AH3" s="12">
        <v>223</v>
      </c>
      <c r="AI3" s="12">
        <v>62</v>
      </c>
      <c r="AJ3" s="69">
        <v>556</v>
      </c>
      <c r="AL3" s="11">
        <v>0</v>
      </c>
      <c r="AM3" s="12">
        <v>319</v>
      </c>
      <c r="AN3" s="12">
        <v>546</v>
      </c>
      <c r="AO3" s="69">
        <v>556</v>
      </c>
      <c r="AQ3" s="11">
        <v>0</v>
      </c>
      <c r="AR3" s="14" t="s">
        <v>5</v>
      </c>
      <c r="AT3" s="11">
        <v>0</v>
      </c>
      <c r="AU3" s="12">
        <v>6</v>
      </c>
      <c r="AW3" s="11">
        <v>0</v>
      </c>
      <c r="AX3" s="12">
        <v>135</v>
      </c>
      <c r="AY3" s="12">
        <v>49</v>
      </c>
      <c r="AZ3" s="12">
        <v>482</v>
      </c>
      <c r="BA3" s="12">
        <v>904</v>
      </c>
      <c r="BB3" s="12">
        <v>705</v>
      </c>
      <c r="BC3" s="12">
        <v>37</v>
      </c>
      <c r="BD3" s="12">
        <v>102</v>
      </c>
      <c r="BE3" s="12">
        <v>221</v>
      </c>
      <c r="BF3" s="12">
        <v>540</v>
      </c>
      <c r="BG3" s="29">
        <v>221</v>
      </c>
      <c r="BH3" s="12">
        <v>265</v>
      </c>
      <c r="BI3" s="12">
        <v>265</v>
      </c>
      <c r="BK3" s="11">
        <v>0</v>
      </c>
      <c r="BL3" s="12">
        <v>1</v>
      </c>
      <c r="BM3" s="12" t="s">
        <v>15</v>
      </c>
      <c r="BN3" s="12" t="s">
        <v>15</v>
      </c>
      <c r="BP3" s="11">
        <v>0</v>
      </c>
      <c r="BQ3" s="12">
        <v>2</v>
      </c>
      <c r="BR3" s="12">
        <v>0</v>
      </c>
      <c r="BS3" s="12">
        <v>0</v>
      </c>
      <c r="BU3" s="11">
        <v>0</v>
      </c>
      <c r="BV3" s="12">
        <v>1104</v>
      </c>
      <c r="BW3" s="12">
        <v>83</v>
      </c>
      <c r="BX3" s="69">
        <v>556</v>
      </c>
    </row>
    <row r="4" spans="1:76" ht="16.8">
      <c r="A4" s="20">
        <v>0</v>
      </c>
      <c r="B4" s="20">
        <v>1</v>
      </c>
      <c r="C4" s="5">
        <v>0</v>
      </c>
      <c r="D4" s="37">
        <f t="shared" ref="D4:D14" si="1">SUMIF(S$3:S$38,$A4,AC$3:AC$38)</f>
        <v>0</v>
      </c>
      <c r="E4" s="128">
        <f t="shared" si="0"/>
        <v>6248</v>
      </c>
      <c r="F4" s="7">
        <f t="shared" si="0"/>
        <v>0</v>
      </c>
      <c r="H4" s="27"/>
      <c r="J4" s="61" t="s">
        <v>77</v>
      </c>
      <c r="K4" s="61" t="s">
        <v>7</v>
      </c>
      <c r="L4" s="2">
        <v>6</v>
      </c>
      <c r="M4" s="2">
        <v>7</v>
      </c>
      <c r="N4" s="2">
        <v>2</v>
      </c>
      <c r="O4" s="6"/>
      <c r="R4" s="11">
        <v>1</v>
      </c>
      <c r="S4" s="12" t="s">
        <v>15</v>
      </c>
      <c r="T4" s="12">
        <v>0</v>
      </c>
      <c r="U4" s="12">
        <v>0</v>
      </c>
      <c r="W4" s="11">
        <v>1</v>
      </c>
      <c r="X4" s="12">
        <v>0</v>
      </c>
      <c r="Y4" s="12">
        <v>1</v>
      </c>
      <c r="Z4" s="12">
        <v>1</v>
      </c>
      <c r="AB4" s="11">
        <v>1</v>
      </c>
      <c r="AC4" s="12">
        <v>555</v>
      </c>
      <c r="AD4" s="12">
        <v>1042</v>
      </c>
      <c r="AE4" s="69">
        <v>0</v>
      </c>
      <c r="AG4" s="11">
        <v>1</v>
      </c>
      <c r="AH4" s="12">
        <v>480</v>
      </c>
      <c r="AI4" s="12">
        <v>824</v>
      </c>
      <c r="AJ4" s="69">
        <v>0</v>
      </c>
      <c r="AL4" s="11">
        <v>1</v>
      </c>
      <c r="AM4" s="12">
        <v>390</v>
      </c>
      <c r="AN4" s="12">
        <v>0</v>
      </c>
      <c r="AO4" s="69">
        <v>0</v>
      </c>
      <c r="AQ4" s="11">
        <v>1</v>
      </c>
      <c r="AR4" s="12" t="s">
        <v>15</v>
      </c>
      <c r="AT4" s="11">
        <v>1</v>
      </c>
      <c r="AU4" s="12">
        <v>0</v>
      </c>
      <c r="AW4" s="11">
        <v>1</v>
      </c>
      <c r="AX4" s="12">
        <v>533</v>
      </c>
      <c r="AY4" s="12">
        <v>402</v>
      </c>
      <c r="AZ4" s="12">
        <v>452</v>
      </c>
      <c r="BA4" s="12">
        <v>29</v>
      </c>
      <c r="BB4" s="12">
        <v>94</v>
      </c>
      <c r="BC4" s="12">
        <v>379</v>
      </c>
      <c r="BD4" s="12">
        <v>547</v>
      </c>
      <c r="BE4" s="12">
        <v>408</v>
      </c>
      <c r="BF4" s="12">
        <v>369</v>
      </c>
      <c r="BG4" s="29">
        <v>224</v>
      </c>
      <c r="BH4" s="12">
        <v>366</v>
      </c>
      <c r="BI4" s="12">
        <v>366</v>
      </c>
      <c r="BK4" s="11">
        <v>1</v>
      </c>
      <c r="BL4" s="12" t="s">
        <v>15</v>
      </c>
      <c r="BM4" s="12">
        <v>0</v>
      </c>
      <c r="BN4" s="12">
        <v>0</v>
      </c>
      <c r="BP4" s="11">
        <v>1</v>
      </c>
      <c r="BQ4" s="12">
        <v>0</v>
      </c>
      <c r="BR4" s="12">
        <v>1</v>
      </c>
      <c r="BS4" s="12">
        <v>1</v>
      </c>
      <c r="BU4" s="11">
        <v>1</v>
      </c>
      <c r="BV4" s="12">
        <v>15</v>
      </c>
      <c r="BW4" s="12">
        <v>368</v>
      </c>
      <c r="BX4" s="69">
        <v>0</v>
      </c>
    </row>
    <row r="5" spans="1:76" ht="16.8">
      <c r="A5" s="20">
        <v>1</v>
      </c>
      <c r="B5" s="20">
        <v>2</v>
      </c>
      <c r="C5" s="5">
        <v>1</v>
      </c>
      <c r="D5" s="6">
        <f t="shared" si="1"/>
        <v>0</v>
      </c>
      <c r="E5" s="128">
        <f t="shared" si="0"/>
        <v>309</v>
      </c>
      <c r="F5" s="7">
        <f t="shared" si="0"/>
        <v>0</v>
      </c>
      <c r="H5" s="27"/>
      <c r="I5" s="27"/>
      <c r="J5" s="91"/>
      <c r="K5" s="91"/>
      <c r="L5" s="320" t="s">
        <v>84</v>
      </c>
      <c r="M5" s="320"/>
      <c r="N5" s="320"/>
      <c r="R5" s="11">
        <v>2</v>
      </c>
      <c r="S5" s="12">
        <v>5</v>
      </c>
      <c r="T5" s="12" t="s">
        <v>15</v>
      </c>
      <c r="U5" s="12" t="s">
        <v>15</v>
      </c>
      <c r="W5" s="11">
        <v>2</v>
      </c>
      <c r="X5" s="12">
        <v>3</v>
      </c>
      <c r="Y5" s="12">
        <v>0</v>
      </c>
      <c r="Z5" s="12">
        <v>0</v>
      </c>
      <c r="AB5" s="11">
        <v>2</v>
      </c>
      <c r="AC5" s="12">
        <v>3</v>
      </c>
      <c r="AD5" s="12">
        <v>192</v>
      </c>
      <c r="AE5" s="69">
        <v>556</v>
      </c>
      <c r="AG5" s="11">
        <v>2</v>
      </c>
      <c r="AH5" s="12">
        <v>5</v>
      </c>
      <c r="AI5" s="12">
        <v>62</v>
      </c>
      <c r="AJ5" s="69">
        <v>556</v>
      </c>
      <c r="AL5" s="11">
        <v>2</v>
      </c>
      <c r="AM5" s="12">
        <v>132</v>
      </c>
      <c r="AN5" s="12">
        <v>546</v>
      </c>
      <c r="AO5" s="69">
        <v>556</v>
      </c>
      <c r="AQ5" s="11">
        <v>2</v>
      </c>
      <c r="AR5" s="14" t="s">
        <v>7</v>
      </c>
      <c r="AT5" s="11">
        <v>2</v>
      </c>
      <c r="AU5" s="12">
        <v>9</v>
      </c>
      <c r="AW5" s="11">
        <v>2</v>
      </c>
      <c r="AX5" s="12">
        <v>10</v>
      </c>
      <c r="AY5" s="12">
        <v>43</v>
      </c>
      <c r="AZ5" s="12">
        <v>151</v>
      </c>
      <c r="BA5" s="12">
        <v>538</v>
      </c>
      <c r="BB5" s="12">
        <v>669</v>
      </c>
      <c r="BC5" s="12">
        <v>777</v>
      </c>
      <c r="BD5" s="12">
        <v>57</v>
      </c>
      <c r="BE5" s="12">
        <v>124</v>
      </c>
      <c r="BF5" s="12">
        <v>83</v>
      </c>
      <c r="BG5" s="29">
        <v>124</v>
      </c>
      <c r="BH5" s="12">
        <v>149</v>
      </c>
      <c r="BI5" s="12">
        <v>149</v>
      </c>
      <c r="BK5" s="11">
        <v>2</v>
      </c>
      <c r="BL5" s="12">
        <v>5</v>
      </c>
      <c r="BM5" s="12" t="s">
        <v>15</v>
      </c>
      <c r="BN5" s="12" t="s">
        <v>15</v>
      </c>
      <c r="BP5" s="11">
        <v>2</v>
      </c>
      <c r="BQ5" s="12">
        <v>3</v>
      </c>
      <c r="BR5" s="12">
        <v>0</v>
      </c>
      <c r="BS5" s="12">
        <v>0</v>
      </c>
      <c r="BU5" s="11">
        <v>2</v>
      </c>
      <c r="BV5" s="12">
        <v>293</v>
      </c>
      <c r="BW5" s="12">
        <v>83</v>
      </c>
      <c r="BX5" s="69">
        <v>556</v>
      </c>
    </row>
    <row r="6" spans="1:76">
      <c r="A6" s="21">
        <v>5</v>
      </c>
      <c r="B6" s="21">
        <v>3</v>
      </c>
      <c r="C6" s="23">
        <v>5</v>
      </c>
      <c r="D6" s="6">
        <f t="shared" si="1"/>
        <v>15</v>
      </c>
      <c r="E6" s="128">
        <f t="shared" si="0"/>
        <v>0</v>
      </c>
      <c r="F6" s="7">
        <f t="shared" si="0"/>
        <v>0</v>
      </c>
      <c r="H6" s="27"/>
      <c r="I6" s="27"/>
      <c r="J6" s="27"/>
      <c r="R6" s="11">
        <v>3</v>
      </c>
      <c r="S6" s="12" t="s">
        <v>15</v>
      </c>
      <c r="T6" s="12">
        <v>1</v>
      </c>
      <c r="U6" s="12">
        <v>1</v>
      </c>
      <c r="W6" s="11">
        <v>3</v>
      </c>
      <c r="X6" s="12">
        <v>0</v>
      </c>
      <c r="Y6" s="12">
        <v>2</v>
      </c>
      <c r="Z6" s="12">
        <v>2</v>
      </c>
      <c r="AB6" s="11">
        <v>3</v>
      </c>
      <c r="AC6" s="12">
        <v>555</v>
      </c>
      <c r="AD6" s="12">
        <v>52</v>
      </c>
      <c r="AE6" s="69">
        <v>0</v>
      </c>
      <c r="AG6" s="11">
        <v>3</v>
      </c>
      <c r="AH6" s="12">
        <v>480</v>
      </c>
      <c r="AI6" s="12">
        <v>377</v>
      </c>
      <c r="AJ6" s="69">
        <v>0</v>
      </c>
      <c r="AL6" s="11">
        <v>3</v>
      </c>
      <c r="AM6" s="12">
        <v>390</v>
      </c>
      <c r="AN6" s="12">
        <v>0</v>
      </c>
      <c r="AO6" s="69">
        <v>0</v>
      </c>
      <c r="AQ6" s="11">
        <v>3</v>
      </c>
      <c r="AR6" s="12" t="s">
        <v>15</v>
      </c>
      <c r="AT6" s="11">
        <v>3</v>
      </c>
      <c r="AU6" s="12">
        <v>0</v>
      </c>
      <c r="AW6" s="11">
        <v>3</v>
      </c>
      <c r="AX6" s="12">
        <v>533</v>
      </c>
      <c r="AY6" s="12">
        <v>402</v>
      </c>
      <c r="AZ6" s="12">
        <v>445</v>
      </c>
      <c r="BA6" s="12">
        <v>24</v>
      </c>
      <c r="BB6" s="12">
        <v>92</v>
      </c>
      <c r="BC6" s="12">
        <v>374</v>
      </c>
      <c r="BD6" s="12">
        <v>551</v>
      </c>
      <c r="BE6" s="12">
        <v>415</v>
      </c>
      <c r="BF6" s="12">
        <v>368</v>
      </c>
      <c r="BG6" s="29">
        <v>218</v>
      </c>
      <c r="BH6" s="12">
        <v>364</v>
      </c>
      <c r="BI6" s="12">
        <v>364</v>
      </c>
      <c r="BK6" s="11">
        <v>3</v>
      </c>
      <c r="BL6" s="12" t="s">
        <v>15</v>
      </c>
      <c r="BM6" s="12">
        <v>1</v>
      </c>
      <c r="BN6" s="12">
        <v>1</v>
      </c>
      <c r="BP6" s="11">
        <v>3</v>
      </c>
      <c r="BQ6" s="12">
        <v>0</v>
      </c>
      <c r="BR6" s="12">
        <v>2</v>
      </c>
      <c r="BS6" s="12">
        <v>2</v>
      </c>
      <c r="BU6" s="11">
        <v>3</v>
      </c>
      <c r="BV6" s="12">
        <v>15</v>
      </c>
      <c r="BW6" s="12">
        <v>368</v>
      </c>
      <c r="BX6" s="69">
        <v>0</v>
      </c>
    </row>
    <row r="7" spans="1:76" ht="16.8">
      <c r="A7" s="21">
        <v>10</v>
      </c>
      <c r="B7" s="21">
        <v>4</v>
      </c>
      <c r="C7" s="23">
        <v>10</v>
      </c>
      <c r="D7" s="6">
        <f t="shared" si="1"/>
        <v>0</v>
      </c>
      <c r="E7" s="59">
        <f t="shared" si="0"/>
        <v>0</v>
      </c>
      <c r="F7" s="38">
        <f t="shared" si="0"/>
        <v>0</v>
      </c>
      <c r="H7" s="27"/>
      <c r="J7" s="64" t="s">
        <v>81</v>
      </c>
      <c r="K7" s="64" t="s">
        <v>82</v>
      </c>
      <c r="L7" s="64" t="s">
        <v>83</v>
      </c>
      <c r="M7" s="64" t="s">
        <v>113</v>
      </c>
      <c r="R7" s="11">
        <v>4</v>
      </c>
      <c r="S7" s="12">
        <v>10</v>
      </c>
      <c r="T7" s="12" t="s">
        <v>15</v>
      </c>
      <c r="U7" s="12" t="s">
        <v>15</v>
      </c>
      <c r="W7" s="11">
        <v>4</v>
      </c>
      <c r="X7" s="12">
        <v>4</v>
      </c>
      <c r="Y7" s="12">
        <v>0</v>
      </c>
      <c r="Z7" s="12">
        <v>0</v>
      </c>
      <c r="AB7" s="11">
        <v>4</v>
      </c>
      <c r="AC7" s="12">
        <v>0</v>
      </c>
      <c r="AD7" s="12">
        <v>192</v>
      </c>
      <c r="AE7" s="69">
        <v>556</v>
      </c>
      <c r="AG7" s="11">
        <v>4</v>
      </c>
      <c r="AH7" s="12">
        <v>0</v>
      </c>
      <c r="AI7" s="12">
        <v>62</v>
      </c>
      <c r="AJ7" s="69">
        <v>556</v>
      </c>
      <c r="AL7" s="11">
        <v>4</v>
      </c>
      <c r="AM7" s="12">
        <v>47</v>
      </c>
      <c r="AN7" s="12">
        <v>546</v>
      </c>
      <c r="AO7" s="69">
        <v>556</v>
      </c>
      <c r="AQ7" s="11">
        <v>4</v>
      </c>
      <c r="AR7" s="14" t="s">
        <v>6</v>
      </c>
      <c r="AT7" s="11">
        <v>4</v>
      </c>
      <c r="AU7" s="12">
        <v>7</v>
      </c>
      <c r="AW7" s="11">
        <v>4</v>
      </c>
      <c r="AX7" s="12">
        <v>239</v>
      </c>
      <c r="AY7" s="12">
        <v>706</v>
      </c>
      <c r="AZ7" s="12">
        <v>35</v>
      </c>
      <c r="BA7" s="12">
        <v>487</v>
      </c>
      <c r="BB7" s="12">
        <v>353</v>
      </c>
      <c r="BC7" s="12">
        <v>67</v>
      </c>
      <c r="BD7" s="12">
        <v>191</v>
      </c>
      <c r="BE7" s="12">
        <v>413</v>
      </c>
      <c r="BF7" s="12">
        <v>276</v>
      </c>
      <c r="BG7" s="29">
        <v>1001</v>
      </c>
      <c r="BH7" s="12">
        <v>496</v>
      </c>
      <c r="BI7" s="12">
        <v>496</v>
      </c>
      <c r="BK7" s="11">
        <v>4</v>
      </c>
      <c r="BL7" s="12">
        <v>10</v>
      </c>
      <c r="BM7" s="12" t="s">
        <v>15</v>
      </c>
      <c r="BN7" s="12" t="s">
        <v>15</v>
      </c>
      <c r="BP7" s="11">
        <v>4</v>
      </c>
      <c r="BQ7" s="12">
        <v>4</v>
      </c>
      <c r="BR7" s="12">
        <v>0</v>
      </c>
      <c r="BS7" s="12">
        <v>0</v>
      </c>
      <c r="BU7" s="11">
        <v>4</v>
      </c>
      <c r="BV7" s="12">
        <v>228</v>
      </c>
      <c r="BW7" s="12">
        <v>83</v>
      </c>
      <c r="BX7" s="69">
        <v>556</v>
      </c>
    </row>
    <row r="8" spans="1:76" ht="16.8">
      <c r="A8" s="20" t="s">
        <v>20</v>
      </c>
      <c r="B8" s="20">
        <v>5</v>
      </c>
      <c r="C8" s="23" t="s">
        <v>29</v>
      </c>
      <c r="D8" s="37">
        <f t="shared" si="1"/>
        <v>0</v>
      </c>
      <c r="E8" s="59">
        <f t="shared" si="0"/>
        <v>0</v>
      </c>
      <c r="F8" s="38">
        <f t="shared" si="0"/>
        <v>0</v>
      </c>
      <c r="H8" s="27"/>
      <c r="J8" s="64" t="s">
        <v>80</v>
      </c>
      <c r="K8" s="64">
        <v>3</v>
      </c>
      <c r="L8" s="64">
        <v>3</v>
      </c>
      <c r="M8" s="64">
        <v>94</v>
      </c>
      <c r="R8" s="11">
        <v>5</v>
      </c>
      <c r="S8" s="12" t="s">
        <v>15</v>
      </c>
      <c r="T8" s="12">
        <v>5</v>
      </c>
      <c r="U8" s="12">
        <v>5</v>
      </c>
      <c r="W8" s="11">
        <v>5</v>
      </c>
      <c r="X8" s="12">
        <v>0</v>
      </c>
      <c r="Y8" s="12">
        <v>3</v>
      </c>
      <c r="Z8" s="12">
        <v>3</v>
      </c>
      <c r="AB8" s="11">
        <v>5</v>
      </c>
      <c r="AC8" s="12">
        <v>555</v>
      </c>
      <c r="AD8" s="12">
        <v>0</v>
      </c>
      <c r="AE8" s="69">
        <v>0</v>
      </c>
      <c r="AG8" s="11">
        <v>5</v>
      </c>
      <c r="AH8" s="12">
        <v>480</v>
      </c>
      <c r="AI8" s="12">
        <v>283</v>
      </c>
      <c r="AJ8" s="69">
        <v>0</v>
      </c>
      <c r="AL8" s="11">
        <v>5</v>
      </c>
      <c r="AM8" s="12">
        <v>390</v>
      </c>
      <c r="AN8" s="12">
        <v>30</v>
      </c>
      <c r="AO8" s="69">
        <v>0</v>
      </c>
      <c r="AQ8" s="11">
        <v>5</v>
      </c>
      <c r="AR8" s="12" t="s">
        <v>15</v>
      </c>
      <c r="AT8" s="11">
        <v>5</v>
      </c>
      <c r="AU8" s="12">
        <v>0</v>
      </c>
      <c r="AW8" s="11">
        <v>5</v>
      </c>
      <c r="AX8" s="12">
        <v>540</v>
      </c>
      <c r="AY8" s="12">
        <v>402</v>
      </c>
      <c r="AZ8" s="12">
        <v>444</v>
      </c>
      <c r="BA8" s="12">
        <v>24</v>
      </c>
      <c r="BB8" s="12">
        <v>92</v>
      </c>
      <c r="BC8" s="12">
        <v>374</v>
      </c>
      <c r="BD8" s="12">
        <v>551</v>
      </c>
      <c r="BE8" s="12">
        <v>415</v>
      </c>
      <c r="BF8" s="12">
        <v>368</v>
      </c>
      <c r="BG8" s="29">
        <v>218</v>
      </c>
      <c r="BH8" s="12">
        <v>364</v>
      </c>
      <c r="BI8" s="12">
        <v>364</v>
      </c>
      <c r="BK8" s="11">
        <v>5</v>
      </c>
      <c r="BL8" s="12" t="s">
        <v>15</v>
      </c>
      <c r="BM8" s="12">
        <v>5</v>
      </c>
      <c r="BN8" s="12">
        <v>5</v>
      </c>
      <c r="BP8" s="11">
        <v>5</v>
      </c>
      <c r="BQ8" s="12">
        <v>0</v>
      </c>
      <c r="BR8" s="12">
        <v>3</v>
      </c>
      <c r="BS8" s="12">
        <v>3</v>
      </c>
      <c r="BU8" s="11">
        <v>5</v>
      </c>
      <c r="BV8" s="12">
        <v>15</v>
      </c>
      <c r="BW8" s="12">
        <v>682</v>
      </c>
      <c r="BX8" s="69">
        <v>0</v>
      </c>
    </row>
    <row r="9" spans="1:76" ht="15.6" customHeight="1">
      <c r="A9" s="21" t="s">
        <v>21</v>
      </c>
      <c r="B9" s="21">
        <v>6</v>
      </c>
      <c r="C9" s="23" t="s">
        <v>26</v>
      </c>
      <c r="D9" s="37">
        <f t="shared" si="1"/>
        <v>0</v>
      </c>
      <c r="E9" s="59">
        <f t="shared" si="0"/>
        <v>0</v>
      </c>
      <c r="F9" s="38">
        <f t="shared" si="0"/>
        <v>0</v>
      </c>
      <c r="H9" s="27"/>
      <c r="J9" s="64" t="s">
        <v>72</v>
      </c>
      <c r="K9" s="64">
        <v>0</v>
      </c>
      <c r="L9" s="64">
        <v>0</v>
      </c>
      <c r="M9" s="64">
        <v>0</v>
      </c>
      <c r="N9" s="92"/>
      <c r="O9" s="92"/>
      <c r="R9" s="11">
        <v>6</v>
      </c>
      <c r="S9" s="12">
        <v>1</v>
      </c>
      <c r="T9" s="12" t="s">
        <v>15</v>
      </c>
      <c r="U9" s="12" t="s">
        <v>15</v>
      </c>
      <c r="W9" s="11">
        <v>6</v>
      </c>
      <c r="X9" s="12">
        <v>2</v>
      </c>
      <c r="Y9" s="12">
        <v>0</v>
      </c>
      <c r="Z9" s="12">
        <v>0</v>
      </c>
      <c r="AB9" s="11">
        <v>6</v>
      </c>
      <c r="AC9" s="12">
        <v>0</v>
      </c>
      <c r="AD9" s="12">
        <v>192</v>
      </c>
      <c r="AE9" s="69">
        <v>556</v>
      </c>
      <c r="AG9" s="11">
        <v>6</v>
      </c>
      <c r="AH9" s="12">
        <v>223</v>
      </c>
      <c r="AI9" s="12">
        <v>62</v>
      </c>
      <c r="AJ9" s="69">
        <v>556</v>
      </c>
      <c r="AL9" s="11">
        <v>6</v>
      </c>
      <c r="AM9" s="12">
        <v>319</v>
      </c>
      <c r="AN9" s="12">
        <v>546</v>
      </c>
      <c r="AO9" s="69">
        <v>556</v>
      </c>
      <c r="AQ9" s="11">
        <v>6</v>
      </c>
      <c r="AR9" s="14" t="s">
        <v>5</v>
      </c>
      <c r="AT9" s="11">
        <v>6</v>
      </c>
      <c r="AU9" s="12">
        <v>6</v>
      </c>
      <c r="AW9" s="11">
        <v>6</v>
      </c>
      <c r="AX9" s="12">
        <v>135</v>
      </c>
      <c r="AY9" s="12">
        <v>49</v>
      </c>
      <c r="AZ9" s="12">
        <v>482</v>
      </c>
      <c r="BA9" s="12">
        <v>904</v>
      </c>
      <c r="BB9" s="12">
        <v>705</v>
      </c>
      <c r="BC9" s="12">
        <v>35</v>
      </c>
      <c r="BD9" s="12">
        <v>102</v>
      </c>
      <c r="BE9" s="12">
        <v>221</v>
      </c>
      <c r="BF9" s="12">
        <v>540</v>
      </c>
      <c r="BG9" s="29">
        <v>221</v>
      </c>
      <c r="BH9" s="12">
        <v>265</v>
      </c>
      <c r="BI9" s="12">
        <v>265</v>
      </c>
      <c r="BK9" s="11">
        <v>6</v>
      </c>
      <c r="BL9" s="12">
        <v>1</v>
      </c>
      <c r="BM9" s="12" t="s">
        <v>15</v>
      </c>
      <c r="BN9" s="12" t="s">
        <v>15</v>
      </c>
      <c r="BP9" s="11">
        <v>6</v>
      </c>
      <c r="BQ9" s="12">
        <v>2</v>
      </c>
      <c r="BR9" s="12">
        <v>0</v>
      </c>
      <c r="BS9" s="12">
        <v>0</v>
      </c>
      <c r="BU9" s="11">
        <v>6</v>
      </c>
      <c r="BV9" s="12">
        <v>1104</v>
      </c>
      <c r="BW9" s="12">
        <v>83</v>
      </c>
      <c r="BX9" s="69">
        <v>556</v>
      </c>
    </row>
    <row r="10" spans="1:76" ht="16.8">
      <c r="A10" s="20" t="s">
        <v>22</v>
      </c>
      <c r="B10" s="20">
        <v>7</v>
      </c>
      <c r="C10" s="5" t="s">
        <v>27</v>
      </c>
      <c r="D10" s="37">
        <f t="shared" si="1"/>
        <v>0</v>
      </c>
      <c r="E10" s="59">
        <f t="shared" si="0"/>
        <v>0</v>
      </c>
      <c r="F10" s="38">
        <f t="shared" si="0"/>
        <v>0</v>
      </c>
      <c r="H10" s="27"/>
      <c r="J10" s="64" t="s">
        <v>73</v>
      </c>
      <c r="K10" s="64">
        <v>0</v>
      </c>
      <c r="L10" s="64">
        <v>0</v>
      </c>
      <c r="M10" s="64">
        <v>0</v>
      </c>
      <c r="N10" s="93"/>
      <c r="O10" s="93"/>
      <c r="R10" s="11">
        <v>7</v>
      </c>
      <c r="S10" s="12" t="s">
        <v>15</v>
      </c>
      <c r="T10" s="12">
        <v>0</v>
      </c>
      <c r="U10" s="12">
        <v>0</v>
      </c>
      <c r="W10" s="11">
        <v>7</v>
      </c>
      <c r="X10" s="12">
        <v>0</v>
      </c>
      <c r="Y10" s="12">
        <v>1</v>
      </c>
      <c r="Z10" s="12">
        <v>1</v>
      </c>
      <c r="AB10" s="11">
        <v>7</v>
      </c>
      <c r="AC10" s="12">
        <v>555</v>
      </c>
      <c r="AD10" s="12">
        <v>1042</v>
      </c>
      <c r="AE10" s="69">
        <v>0</v>
      </c>
      <c r="AG10" s="11">
        <v>7</v>
      </c>
      <c r="AH10" s="12">
        <v>480</v>
      </c>
      <c r="AI10" s="12">
        <v>824</v>
      </c>
      <c r="AJ10" s="69">
        <v>0</v>
      </c>
      <c r="AL10" s="11">
        <v>7</v>
      </c>
      <c r="AM10" s="12">
        <v>390</v>
      </c>
      <c r="AN10" s="12">
        <v>0</v>
      </c>
      <c r="AO10" s="69">
        <v>0</v>
      </c>
      <c r="AQ10" s="11">
        <v>7</v>
      </c>
      <c r="AR10" s="12" t="s">
        <v>15</v>
      </c>
      <c r="AT10" s="11">
        <v>7</v>
      </c>
      <c r="AU10" s="12">
        <v>0</v>
      </c>
      <c r="AW10" s="11">
        <v>7</v>
      </c>
      <c r="AX10" s="12">
        <v>541</v>
      </c>
      <c r="AY10" s="12">
        <v>401</v>
      </c>
      <c r="AZ10" s="12">
        <v>444</v>
      </c>
      <c r="BA10" s="12">
        <v>24</v>
      </c>
      <c r="BB10" s="12">
        <v>91</v>
      </c>
      <c r="BC10" s="12">
        <v>374</v>
      </c>
      <c r="BD10" s="12">
        <v>551</v>
      </c>
      <c r="BE10" s="12">
        <v>415</v>
      </c>
      <c r="BF10" s="12">
        <v>368</v>
      </c>
      <c r="BG10" s="29">
        <v>218</v>
      </c>
      <c r="BH10" s="12">
        <v>364</v>
      </c>
      <c r="BI10" s="12">
        <v>364</v>
      </c>
      <c r="BK10" s="11">
        <v>7</v>
      </c>
      <c r="BL10" s="12" t="s">
        <v>15</v>
      </c>
      <c r="BM10" s="12">
        <v>0</v>
      </c>
      <c r="BN10" s="12">
        <v>0</v>
      </c>
      <c r="BP10" s="11">
        <v>7</v>
      </c>
      <c r="BQ10" s="12">
        <v>0</v>
      </c>
      <c r="BR10" s="12">
        <v>1</v>
      </c>
      <c r="BS10" s="12">
        <v>1</v>
      </c>
      <c r="BU10" s="11">
        <v>7</v>
      </c>
      <c r="BV10" s="12">
        <v>15</v>
      </c>
      <c r="BW10" s="12">
        <v>368</v>
      </c>
      <c r="BX10" s="69">
        <v>0</v>
      </c>
    </row>
    <row r="11" spans="1:76" ht="16.8">
      <c r="A11" s="20" t="s">
        <v>23</v>
      </c>
      <c r="B11" s="20">
        <v>8</v>
      </c>
      <c r="C11" s="5" t="s">
        <v>28</v>
      </c>
      <c r="D11" s="37">
        <f t="shared" si="1"/>
        <v>0</v>
      </c>
      <c r="E11" s="59">
        <f t="shared" si="0"/>
        <v>0</v>
      </c>
      <c r="F11" s="38">
        <f t="shared" si="0"/>
        <v>0</v>
      </c>
      <c r="H11" s="27"/>
      <c r="J11" s="64" t="s">
        <v>4</v>
      </c>
      <c r="K11" s="64">
        <v>7</v>
      </c>
      <c r="L11" s="64">
        <v>7</v>
      </c>
      <c r="M11" s="64">
        <v>86</v>
      </c>
      <c r="N11" s="93"/>
      <c r="O11" s="93"/>
      <c r="R11" s="11">
        <v>8</v>
      </c>
      <c r="S11" s="12">
        <v>5</v>
      </c>
      <c r="T11" s="12" t="s">
        <v>15</v>
      </c>
      <c r="U11" s="12" t="s">
        <v>15</v>
      </c>
      <c r="W11" s="11">
        <v>8</v>
      </c>
      <c r="X11" s="12">
        <v>3</v>
      </c>
      <c r="Y11" s="12">
        <v>0</v>
      </c>
      <c r="Z11" s="12">
        <v>0</v>
      </c>
      <c r="AB11" s="11">
        <v>8</v>
      </c>
      <c r="AC11" s="12">
        <v>3</v>
      </c>
      <c r="AD11" s="12">
        <v>192</v>
      </c>
      <c r="AE11" s="69">
        <v>556</v>
      </c>
      <c r="AG11" s="11">
        <v>8</v>
      </c>
      <c r="AH11" s="12">
        <v>5</v>
      </c>
      <c r="AI11" s="12">
        <v>62</v>
      </c>
      <c r="AJ11" s="69">
        <v>556</v>
      </c>
      <c r="AL11" s="11">
        <v>8</v>
      </c>
      <c r="AM11" s="12">
        <v>132</v>
      </c>
      <c r="AN11" s="12">
        <v>546</v>
      </c>
      <c r="AO11" s="69">
        <v>556</v>
      </c>
      <c r="AQ11" s="11">
        <v>8</v>
      </c>
      <c r="AR11" s="14" t="s">
        <v>7</v>
      </c>
      <c r="AT11" s="11">
        <v>8</v>
      </c>
      <c r="AU11" s="12">
        <v>9</v>
      </c>
      <c r="AW11" s="11">
        <v>8</v>
      </c>
      <c r="AX11" s="12">
        <v>9</v>
      </c>
      <c r="AY11" s="12">
        <v>43</v>
      </c>
      <c r="AZ11" s="12">
        <v>151</v>
      </c>
      <c r="BA11" s="12">
        <v>538</v>
      </c>
      <c r="BB11" s="12">
        <v>669</v>
      </c>
      <c r="BC11" s="12">
        <v>777</v>
      </c>
      <c r="BD11" s="12">
        <v>57</v>
      </c>
      <c r="BE11" s="12">
        <v>124</v>
      </c>
      <c r="BF11" s="12">
        <v>83</v>
      </c>
      <c r="BG11" s="29">
        <v>124</v>
      </c>
      <c r="BH11" s="12">
        <v>148</v>
      </c>
      <c r="BI11" s="12">
        <v>148</v>
      </c>
      <c r="BK11" s="11">
        <v>8</v>
      </c>
      <c r="BL11" s="12">
        <v>5</v>
      </c>
      <c r="BM11" s="12" t="s">
        <v>15</v>
      </c>
      <c r="BN11" s="12" t="s">
        <v>15</v>
      </c>
      <c r="BP11" s="11">
        <v>8</v>
      </c>
      <c r="BQ11" s="12">
        <v>3</v>
      </c>
      <c r="BR11" s="12">
        <v>0</v>
      </c>
      <c r="BS11" s="12">
        <v>0</v>
      </c>
      <c r="BU11" s="11">
        <v>8</v>
      </c>
      <c r="BV11" s="12">
        <v>292</v>
      </c>
      <c r="BW11" s="12">
        <v>83</v>
      </c>
      <c r="BX11" s="69">
        <v>556</v>
      </c>
    </row>
    <row r="12" spans="1:76">
      <c r="A12" s="20" t="s">
        <v>24</v>
      </c>
      <c r="B12" s="20">
        <v>9</v>
      </c>
      <c r="C12" s="5" t="s">
        <v>16</v>
      </c>
      <c r="D12" s="37">
        <f t="shared" si="1"/>
        <v>0</v>
      </c>
      <c r="E12" s="59">
        <f t="shared" si="0"/>
        <v>0</v>
      </c>
      <c r="F12" s="38">
        <f t="shared" si="0"/>
        <v>0</v>
      </c>
      <c r="H12" s="27"/>
      <c r="J12" s="27"/>
      <c r="K12" s="27"/>
      <c r="R12" s="11">
        <v>9</v>
      </c>
      <c r="S12" s="12" t="s">
        <v>15</v>
      </c>
      <c r="T12" s="12">
        <v>1</v>
      </c>
      <c r="U12" s="12">
        <v>1</v>
      </c>
      <c r="W12" s="11">
        <v>9</v>
      </c>
      <c r="X12" s="12">
        <v>0</v>
      </c>
      <c r="Y12" s="12">
        <v>2</v>
      </c>
      <c r="Z12" s="12">
        <v>2</v>
      </c>
      <c r="AB12" s="11">
        <v>9</v>
      </c>
      <c r="AC12" s="12">
        <v>555</v>
      </c>
      <c r="AD12" s="12">
        <v>52</v>
      </c>
      <c r="AE12" s="69">
        <v>0</v>
      </c>
      <c r="AG12" s="11">
        <v>9</v>
      </c>
      <c r="AH12" s="12">
        <v>480</v>
      </c>
      <c r="AI12" s="12">
        <v>377</v>
      </c>
      <c r="AJ12" s="69">
        <v>0</v>
      </c>
      <c r="AL12" s="11">
        <v>9</v>
      </c>
      <c r="AM12" s="12">
        <v>390</v>
      </c>
      <c r="AN12" s="12">
        <v>0</v>
      </c>
      <c r="AO12" s="69">
        <v>0</v>
      </c>
      <c r="AQ12" s="11">
        <v>9</v>
      </c>
      <c r="AR12" s="12" t="s">
        <v>15</v>
      </c>
      <c r="AT12" s="11">
        <v>9</v>
      </c>
      <c r="AU12" s="12">
        <v>0</v>
      </c>
      <c r="AW12" s="11">
        <v>9</v>
      </c>
      <c r="AX12" s="12">
        <v>541</v>
      </c>
      <c r="AY12" s="12">
        <v>401</v>
      </c>
      <c r="AZ12" s="12">
        <v>444</v>
      </c>
      <c r="BA12" s="12">
        <v>24</v>
      </c>
      <c r="BB12" s="12">
        <v>91</v>
      </c>
      <c r="BC12" s="12">
        <v>374</v>
      </c>
      <c r="BD12" s="12">
        <v>551</v>
      </c>
      <c r="BE12" s="12">
        <v>415</v>
      </c>
      <c r="BF12" s="12">
        <v>368</v>
      </c>
      <c r="BG12" s="29">
        <v>218</v>
      </c>
      <c r="BH12" s="12">
        <v>364</v>
      </c>
      <c r="BI12" s="12">
        <v>364</v>
      </c>
      <c r="BK12" s="11">
        <v>9</v>
      </c>
      <c r="BL12" s="12" t="s">
        <v>15</v>
      </c>
      <c r="BM12" s="12">
        <v>1</v>
      </c>
      <c r="BN12" s="12">
        <v>1</v>
      </c>
      <c r="BP12" s="11">
        <v>9</v>
      </c>
      <c r="BQ12" s="12">
        <v>0</v>
      </c>
      <c r="BR12" s="12">
        <v>2</v>
      </c>
      <c r="BS12" s="12">
        <v>2</v>
      </c>
      <c r="BU12" s="11">
        <v>9</v>
      </c>
      <c r="BV12" s="12">
        <v>15</v>
      </c>
      <c r="BW12" s="12">
        <v>368</v>
      </c>
      <c r="BX12" s="69">
        <v>0</v>
      </c>
    </row>
    <row r="13" spans="1:76" ht="18" customHeight="1">
      <c r="A13" s="21" t="s">
        <v>35</v>
      </c>
      <c r="B13" s="21">
        <v>10</v>
      </c>
      <c r="C13" s="5" t="s">
        <v>37</v>
      </c>
      <c r="D13" s="37">
        <f t="shared" si="1"/>
        <v>0</v>
      </c>
      <c r="E13" s="59">
        <f t="shared" si="0"/>
        <v>0</v>
      </c>
      <c r="F13" s="38">
        <f t="shared" si="0"/>
        <v>0</v>
      </c>
      <c r="H13" s="27"/>
      <c r="J13" s="66"/>
      <c r="K13" s="64" t="s">
        <v>90</v>
      </c>
      <c r="L13" s="64" t="s">
        <v>91</v>
      </c>
      <c r="M13" s="64" t="s">
        <v>92</v>
      </c>
      <c r="R13" s="11">
        <v>10</v>
      </c>
      <c r="S13" s="12">
        <v>10</v>
      </c>
      <c r="T13" s="12" t="s">
        <v>15</v>
      </c>
      <c r="U13" s="12" t="s">
        <v>15</v>
      </c>
      <c r="W13" s="11">
        <v>10</v>
      </c>
      <c r="X13" s="12">
        <v>4</v>
      </c>
      <c r="Y13" s="12">
        <v>0</v>
      </c>
      <c r="Z13" s="12">
        <v>0</v>
      </c>
      <c r="AB13" s="11">
        <v>10</v>
      </c>
      <c r="AC13" s="12">
        <v>0</v>
      </c>
      <c r="AD13" s="12">
        <v>191</v>
      </c>
      <c r="AE13" s="69">
        <v>556</v>
      </c>
      <c r="AG13" s="11">
        <v>10</v>
      </c>
      <c r="AH13" s="12">
        <v>0</v>
      </c>
      <c r="AI13" s="12">
        <v>62</v>
      </c>
      <c r="AJ13" s="69">
        <v>556</v>
      </c>
      <c r="AL13" s="11">
        <v>10</v>
      </c>
      <c r="AM13" s="12">
        <v>46</v>
      </c>
      <c r="AN13" s="12">
        <v>546</v>
      </c>
      <c r="AO13" s="69">
        <v>556</v>
      </c>
      <c r="AQ13" s="11">
        <v>10</v>
      </c>
      <c r="AR13" s="14" t="s">
        <v>6</v>
      </c>
      <c r="AT13" s="11">
        <v>10</v>
      </c>
      <c r="AU13" s="12">
        <v>7</v>
      </c>
      <c r="AW13" s="11">
        <v>10</v>
      </c>
      <c r="AX13" s="12">
        <v>239</v>
      </c>
      <c r="AY13" s="12">
        <v>706</v>
      </c>
      <c r="AZ13" s="12">
        <v>35</v>
      </c>
      <c r="BA13" s="12">
        <v>485</v>
      </c>
      <c r="BB13" s="12">
        <v>353</v>
      </c>
      <c r="BC13" s="12">
        <v>67</v>
      </c>
      <c r="BD13" s="12">
        <v>191</v>
      </c>
      <c r="BE13" s="12">
        <v>413</v>
      </c>
      <c r="BF13" s="12">
        <v>276</v>
      </c>
      <c r="BG13" s="29">
        <v>1001</v>
      </c>
      <c r="BH13" s="12">
        <v>496</v>
      </c>
      <c r="BI13" s="12">
        <v>496</v>
      </c>
      <c r="BK13" s="11">
        <v>10</v>
      </c>
      <c r="BL13" s="12">
        <v>10</v>
      </c>
      <c r="BM13" s="12" t="s">
        <v>15</v>
      </c>
      <c r="BN13" s="12" t="s">
        <v>15</v>
      </c>
      <c r="BP13" s="11">
        <v>10</v>
      </c>
      <c r="BQ13" s="12">
        <v>4</v>
      </c>
      <c r="BR13" s="12">
        <v>0</v>
      </c>
      <c r="BS13" s="12">
        <v>0</v>
      </c>
      <c r="BU13" s="11">
        <v>10</v>
      </c>
      <c r="BV13" s="12">
        <v>228</v>
      </c>
      <c r="BW13" s="12">
        <v>83</v>
      </c>
      <c r="BX13" s="69">
        <v>556</v>
      </c>
    </row>
    <row r="14" spans="1:76" ht="16.8">
      <c r="A14" s="22" t="s">
        <v>39</v>
      </c>
      <c r="B14" s="22">
        <v>11</v>
      </c>
      <c r="C14" s="17" t="s">
        <v>38</v>
      </c>
      <c r="D14" s="60">
        <f t="shared" si="1"/>
        <v>0</v>
      </c>
      <c r="E14" s="39">
        <f t="shared" si="0"/>
        <v>0</v>
      </c>
      <c r="F14" s="40">
        <f t="shared" si="0"/>
        <v>0</v>
      </c>
      <c r="H14" s="27"/>
      <c r="J14" s="64" t="s">
        <v>96</v>
      </c>
      <c r="K14" s="64">
        <v>692</v>
      </c>
      <c r="L14" s="64">
        <v>96</v>
      </c>
      <c r="M14" s="64">
        <v>212</v>
      </c>
      <c r="R14" s="11">
        <v>11</v>
      </c>
      <c r="S14" s="12" t="s">
        <v>15</v>
      </c>
      <c r="T14" s="12">
        <v>5</v>
      </c>
      <c r="U14" s="12">
        <v>5</v>
      </c>
      <c r="W14" s="11">
        <v>11</v>
      </c>
      <c r="X14" s="12">
        <v>0</v>
      </c>
      <c r="Y14" s="12">
        <v>3</v>
      </c>
      <c r="Z14" s="12">
        <v>3</v>
      </c>
      <c r="AB14" s="11">
        <v>11</v>
      </c>
      <c r="AC14" s="12">
        <v>555</v>
      </c>
      <c r="AD14" s="12">
        <v>0</v>
      </c>
      <c r="AE14" s="69">
        <v>0</v>
      </c>
      <c r="AG14" s="11">
        <v>11</v>
      </c>
      <c r="AH14" s="12">
        <v>480</v>
      </c>
      <c r="AI14" s="12">
        <v>283</v>
      </c>
      <c r="AJ14" s="69">
        <v>0</v>
      </c>
      <c r="AL14" s="11">
        <v>11</v>
      </c>
      <c r="AM14" s="12">
        <v>390</v>
      </c>
      <c r="AN14" s="12">
        <v>30</v>
      </c>
      <c r="AO14" s="69">
        <v>0</v>
      </c>
      <c r="AQ14" s="11">
        <v>11</v>
      </c>
      <c r="AR14" s="12" t="s">
        <v>15</v>
      </c>
      <c r="AT14" s="11">
        <v>11</v>
      </c>
      <c r="AU14" s="12">
        <v>0</v>
      </c>
      <c r="AW14" s="11">
        <v>11</v>
      </c>
      <c r="AX14" s="12">
        <v>541</v>
      </c>
      <c r="AY14" s="12">
        <v>401</v>
      </c>
      <c r="AZ14" s="12">
        <v>444</v>
      </c>
      <c r="BA14" s="12">
        <v>24</v>
      </c>
      <c r="BB14" s="12">
        <v>91</v>
      </c>
      <c r="BC14" s="12">
        <v>374</v>
      </c>
      <c r="BD14" s="12">
        <v>551</v>
      </c>
      <c r="BE14" s="12">
        <v>415</v>
      </c>
      <c r="BF14" s="12">
        <v>368</v>
      </c>
      <c r="BG14" s="29">
        <v>218</v>
      </c>
      <c r="BH14" s="12">
        <v>364</v>
      </c>
      <c r="BI14" s="12">
        <v>364</v>
      </c>
      <c r="BK14" s="11">
        <v>11</v>
      </c>
      <c r="BL14" s="12" t="s">
        <v>15</v>
      </c>
      <c r="BM14" s="12">
        <v>5</v>
      </c>
      <c r="BN14" s="12">
        <v>5</v>
      </c>
      <c r="BP14" s="11">
        <v>11</v>
      </c>
      <c r="BQ14" s="12">
        <v>0</v>
      </c>
      <c r="BR14" s="12">
        <v>3</v>
      </c>
      <c r="BS14" s="12">
        <v>3</v>
      </c>
      <c r="BU14" s="11">
        <v>11</v>
      </c>
      <c r="BV14" s="12">
        <v>15</v>
      </c>
      <c r="BW14" s="12">
        <v>682</v>
      </c>
      <c r="BX14" s="69">
        <v>0</v>
      </c>
    </row>
    <row r="15" spans="1:76">
      <c r="D15" s="115">
        <v>2591</v>
      </c>
      <c r="E15" s="115">
        <v>2200</v>
      </c>
      <c r="F15" s="115">
        <v>6</v>
      </c>
      <c r="R15" s="11">
        <v>12</v>
      </c>
      <c r="S15" s="12">
        <v>1</v>
      </c>
      <c r="T15" s="12" t="s">
        <v>15</v>
      </c>
      <c r="U15" s="12" t="s">
        <v>15</v>
      </c>
      <c r="W15" s="11">
        <v>12</v>
      </c>
      <c r="X15" s="12">
        <v>2</v>
      </c>
      <c r="Y15" s="12">
        <v>0</v>
      </c>
      <c r="Z15" s="12">
        <v>0</v>
      </c>
      <c r="AB15" s="11">
        <v>12</v>
      </c>
      <c r="AC15" s="12">
        <v>0</v>
      </c>
      <c r="AD15" s="12">
        <v>191</v>
      </c>
      <c r="AE15" s="69">
        <v>556</v>
      </c>
      <c r="AG15" s="11">
        <v>12</v>
      </c>
      <c r="AH15" s="12">
        <v>222</v>
      </c>
      <c r="AI15" s="12">
        <v>62</v>
      </c>
      <c r="AJ15" s="69">
        <v>556</v>
      </c>
      <c r="AL15" s="11">
        <v>12</v>
      </c>
      <c r="AM15" s="12">
        <v>319</v>
      </c>
      <c r="AN15" s="12">
        <v>546</v>
      </c>
      <c r="AO15" s="69">
        <v>556</v>
      </c>
      <c r="AQ15" s="11">
        <v>12</v>
      </c>
      <c r="AR15" s="14" t="s">
        <v>5</v>
      </c>
      <c r="AT15" s="11">
        <v>12</v>
      </c>
      <c r="AU15" s="12">
        <v>6</v>
      </c>
      <c r="AW15" s="11">
        <v>12</v>
      </c>
      <c r="AX15" s="12">
        <v>135</v>
      </c>
      <c r="AY15" s="12">
        <v>48</v>
      </c>
      <c r="AZ15" s="12">
        <v>482</v>
      </c>
      <c r="BA15" s="12">
        <v>904</v>
      </c>
      <c r="BB15" s="12">
        <v>705</v>
      </c>
      <c r="BC15" s="12">
        <v>35</v>
      </c>
      <c r="BD15" s="12">
        <v>102</v>
      </c>
      <c r="BE15" s="12">
        <v>221</v>
      </c>
      <c r="BF15" s="12">
        <v>539</v>
      </c>
      <c r="BG15" s="29">
        <v>221</v>
      </c>
      <c r="BH15" s="12">
        <v>265</v>
      </c>
      <c r="BI15" s="12">
        <v>265</v>
      </c>
      <c r="BK15" s="11">
        <v>12</v>
      </c>
      <c r="BL15" s="12">
        <v>1</v>
      </c>
      <c r="BM15" s="12" t="s">
        <v>15</v>
      </c>
      <c r="BN15" s="12" t="s">
        <v>15</v>
      </c>
      <c r="BP15" s="11">
        <v>12</v>
      </c>
      <c r="BQ15" s="12">
        <v>2</v>
      </c>
      <c r="BR15" s="12">
        <v>0</v>
      </c>
      <c r="BS15" s="12">
        <v>0</v>
      </c>
      <c r="BU15" s="11">
        <v>12</v>
      </c>
      <c r="BV15" s="12">
        <v>1104</v>
      </c>
      <c r="BW15" s="12">
        <v>83</v>
      </c>
      <c r="BX15" s="69">
        <v>556</v>
      </c>
    </row>
    <row r="16" spans="1:76" ht="16.8">
      <c r="C16" s="8"/>
      <c r="J16" s="2"/>
      <c r="K16" s="2" t="s">
        <v>119</v>
      </c>
      <c r="L16" s="2" t="s">
        <v>120</v>
      </c>
      <c r="R16" s="11">
        <v>13</v>
      </c>
      <c r="S16" s="12" t="s">
        <v>15</v>
      </c>
      <c r="T16" s="12">
        <v>0</v>
      </c>
      <c r="U16" s="12">
        <v>0</v>
      </c>
      <c r="W16" s="11">
        <v>13</v>
      </c>
      <c r="X16" s="12">
        <v>0</v>
      </c>
      <c r="Y16" s="12">
        <v>1</v>
      </c>
      <c r="Z16" s="12">
        <v>1</v>
      </c>
      <c r="AB16" s="11">
        <v>13</v>
      </c>
      <c r="AC16" s="12">
        <v>555</v>
      </c>
      <c r="AD16" s="12">
        <v>1041</v>
      </c>
      <c r="AE16" s="69">
        <v>0</v>
      </c>
      <c r="AG16" s="11">
        <v>13</v>
      </c>
      <c r="AH16" s="12">
        <v>480</v>
      </c>
      <c r="AI16" s="12">
        <v>823</v>
      </c>
      <c r="AJ16" s="69">
        <v>0</v>
      </c>
      <c r="AL16" s="11">
        <v>13</v>
      </c>
      <c r="AM16" s="12">
        <v>390</v>
      </c>
      <c r="AN16" s="12">
        <v>0</v>
      </c>
      <c r="AO16" s="69">
        <v>0</v>
      </c>
      <c r="AQ16" s="11">
        <v>13</v>
      </c>
      <c r="AR16" s="12" t="s">
        <v>15</v>
      </c>
      <c r="AT16" s="11">
        <v>13</v>
      </c>
      <c r="AU16" s="12">
        <v>0</v>
      </c>
      <c r="AW16" s="11">
        <v>13</v>
      </c>
      <c r="AX16" s="12">
        <v>541</v>
      </c>
      <c r="AY16" s="12">
        <v>401</v>
      </c>
      <c r="AZ16" s="12">
        <v>444</v>
      </c>
      <c r="BA16" s="12">
        <v>24</v>
      </c>
      <c r="BB16" s="12">
        <v>91</v>
      </c>
      <c r="BC16" s="12">
        <v>373</v>
      </c>
      <c r="BD16" s="12">
        <v>551</v>
      </c>
      <c r="BE16" s="12">
        <v>415</v>
      </c>
      <c r="BF16" s="12">
        <v>368</v>
      </c>
      <c r="BG16" s="29">
        <v>218</v>
      </c>
      <c r="BH16" s="12">
        <v>364</v>
      </c>
      <c r="BI16" s="12">
        <v>364</v>
      </c>
      <c r="BK16" s="11">
        <v>13</v>
      </c>
      <c r="BL16" s="12" t="s">
        <v>15</v>
      </c>
      <c r="BM16" s="12">
        <v>0</v>
      </c>
      <c r="BN16" s="12">
        <v>0</v>
      </c>
      <c r="BP16" s="11">
        <v>13</v>
      </c>
      <c r="BQ16" s="12">
        <v>0</v>
      </c>
      <c r="BR16" s="12">
        <v>1</v>
      </c>
      <c r="BS16" s="12">
        <v>1</v>
      </c>
      <c r="BU16" s="11">
        <v>13</v>
      </c>
      <c r="BV16" s="12">
        <v>15</v>
      </c>
      <c r="BW16" s="12">
        <v>368</v>
      </c>
      <c r="BX16" s="69">
        <v>0</v>
      </c>
    </row>
    <row r="17" spans="1:76" ht="16.8">
      <c r="A17" s="30" t="s">
        <v>116</v>
      </c>
      <c r="J17" s="2" t="s">
        <v>118</v>
      </c>
      <c r="K17" s="33">
        <v>100</v>
      </c>
      <c r="L17" s="33">
        <v>0</v>
      </c>
      <c r="R17" s="11">
        <v>14</v>
      </c>
      <c r="S17" s="12">
        <v>5</v>
      </c>
      <c r="T17" s="12" t="s">
        <v>15</v>
      </c>
      <c r="U17" s="12" t="s">
        <v>15</v>
      </c>
      <c r="W17" s="11">
        <v>14</v>
      </c>
      <c r="X17" s="12">
        <v>3</v>
      </c>
      <c r="Y17" s="12">
        <v>0</v>
      </c>
      <c r="Z17" s="12">
        <v>0</v>
      </c>
      <c r="AB17" s="11">
        <v>14</v>
      </c>
      <c r="AC17" s="12">
        <v>3</v>
      </c>
      <c r="AD17" s="12">
        <v>191</v>
      </c>
      <c r="AE17" s="69">
        <v>556</v>
      </c>
      <c r="AG17" s="11">
        <v>14</v>
      </c>
      <c r="AH17" s="12">
        <v>5</v>
      </c>
      <c r="AI17" s="12">
        <v>61</v>
      </c>
      <c r="AJ17" s="69">
        <v>556</v>
      </c>
      <c r="AL17" s="11">
        <v>14</v>
      </c>
      <c r="AM17" s="12">
        <v>132</v>
      </c>
      <c r="AN17" s="12">
        <v>546</v>
      </c>
      <c r="AO17" s="69">
        <v>556</v>
      </c>
      <c r="AQ17" s="11">
        <v>14</v>
      </c>
      <c r="AR17" s="14" t="s">
        <v>7</v>
      </c>
      <c r="AT17" s="11">
        <v>14</v>
      </c>
      <c r="AU17" s="12">
        <v>9</v>
      </c>
      <c r="AW17" s="11">
        <v>14</v>
      </c>
      <c r="AX17" s="12">
        <v>9</v>
      </c>
      <c r="AY17" s="12">
        <v>43</v>
      </c>
      <c r="AZ17" s="12">
        <v>151</v>
      </c>
      <c r="BA17" s="12">
        <v>538</v>
      </c>
      <c r="BB17" s="12">
        <v>669</v>
      </c>
      <c r="BC17" s="12">
        <v>777</v>
      </c>
      <c r="BD17" s="12">
        <v>57</v>
      </c>
      <c r="BE17" s="12">
        <v>124</v>
      </c>
      <c r="BF17" s="12">
        <v>82</v>
      </c>
      <c r="BG17" s="29">
        <v>124</v>
      </c>
      <c r="BH17" s="12">
        <v>148</v>
      </c>
      <c r="BI17" s="12">
        <v>148</v>
      </c>
      <c r="BK17" s="11">
        <v>14</v>
      </c>
      <c r="BL17" s="12">
        <v>5</v>
      </c>
      <c r="BM17" s="12" t="s">
        <v>15</v>
      </c>
      <c r="BN17" s="12" t="s">
        <v>15</v>
      </c>
      <c r="BP17" s="11">
        <v>14</v>
      </c>
      <c r="BQ17" s="12">
        <v>3</v>
      </c>
      <c r="BR17" s="12">
        <v>0</v>
      </c>
      <c r="BS17" s="12">
        <v>0</v>
      </c>
      <c r="BU17" s="11">
        <v>14</v>
      </c>
      <c r="BV17" s="12">
        <v>292</v>
      </c>
      <c r="BW17" s="12">
        <v>83</v>
      </c>
      <c r="BX17" s="69">
        <v>556</v>
      </c>
    </row>
    <row r="18" spans="1:76">
      <c r="A18" s="30" t="s">
        <v>46</v>
      </c>
      <c r="B18" s="1" t="s">
        <v>10</v>
      </c>
      <c r="C18" s="2" t="s">
        <v>11</v>
      </c>
      <c r="D18" s="3" t="s">
        <v>0</v>
      </c>
      <c r="E18" s="116" t="s">
        <v>1</v>
      </c>
      <c r="F18" s="4" t="s">
        <v>2</v>
      </c>
      <c r="R18" s="11">
        <v>15</v>
      </c>
      <c r="S18" s="12" t="s">
        <v>15</v>
      </c>
      <c r="T18" s="12">
        <v>1</v>
      </c>
      <c r="U18" s="12">
        <v>1</v>
      </c>
      <c r="W18" s="11">
        <v>15</v>
      </c>
      <c r="X18" s="12">
        <v>0</v>
      </c>
      <c r="Y18" s="12">
        <v>2</v>
      </c>
      <c r="Z18" s="12">
        <v>2</v>
      </c>
      <c r="AB18" s="11">
        <v>15</v>
      </c>
      <c r="AC18" s="12">
        <v>555</v>
      </c>
      <c r="AD18" s="12">
        <v>52</v>
      </c>
      <c r="AE18" s="69">
        <v>0</v>
      </c>
      <c r="AG18" s="11">
        <v>15</v>
      </c>
      <c r="AH18" s="12">
        <v>480</v>
      </c>
      <c r="AI18" s="12">
        <v>376</v>
      </c>
      <c r="AJ18" s="69">
        <v>0</v>
      </c>
      <c r="AL18" s="11">
        <v>15</v>
      </c>
      <c r="AM18" s="12">
        <v>390</v>
      </c>
      <c r="AN18" s="12">
        <v>0</v>
      </c>
      <c r="AO18" s="69">
        <v>0</v>
      </c>
      <c r="AQ18" s="11">
        <v>15</v>
      </c>
      <c r="AR18" s="12" t="s">
        <v>15</v>
      </c>
      <c r="AT18" s="11">
        <v>15</v>
      </c>
      <c r="AU18" s="12">
        <v>0</v>
      </c>
      <c r="AW18" s="11">
        <v>15</v>
      </c>
      <c r="AX18" s="12">
        <v>540</v>
      </c>
      <c r="AY18" s="12">
        <v>401</v>
      </c>
      <c r="AZ18" s="12">
        <v>444</v>
      </c>
      <c r="BA18" s="12">
        <v>24</v>
      </c>
      <c r="BB18" s="12">
        <v>91</v>
      </c>
      <c r="BC18" s="12">
        <v>373</v>
      </c>
      <c r="BD18" s="12">
        <v>551</v>
      </c>
      <c r="BE18" s="12">
        <v>415</v>
      </c>
      <c r="BF18" s="12">
        <v>368</v>
      </c>
      <c r="BG18" s="29">
        <v>218</v>
      </c>
      <c r="BH18" s="12">
        <v>364</v>
      </c>
      <c r="BI18" s="12">
        <v>364</v>
      </c>
      <c r="BK18" s="11">
        <v>15</v>
      </c>
      <c r="BL18" s="12" t="s">
        <v>15</v>
      </c>
      <c r="BM18" s="12">
        <v>1</v>
      </c>
      <c r="BN18" s="12">
        <v>1</v>
      </c>
      <c r="BP18" s="11">
        <v>15</v>
      </c>
      <c r="BQ18" s="12">
        <v>0</v>
      </c>
      <c r="BR18" s="12">
        <v>2</v>
      </c>
      <c r="BS18" s="12">
        <v>2</v>
      </c>
      <c r="BU18" s="11">
        <v>15</v>
      </c>
      <c r="BV18" s="12">
        <v>15</v>
      </c>
      <c r="BW18" s="12">
        <v>368</v>
      </c>
      <c r="BX18" s="69">
        <v>0</v>
      </c>
    </row>
    <row r="19" spans="1:76">
      <c r="A19" s="1" t="s">
        <v>19</v>
      </c>
      <c r="B19" s="1">
        <v>0</v>
      </c>
      <c r="C19" s="3" t="s">
        <v>25</v>
      </c>
      <c r="D19" s="3">
        <f>SUMIF(S$3:S$38,$A19,AH$3:AH$38)</f>
        <v>8637</v>
      </c>
      <c r="E19" s="129">
        <f t="shared" ref="E19:F30" si="2">SUMIF(T$3:T$38,$A19,AI$3:AI$38)</f>
        <v>1105</v>
      </c>
      <c r="F19" s="4">
        <f t="shared" si="2"/>
        <v>10000</v>
      </c>
      <c r="J19" s="94" t="s">
        <v>125</v>
      </c>
      <c r="K19" s="115"/>
      <c r="R19" s="11">
        <v>16</v>
      </c>
      <c r="S19" s="12">
        <v>10</v>
      </c>
      <c r="T19" s="12" t="s">
        <v>15</v>
      </c>
      <c r="U19" s="12" t="s">
        <v>15</v>
      </c>
      <c r="W19" s="11">
        <v>16</v>
      </c>
      <c r="X19" s="12">
        <v>4</v>
      </c>
      <c r="Y19" s="12">
        <v>0</v>
      </c>
      <c r="Z19" s="12">
        <v>0</v>
      </c>
      <c r="AB19" s="11">
        <v>16</v>
      </c>
      <c r="AC19" s="12">
        <v>0</v>
      </c>
      <c r="AD19" s="12">
        <v>191</v>
      </c>
      <c r="AE19" s="69">
        <v>556</v>
      </c>
      <c r="AG19" s="11">
        <v>16</v>
      </c>
      <c r="AH19" s="12">
        <v>0</v>
      </c>
      <c r="AI19" s="12">
        <v>61</v>
      </c>
      <c r="AJ19" s="69">
        <v>556</v>
      </c>
      <c r="AL19" s="11">
        <v>16</v>
      </c>
      <c r="AM19" s="12">
        <v>46</v>
      </c>
      <c r="AN19" s="12">
        <v>546</v>
      </c>
      <c r="AO19" s="69">
        <v>556</v>
      </c>
      <c r="AQ19" s="11">
        <v>16</v>
      </c>
      <c r="AR19" s="14" t="s">
        <v>6</v>
      </c>
      <c r="AT19" s="11">
        <v>16</v>
      </c>
      <c r="AU19" s="12">
        <v>7</v>
      </c>
      <c r="AW19" s="11">
        <v>16</v>
      </c>
      <c r="AX19" s="12">
        <v>239</v>
      </c>
      <c r="AY19" s="12">
        <v>705</v>
      </c>
      <c r="AZ19" s="12">
        <v>35</v>
      </c>
      <c r="BA19" s="12">
        <v>485</v>
      </c>
      <c r="BB19" s="12">
        <v>353</v>
      </c>
      <c r="BC19" s="12">
        <v>67</v>
      </c>
      <c r="BD19" s="12">
        <v>191</v>
      </c>
      <c r="BE19" s="12">
        <v>413</v>
      </c>
      <c r="BF19" s="12">
        <v>276</v>
      </c>
      <c r="BG19" s="29">
        <v>1001</v>
      </c>
      <c r="BH19" s="12">
        <v>495</v>
      </c>
      <c r="BI19" s="12">
        <v>495</v>
      </c>
      <c r="BK19" s="11">
        <v>16</v>
      </c>
      <c r="BL19" s="12">
        <v>10</v>
      </c>
      <c r="BM19" s="12" t="s">
        <v>15</v>
      </c>
      <c r="BN19" s="12" t="s">
        <v>15</v>
      </c>
      <c r="BP19" s="11">
        <v>16</v>
      </c>
      <c r="BQ19" s="12">
        <v>4</v>
      </c>
      <c r="BR19" s="12">
        <v>0</v>
      </c>
      <c r="BS19" s="12">
        <v>0</v>
      </c>
      <c r="BU19" s="11">
        <v>16</v>
      </c>
      <c r="BV19" s="12">
        <v>227</v>
      </c>
      <c r="BW19" s="12">
        <v>83</v>
      </c>
      <c r="BX19" s="69">
        <v>556</v>
      </c>
    </row>
    <row r="20" spans="1:76">
      <c r="A20" s="20">
        <v>0</v>
      </c>
      <c r="B20" s="20">
        <v>1</v>
      </c>
      <c r="C20" s="5">
        <v>0</v>
      </c>
      <c r="D20" s="37">
        <f t="shared" ref="D20:D30" si="3">SUMIF(S$3:S$38,$A20,AH$3:AH$38)</f>
        <v>0</v>
      </c>
      <c r="E20" s="128">
        <f t="shared" si="2"/>
        <v>4940</v>
      </c>
      <c r="F20" s="7">
        <f t="shared" si="2"/>
        <v>0</v>
      </c>
      <c r="J20" s="2" t="s">
        <v>66</v>
      </c>
      <c r="K20" s="2" t="s">
        <v>67</v>
      </c>
      <c r="R20" s="11">
        <v>17</v>
      </c>
      <c r="S20" s="12" t="s">
        <v>15</v>
      </c>
      <c r="T20" s="12">
        <v>5</v>
      </c>
      <c r="U20" s="12">
        <v>5</v>
      </c>
      <c r="W20" s="11">
        <v>17</v>
      </c>
      <c r="X20" s="12">
        <v>0</v>
      </c>
      <c r="Y20" s="12">
        <v>3</v>
      </c>
      <c r="Z20" s="12">
        <v>3</v>
      </c>
      <c r="AB20" s="11">
        <v>17</v>
      </c>
      <c r="AC20" s="12">
        <v>555</v>
      </c>
      <c r="AD20" s="12">
        <v>0</v>
      </c>
      <c r="AE20" s="69">
        <v>0</v>
      </c>
      <c r="AG20" s="11">
        <v>17</v>
      </c>
      <c r="AH20" s="12">
        <v>480</v>
      </c>
      <c r="AI20" s="12">
        <v>283</v>
      </c>
      <c r="AJ20" s="69">
        <v>0</v>
      </c>
      <c r="AL20" s="11">
        <v>17</v>
      </c>
      <c r="AM20" s="12">
        <v>390</v>
      </c>
      <c r="AN20" s="12">
        <v>30</v>
      </c>
      <c r="AO20" s="69">
        <v>0</v>
      </c>
      <c r="AQ20" s="11">
        <v>17</v>
      </c>
      <c r="AR20" s="12" t="s">
        <v>15</v>
      </c>
      <c r="AT20" s="11">
        <v>17</v>
      </c>
      <c r="AU20" s="12">
        <v>0</v>
      </c>
      <c r="AW20" s="11">
        <v>17</v>
      </c>
      <c r="AX20" s="12">
        <v>540</v>
      </c>
      <c r="AY20" s="12">
        <v>401</v>
      </c>
      <c r="AZ20" s="12">
        <v>444</v>
      </c>
      <c r="BA20" s="12">
        <v>24</v>
      </c>
      <c r="BB20" s="12">
        <v>91</v>
      </c>
      <c r="BC20" s="12">
        <v>373</v>
      </c>
      <c r="BD20" s="12">
        <v>550</v>
      </c>
      <c r="BE20" s="12">
        <v>415</v>
      </c>
      <c r="BF20" s="12">
        <v>367</v>
      </c>
      <c r="BG20" s="29">
        <v>218</v>
      </c>
      <c r="BH20" s="12">
        <v>364</v>
      </c>
      <c r="BI20" s="12">
        <v>364</v>
      </c>
      <c r="BK20" s="11">
        <v>17</v>
      </c>
      <c r="BL20" s="12" t="s">
        <v>15</v>
      </c>
      <c r="BM20" s="12">
        <v>5</v>
      </c>
      <c r="BN20" s="12">
        <v>5</v>
      </c>
      <c r="BP20" s="11">
        <v>17</v>
      </c>
      <c r="BQ20" s="12">
        <v>0</v>
      </c>
      <c r="BR20" s="12">
        <v>3</v>
      </c>
      <c r="BS20" s="12">
        <v>3</v>
      </c>
      <c r="BU20" s="11">
        <v>17</v>
      </c>
      <c r="BV20" s="12">
        <v>14</v>
      </c>
      <c r="BW20" s="12">
        <v>682</v>
      </c>
      <c r="BX20" s="69">
        <v>0</v>
      </c>
    </row>
    <row r="21" spans="1:76">
      <c r="A21" s="20">
        <v>1</v>
      </c>
      <c r="B21" s="20">
        <v>2</v>
      </c>
      <c r="C21" s="5">
        <v>1</v>
      </c>
      <c r="D21" s="6">
        <f t="shared" si="3"/>
        <v>1334</v>
      </c>
      <c r="E21" s="128">
        <f t="shared" si="2"/>
        <v>2258</v>
      </c>
      <c r="F21" s="7">
        <f t="shared" si="2"/>
        <v>0</v>
      </c>
      <c r="J21" s="2">
        <v>0</v>
      </c>
      <c r="K21" s="2">
        <v>1</v>
      </c>
      <c r="R21" s="11">
        <v>18</v>
      </c>
      <c r="S21" s="12">
        <v>1</v>
      </c>
      <c r="T21" s="12" t="s">
        <v>15</v>
      </c>
      <c r="U21" s="12" t="s">
        <v>15</v>
      </c>
      <c r="W21" s="11">
        <v>18</v>
      </c>
      <c r="X21" s="12">
        <v>2</v>
      </c>
      <c r="Y21" s="12">
        <v>0</v>
      </c>
      <c r="Z21" s="12">
        <v>0</v>
      </c>
      <c r="AB21" s="11">
        <v>18</v>
      </c>
      <c r="AC21" s="12">
        <v>0</v>
      </c>
      <c r="AD21" s="12">
        <v>191</v>
      </c>
      <c r="AE21" s="69">
        <v>556</v>
      </c>
      <c r="AG21" s="11">
        <v>18</v>
      </c>
      <c r="AH21" s="12">
        <v>222</v>
      </c>
      <c r="AI21" s="12">
        <v>61</v>
      </c>
      <c r="AJ21" s="69">
        <v>556</v>
      </c>
      <c r="AL21" s="11">
        <v>18</v>
      </c>
      <c r="AM21" s="12">
        <v>319</v>
      </c>
      <c r="AN21" s="12">
        <v>546</v>
      </c>
      <c r="AO21" s="69">
        <v>556</v>
      </c>
      <c r="AQ21" s="11">
        <v>18</v>
      </c>
      <c r="AR21" s="14" t="s">
        <v>5</v>
      </c>
      <c r="AT21" s="11">
        <v>18</v>
      </c>
      <c r="AU21" s="12">
        <v>6</v>
      </c>
      <c r="AW21" s="11">
        <v>18</v>
      </c>
      <c r="AX21" s="12">
        <v>133</v>
      </c>
      <c r="AY21" s="12">
        <v>48</v>
      </c>
      <c r="AZ21" s="12">
        <v>480</v>
      </c>
      <c r="BA21" s="12">
        <v>904</v>
      </c>
      <c r="BB21" s="12">
        <v>703</v>
      </c>
      <c r="BC21" s="12">
        <v>35</v>
      </c>
      <c r="BD21" s="12">
        <v>101</v>
      </c>
      <c r="BE21" s="12">
        <v>219</v>
      </c>
      <c r="BF21" s="12">
        <v>539</v>
      </c>
      <c r="BG21" s="29">
        <v>219</v>
      </c>
      <c r="BH21" s="12">
        <v>263</v>
      </c>
      <c r="BI21" s="12">
        <v>263</v>
      </c>
      <c r="BK21" s="11">
        <v>18</v>
      </c>
      <c r="BL21" s="12">
        <v>1</v>
      </c>
      <c r="BM21" s="12" t="s">
        <v>15</v>
      </c>
      <c r="BN21" s="12" t="s">
        <v>15</v>
      </c>
      <c r="BP21" s="11">
        <v>18</v>
      </c>
      <c r="BQ21" s="12">
        <v>2</v>
      </c>
      <c r="BR21" s="12">
        <v>0</v>
      </c>
      <c r="BS21" s="12">
        <v>0</v>
      </c>
      <c r="BU21" s="11">
        <v>18</v>
      </c>
      <c r="BV21" s="12">
        <v>1104</v>
      </c>
      <c r="BW21" s="12">
        <v>83</v>
      </c>
      <c r="BX21" s="69">
        <v>556</v>
      </c>
    </row>
    <row r="22" spans="1:76">
      <c r="A22" s="21">
        <v>5</v>
      </c>
      <c r="B22" s="21">
        <v>3</v>
      </c>
      <c r="C22" s="23">
        <v>5</v>
      </c>
      <c r="D22" s="6">
        <f t="shared" si="3"/>
        <v>29</v>
      </c>
      <c r="E22" s="128">
        <f t="shared" si="2"/>
        <v>1697</v>
      </c>
      <c r="F22" s="7">
        <f t="shared" si="2"/>
        <v>0</v>
      </c>
      <c r="R22" s="11">
        <v>19</v>
      </c>
      <c r="S22" s="12" t="s">
        <v>15</v>
      </c>
      <c r="T22" s="12">
        <v>0</v>
      </c>
      <c r="U22" s="12">
        <v>0</v>
      </c>
      <c r="W22" s="11">
        <v>19</v>
      </c>
      <c r="X22" s="12">
        <v>0</v>
      </c>
      <c r="Y22" s="12">
        <v>1</v>
      </c>
      <c r="Z22" s="12">
        <v>1</v>
      </c>
      <c r="AB22" s="11">
        <v>19</v>
      </c>
      <c r="AC22" s="12">
        <v>555</v>
      </c>
      <c r="AD22" s="12">
        <v>1041</v>
      </c>
      <c r="AE22" s="69">
        <v>0</v>
      </c>
      <c r="AG22" s="11">
        <v>19</v>
      </c>
      <c r="AH22" s="12">
        <v>480</v>
      </c>
      <c r="AI22" s="12">
        <v>823</v>
      </c>
      <c r="AJ22" s="69">
        <v>0</v>
      </c>
      <c r="AL22" s="11">
        <v>19</v>
      </c>
      <c r="AM22" s="12">
        <v>390</v>
      </c>
      <c r="AN22" s="12">
        <v>0</v>
      </c>
      <c r="AO22" s="69">
        <v>0</v>
      </c>
      <c r="AQ22" s="11">
        <v>19</v>
      </c>
      <c r="AR22" s="12" t="s">
        <v>15</v>
      </c>
      <c r="AT22" s="11">
        <v>19</v>
      </c>
      <c r="AU22" s="12">
        <v>0</v>
      </c>
      <c r="AW22" s="11">
        <v>19</v>
      </c>
      <c r="AX22" s="12">
        <v>540</v>
      </c>
      <c r="AY22" s="12">
        <v>401</v>
      </c>
      <c r="AZ22" s="12">
        <v>444</v>
      </c>
      <c r="BA22" s="12">
        <v>24</v>
      </c>
      <c r="BB22" s="12">
        <v>91</v>
      </c>
      <c r="BC22" s="12">
        <v>373</v>
      </c>
      <c r="BD22" s="12">
        <v>550</v>
      </c>
      <c r="BE22" s="12">
        <v>415</v>
      </c>
      <c r="BF22" s="12">
        <v>367</v>
      </c>
      <c r="BG22" s="29">
        <v>218</v>
      </c>
      <c r="BH22" s="12">
        <v>364</v>
      </c>
      <c r="BI22" s="12">
        <v>364</v>
      </c>
      <c r="BK22" s="11">
        <v>19</v>
      </c>
      <c r="BL22" s="12" t="s">
        <v>15</v>
      </c>
      <c r="BM22" s="12">
        <v>0</v>
      </c>
      <c r="BN22" s="12">
        <v>0</v>
      </c>
      <c r="BP22" s="11">
        <v>19</v>
      </c>
      <c r="BQ22" s="12">
        <v>0</v>
      </c>
      <c r="BR22" s="12">
        <v>1</v>
      </c>
      <c r="BS22" s="12">
        <v>1</v>
      </c>
      <c r="BU22" s="11">
        <v>19</v>
      </c>
      <c r="BV22" s="12">
        <v>14</v>
      </c>
      <c r="BW22" s="12">
        <v>368</v>
      </c>
      <c r="BX22" s="69">
        <v>0</v>
      </c>
    </row>
    <row r="23" spans="1:76">
      <c r="A23" s="21">
        <v>10</v>
      </c>
      <c r="B23" s="21">
        <v>4</v>
      </c>
      <c r="C23" s="23">
        <v>10</v>
      </c>
      <c r="D23" s="6">
        <f t="shared" si="3"/>
        <v>0</v>
      </c>
      <c r="E23" s="59">
        <f t="shared" si="2"/>
        <v>0</v>
      </c>
      <c r="F23" s="38">
        <f t="shared" si="2"/>
        <v>0</v>
      </c>
      <c r="R23" s="11">
        <v>20</v>
      </c>
      <c r="S23" s="12">
        <v>5</v>
      </c>
      <c r="T23" s="12" t="s">
        <v>15</v>
      </c>
      <c r="U23" s="12" t="s">
        <v>15</v>
      </c>
      <c r="W23" s="11">
        <v>20</v>
      </c>
      <c r="X23" s="12">
        <v>3</v>
      </c>
      <c r="Y23" s="12">
        <v>0</v>
      </c>
      <c r="Z23" s="12">
        <v>0</v>
      </c>
      <c r="AB23" s="11">
        <v>20</v>
      </c>
      <c r="AC23" s="12">
        <v>2</v>
      </c>
      <c r="AD23" s="12">
        <v>191</v>
      </c>
      <c r="AE23" s="69">
        <v>555</v>
      </c>
      <c r="AG23" s="11">
        <v>20</v>
      </c>
      <c r="AH23" s="12">
        <v>5</v>
      </c>
      <c r="AI23" s="12">
        <v>61</v>
      </c>
      <c r="AJ23" s="69">
        <v>555</v>
      </c>
      <c r="AL23" s="11">
        <v>20</v>
      </c>
      <c r="AM23" s="12">
        <v>132</v>
      </c>
      <c r="AN23" s="12">
        <v>546</v>
      </c>
      <c r="AO23" s="69">
        <v>555</v>
      </c>
      <c r="AQ23" s="11">
        <v>20</v>
      </c>
      <c r="AR23" s="14" t="s">
        <v>7</v>
      </c>
      <c r="AT23" s="11">
        <v>20</v>
      </c>
      <c r="AU23" s="12">
        <v>9</v>
      </c>
      <c r="AW23" s="11">
        <v>20</v>
      </c>
      <c r="AX23" s="12">
        <v>9</v>
      </c>
      <c r="AY23" s="12">
        <v>43</v>
      </c>
      <c r="AZ23" s="12">
        <v>150</v>
      </c>
      <c r="BA23" s="12">
        <v>538</v>
      </c>
      <c r="BB23" s="12">
        <v>668</v>
      </c>
      <c r="BC23" s="12">
        <v>777</v>
      </c>
      <c r="BD23" s="12">
        <v>57</v>
      </c>
      <c r="BE23" s="12">
        <v>123</v>
      </c>
      <c r="BF23" s="12">
        <v>82</v>
      </c>
      <c r="BG23" s="29">
        <v>123</v>
      </c>
      <c r="BH23" s="12">
        <v>148</v>
      </c>
      <c r="BI23" s="12">
        <v>148</v>
      </c>
      <c r="BK23" s="11">
        <v>20</v>
      </c>
      <c r="BL23" s="12">
        <v>5</v>
      </c>
      <c r="BM23" s="12" t="s">
        <v>15</v>
      </c>
      <c r="BN23" s="12" t="s">
        <v>15</v>
      </c>
      <c r="BP23" s="11">
        <v>20</v>
      </c>
      <c r="BQ23" s="12">
        <v>3</v>
      </c>
      <c r="BR23" s="12">
        <v>0</v>
      </c>
      <c r="BS23" s="12">
        <v>0</v>
      </c>
      <c r="BU23" s="11">
        <v>20</v>
      </c>
      <c r="BV23" s="12">
        <v>292</v>
      </c>
      <c r="BW23" s="12">
        <v>83</v>
      </c>
      <c r="BX23" s="69">
        <v>555</v>
      </c>
    </row>
    <row r="24" spans="1:76">
      <c r="A24" s="20" t="s">
        <v>20</v>
      </c>
      <c r="B24" s="20">
        <v>5</v>
      </c>
      <c r="C24" s="23" t="s">
        <v>29</v>
      </c>
      <c r="D24" s="37">
        <f t="shared" si="3"/>
        <v>0</v>
      </c>
      <c r="E24" s="59">
        <f t="shared" si="2"/>
        <v>0</v>
      </c>
      <c r="F24" s="38">
        <f t="shared" si="2"/>
        <v>0</v>
      </c>
      <c r="R24" s="11">
        <v>21</v>
      </c>
      <c r="S24" s="12" t="s">
        <v>15</v>
      </c>
      <c r="T24" s="12">
        <v>1</v>
      </c>
      <c r="U24" s="12">
        <v>1</v>
      </c>
      <c r="W24" s="11">
        <v>21</v>
      </c>
      <c r="X24" s="12">
        <v>0</v>
      </c>
      <c r="Y24" s="12">
        <v>2</v>
      </c>
      <c r="Z24" s="12">
        <v>2</v>
      </c>
      <c r="AB24" s="11">
        <v>21</v>
      </c>
      <c r="AC24" s="12">
        <v>555</v>
      </c>
      <c r="AD24" s="12">
        <v>51</v>
      </c>
      <c r="AE24" s="69">
        <v>0</v>
      </c>
      <c r="AG24" s="11">
        <v>21</v>
      </c>
      <c r="AH24" s="12">
        <v>480</v>
      </c>
      <c r="AI24" s="12">
        <v>376</v>
      </c>
      <c r="AJ24" s="69">
        <v>0</v>
      </c>
      <c r="AL24" s="11">
        <v>21</v>
      </c>
      <c r="AM24" s="12">
        <v>390</v>
      </c>
      <c r="AN24" s="12">
        <v>0</v>
      </c>
      <c r="AO24" s="69">
        <v>0</v>
      </c>
      <c r="AQ24" s="11">
        <v>21</v>
      </c>
      <c r="AR24" s="12" t="s">
        <v>15</v>
      </c>
      <c r="AT24" s="11">
        <v>21</v>
      </c>
      <c r="AU24" s="12">
        <v>0</v>
      </c>
      <c r="AW24" s="11">
        <v>21</v>
      </c>
      <c r="AX24" s="12">
        <v>540</v>
      </c>
      <c r="AY24" s="12">
        <v>401</v>
      </c>
      <c r="AZ24" s="12">
        <v>444</v>
      </c>
      <c r="BA24" s="12">
        <v>24</v>
      </c>
      <c r="BB24" s="12">
        <v>91</v>
      </c>
      <c r="BC24" s="12">
        <v>373</v>
      </c>
      <c r="BD24" s="12">
        <v>550</v>
      </c>
      <c r="BE24" s="12">
        <v>415</v>
      </c>
      <c r="BF24" s="12">
        <v>367</v>
      </c>
      <c r="BG24" s="29">
        <v>218</v>
      </c>
      <c r="BH24" s="12">
        <v>364</v>
      </c>
      <c r="BI24" s="12">
        <v>364</v>
      </c>
      <c r="BK24" s="11">
        <v>21</v>
      </c>
      <c r="BL24" s="12" t="s">
        <v>15</v>
      </c>
      <c r="BM24" s="12">
        <v>1</v>
      </c>
      <c r="BN24" s="12">
        <v>1</v>
      </c>
      <c r="BP24" s="11">
        <v>21</v>
      </c>
      <c r="BQ24" s="12">
        <v>0</v>
      </c>
      <c r="BR24" s="12">
        <v>2</v>
      </c>
      <c r="BS24" s="12">
        <v>2</v>
      </c>
      <c r="BU24" s="11">
        <v>21</v>
      </c>
      <c r="BV24" s="12">
        <v>14</v>
      </c>
      <c r="BW24" s="12">
        <v>368</v>
      </c>
      <c r="BX24" s="69">
        <v>0</v>
      </c>
    </row>
    <row r="25" spans="1:76">
      <c r="A25" s="21" t="s">
        <v>21</v>
      </c>
      <c r="B25" s="21">
        <v>6</v>
      </c>
      <c r="C25" s="23" t="s">
        <v>26</v>
      </c>
      <c r="D25" s="37">
        <f t="shared" si="3"/>
        <v>0</v>
      </c>
      <c r="E25" s="59">
        <f t="shared" si="2"/>
        <v>0</v>
      </c>
      <c r="F25" s="38">
        <f t="shared" si="2"/>
        <v>0</v>
      </c>
      <c r="R25" s="11">
        <v>22</v>
      </c>
      <c r="S25" s="12">
        <v>10</v>
      </c>
      <c r="T25" s="12" t="s">
        <v>15</v>
      </c>
      <c r="U25" s="12" t="s">
        <v>15</v>
      </c>
      <c r="W25" s="11">
        <v>22</v>
      </c>
      <c r="X25" s="12">
        <v>4</v>
      </c>
      <c r="Y25" s="12">
        <v>0</v>
      </c>
      <c r="Z25" s="12">
        <v>0</v>
      </c>
      <c r="AB25" s="11">
        <v>22</v>
      </c>
      <c r="AC25" s="12">
        <v>0</v>
      </c>
      <c r="AD25" s="12">
        <v>191</v>
      </c>
      <c r="AE25" s="69">
        <v>555</v>
      </c>
      <c r="AG25" s="11">
        <v>22</v>
      </c>
      <c r="AH25" s="12">
        <v>0</v>
      </c>
      <c r="AI25" s="12">
        <v>61</v>
      </c>
      <c r="AJ25" s="69">
        <v>555</v>
      </c>
      <c r="AL25" s="11">
        <v>22</v>
      </c>
      <c r="AM25" s="12">
        <v>46</v>
      </c>
      <c r="AN25" s="12">
        <v>546</v>
      </c>
      <c r="AO25" s="69">
        <v>555</v>
      </c>
      <c r="AQ25" s="11">
        <v>22</v>
      </c>
      <c r="AR25" s="14" t="s">
        <v>6</v>
      </c>
      <c r="AT25" s="11">
        <v>22</v>
      </c>
      <c r="AU25" s="12">
        <v>7</v>
      </c>
      <c r="AW25" s="11">
        <v>22</v>
      </c>
      <c r="AX25" s="12">
        <v>239</v>
      </c>
      <c r="AY25" s="12">
        <v>705</v>
      </c>
      <c r="AZ25" s="12">
        <v>34</v>
      </c>
      <c r="BA25" s="12">
        <v>485</v>
      </c>
      <c r="BB25" s="12">
        <v>353</v>
      </c>
      <c r="BC25" s="12">
        <v>67</v>
      </c>
      <c r="BD25" s="12">
        <v>191</v>
      </c>
      <c r="BE25" s="12">
        <v>412</v>
      </c>
      <c r="BF25" s="12">
        <v>276</v>
      </c>
      <c r="BG25" s="29">
        <v>1001</v>
      </c>
      <c r="BH25" s="12">
        <v>495</v>
      </c>
      <c r="BI25" s="12">
        <v>495</v>
      </c>
      <c r="BK25" s="11">
        <v>22</v>
      </c>
      <c r="BL25" s="12">
        <v>10</v>
      </c>
      <c r="BM25" s="12" t="s">
        <v>15</v>
      </c>
      <c r="BN25" s="12" t="s">
        <v>15</v>
      </c>
      <c r="BP25" s="11">
        <v>22</v>
      </c>
      <c r="BQ25" s="12">
        <v>4</v>
      </c>
      <c r="BR25" s="12">
        <v>0</v>
      </c>
      <c r="BS25" s="12">
        <v>0</v>
      </c>
      <c r="BU25" s="11">
        <v>22</v>
      </c>
      <c r="BV25" s="12">
        <v>227</v>
      </c>
      <c r="BW25" s="12">
        <v>83</v>
      </c>
      <c r="BX25" s="69">
        <v>555</v>
      </c>
    </row>
    <row r="26" spans="1:76">
      <c r="A26" s="20" t="s">
        <v>22</v>
      </c>
      <c r="B26" s="20">
        <v>7</v>
      </c>
      <c r="C26" s="5" t="s">
        <v>27</v>
      </c>
      <c r="D26" s="37">
        <f t="shared" si="3"/>
        <v>0</v>
      </c>
      <c r="E26" s="59">
        <f t="shared" si="2"/>
        <v>0</v>
      </c>
      <c r="F26" s="38">
        <f t="shared" si="2"/>
        <v>0</v>
      </c>
      <c r="R26" s="11">
        <v>23</v>
      </c>
      <c r="S26" s="12" t="s">
        <v>15</v>
      </c>
      <c r="T26" s="12">
        <v>5</v>
      </c>
      <c r="U26" s="12">
        <v>5</v>
      </c>
      <c r="W26" s="11">
        <v>23</v>
      </c>
      <c r="X26" s="12">
        <v>0</v>
      </c>
      <c r="Y26" s="12">
        <v>3</v>
      </c>
      <c r="Z26" s="12">
        <v>3</v>
      </c>
      <c r="AB26" s="11">
        <v>23</v>
      </c>
      <c r="AC26" s="12">
        <v>555</v>
      </c>
      <c r="AD26" s="12">
        <v>0</v>
      </c>
      <c r="AE26" s="69">
        <v>0</v>
      </c>
      <c r="AG26" s="11">
        <v>23</v>
      </c>
      <c r="AH26" s="12">
        <v>480</v>
      </c>
      <c r="AI26" s="12">
        <v>283</v>
      </c>
      <c r="AJ26" s="69">
        <v>0</v>
      </c>
      <c r="AL26" s="11">
        <v>23</v>
      </c>
      <c r="AM26" s="12">
        <v>390</v>
      </c>
      <c r="AN26" s="12">
        <v>30</v>
      </c>
      <c r="AO26" s="69">
        <v>0</v>
      </c>
      <c r="AQ26" s="11">
        <v>23</v>
      </c>
      <c r="AR26" s="12" t="s">
        <v>15</v>
      </c>
      <c r="AT26" s="11">
        <v>23</v>
      </c>
      <c r="AU26" s="12">
        <v>0</v>
      </c>
      <c r="AW26" s="11">
        <v>23</v>
      </c>
      <c r="AX26" s="12">
        <v>540</v>
      </c>
      <c r="AY26" s="12">
        <v>401</v>
      </c>
      <c r="AZ26" s="12">
        <v>444</v>
      </c>
      <c r="BA26" s="12">
        <v>24</v>
      </c>
      <c r="BB26" s="12">
        <v>91</v>
      </c>
      <c r="BC26" s="12">
        <v>373</v>
      </c>
      <c r="BD26" s="12">
        <v>550</v>
      </c>
      <c r="BE26" s="12">
        <v>415</v>
      </c>
      <c r="BF26" s="12">
        <v>367</v>
      </c>
      <c r="BG26" s="29">
        <v>218</v>
      </c>
      <c r="BH26" s="12">
        <v>364</v>
      </c>
      <c r="BI26" s="12">
        <v>364</v>
      </c>
      <c r="BK26" s="11">
        <v>23</v>
      </c>
      <c r="BL26" s="12" t="s">
        <v>15</v>
      </c>
      <c r="BM26" s="12">
        <v>5</v>
      </c>
      <c r="BN26" s="12">
        <v>5</v>
      </c>
      <c r="BP26" s="11">
        <v>23</v>
      </c>
      <c r="BQ26" s="12">
        <v>0</v>
      </c>
      <c r="BR26" s="12">
        <v>3</v>
      </c>
      <c r="BS26" s="12">
        <v>3</v>
      </c>
      <c r="BU26" s="11">
        <v>23</v>
      </c>
      <c r="BV26" s="12">
        <v>14</v>
      </c>
      <c r="BW26" s="12">
        <v>682</v>
      </c>
      <c r="BX26" s="69">
        <v>0</v>
      </c>
    </row>
    <row r="27" spans="1:76">
      <c r="A27" s="20" t="s">
        <v>23</v>
      </c>
      <c r="B27" s="20">
        <v>8</v>
      </c>
      <c r="C27" s="5" t="s">
        <v>28</v>
      </c>
      <c r="D27" s="37">
        <f t="shared" si="3"/>
        <v>0</v>
      </c>
      <c r="E27" s="59">
        <f t="shared" si="2"/>
        <v>0</v>
      </c>
      <c r="F27" s="38">
        <f t="shared" si="2"/>
        <v>0</v>
      </c>
      <c r="R27" s="11">
        <v>24</v>
      </c>
      <c r="S27" s="12">
        <v>1</v>
      </c>
      <c r="T27" s="12" t="s">
        <v>15</v>
      </c>
      <c r="U27" s="12" t="s">
        <v>15</v>
      </c>
      <c r="W27" s="11">
        <v>24</v>
      </c>
      <c r="X27" s="12">
        <v>2</v>
      </c>
      <c r="Y27" s="12">
        <v>0</v>
      </c>
      <c r="Z27" s="12">
        <v>0</v>
      </c>
      <c r="AB27" s="11">
        <v>24</v>
      </c>
      <c r="AC27" s="12">
        <v>0</v>
      </c>
      <c r="AD27" s="12">
        <v>191</v>
      </c>
      <c r="AE27" s="69">
        <v>555</v>
      </c>
      <c r="AG27" s="11">
        <v>24</v>
      </c>
      <c r="AH27" s="12">
        <v>222</v>
      </c>
      <c r="AI27" s="12">
        <v>61</v>
      </c>
      <c r="AJ27" s="69">
        <v>555</v>
      </c>
      <c r="AL27" s="11">
        <v>24</v>
      </c>
      <c r="AM27" s="12">
        <v>318</v>
      </c>
      <c r="AN27" s="12">
        <v>545</v>
      </c>
      <c r="AO27" s="69">
        <v>555</v>
      </c>
      <c r="AQ27" s="11">
        <v>24</v>
      </c>
      <c r="AR27" s="14" t="s">
        <v>5</v>
      </c>
      <c r="AT27" s="11">
        <v>24</v>
      </c>
      <c r="AU27" s="12">
        <v>6</v>
      </c>
      <c r="AW27" s="11">
        <v>24</v>
      </c>
      <c r="AX27" s="12">
        <v>133</v>
      </c>
      <c r="AY27" s="12">
        <v>48</v>
      </c>
      <c r="AZ27" s="12">
        <v>480</v>
      </c>
      <c r="BA27" s="12">
        <v>904</v>
      </c>
      <c r="BB27" s="12">
        <v>703</v>
      </c>
      <c r="BC27" s="12">
        <v>35</v>
      </c>
      <c r="BD27" s="12">
        <v>101</v>
      </c>
      <c r="BE27" s="12">
        <v>219</v>
      </c>
      <c r="BF27" s="12">
        <v>539</v>
      </c>
      <c r="BG27" s="29">
        <v>219</v>
      </c>
      <c r="BH27" s="12">
        <v>263</v>
      </c>
      <c r="BI27" s="12">
        <v>263</v>
      </c>
      <c r="BK27" s="11">
        <v>24</v>
      </c>
      <c r="BL27" s="12">
        <v>1</v>
      </c>
      <c r="BM27" s="12" t="s">
        <v>15</v>
      </c>
      <c r="BN27" s="12" t="s">
        <v>15</v>
      </c>
      <c r="BP27" s="11">
        <v>24</v>
      </c>
      <c r="BQ27" s="12">
        <v>2</v>
      </c>
      <c r="BR27" s="12">
        <v>0</v>
      </c>
      <c r="BS27" s="12">
        <v>0</v>
      </c>
      <c r="BU27" s="11">
        <v>24</v>
      </c>
      <c r="BV27" s="12">
        <v>1104</v>
      </c>
      <c r="BW27" s="12">
        <v>83</v>
      </c>
      <c r="BX27" s="69">
        <v>555</v>
      </c>
    </row>
    <row r="28" spans="1:76">
      <c r="A28" s="20" t="s">
        <v>24</v>
      </c>
      <c r="B28" s="20">
        <v>9</v>
      </c>
      <c r="C28" s="5" t="s">
        <v>16</v>
      </c>
      <c r="D28" s="37">
        <f t="shared" si="3"/>
        <v>0</v>
      </c>
      <c r="E28" s="59">
        <f t="shared" si="2"/>
        <v>0</v>
      </c>
      <c r="F28" s="38">
        <f t="shared" si="2"/>
        <v>0</v>
      </c>
      <c r="R28" s="11">
        <v>25</v>
      </c>
      <c r="S28" s="12" t="s">
        <v>15</v>
      </c>
      <c r="T28" s="12">
        <v>0</v>
      </c>
      <c r="U28" s="12">
        <v>0</v>
      </c>
      <c r="W28" s="11">
        <v>25</v>
      </c>
      <c r="X28" s="12">
        <v>0</v>
      </c>
      <c r="Y28" s="12">
        <v>1</v>
      </c>
      <c r="Z28" s="12">
        <v>1</v>
      </c>
      <c r="AB28" s="11">
        <v>25</v>
      </c>
      <c r="AC28" s="12">
        <v>555</v>
      </c>
      <c r="AD28" s="12">
        <v>1041</v>
      </c>
      <c r="AE28" s="69">
        <v>0</v>
      </c>
      <c r="AG28" s="11">
        <v>25</v>
      </c>
      <c r="AH28" s="12">
        <v>480</v>
      </c>
      <c r="AI28" s="12">
        <v>823</v>
      </c>
      <c r="AJ28" s="69">
        <v>0</v>
      </c>
      <c r="AL28" s="11">
        <v>25</v>
      </c>
      <c r="AM28" s="12">
        <v>390</v>
      </c>
      <c r="AN28" s="12">
        <v>0</v>
      </c>
      <c r="AO28" s="69">
        <v>0</v>
      </c>
      <c r="AQ28" s="11">
        <v>25</v>
      </c>
      <c r="AR28" s="12" t="s">
        <v>15</v>
      </c>
      <c r="AT28" s="11">
        <v>25</v>
      </c>
      <c r="AU28" s="12">
        <v>0</v>
      </c>
      <c r="AW28" s="11">
        <v>25</v>
      </c>
      <c r="AX28" s="12">
        <v>540</v>
      </c>
      <c r="AY28" s="12">
        <v>401</v>
      </c>
      <c r="AZ28" s="12">
        <v>444</v>
      </c>
      <c r="BA28" s="12">
        <v>24</v>
      </c>
      <c r="BB28" s="12">
        <v>91</v>
      </c>
      <c r="BC28" s="12">
        <v>373</v>
      </c>
      <c r="BD28" s="12">
        <v>550</v>
      </c>
      <c r="BE28" s="12">
        <v>415</v>
      </c>
      <c r="BF28" s="12">
        <v>367</v>
      </c>
      <c r="BG28" s="29">
        <v>218</v>
      </c>
      <c r="BH28" s="12">
        <v>364</v>
      </c>
      <c r="BI28" s="12">
        <v>364</v>
      </c>
      <c r="BK28" s="11">
        <v>25</v>
      </c>
      <c r="BL28" s="12" t="s">
        <v>15</v>
      </c>
      <c r="BM28" s="12">
        <v>0</v>
      </c>
      <c r="BN28" s="12">
        <v>0</v>
      </c>
      <c r="BP28" s="11">
        <v>25</v>
      </c>
      <c r="BQ28" s="12">
        <v>0</v>
      </c>
      <c r="BR28" s="12">
        <v>1</v>
      </c>
      <c r="BS28" s="12">
        <v>1</v>
      </c>
      <c r="BU28" s="11">
        <v>25</v>
      </c>
      <c r="BV28" s="12">
        <v>14</v>
      </c>
      <c r="BW28" s="12">
        <v>368</v>
      </c>
      <c r="BX28" s="69">
        <v>0</v>
      </c>
    </row>
    <row r="29" spans="1:76">
      <c r="A29" s="21" t="s">
        <v>35</v>
      </c>
      <c r="B29" s="21">
        <v>10</v>
      </c>
      <c r="C29" s="5" t="s">
        <v>37</v>
      </c>
      <c r="D29" s="37">
        <f t="shared" si="3"/>
        <v>0</v>
      </c>
      <c r="E29" s="59">
        <f t="shared" si="2"/>
        <v>0</v>
      </c>
      <c r="F29" s="38">
        <f t="shared" si="2"/>
        <v>0</v>
      </c>
      <c r="R29" s="11">
        <v>26</v>
      </c>
      <c r="S29" s="12">
        <v>5</v>
      </c>
      <c r="T29" s="12" t="s">
        <v>15</v>
      </c>
      <c r="U29" s="12" t="s">
        <v>15</v>
      </c>
      <c r="W29" s="11">
        <v>26</v>
      </c>
      <c r="X29" s="12">
        <v>3</v>
      </c>
      <c r="Y29" s="12">
        <v>0</v>
      </c>
      <c r="Z29" s="12">
        <v>0</v>
      </c>
      <c r="AB29" s="11">
        <v>26</v>
      </c>
      <c r="AC29" s="12">
        <v>2</v>
      </c>
      <c r="AD29" s="12">
        <v>191</v>
      </c>
      <c r="AE29" s="69">
        <v>555</v>
      </c>
      <c r="AG29" s="11">
        <v>26</v>
      </c>
      <c r="AH29" s="12">
        <v>5</v>
      </c>
      <c r="AI29" s="12">
        <v>61</v>
      </c>
      <c r="AJ29" s="69">
        <v>555</v>
      </c>
      <c r="AL29" s="11">
        <v>26</v>
      </c>
      <c r="AM29" s="12">
        <v>132</v>
      </c>
      <c r="AN29" s="12">
        <v>545</v>
      </c>
      <c r="AO29" s="69">
        <v>555</v>
      </c>
      <c r="AQ29" s="11">
        <v>26</v>
      </c>
      <c r="AR29" s="14" t="s">
        <v>7</v>
      </c>
      <c r="AT29" s="11">
        <v>26</v>
      </c>
      <c r="AU29" s="12">
        <v>9</v>
      </c>
      <c r="AW29" s="11">
        <v>26</v>
      </c>
      <c r="AX29" s="12">
        <v>9</v>
      </c>
      <c r="AY29" s="12">
        <v>42</v>
      </c>
      <c r="AZ29" s="12">
        <v>150</v>
      </c>
      <c r="BA29" s="12">
        <v>537</v>
      </c>
      <c r="BB29" s="12">
        <v>668</v>
      </c>
      <c r="BC29" s="12">
        <v>776</v>
      </c>
      <c r="BD29" s="12">
        <v>57</v>
      </c>
      <c r="BE29" s="12">
        <v>123</v>
      </c>
      <c r="BF29" s="12">
        <v>82</v>
      </c>
      <c r="BG29" s="29">
        <v>123</v>
      </c>
      <c r="BH29" s="12">
        <v>148</v>
      </c>
      <c r="BI29" s="12">
        <v>148</v>
      </c>
      <c r="BK29" s="11">
        <v>26</v>
      </c>
      <c r="BL29" s="12">
        <v>5</v>
      </c>
      <c r="BM29" s="12" t="s">
        <v>15</v>
      </c>
      <c r="BN29" s="12" t="s">
        <v>15</v>
      </c>
      <c r="BP29" s="11">
        <v>26</v>
      </c>
      <c r="BQ29" s="12">
        <v>3</v>
      </c>
      <c r="BR29" s="12">
        <v>0</v>
      </c>
      <c r="BS29" s="12">
        <v>0</v>
      </c>
      <c r="BU29" s="11">
        <v>26</v>
      </c>
      <c r="BV29" s="12">
        <v>292</v>
      </c>
      <c r="BW29" s="12">
        <v>83</v>
      </c>
      <c r="BX29" s="69">
        <v>555</v>
      </c>
    </row>
    <row r="30" spans="1:76">
      <c r="A30" s="22" t="s">
        <v>39</v>
      </c>
      <c r="B30" s="22">
        <v>11</v>
      </c>
      <c r="C30" s="17" t="s">
        <v>38</v>
      </c>
      <c r="D30" s="60">
        <f t="shared" si="3"/>
        <v>0</v>
      </c>
      <c r="E30" s="39">
        <f t="shared" si="2"/>
        <v>0</v>
      </c>
      <c r="F30" s="40">
        <f t="shared" si="2"/>
        <v>0</v>
      </c>
      <c r="R30" s="11">
        <v>27</v>
      </c>
      <c r="S30" s="12" t="s">
        <v>15</v>
      </c>
      <c r="T30" s="12">
        <v>1</v>
      </c>
      <c r="U30" s="12">
        <v>1</v>
      </c>
      <c r="W30" s="11">
        <v>27</v>
      </c>
      <c r="X30" s="12">
        <v>0</v>
      </c>
      <c r="Y30" s="12">
        <v>2</v>
      </c>
      <c r="Z30" s="12">
        <v>2</v>
      </c>
      <c r="AB30" s="11">
        <v>27</v>
      </c>
      <c r="AC30" s="12">
        <v>554</v>
      </c>
      <c r="AD30" s="12">
        <v>51</v>
      </c>
      <c r="AE30" s="69">
        <v>0</v>
      </c>
      <c r="AG30" s="11">
        <v>27</v>
      </c>
      <c r="AH30" s="12">
        <v>480</v>
      </c>
      <c r="AI30" s="12">
        <v>376</v>
      </c>
      <c r="AJ30" s="69">
        <v>0</v>
      </c>
      <c r="AL30" s="11">
        <v>27</v>
      </c>
      <c r="AM30" s="12">
        <v>390</v>
      </c>
      <c r="AN30" s="12">
        <v>0</v>
      </c>
      <c r="AO30" s="69">
        <v>0</v>
      </c>
      <c r="AQ30" s="11">
        <v>27</v>
      </c>
      <c r="AR30" s="12" t="s">
        <v>15</v>
      </c>
      <c r="AT30" s="11">
        <v>27</v>
      </c>
      <c r="AU30" s="12">
        <v>0</v>
      </c>
      <c r="AW30" s="11">
        <v>27</v>
      </c>
      <c r="AX30" s="12">
        <v>540</v>
      </c>
      <c r="AY30" s="12">
        <v>401</v>
      </c>
      <c r="AZ30" s="12">
        <v>444</v>
      </c>
      <c r="BA30" s="12">
        <v>24</v>
      </c>
      <c r="BB30" s="12">
        <v>91</v>
      </c>
      <c r="BC30" s="12">
        <v>373</v>
      </c>
      <c r="BD30" s="12">
        <v>550</v>
      </c>
      <c r="BE30" s="12">
        <v>415</v>
      </c>
      <c r="BF30" s="12">
        <v>367</v>
      </c>
      <c r="BG30" s="29">
        <v>218</v>
      </c>
      <c r="BH30" s="12">
        <v>364</v>
      </c>
      <c r="BI30" s="12">
        <v>364</v>
      </c>
      <c r="BK30" s="11">
        <v>27</v>
      </c>
      <c r="BL30" s="12" t="s">
        <v>15</v>
      </c>
      <c r="BM30" s="12">
        <v>1</v>
      </c>
      <c r="BN30" s="12">
        <v>1</v>
      </c>
      <c r="BP30" s="11">
        <v>27</v>
      </c>
      <c r="BQ30" s="12">
        <v>0</v>
      </c>
      <c r="BR30" s="12">
        <v>2</v>
      </c>
      <c r="BS30" s="12">
        <v>2</v>
      </c>
      <c r="BU30" s="11">
        <v>27</v>
      </c>
      <c r="BV30" s="12">
        <v>14</v>
      </c>
      <c r="BW30" s="12">
        <v>368</v>
      </c>
      <c r="BX30" s="69">
        <v>0</v>
      </c>
    </row>
    <row r="31" spans="1:76">
      <c r="D31" s="115">
        <v>2400</v>
      </c>
      <c r="E31" s="115">
        <v>2230</v>
      </c>
      <c r="F31" s="115">
        <v>6</v>
      </c>
      <c r="R31" s="11">
        <v>28</v>
      </c>
      <c r="S31" s="12">
        <v>10</v>
      </c>
      <c r="T31" s="12" t="s">
        <v>15</v>
      </c>
      <c r="U31" s="12" t="s">
        <v>15</v>
      </c>
      <c r="W31" s="11">
        <v>28</v>
      </c>
      <c r="X31" s="12">
        <v>4</v>
      </c>
      <c r="Y31" s="12">
        <v>0</v>
      </c>
      <c r="Z31" s="12">
        <v>0</v>
      </c>
      <c r="AB31" s="11">
        <v>28</v>
      </c>
      <c r="AC31" s="12">
        <v>0</v>
      </c>
      <c r="AD31" s="12">
        <v>191</v>
      </c>
      <c r="AE31" s="69">
        <v>555</v>
      </c>
      <c r="AG31" s="11">
        <v>28</v>
      </c>
      <c r="AH31" s="12">
        <v>0</v>
      </c>
      <c r="AI31" s="12">
        <v>61</v>
      </c>
      <c r="AJ31" s="69">
        <v>555</v>
      </c>
      <c r="AL31" s="11">
        <v>28</v>
      </c>
      <c r="AM31" s="12">
        <v>46</v>
      </c>
      <c r="AN31" s="12">
        <v>545</v>
      </c>
      <c r="AO31" s="69">
        <v>555</v>
      </c>
      <c r="AQ31" s="11">
        <v>28</v>
      </c>
      <c r="AR31" s="14" t="s">
        <v>6</v>
      </c>
      <c r="AT31" s="11">
        <v>28</v>
      </c>
      <c r="AU31" s="12">
        <v>7</v>
      </c>
      <c r="AW31" s="11">
        <v>28</v>
      </c>
      <c r="AX31" s="12">
        <v>237</v>
      </c>
      <c r="AY31" s="12">
        <v>705</v>
      </c>
      <c r="AZ31" s="12">
        <v>34</v>
      </c>
      <c r="BA31" s="12">
        <v>485</v>
      </c>
      <c r="BB31" s="12">
        <v>353</v>
      </c>
      <c r="BC31" s="12">
        <v>65</v>
      </c>
      <c r="BD31" s="12">
        <v>189</v>
      </c>
      <c r="BE31" s="12">
        <v>412</v>
      </c>
      <c r="BF31" s="12">
        <v>274</v>
      </c>
      <c r="BG31" s="29">
        <v>1001</v>
      </c>
      <c r="BH31" s="12">
        <v>495</v>
      </c>
      <c r="BI31" s="12">
        <v>495</v>
      </c>
      <c r="BK31" s="11">
        <v>28</v>
      </c>
      <c r="BL31" s="12">
        <v>10</v>
      </c>
      <c r="BM31" s="12" t="s">
        <v>15</v>
      </c>
      <c r="BN31" s="12" t="s">
        <v>15</v>
      </c>
      <c r="BP31" s="11">
        <v>28</v>
      </c>
      <c r="BQ31" s="12">
        <v>4</v>
      </c>
      <c r="BR31" s="12">
        <v>0</v>
      </c>
      <c r="BS31" s="12">
        <v>0</v>
      </c>
      <c r="BU31" s="11">
        <v>28</v>
      </c>
      <c r="BV31" s="12">
        <v>227</v>
      </c>
      <c r="BW31" s="12">
        <v>83</v>
      </c>
      <c r="BX31" s="69">
        <v>555</v>
      </c>
    </row>
    <row r="32" spans="1:76">
      <c r="R32" s="11">
        <v>29</v>
      </c>
      <c r="S32" s="12" t="s">
        <v>15</v>
      </c>
      <c r="T32" s="12">
        <v>5</v>
      </c>
      <c r="U32" s="12">
        <v>5</v>
      </c>
      <c r="W32" s="11">
        <v>29</v>
      </c>
      <c r="X32" s="12">
        <v>0</v>
      </c>
      <c r="Y32" s="12">
        <v>3</v>
      </c>
      <c r="Z32" s="12">
        <v>3</v>
      </c>
      <c r="AB32" s="11">
        <v>29</v>
      </c>
      <c r="AC32" s="12">
        <v>554</v>
      </c>
      <c r="AD32" s="12">
        <v>0</v>
      </c>
      <c r="AE32" s="69">
        <v>0</v>
      </c>
      <c r="AG32" s="11">
        <v>29</v>
      </c>
      <c r="AH32" s="12">
        <v>480</v>
      </c>
      <c r="AI32" s="12">
        <v>283</v>
      </c>
      <c r="AJ32" s="69">
        <v>0</v>
      </c>
      <c r="AL32" s="11">
        <v>29</v>
      </c>
      <c r="AM32" s="12">
        <v>390</v>
      </c>
      <c r="AN32" s="12">
        <v>29</v>
      </c>
      <c r="AO32" s="69">
        <v>0</v>
      </c>
      <c r="AQ32" s="11">
        <v>29</v>
      </c>
      <c r="AR32" s="12" t="s">
        <v>15</v>
      </c>
      <c r="AT32" s="11">
        <v>29</v>
      </c>
      <c r="AU32" s="12">
        <v>0</v>
      </c>
      <c r="AW32" s="11">
        <v>29</v>
      </c>
      <c r="AX32" s="12">
        <v>540</v>
      </c>
      <c r="AY32" s="12">
        <v>401</v>
      </c>
      <c r="AZ32" s="12">
        <v>444</v>
      </c>
      <c r="BA32" s="12">
        <v>24</v>
      </c>
      <c r="BB32" s="12">
        <v>91</v>
      </c>
      <c r="BC32" s="12">
        <v>373</v>
      </c>
      <c r="BD32" s="12">
        <v>550</v>
      </c>
      <c r="BE32" s="12">
        <v>415</v>
      </c>
      <c r="BF32" s="12">
        <v>367</v>
      </c>
      <c r="BG32" s="29">
        <v>218</v>
      </c>
      <c r="BH32" s="12">
        <v>363</v>
      </c>
      <c r="BI32" s="12">
        <v>363</v>
      </c>
      <c r="BK32" s="11">
        <v>29</v>
      </c>
      <c r="BL32" s="12" t="s">
        <v>15</v>
      </c>
      <c r="BM32" s="12">
        <v>5</v>
      </c>
      <c r="BN32" s="12">
        <v>5</v>
      </c>
      <c r="BP32" s="11">
        <v>29</v>
      </c>
      <c r="BQ32" s="12">
        <v>0</v>
      </c>
      <c r="BR32" s="12">
        <v>3</v>
      </c>
      <c r="BS32" s="12">
        <v>3</v>
      </c>
      <c r="BU32" s="11">
        <v>29</v>
      </c>
      <c r="BV32" s="12">
        <v>14</v>
      </c>
      <c r="BW32" s="12">
        <v>682</v>
      </c>
      <c r="BX32" s="69">
        <v>0</v>
      </c>
    </row>
    <row r="33" spans="1:76">
      <c r="A33" s="30" t="s">
        <v>117</v>
      </c>
      <c r="G33" s="115"/>
      <c r="H33" s="94" t="s">
        <v>34</v>
      </c>
      <c r="J33" s="115"/>
      <c r="R33" s="11">
        <v>30</v>
      </c>
      <c r="S33" s="12">
        <v>1</v>
      </c>
      <c r="T33" s="12" t="s">
        <v>15</v>
      </c>
      <c r="U33" s="12" t="s">
        <v>15</v>
      </c>
      <c r="W33" s="11">
        <v>30</v>
      </c>
      <c r="X33" s="12">
        <v>2</v>
      </c>
      <c r="Y33" s="12">
        <v>0</v>
      </c>
      <c r="Z33" s="12">
        <v>0</v>
      </c>
      <c r="AB33" s="11">
        <v>30</v>
      </c>
      <c r="AC33" s="12">
        <v>0</v>
      </c>
      <c r="AD33" s="12">
        <v>191</v>
      </c>
      <c r="AE33" s="69">
        <v>555</v>
      </c>
      <c r="AG33" s="11">
        <v>30</v>
      </c>
      <c r="AH33" s="12">
        <v>222</v>
      </c>
      <c r="AI33" s="12">
        <v>61</v>
      </c>
      <c r="AJ33" s="69">
        <v>555</v>
      </c>
      <c r="AL33" s="11">
        <v>30</v>
      </c>
      <c r="AM33" s="12">
        <v>318</v>
      </c>
      <c r="AN33" s="12">
        <v>545</v>
      </c>
      <c r="AO33" s="69">
        <v>555</v>
      </c>
      <c r="AQ33" s="11">
        <v>30</v>
      </c>
      <c r="AR33" s="14"/>
      <c r="AT33" s="11">
        <v>30</v>
      </c>
      <c r="AU33" s="12"/>
      <c r="AW33" s="11">
        <v>30</v>
      </c>
      <c r="AX33" s="12"/>
      <c r="AY33" s="12"/>
      <c r="AZ33" s="12"/>
      <c r="BA33" s="12"/>
      <c r="BB33" s="12"/>
      <c r="BC33" s="12"/>
      <c r="BD33" s="12"/>
      <c r="BE33" s="12"/>
      <c r="BF33" s="24"/>
      <c r="BG33" s="29"/>
      <c r="BH33" s="12"/>
      <c r="BI33" s="12"/>
      <c r="BK33" s="11">
        <v>30</v>
      </c>
      <c r="BL33" s="12">
        <v>1</v>
      </c>
      <c r="BM33" s="12" t="s">
        <v>15</v>
      </c>
      <c r="BN33" s="12" t="s">
        <v>15</v>
      </c>
      <c r="BP33" s="11">
        <v>30</v>
      </c>
      <c r="BQ33" s="12">
        <v>2</v>
      </c>
      <c r="BR33" s="12">
        <v>0</v>
      </c>
      <c r="BS33" s="12">
        <v>0</v>
      </c>
      <c r="BU33" s="11">
        <v>30</v>
      </c>
      <c r="BV33" s="12">
        <v>1103</v>
      </c>
      <c r="BW33" s="12">
        <v>83</v>
      </c>
      <c r="BX33" s="69">
        <v>555</v>
      </c>
    </row>
    <row r="34" spans="1:76">
      <c r="A34" s="30" t="s">
        <v>46</v>
      </c>
      <c r="B34" s="1" t="s">
        <v>10</v>
      </c>
      <c r="C34" s="2" t="s">
        <v>11</v>
      </c>
      <c r="D34" s="3" t="s">
        <v>12</v>
      </c>
      <c r="E34" s="116" t="s">
        <v>13</v>
      </c>
      <c r="F34" s="4" t="s">
        <v>14</v>
      </c>
      <c r="G34" s="115"/>
      <c r="H34" s="95" t="s">
        <v>57</v>
      </c>
      <c r="I34" s="58" t="s">
        <v>58</v>
      </c>
      <c r="R34" s="11">
        <v>31</v>
      </c>
      <c r="S34" s="12" t="s">
        <v>15</v>
      </c>
      <c r="T34" s="12">
        <v>0</v>
      </c>
      <c r="U34" s="12">
        <v>0</v>
      </c>
      <c r="W34" s="11">
        <v>31</v>
      </c>
      <c r="X34" s="12">
        <v>0</v>
      </c>
      <c r="Y34" s="12">
        <v>1</v>
      </c>
      <c r="Z34" s="12">
        <v>1</v>
      </c>
      <c r="AB34" s="11">
        <v>31</v>
      </c>
      <c r="AC34" s="12">
        <v>554</v>
      </c>
      <c r="AD34" s="12">
        <v>1041</v>
      </c>
      <c r="AE34" s="69">
        <v>0</v>
      </c>
      <c r="AG34" s="11">
        <v>31</v>
      </c>
      <c r="AH34" s="12">
        <v>479</v>
      </c>
      <c r="AI34" s="12">
        <v>823</v>
      </c>
      <c r="AJ34" s="69">
        <v>0</v>
      </c>
      <c r="AL34" s="11">
        <v>31</v>
      </c>
      <c r="AM34" s="12">
        <v>390</v>
      </c>
      <c r="AN34" s="12">
        <v>0</v>
      </c>
      <c r="AO34" s="69">
        <v>0</v>
      </c>
      <c r="AQ34" s="11">
        <v>31</v>
      </c>
      <c r="AR34" s="12"/>
      <c r="AT34" s="11">
        <v>31</v>
      </c>
      <c r="AU34" s="12"/>
      <c r="AW34" s="11">
        <v>31</v>
      </c>
      <c r="AX34" s="12"/>
      <c r="AY34" s="12"/>
      <c r="AZ34" s="12"/>
      <c r="BA34" s="12"/>
      <c r="BB34" s="12"/>
      <c r="BC34" s="12"/>
      <c r="BD34" s="12"/>
      <c r="BE34" s="12"/>
      <c r="BF34" s="24"/>
      <c r="BG34" s="29"/>
      <c r="BH34" s="12"/>
      <c r="BI34" s="12"/>
      <c r="BK34" s="11">
        <v>31</v>
      </c>
      <c r="BL34" s="12" t="s">
        <v>15</v>
      </c>
      <c r="BM34" s="12">
        <v>0</v>
      </c>
      <c r="BN34" s="12">
        <v>0</v>
      </c>
      <c r="BP34" s="11">
        <v>31</v>
      </c>
      <c r="BQ34" s="12">
        <v>0</v>
      </c>
      <c r="BR34" s="12">
        <v>1</v>
      </c>
      <c r="BS34" s="12">
        <v>1</v>
      </c>
      <c r="BU34" s="11">
        <v>31</v>
      </c>
      <c r="BV34" s="12">
        <v>14</v>
      </c>
      <c r="BW34" s="12">
        <v>368</v>
      </c>
      <c r="BX34" s="69">
        <v>0</v>
      </c>
    </row>
    <row r="35" spans="1:76">
      <c r="A35" s="1" t="s">
        <v>19</v>
      </c>
      <c r="B35" s="1">
        <v>0</v>
      </c>
      <c r="C35" s="3" t="s">
        <v>25</v>
      </c>
      <c r="D35" s="3">
        <f>SUMIF(S$3:S$38,$A35,AM$3:AM$38)</f>
        <v>7020</v>
      </c>
      <c r="E35" s="129">
        <f t="shared" ref="E35:F46" si="4">SUMIF(T$3:T$38,$A35,AN$3:AN$38)</f>
        <v>9822</v>
      </c>
      <c r="F35" s="4">
        <f t="shared" si="4"/>
        <v>10000</v>
      </c>
      <c r="G35" s="115"/>
      <c r="H35" s="21">
        <v>5</v>
      </c>
      <c r="I35" s="7" t="e">
        <v>#REF!</v>
      </c>
      <c r="R35" s="11">
        <v>32</v>
      </c>
      <c r="S35" s="12">
        <v>5</v>
      </c>
      <c r="T35" s="12" t="s">
        <v>15</v>
      </c>
      <c r="U35" s="12" t="s">
        <v>15</v>
      </c>
      <c r="W35" s="11">
        <v>32</v>
      </c>
      <c r="X35" s="12">
        <v>3</v>
      </c>
      <c r="Y35" s="12">
        <v>0</v>
      </c>
      <c r="Z35" s="12">
        <v>0</v>
      </c>
      <c r="AB35" s="11">
        <v>32</v>
      </c>
      <c r="AC35" s="12">
        <v>2</v>
      </c>
      <c r="AD35" s="12">
        <v>191</v>
      </c>
      <c r="AE35" s="69">
        <v>555</v>
      </c>
      <c r="AG35" s="11">
        <v>32</v>
      </c>
      <c r="AH35" s="12">
        <v>4</v>
      </c>
      <c r="AI35" s="12">
        <v>61</v>
      </c>
      <c r="AJ35" s="69">
        <v>555</v>
      </c>
      <c r="AL35" s="11">
        <v>32</v>
      </c>
      <c r="AM35" s="12">
        <v>131</v>
      </c>
      <c r="AN35" s="12">
        <v>545</v>
      </c>
      <c r="AO35" s="69">
        <v>555</v>
      </c>
      <c r="AQ35" s="11">
        <v>32</v>
      </c>
      <c r="AR35" s="14"/>
      <c r="AT35" s="11">
        <v>32</v>
      </c>
      <c r="AU35" s="12"/>
      <c r="AW35" s="11">
        <v>32</v>
      </c>
      <c r="AX35" s="12"/>
      <c r="AY35" s="12"/>
      <c r="AZ35" s="12"/>
      <c r="BA35" s="12"/>
      <c r="BB35" s="12"/>
      <c r="BC35" s="12"/>
      <c r="BD35" s="12"/>
      <c r="BE35" s="12"/>
      <c r="BF35" s="24"/>
      <c r="BG35" s="29"/>
      <c r="BH35" s="12"/>
      <c r="BI35" s="12"/>
      <c r="BK35" s="11">
        <v>32</v>
      </c>
      <c r="BL35" s="12">
        <v>5</v>
      </c>
      <c r="BM35" s="12" t="s">
        <v>15</v>
      </c>
      <c r="BN35" s="12" t="s">
        <v>15</v>
      </c>
      <c r="BP35" s="11">
        <v>32</v>
      </c>
      <c r="BQ35" s="12">
        <v>3</v>
      </c>
      <c r="BR35" s="12">
        <v>0</v>
      </c>
      <c r="BS35" s="12">
        <v>0</v>
      </c>
      <c r="BU35" s="11">
        <v>32</v>
      </c>
      <c r="BV35" s="12">
        <v>292</v>
      </c>
      <c r="BW35" s="12">
        <v>83</v>
      </c>
      <c r="BX35" s="69">
        <v>555</v>
      </c>
    </row>
    <row r="36" spans="1:76">
      <c r="A36" s="20">
        <v>0</v>
      </c>
      <c r="B36" s="20">
        <v>1</v>
      </c>
      <c r="C36" s="5">
        <v>0</v>
      </c>
      <c r="D36" s="37">
        <f t="shared" ref="D36:D46" si="5">SUMIF(S$3:S$38,$A36,AM$3:AM$38)</f>
        <v>0</v>
      </c>
      <c r="E36" s="128">
        <f t="shared" si="4"/>
        <v>0</v>
      </c>
      <c r="F36" s="7">
        <f t="shared" si="4"/>
        <v>0</v>
      </c>
      <c r="G36" s="115"/>
      <c r="H36" s="21">
        <v>10</v>
      </c>
      <c r="I36" s="7" t="e">
        <v>#REF!</v>
      </c>
      <c r="K36" s="115"/>
      <c r="L36" s="115"/>
      <c r="M36" s="115"/>
      <c r="N36" s="115"/>
      <c r="O36" s="115"/>
      <c r="R36" s="11">
        <v>33</v>
      </c>
      <c r="S36" s="12" t="s">
        <v>15</v>
      </c>
      <c r="T36" s="12">
        <v>1</v>
      </c>
      <c r="U36" s="12">
        <v>1</v>
      </c>
      <c r="W36" s="11">
        <v>33</v>
      </c>
      <c r="X36" s="12">
        <v>0</v>
      </c>
      <c r="Y36" s="12">
        <v>2</v>
      </c>
      <c r="Z36" s="12">
        <v>2</v>
      </c>
      <c r="AB36" s="11">
        <v>33</v>
      </c>
      <c r="AC36" s="12">
        <v>554</v>
      </c>
      <c r="AD36" s="12">
        <v>51</v>
      </c>
      <c r="AE36" s="69">
        <v>0</v>
      </c>
      <c r="AG36" s="11">
        <v>33</v>
      </c>
      <c r="AH36" s="12">
        <v>479</v>
      </c>
      <c r="AI36" s="12">
        <v>376</v>
      </c>
      <c r="AJ36" s="69">
        <v>0</v>
      </c>
      <c r="AL36" s="11">
        <v>33</v>
      </c>
      <c r="AM36" s="12">
        <v>390</v>
      </c>
      <c r="AN36" s="12">
        <v>0</v>
      </c>
      <c r="AO36" s="69">
        <v>0</v>
      </c>
      <c r="AQ36" s="11">
        <v>33</v>
      </c>
      <c r="AR36" s="12"/>
      <c r="AT36" s="11">
        <v>33</v>
      </c>
      <c r="AU36" s="12"/>
      <c r="AW36" s="11">
        <v>33</v>
      </c>
      <c r="AX36" s="12"/>
      <c r="AY36" s="12"/>
      <c r="AZ36" s="12"/>
      <c r="BA36" s="12"/>
      <c r="BB36" s="12"/>
      <c r="BC36" s="12"/>
      <c r="BD36" s="12"/>
      <c r="BE36" s="12"/>
      <c r="BF36" s="24"/>
      <c r="BG36" s="29"/>
      <c r="BH36" s="12"/>
      <c r="BI36" s="12"/>
      <c r="BK36" s="11">
        <v>33</v>
      </c>
      <c r="BL36" s="12" t="s">
        <v>15</v>
      </c>
      <c r="BM36" s="12">
        <v>1</v>
      </c>
      <c r="BN36" s="12">
        <v>1</v>
      </c>
      <c r="BP36" s="11">
        <v>33</v>
      </c>
      <c r="BQ36" s="12">
        <v>0</v>
      </c>
      <c r="BR36" s="12">
        <v>2</v>
      </c>
      <c r="BS36" s="12">
        <v>2</v>
      </c>
      <c r="BU36" s="11">
        <v>33</v>
      </c>
      <c r="BV36" s="12">
        <v>14</v>
      </c>
      <c r="BW36" s="12">
        <v>368</v>
      </c>
      <c r="BX36" s="69">
        <v>0</v>
      </c>
    </row>
    <row r="37" spans="1:76">
      <c r="A37" s="20">
        <v>1</v>
      </c>
      <c r="B37" s="20">
        <v>2</v>
      </c>
      <c r="C37" s="5">
        <v>1</v>
      </c>
      <c r="D37" s="6">
        <f t="shared" si="5"/>
        <v>1912</v>
      </c>
      <c r="E37" s="128">
        <f t="shared" si="4"/>
        <v>0</v>
      </c>
      <c r="F37" s="7">
        <f t="shared" si="4"/>
        <v>0</v>
      </c>
      <c r="G37" s="115"/>
      <c r="H37" s="21">
        <v>15</v>
      </c>
      <c r="I37" s="7" t="e">
        <v>#REF!</v>
      </c>
      <c r="K37" s="115"/>
      <c r="L37" s="115"/>
      <c r="M37" s="115"/>
      <c r="N37" s="115"/>
      <c r="O37" s="115"/>
      <c r="R37" s="11">
        <v>34</v>
      </c>
      <c r="S37" s="12">
        <v>10</v>
      </c>
      <c r="T37" s="12" t="s">
        <v>15</v>
      </c>
      <c r="U37" s="12" t="s">
        <v>15</v>
      </c>
      <c r="W37" s="11">
        <v>34</v>
      </c>
      <c r="X37" s="12">
        <v>4</v>
      </c>
      <c r="Y37" s="12">
        <v>0</v>
      </c>
      <c r="Z37" s="12">
        <v>0</v>
      </c>
      <c r="AB37" s="11">
        <v>34</v>
      </c>
      <c r="AC37" s="12">
        <v>0</v>
      </c>
      <c r="AD37" s="12">
        <v>191</v>
      </c>
      <c r="AE37" s="69">
        <v>555</v>
      </c>
      <c r="AG37" s="11">
        <v>34</v>
      </c>
      <c r="AH37" s="12">
        <v>0</v>
      </c>
      <c r="AI37" s="12">
        <v>61</v>
      </c>
      <c r="AJ37" s="69">
        <v>555</v>
      </c>
      <c r="AL37" s="11">
        <v>34</v>
      </c>
      <c r="AM37" s="12">
        <v>46</v>
      </c>
      <c r="AN37" s="12">
        <v>545</v>
      </c>
      <c r="AO37" s="69">
        <v>555</v>
      </c>
      <c r="AQ37" s="11">
        <v>34</v>
      </c>
      <c r="AR37" s="14"/>
      <c r="AT37" s="11">
        <v>34</v>
      </c>
      <c r="AU37" s="12"/>
      <c r="AW37" s="11">
        <v>34</v>
      </c>
      <c r="AX37" s="12"/>
      <c r="AY37" s="12"/>
      <c r="AZ37" s="12"/>
      <c r="BA37" s="12"/>
      <c r="BB37" s="12"/>
      <c r="BC37" s="12"/>
      <c r="BD37" s="12"/>
      <c r="BE37" s="12"/>
      <c r="BF37" s="24"/>
      <c r="BG37" s="29"/>
      <c r="BH37" s="12"/>
      <c r="BI37" s="12"/>
      <c r="BK37" s="11">
        <v>34</v>
      </c>
      <c r="BL37" s="12">
        <v>10</v>
      </c>
      <c r="BM37" s="12" t="s">
        <v>15</v>
      </c>
      <c r="BN37" s="12" t="s">
        <v>15</v>
      </c>
      <c r="BP37" s="11">
        <v>34</v>
      </c>
      <c r="BQ37" s="12">
        <v>4</v>
      </c>
      <c r="BR37" s="12">
        <v>0</v>
      </c>
      <c r="BS37" s="12">
        <v>0</v>
      </c>
      <c r="BU37" s="11">
        <v>34</v>
      </c>
      <c r="BV37" s="12">
        <v>227</v>
      </c>
      <c r="BW37" s="12">
        <v>83</v>
      </c>
      <c r="BX37" s="69">
        <v>555</v>
      </c>
    </row>
    <row r="38" spans="1:76">
      <c r="A38" s="21">
        <v>5</v>
      </c>
      <c r="B38" s="21">
        <v>3</v>
      </c>
      <c r="C38" s="23">
        <v>5</v>
      </c>
      <c r="D38" s="6">
        <f t="shared" si="5"/>
        <v>791</v>
      </c>
      <c r="E38" s="128">
        <f t="shared" si="4"/>
        <v>178</v>
      </c>
      <c r="F38" s="7">
        <f t="shared" si="4"/>
        <v>0</v>
      </c>
      <c r="G38" s="115"/>
      <c r="H38" s="21">
        <v>20</v>
      </c>
      <c r="I38" s="7" t="e">
        <v>#REF!</v>
      </c>
      <c r="K38" s="115"/>
      <c r="L38" s="115"/>
      <c r="M38" s="115"/>
      <c r="N38" s="115"/>
      <c r="O38" s="115"/>
      <c r="R38" s="11">
        <v>35</v>
      </c>
      <c r="S38" s="12" t="s">
        <v>8</v>
      </c>
      <c r="T38" s="12">
        <v>5</v>
      </c>
      <c r="U38" s="12">
        <v>5</v>
      </c>
      <c r="W38" s="11">
        <v>35</v>
      </c>
      <c r="X38" s="12">
        <v>0</v>
      </c>
      <c r="Y38" s="12">
        <v>3</v>
      </c>
      <c r="Z38" s="12">
        <v>3</v>
      </c>
      <c r="AB38" s="11">
        <v>35</v>
      </c>
      <c r="AC38" s="12">
        <v>554</v>
      </c>
      <c r="AD38" s="12">
        <v>0</v>
      </c>
      <c r="AE38" s="69">
        <v>0</v>
      </c>
      <c r="AG38" s="11">
        <v>35</v>
      </c>
      <c r="AH38" s="12">
        <v>479</v>
      </c>
      <c r="AI38" s="12">
        <v>282</v>
      </c>
      <c r="AJ38" s="69">
        <v>0</v>
      </c>
      <c r="AL38" s="11">
        <v>35</v>
      </c>
      <c r="AM38" s="12">
        <v>390</v>
      </c>
      <c r="AN38" s="12">
        <v>29</v>
      </c>
      <c r="AO38" s="69">
        <v>0</v>
      </c>
      <c r="AQ38" s="11">
        <v>35</v>
      </c>
      <c r="AR38" s="12"/>
      <c r="AT38" s="11">
        <v>35</v>
      </c>
      <c r="AU38" s="12"/>
      <c r="AW38" s="11">
        <v>35</v>
      </c>
      <c r="AX38" s="12"/>
      <c r="AY38" s="12"/>
      <c r="AZ38" s="12"/>
      <c r="BA38" s="12"/>
      <c r="BB38" s="12"/>
      <c r="BC38" s="12"/>
      <c r="BD38" s="12"/>
      <c r="BE38" s="12"/>
      <c r="BF38" s="24"/>
      <c r="BG38" s="29"/>
      <c r="BH38" s="12"/>
      <c r="BI38" s="12"/>
      <c r="BK38" s="11">
        <v>35</v>
      </c>
      <c r="BL38" s="12" t="s">
        <v>8</v>
      </c>
      <c r="BM38" s="12">
        <v>5</v>
      </c>
      <c r="BN38" s="12">
        <v>5</v>
      </c>
      <c r="BP38" s="11">
        <v>35</v>
      </c>
      <c r="BQ38" s="12">
        <v>0</v>
      </c>
      <c r="BR38" s="12">
        <v>3</v>
      </c>
      <c r="BS38" s="12">
        <v>3</v>
      </c>
      <c r="BU38" s="11">
        <v>35</v>
      </c>
      <c r="BV38" s="12">
        <v>14</v>
      </c>
      <c r="BW38" s="12">
        <v>681</v>
      </c>
      <c r="BX38" s="69">
        <v>0</v>
      </c>
    </row>
    <row r="39" spans="1:76">
      <c r="A39" s="21">
        <v>10</v>
      </c>
      <c r="B39" s="21">
        <v>4</v>
      </c>
      <c r="C39" s="23">
        <v>10</v>
      </c>
      <c r="D39" s="6">
        <f t="shared" si="5"/>
        <v>277</v>
      </c>
      <c r="E39" s="59">
        <f t="shared" si="4"/>
        <v>0</v>
      </c>
      <c r="F39" s="38">
        <f t="shared" si="4"/>
        <v>0</v>
      </c>
      <c r="G39" s="115"/>
      <c r="H39" s="21">
        <v>30</v>
      </c>
      <c r="I39" s="7" t="e">
        <v>#REF!</v>
      </c>
      <c r="K39" s="115"/>
      <c r="L39" s="115"/>
      <c r="M39" s="115"/>
      <c r="N39" s="115"/>
      <c r="O39" s="115"/>
      <c r="R39" s="11">
        <v>36</v>
      </c>
      <c r="S39" s="12"/>
      <c r="T39" s="12"/>
      <c r="U39" s="12"/>
      <c r="W39" s="11">
        <v>36</v>
      </c>
      <c r="X39" s="12"/>
      <c r="Y39" s="12"/>
      <c r="Z39" s="12"/>
      <c r="AB39" s="11">
        <v>36</v>
      </c>
      <c r="AC39" s="12"/>
      <c r="AD39" s="12"/>
      <c r="AE39" s="12"/>
      <c r="AG39" s="11">
        <v>36</v>
      </c>
      <c r="AH39" s="12"/>
      <c r="AI39" s="12"/>
      <c r="AJ39" s="12"/>
      <c r="AL39" s="11">
        <v>36</v>
      </c>
      <c r="AM39" s="12"/>
      <c r="AN39" s="12"/>
      <c r="AO39" s="12"/>
      <c r="AQ39" s="11">
        <v>36</v>
      </c>
      <c r="AR39" s="14"/>
      <c r="AS39" s="14"/>
      <c r="AT39" s="11">
        <v>36</v>
      </c>
      <c r="AU39" s="12"/>
      <c r="AW39" s="11">
        <v>36</v>
      </c>
      <c r="AX39" s="12"/>
      <c r="AY39" s="12"/>
      <c r="AZ39" s="12"/>
      <c r="BA39" s="12"/>
      <c r="BB39" s="12"/>
      <c r="BC39" s="12"/>
      <c r="BD39" s="12"/>
      <c r="BE39" s="12"/>
      <c r="BF39" s="24"/>
      <c r="BG39" s="29"/>
      <c r="BH39" s="12"/>
      <c r="BI39" s="12"/>
      <c r="BK39" s="11">
        <v>36</v>
      </c>
      <c r="BL39" s="12"/>
      <c r="BM39" s="12"/>
      <c r="BN39" s="12"/>
      <c r="BP39" s="11">
        <v>36</v>
      </c>
      <c r="BQ39" s="12"/>
      <c r="BR39" s="12"/>
      <c r="BS39" s="12"/>
      <c r="BU39" s="11">
        <v>36</v>
      </c>
      <c r="BV39" s="12"/>
      <c r="BW39" s="12"/>
      <c r="BX39" s="12"/>
    </row>
    <row r="40" spans="1:76">
      <c r="A40" s="20" t="s">
        <v>20</v>
      </c>
      <c r="B40" s="20">
        <v>5</v>
      </c>
      <c r="C40" s="23" t="s">
        <v>29</v>
      </c>
      <c r="D40" s="37">
        <f t="shared" si="5"/>
        <v>0</v>
      </c>
      <c r="E40" s="59">
        <f t="shared" si="4"/>
        <v>0</v>
      </c>
      <c r="F40" s="38">
        <f t="shared" si="4"/>
        <v>0</v>
      </c>
      <c r="G40" s="115"/>
      <c r="H40" s="21">
        <v>50</v>
      </c>
      <c r="I40" s="7" t="e">
        <v>#REF!</v>
      </c>
      <c r="K40" s="115"/>
      <c r="L40" s="115"/>
      <c r="M40" s="115"/>
      <c r="N40" s="115"/>
      <c r="O40" s="115"/>
      <c r="R40" s="11">
        <v>37</v>
      </c>
      <c r="S40" s="12"/>
      <c r="T40" s="12"/>
      <c r="U40" s="12"/>
      <c r="W40" s="11">
        <v>37</v>
      </c>
      <c r="X40" s="12"/>
      <c r="Y40" s="12"/>
      <c r="Z40" s="12"/>
      <c r="AB40" s="11">
        <v>37</v>
      </c>
      <c r="AC40" s="12"/>
      <c r="AD40" s="12"/>
      <c r="AE40" s="12"/>
      <c r="AG40" s="11">
        <v>37</v>
      </c>
      <c r="AH40" s="12"/>
      <c r="AI40" s="12"/>
      <c r="AJ40" s="12"/>
      <c r="AL40" s="11">
        <v>37</v>
      </c>
      <c r="AM40" s="12"/>
      <c r="AN40" s="12"/>
      <c r="AO40" s="12"/>
      <c r="AQ40" s="11">
        <v>37</v>
      </c>
      <c r="AR40" s="12"/>
      <c r="AS40" s="12"/>
      <c r="AT40" s="11">
        <v>37</v>
      </c>
      <c r="AU40" s="12"/>
      <c r="AW40" s="11">
        <v>37</v>
      </c>
      <c r="AX40" s="12"/>
      <c r="AY40" s="12"/>
      <c r="AZ40" s="12"/>
      <c r="BA40" s="12"/>
      <c r="BB40" s="12"/>
      <c r="BC40" s="12"/>
      <c r="BD40" s="12"/>
      <c r="BE40" s="12"/>
      <c r="BF40" s="24"/>
      <c r="BG40" s="29"/>
      <c r="BH40" s="12"/>
      <c r="BI40" s="12"/>
      <c r="BK40" s="11">
        <v>37</v>
      </c>
      <c r="BL40" s="12"/>
      <c r="BM40" s="12"/>
      <c r="BN40" s="12"/>
      <c r="BP40" s="11">
        <v>37</v>
      </c>
      <c r="BQ40" s="12"/>
      <c r="BR40" s="12"/>
      <c r="BS40" s="12"/>
      <c r="BU40" s="11">
        <v>37</v>
      </c>
      <c r="BV40" s="12"/>
      <c r="BW40" s="12"/>
      <c r="BX40" s="12"/>
    </row>
    <row r="41" spans="1:76">
      <c r="A41" s="21" t="s">
        <v>21</v>
      </c>
      <c r="B41" s="21">
        <v>6</v>
      </c>
      <c r="C41" s="23" t="s">
        <v>26</v>
      </c>
      <c r="D41" s="37">
        <f t="shared" si="5"/>
        <v>0</v>
      </c>
      <c r="E41" s="59">
        <f t="shared" si="4"/>
        <v>0</v>
      </c>
      <c r="F41" s="38">
        <f t="shared" si="4"/>
        <v>0</v>
      </c>
      <c r="G41" s="115"/>
      <c r="H41" s="21">
        <v>100</v>
      </c>
      <c r="I41" s="7" t="e">
        <v>#REF!</v>
      </c>
      <c r="K41" s="115"/>
      <c r="L41" s="115"/>
      <c r="M41" s="115"/>
      <c r="N41" s="115"/>
      <c r="O41" s="115"/>
      <c r="R41" s="11">
        <v>38</v>
      </c>
      <c r="S41" s="12"/>
      <c r="T41" s="12"/>
      <c r="U41" s="12"/>
      <c r="W41" s="11">
        <v>38</v>
      </c>
      <c r="X41" s="12"/>
      <c r="Y41" s="12"/>
      <c r="Z41" s="12"/>
      <c r="AB41" s="11">
        <v>38</v>
      </c>
      <c r="AC41" s="12"/>
      <c r="AD41" s="12"/>
      <c r="AE41" s="12"/>
      <c r="AG41" s="11">
        <v>38</v>
      </c>
      <c r="AH41" s="12"/>
      <c r="AI41" s="12"/>
      <c r="AJ41" s="12"/>
      <c r="AL41" s="11">
        <v>38</v>
      </c>
      <c r="AM41" s="12"/>
      <c r="AN41" s="12"/>
      <c r="AO41" s="12"/>
      <c r="AQ41" s="11">
        <v>38</v>
      </c>
      <c r="AR41" s="14"/>
      <c r="AS41" s="14"/>
      <c r="AT41" s="11">
        <v>38</v>
      </c>
      <c r="AU41" s="12"/>
      <c r="AW41" s="11">
        <v>38</v>
      </c>
      <c r="AX41" s="12"/>
      <c r="AY41" s="12"/>
      <c r="AZ41" s="12"/>
      <c r="BA41" s="12"/>
      <c r="BB41" s="12"/>
      <c r="BC41" s="12"/>
      <c r="BD41" s="12"/>
      <c r="BE41" s="12"/>
      <c r="BF41" s="24"/>
      <c r="BG41" s="29"/>
      <c r="BH41" s="12"/>
      <c r="BI41" s="12"/>
      <c r="BK41" s="11">
        <v>38</v>
      </c>
      <c r="BL41" s="12"/>
      <c r="BM41" s="12"/>
      <c r="BN41" s="12"/>
      <c r="BP41" s="11">
        <v>38</v>
      </c>
      <c r="BQ41" s="12"/>
      <c r="BR41" s="12"/>
      <c r="BS41" s="12"/>
      <c r="BU41" s="11">
        <v>38</v>
      </c>
      <c r="BV41" s="12"/>
      <c r="BW41" s="12"/>
      <c r="BX41" s="12"/>
    </row>
    <row r="42" spans="1:76">
      <c r="A42" s="20" t="s">
        <v>22</v>
      </c>
      <c r="B42" s="20">
        <v>7</v>
      </c>
      <c r="C42" s="5" t="s">
        <v>27</v>
      </c>
      <c r="D42" s="37">
        <f t="shared" si="5"/>
        <v>0</v>
      </c>
      <c r="E42" s="59">
        <f t="shared" si="4"/>
        <v>0</v>
      </c>
      <c r="F42" s="38">
        <f t="shared" si="4"/>
        <v>0</v>
      </c>
      <c r="H42" s="22">
        <v>200</v>
      </c>
      <c r="I42" s="96" t="e">
        <v>#REF!</v>
      </c>
      <c r="R42" s="11">
        <v>39</v>
      </c>
      <c r="S42" s="12"/>
      <c r="T42" s="12"/>
      <c r="U42" s="12"/>
      <c r="W42" s="11">
        <v>39</v>
      </c>
      <c r="X42" s="12"/>
      <c r="Y42" s="12"/>
      <c r="Z42" s="12"/>
      <c r="AB42" s="11">
        <v>39</v>
      </c>
      <c r="AC42" s="12"/>
      <c r="AD42" s="12"/>
      <c r="AE42" s="12"/>
      <c r="AG42" s="11">
        <v>39</v>
      </c>
      <c r="AH42" s="12"/>
      <c r="AI42" s="12"/>
      <c r="AJ42" s="12"/>
      <c r="AL42" s="11">
        <v>39</v>
      </c>
      <c r="AM42" s="12"/>
      <c r="AN42" s="12"/>
      <c r="AO42" s="12"/>
      <c r="AQ42" s="11">
        <v>39</v>
      </c>
      <c r="AR42" s="12"/>
      <c r="AS42" s="12"/>
      <c r="AT42" s="11">
        <v>39</v>
      </c>
      <c r="AU42" s="12"/>
      <c r="AW42" s="11">
        <v>39</v>
      </c>
      <c r="AX42" s="12"/>
      <c r="AY42" s="12"/>
      <c r="AZ42" s="12"/>
      <c r="BA42" s="12"/>
      <c r="BB42" s="12"/>
      <c r="BC42" s="12"/>
      <c r="BD42" s="12"/>
      <c r="BE42" s="12"/>
      <c r="BF42" s="24"/>
      <c r="BG42" s="29"/>
      <c r="BH42" s="12"/>
      <c r="BI42" s="12"/>
      <c r="BK42" s="11">
        <v>39</v>
      </c>
      <c r="BL42" s="12"/>
      <c r="BM42" s="12"/>
      <c r="BN42" s="12"/>
      <c r="BP42" s="11">
        <v>39</v>
      </c>
      <c r="BQ42" s="12"/>
      <c r="BR42" s="12"/>
      <c r="BS42" s="12"/>
      <c r="BU42" s="11">
        <v>39</v>
      </c>
      <c r="BV42" s="12"/>
      <c r="BW42" s="12"/>
      <c r="BX42" s="12"/>
    </row>
    <row r="43" spans="1:76">
      <c r="A43" s="20" t="s">
        <v>23</v>
      </c>
      <c r="B43" s="20">
        <v>8</v>
      </c>
      <c r="C43" s="5" t="s">
        <v>28</v>
      </c>
      <c r="D43" s="37">
        <f t="shared" si="5"/>
        <v>0</v>
      </c>
      <c r="E43" s="59">
        <f t="shared" si="4"/>
        <v>0</v>
      </c>
      <c r="F43" s="38">
        <f t="shared" si="4"/>
        <v>0</v>
      </c>
      <c r="R43" s="11">
        <v>40</v>
      </c>
      <c r="S43" s="12"/>
      <c r="T43" s="12"/>
      <c r="U43" s="12"/>
      <c r="W43" s="11">
        <v>40</v>
      </c>
      <c r="X43" s="12"/>
      <c r="Y43" s="12"/>
      <c r="Z43" s="12"/>
      <c r="AB43" s="11">
        <v>40</v>
      </c>
      <c r="AC43" s="12"/>
      <c r="AD43" s="12"/>
      <c r="AE43" s="12"/>
      <c r="AG43" s="11">
        <v>40</v>
      </c>
      <c r="AH43" s="12"/>
      <c r="AI43" s="12"/>
      <c r="AJ43" s="12"/>
      <c r="AL43" s="11">
        <v>40</v>
      </c>
      <c r="AM43" s="12"/>
      <c r="AN43" s="12"/>
      <c r="AO43" s="12"/>
      <c r="AQ43" s="11">
        <v>40</v>
      </c>
      <c r="AR43" s="14"/>
      <c r="AS43" s="14"/>
      <c r="AT43" s="11">
        <v>40</v>
      </c>
      <c r="AU43" s="12"/>
      <c r="AW43" s="11">
        <v>40</v>
      </c>
      <c r="AX43" s="12"/>
      <c r="AY43" s="12"/>
      <c r="AZ43" s="12"/>
      <c r="BA43" s="12"/>
      <c r="BB43" s="12"/>
      <c r="BC43" s="12"/>
      <c r="BD43" s="12"/>
      <c r="BE43" s="12"/>
      <c r="BF43" s="24"/>
      <c r="BG43" s="29"/>
      <c r="BH43" s="12"/>
      <c r="BI43" s="12"/>
      <c r="BK43" s="11">
        <v>40</v>
      </c>
      <c r="BL43" s="12"/>
      <c r="BM43" s="12"/>
      <c r="BN43" s="12"/>
      <c r="BP43" s="11">
        <v>40</v>
      </c>
      <c r="BQ43" s="12"/>
      <c r="BR43" s="12"/>
      <c r="BS43" s="12"/>
      <c r="BU43" s="11">
        <v>40</v>
      </c>
      <c r="BV43" s="12"/>
      <c r="BW43" s="12"/>
      <c r="BX43" s="12"/>
    </row>
    <row r="44" spans="1:76">
      <c r="A44" s="20" t="s">
        <v>24</v>
      </c>
      <c r="B44" s="20">
        <v>9</v>
      </c>
      <c r="C44" s="5" t="s">
        <v>16</v>
      </c>
      <c r="D44" s="37">
        <f t="shared" si="5"/>
        <v>0</v>
      </c>
      <c r="E44" s="59">
        <f t="shared" si="4"/>
        <v>0</v>
      </c>
      <c r="F44" s="38">
        <f t="shared" si="4"/>
        <v>0</v>
      </c>
      <c r="R44" s="11">
        <v>41</v>
      </c>
      <c r="S44" s="12"/>
      <c r="T44" s="12"/>
      <c r="U44" s="12"/>
      <c r="W44" s="11">
        <v>41</v>
      </c>
      <c r="X44" s="12"/>
      <c r="Y44" s="12"/>
      <c r="Z44" s="12"/>
      <c r="AB44" s="11">
        <v>41</v>
      </c>
      <c r="AC44" s="12"/>
      <c r="AD44" s="12"/>
      <c r="AE44" s="12"/>
      <c r="AG44" s="11">
        <v>41</v>
      </c>
      <c r="AH44" s="12"/>
      <c r="AI44" s="12"/>
      <c r="AJ44" s="12"/>
      <c r="AL44" s="11">
        <v>41</v>
      </c>
      <c r="AM44" s="12"/>
      <c r="AN44" s="12"/>
      <c r="AO44" s="12"/>
      <c r="AQ44" s="11">
        <v>41</v>
      </c>
      <c r="AR44" s="12"/>
      <c r="AS44" s="12"/>
      <c r="AT44" s="11">
        <v>41</v>
      </c>
      <c r="AU44" s="12"/>
      <c r="AW44" s="11">
        <v>41</v>
      </c>
      <c r="AX44" s="12"/>
      <c r="AY44" s="12"/>
      <c r="AZ44" s="12"/>
      <c r="BA44" s="12"/>
      <c r="BB44" s="12"/>
      <c r="BC44" s="12"/>
      <c r="BD44" s="12"/>
      <c r="BE44" s="12"/>
      <c r="BF44" s="24"/>
      <c r="BG44" s="29"/>
      <c r="BH44" s="12"/>
      <c r="BI44" s="12"/>
      <c r="BK44" s="11">
        <v>41</v>
      </c>
      <c r="BL44" s="12"/>
      <c r="BM44" s="12"/>
      <c r="BN44" s="12"/>
      <c r="BP44" s="11">
        <v>41</v>
      </c>
      <c r="BQ44" s="12"/>
      <c r="BR44" s="12"/>
      <c r="BS44" s="12"/>
      <c r="BU44" s="11">
        <v>41</v>
      </c>
      <c r="BV44" s="12"/>
      <c r="BW44" s="12"/>
      <c r="BX44" s="12"/>
    </row>
    <row r="45" spans="1:76">
      <c r="A45" s="21" t="s">
        <v>35</v>
      </c>
      <c r="B45" s="21">
        <v>10</v>
      </c>
      <c r="C45" s="5" t="s">
        <v>37</v>
      </c>
      <c r="D45" s="37">
        <f t="shared" si="5"/>
        <v>0</v>
      </c>
      <c r="E45" s="59">
        <f t="shared" si="4"/>
        <v>0</v>
      </c>
      <c r="F45" s="38">
        <f t="shared" si="4"/>
        <v>0</v>
      </c>
      <c r="R45" s="11">
        <v>42</v>
      </c>
      <c r="S45" s="12"/>
      <c r="T45" s="12"/>
      <c r="U45" s="12"/>
      <c r="W45" s="11">
        <v>42</v>
      </c>
      <c r="X45" s="12"/>
      <c r="Y45" s="12"/>
      <c r="Z45" s="12"/>
      <c r="AB45" s="11">
        <v>42</v>
      </c>
      <c r="AC45" s="12"/>
      <c r="AD45" s="12"/>
      <c r="AE45" s="12"/>
      <c r="AG45" s="11">
        <v>42</v>
      </c>
      <c r="AH45" s="12"/>
      <c r="AI45" s="12"/>
      <c r="AJ45" s="12"/>
      <c r="AL45" s="11">
        <v>42</v>
      </c>
      <c r="AM45" s="12"/>
      <c r="AN45" s="12"/>
      <c r="AO45" s="12"/>
      <c r="AQ45" s="11">
        <v>42</v>
      </c>
      <c r="AR45" s="14"/>
      <c r="AS45" s="14"/>
      <c r="AT45" s="11">
        <v>42</v>
      </c>
      <c r="AU45" s="12"/>
      <c r="AW45" s="11">
        <v>42</v>
      </c>
      <c r="AX45" s="12"/>
      <c r="AY45" s="12"/>
      <c r="AZ45" s="12"/>
      <c r="BA45" s="12"/>
      <c r="BB45" s="12"/>
      <c r="BC45" s="12"/>
      <c r="BD45" s="12"/>
      <c r="BE45" s="12"/>
      <c r="BF45" s="24"/>
      <c r="BG45" s="29"/>
      <c r="BH45" s="12"/>
      <c r="BI45" s="12"/>
      <c r="BK45" s="11">
        <v>42</v>
      </c>
      <c r="BL45" s="12"/>
      <c r="BM45" s="12"/>
      <c r="BN45" s="12"/>
      <c r="BP45" s="11">
        <v>42</v>
      </c>
      <c r="BQ45" s="12"/>
      <c r="BR45" s="12"/>
      <c r="BS45" s="12"/>
      <c r="BU45" s="11">
        <v>42</v>
      </c>
      <c r="BV45" s="12"/>
      <c r="BW45" s="12"/>
      <c r="BX45" s="12"/>
    </row>
    <row r="46" spans="1:76">
      <c r="A46" s="22" t="s">
        <v>39</v>
      </c>
      <c r="B46" s="22">
        <v>11</v>
      </c>
      <c r="C46" s="17" t="s">
        <v>38</v>
      </c>
      <c r="D46" s="60">
        <f t="shared" si="5"/>
        <v>0</v>
      </c>
      <c r="E46" s="39">
        <f t="shared" si="4"/>
        <v>0</v>
      </c>
      <c r="F46" s="40">
        <f t="shared" si="4"/>
        <v>0</v>
      </c>
      <c r="R46" s="11">
        <v>43</v>
      </c>
      <c r="S46" s="12"/>
      <c r="T46" s="12"/>
      <c r="U46" s="12"/>
      <c r="W46" s="11">
        <v>43</v>
      </c>
      <c r="X46" s="12"/>
      <c r="Y46" s="12"/>
      <c r="Z46" s="12"/>
      <c r="AB46" s="11">
        <v>43</v>
      </c>
      <c r="AC46" s="12"/>
      <c r="AD46" s="12"/>
      <c r="AE46" s="12"/>
      <c r="AG46" s="11">
        <v>43</v>
      </c>
      <c r="AH46" s="12"/>
      <c r="AI46" s="12"/>
      <c r="AJ46" s="12"/>
      <c r="AL46" s="11">
        <v>43</v>
      </c>
      <c r="AM46" s="12"/>
      <c r="AN46" s="12"/>
      <c r="AO46" s="12"/>
      <c r="AQ46" s="11">
        <v>43</v>
      </c>
      <c r="AR46" s="12"/>
      <c r="AS46" s="12"/>
      <c r="AT46" s="11">
        <v>43</v>
      </c>
      <c r="AU46" s="12"/>
      <c r="AW46" s="11">
        <v>43</v>
      </c>
      <c r="AX46" s="12"/>
      <c r="AY46" s="12"/>
      <c r="AZ46" s="12"/>
      <c r="BA46" s="12"/>
      <c r="BB46" s="12"/>
      <c r="BC46" s="12"/>
      <c r="BD46" s="12"/>
      <c r="BE46" s="12"/>
      <c r="BF46" s="24"/>
      <c r="BG46" s="29"/>
      <c r="BH46" s="12"/>
      <c r="BI46" s="12"/>
      <c r="BK46" s="11">
        <v>43</v>
      </c>
      <c r="BL46" s="12"/>
      <c r="BM46" s="12"/>
      <c r="BN46" s="12"/>
      <c r="BP46" s="11">
        <v>43</v>
      </c>
      <c r="BQ46" s="12"/>
      <c r="BR46" s="12"/>
      <c r="BS46" s="12"/>
      <c r="BU46" s="11">
        <v>43</v>
      </c>
      <c r="BV46" s="12"/>
      <c r="BW46" s="12"/>
      <c r="BX46" s="12"/>
    </row>
    <row r="47" spans="1:76">
      <c r="D47" s="115">
        <v>2400</v>
      </c>
      <c r="E47" s="115">
        <v>2700</v>
      </c>
      <c r="F47" s="115">
        <v>6</v>
      </c>
      <c r="R47" s="11">
        <v>44</v>
      </c>
      <c r="S47" s="12"/>
      <c r="T47" s="12"/>
      <c r="U47" s="12"/>
      <c r="W47" s="11">
        <v>44</v>
      </c>
      <c r="X47" s="12"/>
      <c r="Y47" s="12"/>
      <c r="Z47" s="12"/>
      <c r="AB47" s="11">
        <v>44</v>
      </c>
      <c r="AC47" s="12"/>
      <c r="AD47" s="12"/>
      <c r="AE47" s="12"/>
      <c r="AG47" s="11">
        <v>44</v>
      </c>
      <c r="AH47" s="12"/>
      <c r="AI47" s="12"/>
      <c r="AJ47" s="12"/>
      <c r="AL47" s="11">
        <v>44</v>
      </c>
      <c r="AM47" s="12"/>
      <c r="AN47" s="12"/>
      <c r="AO47" s="12"/>
      <c r="AQ47" s="11">
        <v>44</v>
      </c>
      <c r="AR47" s="14"/>
      <c r="AS47" s="14"/>
      <c r="AT47" s="11">
        <v>44</v>
      </c>
      <c r="AU47" s="12"/>
      <c r="AW47" s="11">
        <v>44</v>
      </c>
      <c r="AX47" s="12"/>
      <c r="AY47" s="12"/>
      <c r="AZ47" s="12"/>
      <c r="BA47" s="12"/>
      <c r="BB47" s="12"/>
      <c r="BC47" s="12"/>
      <c r="BD47" s="12"/>
      <c r="BE47" s="12"/>
      <c r="BF47" s="24"/>
      <c r="BG47" s="29"/>
      <c r="BH47" s="12"/>
      <c r="BI47" s="12"/>
      <c r="BK47" s="11">
        <v>44</v>
      </c>
      <c r="BL47" s="12"/>
      <c r="BM47" s="12"/>
      <c r="BN47" s="12"/>
      <c r="BP47" s="11">
        <v>44</v>
      </c>
      <c r="BQ47" s="12"/>
      <c r="BR47" s="12"/>
      <c r="BS47" s="12"/>
      <c r="BU47" s="11">
        <v>44</v>
      </c>
      <c r="BV47" s="12"/>
      <c r="BW47" s="12"/>
      <c r="BX47" s="12"/>
    </row>
    <row r="48" spans="1:76">
      <c r="R48" s="11">
        <v>45</v>
      </c>
      <c r="S48" s="12"/>
      <c r="T48" s="12"/>
      <c r="U48" s="12"/>
      <c r="W48" s="11">
        <v>45</v>
      </c>
      <c r="X48" s="12"/>
      <c r="Y48" s="12"/>
      <c r="Z48" s="12"/>
      <c r="AB48" s="11">
        <v>45</v>
      </c>
      <c r="AC48" s="12"/>
      <c r="AD48" s="12"/>
      <c r="AE48" s="12"/>
      <c r="AG48" s="11">
        <v>45</v>
      </c>
      <c r="AH48" s="12"/>
      <c r="AI48" s="12"/>
      <c r="AJ48" s="12"/>
      <c r="AL48" s="11">
        <v>45</v>
      </c>
      <c r="AM48" s="12"/>
      <c r="AN48" s="12"/>
      <c r="AO48" s="12"/>
      <c r="AQ48" s="11">
        <v>45</v>
      </c>
      <c r="AR48" s="12"/>
      <c r="AS48" s="12"/>
      <c r="AT48" s="11">
        <v>45</v>
      </c>
      <c r="AU48" s="12"/>
      <c r="AW48" s="11">
        <v>45</v>
      </c>
      <c r="AX48" s="12"/>
      <c r="AY48" s="12"/>
      <c r="AZ48" s="12"/>
      <c r="BA48" s="12"/>
      <c r="BB48" s="12"/>
      <c r="BC48" s="12"/>
      <c r="BD48" s="12"/>
      <c r="BE48" s="12"/>
      <c r="BF48" s="24"/>
      <c r="BG48" s="29"/>
      <c r="BH48" s="12"/>
      <c r="BI48" s="12"/>
      <c r="BK48" s="11">
        <v>45</v>
      </c>
      <c r="BL48" s="12"/>
      <c r="BM48" s="12"/>
      <c r="BN48" s="12"/>
      <c r="BP48" s="11">
        <v>45</v>
      </c>
      <c r="BQ48" s="12"/>
      <c r="BR48" s="12"/>
      <c r="BS48" s="12"/>
      <c r="BU48" s="11">
        <v>45</v>
      </c>
      <c r="BV48" s="12"/>
      <c r="BW48" s="12"/>
      <c r="BX48" s="12"/>
    </row>
    <row r="49" spans="1:76" ht="16.8" thickBot="1">
      <c r="A49" s="31" t="s">
        <v>47</v>
      </c>
      <c r="R49" s="11">
        <v>46</v>
      </c>
      <c r="S49" s="12"/>
      <c r="T49" s="12"/>
      <c r="U49" s="12"/>
      <c r="W49" s="11">
        <v>46</v>
      </c>
      <c r="X49" s="12"/>
      <c r="Y49" s="12"/>
      <c r="Z49" s="12"/>
      <c r="AB49" s="11">
        <v>46</v>
      </c>
      <c r="AC49" s="12"/>
      <c r="AD49" s="12"/>
      <c r="AE49" s="12"/>
      <c r="AG49" s="11">
        <v>46</v>
      </c>
      <c r="AH49" s="12"/>
      <c r="AI49" s="12"/>
      <c r="AJ49" s="12"/>
      <c r="AL49" s="11">
        <v>46</v>
      </c>
      <c r="AM49" s="12"/>
      <c r="AN49" s="12"/>
      <c r="AO49" s="12"/>
      <c r="AQ49" s="11">
        <v>46</v>
      </c>
      <c r="AR49" s="14"/>
      <c r="AS49" s="14"/>
      <c r="AT49" s="11">
        <v>46</v>
      </c>
      <c r="AU49" s="12"/>
      <c r="AW49" s="11">
        <v>46</v>
      </c>
      <c r="AX49" s="12"/>
      <c r="AY49" s="12"/>
      <c r="AZ49" s="12"/>
      <c r="BA49" s="12"/>
      <c r="BB49" s="12"/>
      <c r="BC49" s="12"/>
      <c r="BD49" s="12"/>
      <c r="BE49" s="12"/>
      <c r="BF49" s="24"/>
      <c r="BG49" s="29"/>
      <c r="BH49" s="12"/>
      <c r="BI49" s="12"/>
      <c r="BK49" s="11">
        <v>46</v>
      </c>
      <c r="BL49" s="12"/>
      <c r="BM49" s="12"/>
      <c r="BN49" s="12"/>
      <c r="BP49" s="11">
        <v>46</v>
      </c>
      <c r="BQ49" s="12"/>
      <c r="BR49" s="12"/>
      <c r="BS49" s="12"/>
      <c r="BU49" s="11">
        <v>46</v>
      </c>
      <c r="BV49" s="12"/>
      <c r="BW49" s="12"/>
      <c r="BX49" s="12"/>
    </row>
    <row r="50" spans="1:76">
      <c r="A50" s="30" t="s">
        <v>42</v>
      </c>
      <c r="B50" s="1" t="s">
        <v>10</v>
      </c>
      <c r="C50" s="42" t="s">
        <v>11</v>
      </c>
      <c r="D50" s="67" t="s">
        <v>56</v>
      </c>
      <c r="E50" s="52" t="s">
        <v>48</v>
      </c>
      <c r="F50" s="43" t="s">
        <v>49</v>
      </c>
      <c r="G50" s="44" t="s">
        <v>50</v>
      </c>
      <c r="H50" s="44" t="s">
        <v>51</v>
      </c>
      <c r="I50" s="44" t="s">
        <v>52</v>
      </c>
      <c r="J50" s="44" t="s">
        <v>53</v>
      </c>
      <c r="K50" s="44" t="s">
        <v>54</v>
      </c>
      <c r="L50" s="44" t="s">
        <v>55</v>
      </c>
      <c r="M50" s="45" t="s">
        <v>74</v>
      </c>
      <c r="N50" s="35" t="s">
        <v>75</v>
      </c>
      <c r="O50" s="36" t="s">
        <v>76</v>
      </c>
      <c r="R50" s="11">
        <v>47</v>
      </c>
      <c r="S50" s="12"/>
      <c r="T50" s="12"/>
      <c r="U50" s="12"/>
      <c r="W50" s="11">
        <v>47</v>
      </c>
      <c r="X50" s="12"/>
      <c r="Y50" s="12"/>
      <c r="Z50" s="12"/>
      <c r="AB50" s="11">
        <v>47</v>
      </c>
      <c r="AC50" s="12"/>
      <c r="AD50" s="12"/>
      <c r="AE50" s="12"/>
      <c r="AG50" s="11">
        <v>47</v>
      </c>
      <c r="AH50" s="12"/>
      <c r="AI50" s="12"/>
      <c r="AJ50" s="12"/>
      <c r="AL50" s="11">
        <v>47</v>
      </c>
      <c r="AM50" s="12"/>
      <c r="AN50" s="12"/>
      <c r="AO50" s="12"/>
      <c r="AQ50" s="11">
        <v>47</v>
      </c>
      <c r="AR50" s="12"/>
      <c r="AS50" s="12"/>
      <c r="AT50" s="11">
        <v>47</v>
      </c>
      <c r="AU50" s="12"/>
      <c r="AW50" s="11">
        <v>47</v>
      </c>
      <c r="AX50" s="12"/>
      <c r="AY50" s="12"/>
      <c r="AZ50" s="12"/>
      <c r="BA50" s="12"/>
      <c r="BB50" s="12"/>
      <c r="BC50" s="12"/>
      <c r="BD50" s="12"/>
      <c r="BE50" s="12"/>
      <c r="BF50" s="24"/>
      <c r="BG50" s="29"/>
      <c r="BH50" s="12"/>
      <c r="BI50" s="12"/>
      <c r="BK50" s="11">
        <v>47</v>
      </c>
      <c r="BL50" s="12"/>
      <c r="BM50" s="12"/>
      <c r="BN50" s="12"/>
      <c r="BP50" s="11">
        <v>47</v>
      </c>
      <c r="BQ50" s="12"/>
      <c r="BR50" s="12"/>
      <c r="BS50" s="12"/>
      <c r="BU50" s="11">
        <v>47</v>
      </c>
      <c r="BV50" s="12"/>
      <c r="BW50" s="12"/>
      <c r="BX50" s="12"/>
    </row>
    <row r="51" spans="1:76">
      <c r="A51" s="1" t="s">
        <v>19</v>
      </c>
      <c r="B51" s="1">
        <v>0</v>
      </c>
      <c r="C51" s="3" t="s">
        <v>25</v>
      </c>
      <c r="D51" s="53">
        <f>SUMIF($AR$3:$AR$42,$A51,AX$3:AX$42)</f>
        <v>8090</v>
      </c>
      <c r="E51" s="129">
        <f t="shared" ref="E51:O62" si="6">SUMIF($AR$3:$AR$42,$A51,AY$3:AY$42)</f>
        <v>6018</v>
      </c>
      <c r="F51" s="4">
        <f t="shared" si="6"/>
        <v>6669</v>
      </c>
      <c r="G51" s="3">
        <f t="shared" si="6"/>
        <v>365</v>
      </c>
      <c r="H51" s="129">
        <f t="shared" si="6"/>
        <v>1370</v>
      </c>
      <c r="I51" s="129">
        <f t="shared" si="6"/>
        <v>5606</v>
      </c>
      <c r="J51" s="129">
        <f t="shared" si="6"/>
        <v>8254</v>
      </c>
      <c r="K51" s="129">
        <f t="shared" si="6"/>
        <v>6218</v>
      </c>
      <c r="L51" s="129">
        <f t="shared" si="6"/>
        <v>5514</v>
      </c>
      <c r="M51" s="46">
        <f t="shared" si="6"/>
        <v>3276</v>
      </c>
      <c r="N51" s="129">
        <f t="shared" si="6"/>
        <v>5461</v>
      </c>
      <c r="O51" s="4">
        <f t="shared" si="6"/>
        <v>5461</v>
      </c>
      <c r="R51" s="11">
        <v>48</v>
      </c>
      <c r="S51" s="12"/>
      <c r="T51" s="12"/>
      <c r="U51" s="12"/>
      <c r="W51" s="11">
        <v>48</v>
      </c>
      <c r="X51" s="12"/>
      <c r="Y51" s="12"/>
      <c r="Z51" s="12"/>
      <c r="AB51" s="11">
        <v>48</v>
      </c>
      <c r="AC51" s="12"/>
      <c r="AD51" s="12"/>
      <c r="AE51" s="12"/>
      <c r="AG51" s="11">
        <v>48</v>
      </c>
      <c r="AH51" s="12"/>
      <c r="AI51" s="12"/>
      <c r="AJ51" s="12"/>
      <c r="AL51" s="11">
        <v>48</v>
      </c>
      <c r="AM51" s="12"/>
      <c r="AN51" s="12"/>
      <c r="AO51" s="12"/>
      <c r="AQ51" s="11">
        <v>48</v>
      </c>
      <c r="AR51" s="12"/>
      <c r="AS51" s="12"/>
      <c r="AT51" s="11">
        <v>48</v>
      </c>
      <c r="AU51" s="12"/>
      <c r="AW51" s="11">
        <v>48</v>
      </c>
      <c r="AX51" s="12"/>
      <c r="AY51" s="12"/>
      <c r="AZ51" s="12"/>
      <c r="BA51" s="12"/>
      <c r="BB51" s="12"/>
      <c r="BC51" s="12"/>
      <c r="BD51" s="12"/>
      <c r="BE51" s="12"/>
      <c r="BF51" s="24"/>
      <c r="BG51" s="29"/>
      <c r="BH51" s="12"/>
      <c r="BI51" s="12"/>
      <c r="BK51" s="11">
        <v>48</v>
      </c>
      <c r="BL51" s="12"/>
      <c r="BM51" s="12"/>
      <c r="BN51" s="12"/>
      <c r="BP51" s="11">
        <v>48</v>
      </c>
      <c r="BQ51" s="12"/>
      <c r="BR51" s="12"/>
      <c r="BS51" s="12"/>
      <c r="BU51" s="11">
        <v>48</v>
      </c>
      <c r="BV51" s="12"/>
      <c r="BW51" s="12"/>
      <c r="BX51" s="12"/>
    </row>
    <row r="52" spans="1:76">
      <c r="A52" s="20">
        <v>0</v>
      </c>
      <c r="B52" s="20">
        <v>1</v>
      </c>
      <c r="C52" s="5">
        <v>0</v>
      </c>
      <c r="D52" s="54">
        <f t="shared" ref="D52:D62" si="7">SUMIF($AR$3:$AR$42,$A52,AX$3:AX$42)</f>
        <v>0</v>
      </c>
      <c r="E52" s="59">
        <f t="shared" si="6"/>
        <v>0</v>
      </c>
      <c r="F52" s="38">
        <f t="shared" si="6"/>
        <v>0</v>
      </c>
      <c r="G52" s="37">
        <f t="shared" si="6"/>
        <v>0</v>
      </c>
      <c r="H52" s="59">
        <f t="shared" si="6"/>
        <v>0</v>
      </c>
      <c r="I52" s="59">
        <f t="shared" si="6"/>
        <v>0</v>
      </c>
      <c r="J52" s="59">
        <f t="shared" si="6"/>
        <v>0</v>
      </c>
      <c r="K52" s="59">
        <f t="shared" si="6"/>
        <v>0</v>
      </c>
      <c r="L52" s="59">
        <f t="shared" si="6"/>
        <v>0</v>
      </c>
      <c r="M52" s="47">
        <f t="shared" si="6"/>
        <v>0</v>
      </c>
      <c r="N52" s="59">
        <f t="shared" si="6"/>
        <v>0</v>
      </c>
      <c r="O52" s="38">
        <f t="shared" si="6"/>
        <v>0</v>
      </c>
      <c r="R52" s="11">
        <v>49</v>
      </c>
      <c r="S52" s="12"/>
      <c r="T52" s="12"/>
      <c r="U52" s="12"/>
      <c r="W52" s="11">
        <v>49</v>
      </c>
      <c r="X52" s="12"/>
      <c r="Y52" s="12"/>
      <c r="Z52" s="12"/>
      <c r="AB52" s="11">
        <v>49</v>
      </c>
      <c r="AC52" s="12"/>
      <c r="AD52" s="12"/>
      <c r="AE52" s="12"/>
      <c r="AG52" s="11">
        <v>49</v>
      </c>
      <c r="AH52" s="12"/>
      <c r="AI52" s="12"/>
      <c r="AJ52" s="12"/>
      <c r="AL52" s="11">
        <v>49</v>
      </c>
      <c r="AM52" s="12"/>
      <c r="AN52" s="12"/>
      <c r="AO52" s="12"/>
      <c r="AQ52" s="11">
        <v>49</v>
      </c>
      <c r="AR52" s="12"/>
      <c r="AS52" s="12"/>
      <c r="AT52" s="11">
        <v>49</v>
      </c>
      <c r="AU52" s="12"/>
      <c r="AW52" s="11">
        <v>49</v>
      </c>
      <c r="AX52" s="12"/>
      <c r="AY52" s="12"/>
      <c r="AZ52" s="12"/>
      <c r="BA52" s="12"/>
      <c r="BB52" s="12"/>
      <c r="BC52" s="12"/>
      <c r="BD52" s="12"/>
      <c r="BE52" s="12"/>
      <c r="BF52" s="24"/>
      <c r="BG52" s="29"/>
      <c r="BH52" s="12"/>
      <c r="BI52" s="12"/>
      <c r="BK52" s="11">
        <v>49</v>
      </c>
      <c r="BL52" s="12"/>
      <c r="BM52" s="12"/>
      <c r="BN52" s="12"/>
      <c r="BP52" s="11">
        <v>49</v>
      </c>
      <c r="BQ52" s="12"/>
      <c r="BR52" s="12"/>
      <c r="BS52" s="12"/>
      <c r="BU52" s="11">
        <v>49</v>
      </c>
      <c r="BV52" s="12"/>
      <c r="BW52" s="12"/>
      <c r="BX52" s="12"/>
    </row>
    <row r="53" spans="1:76">
      <c r="A53" s="20">
        <v>1</v>
      </c>
      <c r="B53" s="20">
        <v>2</v>
      </c>
      <c r="C53" s="5">
        <v>1</v>
      </c>
      <c r="D53" s="54">
        <f t="shared" si="7"/>
        <v>0</v>
      </c>
      <c r="E53" s="59">
        <f t="shared" si="6"/>
        <v>0</v>
      </c>
      <c r="F53" s="38">
        <f t="shared" si="6"/>
        <v>0</v>
      </c>
      <c r="G53" s="37">
        <f t="shared" si="6"/>
        <v>0</v>
      </c>
      <c r="H53" s="59">
        <f t="shared" si="6"/>
        <v>0</v>
      </c>
      <c r="I53" s="59">
        <f t="shared" si="6"/>
        <v>0</v>
      </c>
      <c r="J53" s="59">
        <f t="shared" si="6"/>
        <v>0</v>
      </c>
      <c r="K53" s="59">
        <f t="shared" si="6"/>
        <v>0</v>
      </c>
      <c r="L53" s="59">
        <f t="shared" si="6"/>
        <v>0</v>
      </c>
      <c r="M53" s="47">
        <f t="shared" si="6"/>
        <v>0</v>
      </c>
      <c r="N53" s="59">
        <f t="shared" si="6"/>
        <v>0</v>
      </c>
      <c r="O53" s="38">
        <f t="shared" si="6"/>
        <v>0</v>
      </c>
      <c r="R53" s="11">
        <v>50</v>
      </c>
      <c r="S53" s="12"/>
      <c r="T53" s="12"/>
      <c r="U53" s="12"/>
      <c r="W53" s="11">
        <v>50</v>
      </c>
      <c r="X53" s="12"/>
      <c r="Y53" s="12"/>
      <c r="Z53" s="12"/>
      <c r="AB53" s="11">
        <v>50</v>
      </c>
      <c r="AC53" s="12"/>
      <c r="AD53" s="12"/>
      <c r="AE53" s="12"/>
      <c r="AG53" s="11">
        <v>50</v>
      </c>
      <c r="AH53" s="12"/>
      <c r="AI53" s="12"/>
      <c r="AJ53" s="12"/>
      <c r="AL53" s="11">
        <v>50</v>
      </c>
      <c r="AM53" s="12"/>
      <c r="AN53" s="12"/>
      <c r="AO53" s="12"/>
      <c r="AQ53" s="11">
        <v>50</v>
      </c>
      <c r="AR53" s="12"/>
      <c r="AS53" s="12"/>
      <c r="AT53" s="11">
        <v>50</v>
      </c>
      <c r="AU53" s="12"/>
      <c r="AW53" s="11">
        <v>50</v>
      </c>
      <c r="AX53" s="12"/>
      <c r="AY53" s="12"/>
      <c r="AZ53" s="12"/>
      <c r="BA53" s="12"/>
      <c r="BB53" s="12"/>
      <c r="BC53" s="12"/>
      <c r="BD53" s="12"/>
      <c r="BE53" s="12"/>
      <c r="BF53" s="24"/>
      <c r="BG53" s="29"/>
      <c r="BH53" s="12"/>
      <c r="BI53" s="12"/>
      <c r="BK53" s="11">
        <v>50</v>
      </c>
      <c r="BL53" s="12"/>
      <c r="BM53" s="12"/>
      <c r="BN53" s="12"/>
      <c r="BP53" s="11">
        <v>50</v>
      </c>
      <c r="BQ53" s="12"/>
      <c r="BR53" s="12"/>
      <c r="BS53" s="12"/>
      <c r="BU53" s="11">
        <v>50</v>
      </c>
      <c r="BV53" s="12"/>
      <c r="BW53" s="12"/>
      <c r="BX53" s="12"/>
    </row>
    <row r="54" spans="1:76">
      <c r="A54" s="21">
        <v>5</v>
      </c>
      <c r="B54" s="21">
        <v>3</v>
      </c>
      <c r="C54" s="23">
        <v>5</v>
      </c>
      <c r="D54" s="54">
        <f t="shared" si="7"/>
        <v>0</v>
      </c>
      <c r="E54" s="59">
        <f t="shared" si="6"/>
        <v>0</v>
      </c>
      <c r="F54" s="38">
        <f t="shared" si="6"/>
        <v>0</v>
      </c>
      <c r="G54" s="37">
        <f t="shared" si="6"/>
        <v>0</v>
      </c>
      <c r="H54" s="59">
        <f t="shared" si="6"/>
        <v>0</v>
      </c>
      <c r="I54" s="59">
        <f t="shared" si="6"/>
        <v>0</v>
      </c>
      <c r="J54" s="59">
        <f t="shared" si="6"/>
        <v>0</v>
      </c>
      <c r="K54" s="59">
        <f t="shared" si="6"/>
        <v>0</v>
      </c>
      <c r="L54" s="59">
        <f t="shared" si="6"/>
        <v>0</v>
      </c>
      <c r="M54" s="47">
        <f t="shared" si="6"/>
        <v>0</v>
      </c>
      <c r="N54" s="59">
        <f t="shared" si="6"/>
        <v>0</v>
      </c>
      <c r="O54" s="38">
        <f t="shared" si="6"/>
        <v>0</v>
      </c>
      <c r="R54" s="11">
        <v>51</v>
      </c>
      <c r="S54" s="12"/>
      <c r="T54" s="12"/>
      <c r="U54" s="12"/>
      <c r="W54" s="11">
        <v>51</v>
      </c>
      <c r="X54" s="12"/>
      <c r="Y54" s="12"/>
      <c r="Z54" s="12"/>
      <c r="AB54" s="11">
        <v>51</v>
      </c>
      <c r="AC54" s="12"/>
      <c r="AD54" s="12"/>
      <c r="AE54" s="12"/>
      <c r="AG54" s="11">
        <v>51</v>
      </c>
      <c r="AH54" s="12"/>
      <c r="AI54" s="12"/>
      <c r="AJ54" s="12"/>
      <c r="AL54" s="11">
        <v>51</v>
      </c>
      <c r="AM54" s="12"/>
      <c r="AN54" s="12"/>
      <c r="AO54" s="12"/>
      <c r="AQ54" s="11">
        <v>51</v>
      </c>
      <c r="AR54" s="12"/>
      <c r="AS54" s="12"/>
      <c r="AT54" s="11">
        <v>51</v>
      </c>
      <c r="AU54" s="12"/>
      <c r="AW54" s="11">
        <v>51</v>
      </c>
      <c r="AX54" s="12"/>
      <c r="AY54" s="12"/>
      <c r="AZ54" s="12"/>
      <c r="BA54" s="12"/>
      <c r="BB54" s="12"/>
      <c r="BC54" s="12"/>
      <c r="BD54" s="12"/>
      <c r="BE54" s="12"/>
      <c r="BF54" s="24"/>
      <c r="BG54" s="29"/>
      <c r="BH54" s="12"/>
      <c r="BI54" s="12"/>
      <c r="BK54" s="11">
        <v>51</v>
      </c>
      <c r="BL54" s="12"/>
      <c r="BM54" s="12"/>
      <c r="BN54" s="12"/>
      <c r="BP54" s="11">
        <v>51</v>
      </c>
      <c r="BQ54" s="12"/>
      <c r="BR54" s="12"/>
      <c r="BS54" s="12"/>
      <c r="BU54" s="11">
        <v>51</v>
      </c>
      <c r="BV54" s="12"/>
      <c r="BW54" s="12"/>
      <c r="BX54" s="12"/>
    </row>
    <row r="55" spans="1:76">
      <c r="A55" s="21">
        <v>10</v>
      </c>
      <c r="B55" s="21">
        <v>4</v>
      </c>
      <c r="C55" s="23">
        <v>10</v>
      </c>
      <c r="D55" s="54">
        <f t="shared" si="7"/>
        <v>0</v>
      </c>
      <c r="E55" s="59">
        <f t="shared" si="6"/>
        <v>0</v>
      </c>
      <c r="F55" s="38">
        <f t="shared" si="6"/>
        <v>0</v>
      </c>
      <c r="G55" s="37">
        <f t="shared" si="6"/>
        <v>0</v>
      </c>
      <c r="H55" s="59">
        <f t="shared" si="6"/>
        <v>0</v>
      </c>
      <c r="I55" s="59">
        <f t="shared" si="6"/>
        <v>0</v>
      </c>
      <c r="J55" s="59">
        <f t="shared" si="6"/>
        <v>0</v>
      </c>
      <c r="K55" s="59">
        <f t="shared" si="6"/>
        <v>0</v>
      </c>
      <c r="L55" s="59">
        <f t="shared" si="6"/>
        <v>0</v>
      </c>
      <c r="M55" s="47">
        <f t="shared" si="6"/>
        <v>0</v>
      </c>
      <c r="N55" s="59">
        <f t="shared" si="6"/>
        <v>0</v>
      </c>
      <c r="O55" s="38">
        <f t="shared" si="6"/>
        <v>0</v>
      </c>
      <c r="R55" s="11">
        <v>52</v>
      </c>
      <c r="S55" s="12"/>
      <c r="T55" s="12"/>
      <c r="U55" s="12"/>
      <c r="W55" s="11">
        <v>52</v>
      </c>
      <c r="X55" s="12"/>
      <c r="Y55" s="12"/>
      <c r="Z55" s="12"/>
      <c r="AB55" s="11">
        <v>52</v>
      </c>
      <c r="AC55" s="12"/>
      <c r="AD55" s="12"/>
      <c r="AE55" s="12"/>
      <c r="AG55" s="11">
        <v>52</v>
      </c>
      <c r="AH55" s="12"/>
      <c r="AI55" s="12"/>
      <c r="AJ55" s="12"/>
      <c r="AL55" s="11">
        <v>52</v>
      </c>
      <c r="AM55" s="12"/>
      <c r="AN55" s="12"/>
      <c r="AO55" s="12"/>
      <c r="AQ55" s="11">
        <v>52</v>
      </c>
      <c r="AR55" s="12"/>
      <c r="AS55" s="12"/>
      <c r="AT55" s="11">
        <v>52</v>
      </c>
      <c r="AU55" s="12"/>
      <c r="AW55" s="11">
        <v>52</v>
      </c>
      <c r="AX55" s="12"/>
      <c r="AY55" s="12"/>
      <c r="AZ55" s="12"/>
      <c r="BA55" s="12"/>
      <c r="BB55" s="12"/>
      <c r="BC55" s="12"/>
      <c r="BD55" s="12"/>
      <c r="BE55" s="12"/>
      <c r="BF55" s="24"/>
      <c r="BG55" s="29"/>
      <c r="BH55" s="12"/>
      <c r="BI55" s="12"/>
      <c r="BK55" s="11">
        <v>52</v>
      </c>
      <c r="BL55" s="12"/>
      <c r="BM55" s="12"/>
      <c r="BN55" s="12"/>
      <c r="BP55" s="11">
        <v>52</v>
      </c>
      <c r="BQ55" s="12"/>
      <c r="BR55" s="12"/>
      <c r="BS55" s="12"/>
      <c r="BU55" s="11">
        <v>52</v>
      </c>
      <c r="BV55" s="12"/>
      <c r="BW55" s="12"/>
      <c r="BX55" s="12"/>
    </row>
    <row r="56" spans="1:76">
      <c r="A56" s="20" t="s">
        <v>20</v>
      </c>
      <c r="B56" s="20">
        <v>5</v>
      </c>
      <c r="C56" s="23" t="s">
        <v>29</v>
      </c>
      <c r="D56" s="54">
        <f t="shared" si="7"/>
        <v>0</v>
      </c>
      <c r="E56" s="59">
        <f t="shared" si="6"/>
        <v>0</v>
      </c>
      <c r="F56" s="38">
        <f t="shared" si="6"/>
        <v>0</v>
      </c>
      <c r="G56" s="37">
        <f t="shared" si="6"/>
        <v>0</v>
      </c>
      <c r="H56" s="59">
        <f t="shared" si="6"/>
        <v>0</v>
      </c>
      <c r="I56" s="59">
        <f t="shared" si="6"/>
        <v>0</v>
      </c>
      <c r="J56" s="59">
        <f t="shared" si="6"/>
        <v>0</v>
      </c>
      <c r="K56" s="59">
        <f t="shared" si="6"/>
        <v>0</v>
      </c>
      <c r="L56" s="59">
        <f t="shared" si="6"/>
        <v>0</v>
      </c>
      <c r="M56" s="47">
        <f t="shared" si="6"/>
        <v>0</v>
      </c>
      <c r="N56" s="59">
        <f t="shared" si="6"/>
        <v>0</v>
      </c>
      <c r="O56" s="38">
        <f t="shared" si="6"/>
        <v>0</v>
      </c>
      <c r="R56" s="11">
        <v>53</v>
      </c>
      <c r="S56" s="12"/>
      <c r="T56" s="12"/>
      <c r="U56" s="12"/>
      <c r="W56" s="11">
        <v>53</v>
      </c>
      <c r="X56" s="12"/>
      <c r="Y56" s="12"/>
      <c r="Z56" s="12"/>
      <c r="AB56" s="11">
        <v>53</v>
      </c>
      <c r="AC56" s="12"/>
      <c r="AD56" s="12"/>
      <c r="AE56" s="12"/>
      <c r="AG56" s="11">
        <v>53</v>
      </c>
      <c r="AH56" s="12"/>
      <c r="AI56" s="12"/>
      <c r="AJ56" s="12"/>
      <c r="AL56" s="11">
        <v>53</v>
      </c>
      <c r="AM56" s="12"/>
      <c r="AN56" s="12"/>
      <c r="AO56" s="12"/>
      <c r="AQ56" s="11">
        <v>53</v>
      </c>
      <c r="AR56" s="12"/>
      <c r="AS56" s="12"/>
      <c r="AT56" s="11">
        <v>53</v>
      </c>
      <c r="AU56" s="12"/>
      <c r="AW56" s="11">
        <v>53</v>
      </c>
      <c r="AX56" s="12"/>
      <c r="AY56" s="12"/>
      <c r="AZ56" s="12"/>
      <c r="BA56" s="12"/>
      <c r="BB56" s="12"/>
      <c r="BC56" s="12"/>
      <c r="BD56" s="12"/>
      <c r="BE56" s="12"/>
      <c r="BF56" s="24"/>
      <c r="BG56" s="29"/>
      <c r="BH56" s="12"/>
      <c r="BI56" s="12"/>
      <c r="BK56" s="11">
        <v>53</v>
      </c>
      <c r="BL56" s="12"/>
      <c r="BM56" s="12"/>
      <c r="BN56" s="12"/>
      <c r="BP56" s="11">
        <v>53</v>
      </c>
      <c r="BQ56" s="12"/>
      <c r="BR56" s="12"/>
      <c r="BS56" s="12"/>
      <c r="BU56" s="11">
        <v>53</v>
      </c>
      <c r="BV56" s="12"/>
      <c r="BW56" s="12"/>
      <c r="BX56" s="12"/>
    </row>
    <row r="57" spans="1:76">
      <c r="A57" s="21" t="s">
        <v>21</v>
      </c>
      <c r="B57" s="21">
        <v>6</v>
      </c>
      <c r="C57" s="23" t="s">
        <v>26</v>
      </c>
      <c r="D57" s="55">
        <f t="shared" si="7"/>
        <v>671</v>
      </c>
      <c r="E57" s="128">
        <f t="shared" si="6"/>
        <v>242</v>
      </c>
      <c r="F57" s="7">
        <f t="shared" si="6"/>
        <v>2406</v>
      </c>
      <c r="G57" s="6">
        <f t="shared" si="6"/>
        <v>4520</v>
      </c>
      <c r="H57" s="128">
        <f t="shared" si="6"/>
        <v>3521</v>
      </c>
      <c r="I57" s="128">
        <f t="shared" si="6"/>
        <v>177</v>
      </c>
      <c r="J57" s="128">
        <f t="shared" si="6"/>
        <v>508</v>
      </c>
      <c r="K57" s="128">
        <f t="shared" si="6"/>
        <v>1101</v>
      </c>
      <c r="L57" s="128">
        <f t="shared" si="6"/>
        <v>2697</v>
      </c>
      <c r="M57" s="48">
        <f t="shared" si="6"/>
        <v>1101</v>
      </c>
      <c r="N57" s="128">
        <f t="shared" si="6"/>
        <v>1321</v>
      </c>
      <c r="O57" s="7">
        <f t="shared" si="6"/>
        <v>1321</v>
      </c>
      <c r="R57" s="11">
        <v>54</v>
      </c>
      <c r="S57" s="12"/>
      <c r="T57" s="12"/>
      <c r="U57" s="12"/>
      <c r="W57" s="11">
        <v>54</v>
      </c>
      <c r="X57" s="12"/>
      <c r="Y57" s="12"/>
      <c r="Z57" s="12"/>
      <c r="AB57" s="11">
        <v>54</v>
      </c>
      <c r="AC57" s="12"/>
      <c r="AD57" s="12"/>
      <c r="AE57" s="12"/>
      <c r="AG57" s="11">
        <v>54</v>
      </c>
      <c r="AH57" s="12"/>
      <c r="AI57" s="12"/>
      <c r="AJ57" s="12"/>
      <c r="AL57" s="11">
        <v>54</v>
      </c>
      <c r="AM57" s="12"/>
      <c r="AN57" s="12"/>
      <c r="AO57" s="12"/>
      <c r="AQ57" s="11">
        <v>54</v>
      </c>
      <c r="AR57" s="12"/>
      <c r="AS57" s="12"/>
      <c r="AT57" s="11">
        <v>54</v>
      </c>
      <c r="AU57" s="12"/>
      <c r="AW57" s="11">
        <v>54</v>
      </c>
      <c r="AX57" s="12"/>
      <c r="AY57" s="12"/>
      <c r="AZ57" s="12"/>
      <c r="BA57" s="12"/>
      <c r="BB57" s="12"/>
      <c r="BC57" s="12"/>
      <c r="BD57" s="12"/>
      <c r="BE57" s="12"/>
      <c r="BF57" s="24"/>
      <c r="BG57" s="29"/>
      <c r="BH57" s="12"/>
      <c r="BI57" s="12"/>
      <c r="BK57" s="11">
        <v>54</v>
      </c>
      <c r="BL57" s="12"/>
      <c r="BM57" s="12"/>
      <c r="BN57" s="12"/>
      <c r="BP57" s="11">
        <v>54</v>
      </c>
      <c r="BQ57" s="12"/>
      <c r="BR57" s="12"/>
      <c r="BS57" s="12"/>
      <c r="BU57" s="11">
        <v>54</v>
      </c>
      <c r="BV57" s="12"/>
      <c r="BW57" s="12"/>
      <c r="BX57" s="12"/>
    </row>
    <row r="58" spans="1:76">
      <c r="A58" s="20" t="s">
        <v>22</v>
      </c>
      <c r="B58" s="20">
        <v>7</v>
      </c>
      <c r="C58" s="5" t="s">
        <v>27</v>
      </c>
      <c r="D58" s="55">
        <f t="shared" si="7"/>
        <v>1193</v>
      </c>
      <c r="E58" s="128">
        <f t="shared" si="6"/>
        <v>3527</v>
      </c>
      <c r="F58" s="7">
        <f t="shared" si="6"/>
        <v>173</v>
      </c>
      <c r="G58" s="6">
        <f t="shared" si="6"/>
        <v>2427</v>
      </c>
      <c r="H58" s="128">
        <f t="shared" si="6"/>
        <v>1765</v>
      </c>
      <c r="I58" s="128">
        <f t="shared" si="6"/>
        <v>333</v>
      </c>
      <c r="J58" s="128">
        <f t="shared" si="6"/>
        <v>953</v>
      </c>
      <c r="K58" s="128">
        <f t="shared" si="6"/>
        <v>2063</v>
      </c>
      <c r="L58" s="128">
        <f t="shared" si="6"/>
        <v>1378</v>
      </c>
      <c r="M58" s="48">
        <f t="shared" si="6"/>
        <v>5005</v>
      </c>
      <c r="N58" s="128">
        <f t="shared" si="6"/>
        <v>2477</v>
      </c>
      <c r="O58" s="7">
        <f t="shared" si="6"/>
        <v>2477</v>
      </c>
      <c r="R58" s="11">
        <v>55</v>
      </c>
      <c r="S58" s="12"/>
      <c r="T58" s="12"/>
      <c r="U58" s="12"/>
      <c r="W58" s="11">
        <v>55</v>
      </c>
      <c r="X58" s="12"/>
      <c r="Y58" s="12"/>
      <c r="Z58" s="12"/>
      <c r="AB58" s="11">
        <v>55</v>
      </c>
      <c r="AC58" s="12"/>
      <c r="AD58" s="12"/>
      <c r="AE58" s="12"/>
      <c r="AG58" s="11">
        <v>55</v>
      </c>
      <c r="AH58" s="12"/>
      <c r="AI58" s="12"/>
      <c r="AJ58" s="12"/>
      <c r="AL58" s="11">
        <v>55</v>
      </c>
      <c r="AM58" s="12"/>
      <c r="AN58" s="12"/>
      <c r="AO58" s="12"/>
      <c r="AQ58" s="11">
        <v>55</v>
      </c>
      <c r="AR58" s="12"/>
      <c r="AS58" s="12"/>
      <c r="AT58" s="11">
        <v>55</v>
      </c>
      <c r="AU58" s="12"/>
      <c r="AW58" s="11">
        <v>55</v>
      </c>
      <c r="AX58" s="12"/>
      <c r="AY58" s="12"/>
      <c r="AZ58" s="12"/>
      <c r="BA58" s="12"/>
      <c r="BB58" s="12"/>
      <c r="BC58" s="12"/>
      <c r="BD58" s="12"/>
      <c r="BE58" s="12"/>
      <c r="BF58" s="24"/>
      <c r="BG58" s="29"/>
      <c r="BH58" s="12"/>
      <c r="BI58" s="12"/>
      <c r="BK58" s="11">
        <v>55</v>
      </c>
      <c r="BL58" s="12"/>
      <c r="BM58" s="12"/>
      <c r="BN58" s="12"/>
      <c r="BP58" s="11">
        <v>55</v>
      </c>
      <c r="BQ58" s="12"/>
      <c r="BR58" s="12"/>
      <c r="BS58" s="12"/>
      <c r="BU58" s="11">
        <v>55</v>
      </c>
      <c r="BV58" s="12"/>
      <c r="BW58" s="12"/>
      <c r="BX58" s="12"/>
    </row>
    <row r="59" spans="1:76">
      <c r="A59" s="20" t="s">
        <v>23</v>
      </c>
      <c r="B59" s="20">
        <v>8</v>
      </c>
      <c r="C59" s="5" t="s">
        <v>28</v>
      </c>
      <c r="D59" s="55">
        <f t="shared" si="7"/>
        <v>0</v>
      </c>
      <c r="E59" s="128">
        <f t="shared" si="6"/>
        <v>0</v>
      </c>
      <c r="F59" s="7">
        <f t="shared" si="6"/>
        <v>0</v>
      </c>
      <c r="G59" s="6">
        <f t="shared" si="6"/>
        <v>0</v>
      </c>
      <c r="H59" s="128">
        <f t="shared" si="6"/>
        <v>0</v>
      </c>
      <c r="I59" s="128">
        <f t="shared" si="6"/>
        <v>0</v>
      </c>
      <c r="J59" s="128">
        <f t="shared" si="6"/>
        <v>0</v>
      </c>
      <c r="K59" s="128">
        <f t="shared" si="6"/>
        <v>0</v>
      </c>
      <c r="L59" s="128">
        <f t="shared" si="6"/>
        <v>0</v>
      </c>
      <c r="M59" s="48">
        <f t="shared" si="6"/>
        <v>0</v>
      </c>
      <c r="N59" s="128">
        <f t="shared" si="6"/>
        <v>0</v>
      </c>
      <c r="O59" s="7">
        <f t="shared" si="6"/>
        <v>0</v>
      </c>
      <c r="R59" s="11">
        <v>56</v>
      </c>
      <c r="S59" s="12"/>
      <c r="T59" s="12"/>
      <c r="U59" s="12"/>
      <c r="W59" s="11">
        <v>56</v>
      </c>
      <c r="X59" s="12"/>
      <c r="Y59" s="12"/>
      <c r="Z59" s="12"/>
      <c r="AB59" s="11">
        <v>56</v>
      </c>
      <c r="AC59" s="12"/>
      <c r="AD59" s="12"/>
      <c r="AE59" s="12"/>
      <c r="AG59" s="11">
        <v>56</v>
      </c>
      <c r="AH59" s="12"/>
      <c r="AI59" s="12"/>
      <c r="AJ59" s="12"/>
      <c r="AL59" s="11">
        <v>56</v>
      </c>
      <c r="AM59" s="12"/>
      <c r="AN59" s="12"/>
      <c r="AO59" s="12"/>
      <c r="AQ59" s="11">
        <v>56</v>
      </c>
      <c r="AR59" s="12"/>
      <c r="AS59" s="12"/>
      <c r="AT59" s="11">
        <v>56</v>
      </c>
      <c r="AU59" s="12"/>
      <c r="AW59" s="11">
        <v>56</v>
      </c>
      <c r="AX59" s="12"/>
      <c r="AY59" s="12"/>
      <c r="AZ59" s="12"/>
      <c r="BA59" s="12"/>
      <c r="BB59" s="12"/>
      <c r="BC59" s="12"/>
      <c r="BD59" s="12"/>
      <c r="BE59" s="12"/>
      <c r="BF59" s="24"/>
      <c r="BG59" s="29"/>
      <c r="BH59" s="12"/>
      <c r="BI59" s="12"/>
      <c r="BK59" s="11">
        <v>56</v>
      </c>
      <c r="BL59" s="12"/>
      <c r="BM59" s="12"/>
      <c r="BN59" s="12"/>
      <c r="BP59" s="11">
        <v>56</v>
      </c>
      <c r="BQ59" s="12"/>
      <c r="BR59" s="12"/>
      <c r="BS59" s="12"/>
      <c r="BU59" s="11">
        <v>56</v>
      </c>
      <c r="BV59" s="12"/>
      <c r="BW59" s="12"/>
      <c r="BX59" s="12"/>
    </row>
    <row r="60" spans="1:76">
      <c r="A60" s="20" t="s">
        <v>24</v>
      </c>
      <c r="B60" s="20">
        <v>9</v>
      </c>
      <c r="C60" s="5" t="s">
        <v>16</v>
      </c>
      <c r="D60" s="55">
        <f t="shared" si="7"/>
        <v>46</v>
      </c>
      <c r="E60" s="128">
        <f t="shared" si="6"/>
        <v>214</v>
      </c>
      <c r="F60" s="7">
        <f t="shared" si="6"/>
        <v>753</v>
      </c>
      <c r="G60" s="6">
        <f t="shared" si="6"/>
        <v>2689</v>
      </c>
      <c r="H60" s="128">
        <f t="shared" si="6"/>
        <v>3343</v>
      </c>
      <c r="I60" s="128">
        <f t="shared" si="6"/>
        <v>3884</v>
      </c>
      <c r="J60" s="128">
        <f t="shared" si="6"/>
        <v>285</v>
      </c>
      <c r="K60" s="128">
        <f t="shared" si="6"/>
        <v>618</v>
      </c>
      <c r="L60" s="128">
        <f t="shared" si="6"/>
        <v>412</v>
      </c>
      <c r="M60" s="48">
        <f t="shared" si="6"/>
        <v>618</v>
      </c>
      <c r="N60" s="128">
        <f t="shared" si="6"/>
        <v>741</v>
      </c>
      <c r="O60" s="7">
        <f t="shared" si="6"/>
        <v>741</v>
      </c>
      <c r="R60" s="11">
        <v>57</v>
      </c>
      <c r="S60" s="12"/>
      <c r="T60" s="12"/>
      <c r="U60" s="12"/>
      <c r="W60" s="11">
        <v>57</v>
      </c>
      <c r="X60" s="12"/>
      <c r="Y60" s="12"/>
      <c r="Z60" s="12"/>
      <c r="AB60" s="11">
        <v>57</v>
      </c>
      <c r="AC60" s="12"/>
      <c r="AD60" s="12"/>
      <c r="AE60" s="12"/>
      <c r="AG60" s="11">
        <v>57</v>
      </c>
      <c r="AH60" s="12"/>
      <c r="AI60" s="12"/>
      <c r="AJ60" s="12"/>
      <c r="AL60" s="11">
        <v>57</v>
      </c>
      <c r="AM60" s="12"/>
      <c r="AN60" s="12"/>
      <c r="AO60" s="12"/>
      <c r="AQ60" s="11">
        <v>57</v>
      </c>
      <c r="AR60" s="12"/>
      <c r="AS60" s="12"/>
      <c r="AT60" s="11">
        <v>57</v>
      </c>
      <c r="AU60" s="12"/>
      <c r="AW60" s="11">
        <v>57</v>
      </c>
      <c r="AX60" s="12"/>
      <c r="AY60" s="12"/>
      <c r="AZ60" s="12"/>
      <c r="BA60" s="12"/>
      <c r="BB60" s="12"/>
      <c r="BC60" s="12"/>
      <c r="BD60" s="12"/>
      <c r="BE60" s="12"/>
      <c r="BF60" s="24"/>
      <c r="BG60" s="29"/>
      <c r="BH60" s="12"/>
      <c r="BI60" s="12"/>
      <c r="BK60" s="11">
        <v>57</v>
      </c>
      <c r="BL60" s="12"/>
      <c r="BM60" s="12"/>
      <c r="BN60" s="12"/>
      <c r="BP60" s="11">
        <v>57</v>
      </c>
      <c r="BQ60" s="12"/>
      <c r="BR60" s="12"/>
      <c r="BS60" s="12"/>
      <c r="BU60" s="11">
        <v>57</v>
      </c>
      <c r="BV60" s="12"/>
      <c r="BW60" s="12"/>
      <c r="BX60" s="12"/>
    </row>
    <row r="61" spans="1:76">
      <c r="A61" s="21" t="s">
        <v>35</v>
      </c>
      <c r="B61" s="21">
        <v>10</v>
      </c>
      <c r="C61" s="5" t="s">
        <v>37</v>
      </c>
      <c r="D61" s="55">
        <f t="shared" si="7"/>
        <v>0</v>
      </c>
      <c r="E61" s="128">
        <f t="shared" si="6"/>
        <v>0</v>
      </c>
      <c r="F61" s="7">
        <f t="shared" si="6"/>
        <v>0</v>
      </c>
      <c r="G61" s="6">
        <f t="shared" si="6"/>
        <v>0</v>
      </c>
      <c r="H61" s="128">
        <f t="shared" si="6"/>
        <v>0</v>
      </c>
      <c r="I61" s="128">
        <f t="shared" si="6"/>
        <v>0</v>
      </c>
      <c r="J61" s="128">
        <f t="shared" si="6"/>
        <v>0</v>
      </c>
      <c r="K61" s="128">
        <f t="shared" si="6"/>
        <v>0</v>
      </c>
      <c r="L61" s="128">
        <f t="shared" si="6"/>
        <v>0</v>
      </c>
      <c r="M61" s="48">
        <f t="shared" si="6"/>
        <v>0</v>
      </c>
      <c r="N61" s="128">
        <f t="shared" si="6"/>
        <v>0</v>
      </c>
      <c r="O61" s="7">
        <f t="shared" si="6"/>
        <v>0</v>
      </c>
      <c r="R61" s="11">
        <v>58</v>
      </c>
      <c r="S61" s="12"/>
      <c r="T61" s="12"/>
      <c r="U61" s="12"/>
      <c r="W61" s="11">
        <v>58</v>
      </c>
      <c r="X61" s="12"/>
      <c r="Y61" s="12"/>
      <c r="Z61" s="12"/>
      <c r="AB61" s="11">
        <v>58</v>
      </c>
      <c r="AC61" s="12"/>
      <c r="AD61" s="12"/>
      <c r="AE61" s="12"/>
      <c r="AG61" s="11">
        <v>58</v>
      </c>
      <c r="AH61" s="12"/>
      <c r="AI61" s="12"/>
      <c r="AJ61" s="12"/>
      <c r="AL61" s="11">
        <v>58</v>
      </c>
      <c r="AM61" s="12"/>
      <c r="AN61" s="12"/>
      <c r="AO61" s="12"/>
      <c r="AQ61" s="11">
        <v>58</v>
      </c>
      <c r="AR61" s="12"/>
      <c r="AS61" s="12"/>
      <c r="AT61" s="11">
        <v>58</v>
      </c>
      <c r="AU61" s="12"/>
      <c r="AW61" s="11">
        <v>58</v>
      </c>
      <c r="AX61" s="12"/>
      <c r="AY61" s="12"/>
      <c r="AZ61" s="12"/>
      <c r="BA61" s="12"/>
      <c r="BB61" s="12"/>
      <c r="BC61" s="12"/>
      <c r="BD61" s="12"/>
      <c r="BE61" s="12"/>
      <c r="BF61" s="24"/>
      <c r="BG61" s="29"/>
      <c r="BH61" s="12"/>
      <c r="BI61" s="12"/>
      <c r="BK61" s="11">
        <v>58</v>
      </c>
      <c r="BL61" s="12"/>
      <c r="BM61" s="12"/>
      <c r="BN61" s="12"/>
      <c r="BP61" s="11">
        <v>58</v>
      </c>
      <c r="BQ61" s="12"/>
      <c r="BR61" s="12"/>
      <c r="BS61" s="12"/>
      <c r="BU61" s="11">
        <v>58</v>
      </c>
      <c r="BV61" s="12"/>
      <c r="BW61" s="12"/>
      <c r="BX61" s="12"/>
    </row>
    <row r="62" spans="1:76" ht="16.8" thickBot="1">
      <c r="A62" s="22" t="s">
        <v>39</v>
      </c>
      <c r="B62" s="22">
        <v>11</v>
      </c>
      <c r="C62" s="17" t="s">
        <v>38</v>
      </c>
      <c r="D62" s="56">
        <f t="shared" si="7"/>
        <v>0</v>
      </c>
      <c r="E62" s="50">
        <f t="shared" si="6"/>
        <v>0</v>
      </c>
      <c r="F62" s="57">
        <f t="shared" si="6"/>
        <v>0</v>
      </c>
      <c r="G62" s="49">
        <f t="shared" si="6"/>
        <v>0</v>
      </c>
      <c r="H62" s="50">
        <f t="shared" si="6"/>
        <v>0</v>
      </c>
      <c r="I62" s="50">
        <f t="shared" si="6"/>
        <v>0</v>
      </c>
      <c r="J62" s="50">
        <f t="shared" si="6"/>
        <v>0</v>
      </c>
      <c r="K62" s="50">
        <f t="shared" si="6"/>
        <v>0</v>
      </c>
      <c r="L62" s="50">
        <f t="shared" si="6"/>
        <v>0</v>
      </c>
      <c r="M62" s="51">
        <f t="shared" si="6"/>
        <v>0</v>
      </c>
      <c r="N62" s="39">
        <f t="shared" si="6"/>
        <v>0</v>
      </c>
      <c r="O62" s="40">
        <f t="shared" si="6"/>
        <v>0</v>
      </c>
      <c r="R62" s="11">
        <v>59</v>
      </c>
      <c r="S62" s="12"/>
      <c r="T62" s="12"/>
      <c r="U62" s="12"/>
      <c r="W62" s="11">
        <v>59</v>
      </c>
      <c r="X62" s="12"/>
      <c r="Y62" s="12"/>
      <c r="Z62" s="12"/>
      <c r="AB62" s="11">
        <v>59</v>
      </c>
      <c r="AC62" s="12"/>
      <c r="AD62" s="12"/>
      <c r="AE62" s="12"/>
      <c r="AG62" s="11">
        <v>59</v>
      </c>
      <c r="AH62" s="12"/>
      <c r="AI62" s="12"/>
      <c r="AJ62" s="12"/>
      <c r="AL62" s="11">
        <v>59</v>
      </c>
      <c r="AM62" s="12"/>
      <c r="AN62" s="12"/>
      <c r="AO62" s="12"/>
      <c r="AQ62" s="11">
        <v>59</v>
      </c>
      <c r="AR62" s="12"/>
      <c r="AS62" s="12"/>
      <c r="AT62" s="11">
        <v>59</v>
      </c>
      <c r="AU62" s="12"/>
      <c r="AW62" s="11">
        <v>59</v>
      </c>
      <c r="AX62" s="12"/>
      <c r="AY62" s="12"/>
      <c r="AZ62" s="12"/>
      <c r="BA62" s="12"/>
      <c r="BB62" s="12"/>
      <c r="BC62" s="12"/>
      <c r="BD62" s="12"/>
      <c r="BE62" s="12"/>
      <c r="BF62" s="24"/>
      <c r="BG62" s="29"/>
      <c r="BH62" s="12"/>
      <c r="BI62" s="12"/>
      <c r="BK62" s="11">
        <v>59</v>
      </c>
      <c r="BL62" s="12"/>
      <c r="BM62" s="12"/>
      <c r="BN62" s="12"/>
      <c r="BP62" s="11">
        <v>59</v>
      </c>
      <c r="BQ62" s="12"/>
      <c r="BR62" s="12"/>
      <c r="BS62" s="12"/>
      <c r="BU62" s="11">
        <v>59</v>
      </c>
      <c r="BV62" s="12"/>
      <c r="BW62" s="12"/>
      <c r="BX62" s="12"/>
    </row>
    <row r="63" spans="1:76">
      <c r="D63" s="128">
        <f>SUM(D51:D62)</f>
        <v>10000</v>
      </c>
      <c r="E63" s="128">
        <f t="shared" ref="E63:O63" si="8">SUM(E51:E62)</f>
        <v>10001</v>
      </c>
      <c r="F63" s="128">
        <f t="shared" si="8"/>
        <v>10001</v>
      </c>
      <c r="G63" s="128">
        <f t="shared" si="8"/>
        <v>10001</v>
      </c>
      <c r="H63" s="128">
        <f t="shared" si="8"/>
        <v>9999</v>
      </c>
      <c r="I63" s="128">
        <f t="shared" si="8"/>
        <v>10000</v>
      </c>
      <c r="J63" s="128">
        <f t="shared" si="8"/>
        <v>10000</v>
      </c>
      <c r="K63" s="128">
        <f t="shared" si="8"/>
        <v>10000</v>
      </c>
      <c r="L63" s="128">
        <f t="shared" si="8"/>
        <v>10001</v>
      </c>
      <c r="M63" s="128">
        <f t="shared" si="8"/>
        <v>10000</v>
      </c>
      <c r="N63" s="128">
        <f t="shared" si="8"/>
        <v>10000</v>
      </c>
      <c r="O63" s="128">
        <f t="shared" si="8"/>
        <v>10000</v>
      </c>
      <c r="R63" s="11">
        <v>60</v>
      </c>
      <c r="S63" s="12"/>
      <c r="T63" s="12"/>
      <c r="U63" s="12"/>
      <c r="W63" s="11">
        <v>60</v>
      </c>
      <c r="X63" s="12"/>
      <c r="Y63" s="12"/>
      <c r="Z63" s="12"/>
      <c r="AB63" s="11">
        <v>60</v>
      </c>
      <c r="AC63" s="12"/>
      <c r="AD63" s="12"/>
      <c r="AE63" s="12"/>
      <c r="AG63" s="11">
        <v>60</v>
      </c>
      <c r="AH63" s="12"/>
      <c r="AI63" s="12"/>
      <c r="AJ63" s="12"/>
      <c r="AL63" s="11">
        <v>60</v>
      </c>
      <c r="AM63" s="12"/>
      <c r="AN63" s="12"/>
      <c r="AO63" s="12"/>
      <c r="AQ63" s="11">
        <v>60</v>
      </c>
      <c r="AR63" s="13"/>
      <c r="AS63" s="13"/>
      <c r="AT63" s="11">
        <v>60</v>
      </c>
      <c r="AU63" s="12"/>
      <c r="AW63" s="11">
        <v>60</v>
      </c>
      <c r="AX63" s="12"/>
      <c r="AY63" s="12"/>
      <c r="AZ63" s="12"/>
      <c r="BA63" s="12"/>
      <c r="BB63" s="12"/>
      <c r="BC63" s="12"/>
      <c r="BD63" s="12"/>
      <c r="BE63" s="12"/>
      <c r="BF63" s="24"/>
      <c r="BG63" s="29"/>
      <c r="BH63" s="12"/>
      <c r="BI63" s="12"/>
      <c r="BK63" s="11">
        <v>60</v>
      </c>
      <c r="BL63" s="12"/>
      <c r="BM63" s="12"/>
      <c r="BN63" s="12"/>
      <c r="BP63" s="11">
        <v>60</v>
      </c>
      <c r="BQ63" s="12"/>
      <c r="BR63" s="12"/>
      <c r="BS63" s="12"/>
      <c r="BU63" s="11">
        <v>60</v>
      </c>
      <c r="BV63" s="12"/>
      <c r="BW63" s="12"/>
      <c r="BX63" s="12"/>
    </row>
    <row r="64" spans="1:76">
      <c r="R64" s="11">
        <v>61</v>
      </c>
      <c r="S64" s="12"/>
      <c r="T64" s="13"/>
      <c r="U64" s="12"/>
      <c r="W64" s="11">
        <v>61</v>
      </c>
      <c r="X64" s="12"/>
      <c r="Y64" s="13"/>
      <c r="Z64" s="12"/>
      <c r="AB64" s="11">
        <v>61</v>
      </c>
      <c r="AC64" s="12"/>
      <c r="AD64" s="12"/>
      <c r="AE64" s="12"/>
      <c r="AG64" s="11">
        <v>61</v>
      </c>
      <c r="AH64" s="12"/>
      <c r="AI64" s="12"/>
      <c r="AJ64" s="12"/>
      <c r="AL64" s="11">
        <v>61</v>
      </c>
      <c r="AM64" s="12"/>
      <c r="AN64" s="12"/>
      <c r="AO64" s="12"/>
      <c r="AQ64" s="11">
        <v>61</v>
      </c>
      <c r="AR64" s="13"/>
      <c r="AS64" s="13"/>
      <c r="AT64" s="11">
        <v>61</v>
      </c>
      <c r="AU64" s="12"/>
      <c r="AW64" s="11">
        <v>61</v>
      </c>
      <c r="AX64" s="12"/>
      <c r="AY64" s="12"/>
      <c r="AZ64" s="12"/>
      <c r="BA64" s="12"/>
      <c r="BB64" s="12"/>
      <c r="BC64" s="12"/>
      <c r="BD64" s="12"/>
      <c r="BE64" s="12"/>
      <c r="BF64" s="24"/>
      <c r="BG64" s="29"/>
      <c r="BH64" s="12"/>
      <c r="BI64" s="12"/>
      <c r="BK64" s="11">
        <v>61</v>
      </c>
      <c r="BL64" s="12"/>
      <c r="BM64" s="13"/>
      <c r="BN64" s="12"/>
      <c r="BP64" s="11">
        <v>61</v>
      </c>
      <c r="BQ64" s="12"/>
      <c r="BR64" s="13"/>
      <c r="BS64" s="12"/>
      <c r="BU64" s="11">
        <v>61</v>
      </c>
      <c r="BV64" s="12"/>
      <c r="BW64" s="12"/>
      <c r="BX64" s="12"/>
    </row>
    <row r="65" spans="1:76">
      <c r="A65" s="31" t="s">
        <v>42</v>
      </c>
      <c r="R65" s="11">
        <v>62</v>
      </c>
      <c r="S65" s="12"/>
      <c r="T65" s="13"/>
      <c r="U65" s="12"/>
      <c r="W65" s="11">
        <v>62</v>
      </c>
      <c r="X65" s="12"/>
      <c r="Y65" s="13"/>
      <c r="Z65" s="12"/>
      <c r="AB65" s="11">
        <v>62</v>
      </c>
      <c r="AC65" s="12"/>
      <c r="AD65" s="12"/>
      <c r="AE65" s="12"/>
      <c r="AG65" s="11">
        <v>62</v>
      </c>
      <c r="AH65" s="12"/>
      <c r="AI65" s="12"/>
      <c r="AJ65" s="12"/>
      <c r="AL65" s="11">
        <v>62</v>
      </c>
      <c r="AM65" s="12"/>
      <c r="AN65" s="12"/>
      <c r="AO65" s="12"/>
      <c r="AQ65" s="11">
        <v>62</v>
      </c>
      <c r="AR65" s="13"/>
      <c r="AS65" s="13"/>
      <c r="AT65" s="11">
        <v>62</v>
      </c>
      <c r="AU65" s="12"/>
      <c r="AW65" s="11">
        <v>62</v>
      </c>
      <c r="AX65" s="12"/>
      <c r="AY65" s="12"/>
      <c r="AZ65" s="12"/>
      <c r="BA65" s="12"/>
      <c r="BB65" s="12"/>
      <c r="BC65" s="12"/>
      <c r="BD65" s="12"/>
      <c r="BE65" s="12"/>
      <c r="BF65" s="24"/>
      <c r="BG65" s="29"/>
      <c r="BH65" s="12"/>
      <c r="BI65" s="12"/>
      <c r="BK65" s="11">
        <v>62</v>
      </c>
      <c r="BL65" s="12"/>
      <c r="BM65" s="13"/>
      <c r="BN65" s="12"/>
      <c r="BP65" s="11">
        <v>62</v>
      </c>
      <c r="BQ65" s="12"/>
      <c r="BR65" s="13"/>
      <c r="BS65" s="12"/>
      <c r="BU65" s="11">
        <v>62</v>
      </c>
      <c r="BV65" s="12"/>
      <c r="BW65" s="12"/>
      <c r="BX65" s="12"/>
    </row>
    <row r="66" spans="1:76">
      <c r="A66" s="30" t="s">
        <v>42</v>
      </c>
      <c r="B66" s="1" t="s">
        <v>86</v>
      </c>
      <c r="C66" s="2" t="s">
        <v>114</v>
      </c>
      <c r="D66" s="3" t="s">
        <v>0</v>
      </c>
      <c r="E66" s="116" t="s">
        <v>1</v>
      </c>
      <c r="F66" s="4" t="s">
        <v>2</v>
      </c>
      <c r="R66" s="11">
        <v>63</v>
      </c>
      <c r="S66" s="12"/>
      <c r="T66" s="13"/>
      <c r="U66" s="13"/>
      <c r="W66" s="11">
        <v>63</v>
      </c>
      <c r="X66" s="12"/>
      <c r="Y66" s="13"/>
      <c r="Z66" s="13"/>
      <c r="AB66" s="11">
        <v>63</v>
      </c>
      <c r="AC66" s="12"/>
      <c r="AD66" s="12"/>
      <c r="AE66" s="12"/>
      <c r="AG66" s="11">
        <v>63</v>
      </c>
      <c r="AH66" s="12"/>
      <c r="AI66" s="12"/>
      <c r="AJ66" s="12"/>
      <c r="AL66" s="11">
        <v>63</v>
      </c>
      <c r="AM66" s="12"/>
      <c r="AN66" s="12"/>
      <c r="AO66" s="12"/>
      <c r="AQ66" s="11">
        <v>63</v>
      </c>
      <c r="AR66" s="13"/>
      <c r="AS66" s="13"/>
      <c r="AT66" s="11">
        <v>63</v>
      </c>
      <c r="AU66" s="13"/>
      <c r="AW66" s="11">
        <v>63</v>
      </c>
      <c r="AX66" s="12"/>
      <c r="AY66" s="12"/>
      <c r="AZ66" s="12"/>
      <c r="BA66" s="12"/>
      <c r="BB66" s="12"/>
      <c r="BC66" s="12"/>
      <c r="BD66" s="12"/>
      <c r="BE66" s="12"/>
      <c r="BF66" s="24"/>
      <c r="BG66" s="29"/>
      <c r="BH66" s="12"/>
      <c r="BI66" s="12"/>
      <c r="BK66" s="11">
        <v>63</v>
      </c>
      <c r="BL66" s="12"/>
      <c r="BM66" s="13"/>
      <c r="BN66" s="13"/>
      <c r="BP66" s="11">
        <v>63</v>
      </c>
      <c r="BQ66" s="12"/>
      <c r="BR66" s="13"/>
      <c r="BS66" s="13"/>
      <c r="BU66" s="11">
        <v>63</v>
      </c>
      <c r="BV66" s="12"/>
      <c r="BW66" s="12"/>
      <c r="BX66" s="12"/>
    </row>
    <row r="67" spans="1:76">
      <c r="A67" s="1" t="s">
        <v>19</v>
      </c>
      <c r="B67" s="1">
        <v>0</v>
      </c>
      <c r="C67" s="3" t="s">
        <v>25</v>
      </c>
      <c r="D67" s="3">
        <f>SUMIF(BL$3:BL$38,$A67,BV$3:BV$38)</f>
        <v>260</v>
      </c>
      <c r="E67" s="129">
        <f t="shared" ref="E67:F78" si="9">SUMIF(BM$3:BM$38,$A67,BW$3:BW$38)</f>
        <v>1494</v>
      </c>
      <c r="F67" s="4">
        <f t="shared" si="9"/>
        <v>10000</v>
      </c>
      <c r="R67" s="11">
        <v>64</v>
      </c>
      <c r="S67" s="12"/>
      <c r="T67" s="13"/>
      <c r="U67" s="13"/>
      <c r="W67" s="11">
        <v>64</v>
      </c>
      <c r="X67" s="12"/>
      <c r="Y67" s="13"/>
      <c r="Z67" s="13"/>
      <c r="AB67" s="11">
        <v>64</v>
      </c>
      <c r="AC67" s="12"/>
      <c r="AD67" s="12"/>
      <c r="AE67" s="12"/>
      <c r="AG67" s="11">
        <v>64</v>
      </c>
      <c r="AH67" s="12"/>
      <c r="AI67" s="12"/>
      <c r="AJ67" s="12"/>
      <c r="AL67" s="11">
        <v>64</v>
      </c>
      <c r="AM67" s="12"/>
      <c r="AN67" s="12"/>
      <c r="AO67" s="12"/>
      <c r="AQ67" s="11">
        <v>64</v>
      </c>
      <c r="AR67" s="13"/>
      <c r="AS67" s="13"/>
      <c r="AT67" s="11">
        <v>64</v>
      </c>
      <c r="AU67" s="13"/>
      <c r="AW67" s="11">
        <v>64</v>
      </c>
      <c r="AX67" s="12"/>
      <c r="AY67" s="12"/>
      <c r="AZ67" s="12"/>
      <c r="BA67" s="12"/>
      <c r="BB67" s="12"/>
      <c r="BC67" s="12"/>
      <c r="BD67" s="12"/>
      <c r="BE67" s="12"/>
      <c r="BF67" s="24"/>
      <c r="BG67" s="29"/>
      <c r="BH67" s="12"/>
      <c r="BI67" s="12"/>
      <c r="BK67" s="11">
        <v>64</v>
      </c>
      <c r="BL67" s="12"/>
      <c r="BM67" s="13"/>
      <c r="BN67" s="13"/>
      <c r="BP67" s="11">
        <v>64</v>
      </c>
      <c r="BQ67" s="12"/>
      <c r="BR67" s="13"/>
      <c r="BS67" s="13"/>
      <c r="BU67" s="11">
        <v>64</v>
      </c>
      <c r="BV67" s="12"/>
      <c r="BW67" s="12"/>
      <c r="BX67" s="12"/>
    </row>
    <row r="68" spans="1:76">
      <c r="A68" s="20">
        <v>0</v>
      </c>
      <c r="B68" s="20">
        <v>1</v>
      </c>
      <c r="C68" s="5">
        <v>0</v>
      </c>
      <c r="D68" s="37">
        <f t="shared" ref="D68:D78" si="10">SUMIF(BL$3:BL$38,$A68,BV$3:BV$38)</f>
        <v>0</v>
      </c>
      <c r="E68" s="128">
        <f t="shared" si="9"/>
        <v>2208</v>
      </c>
      <c r="F68" s="7">
        <f t="shared" si="9"/>
        <v>0</v>
      </c>
      <c r="R68" s="11">
        <v>65</v>
      </c>
      <c r="S68" s="12"/>
      <c r="T68" s="13"/>
      <c r="U68" s="13"/>
      <c r="W68" s="11">
        <v>65</v>
      </c>
      <c r="X68" s="12"/>
      <c r="Y68" s="13"/>
      <c r="Z68" s="13"/>
      <c r="AB68" s="11">
        <v>65</v>
      </c>
      <c r="AC68" s="12"/>
      <c r="AD68" s="12"/>
      <c r="AE68" s="12"/>
      <c r="AG68" s="11">
        <v>65</v>
      </c>
      <c r="AH68" s="12"/>
      <c r="AI68" s="12"/>
      <c r="AJ68" s="12"/>
      <c r="AL68" s="11">
        <v>65</v>
      </c>
      <c r="AM68" s="12"/>
      <c r="AN68" s="12"/>
      <c r="AO68" s="12"/>
      <c r="AQ68" s="11">
        <v>65</v>
      </c>
      <c r="AR68" s="13"/>
      <c r="AS68" s="13"/>
      <c r="AT68" s="11">
        <v>65</v>
      </c>
      <c r="AU68" s="13"/>
      <c r="AW68" s="11">
        <v>65</v>
      </c>
      <c r="AX68" s="12"/>
      <c r="AY68" s="12"/>
      <c r="AZ68" s="12"/>
      <c r="BA68" s="12"/>
      <c r="BB68" s="12"/>
      <c r="BC68" s="12"/>
      <c r="BD68" s="12"/>
      <c r="BE68" s="12"/>
      <c r="BF68" s="24"/>
      <c r="BG68" s="29"/>
      <c r="BH68" s="12"/>
      <c r="BI68" s="12"/>
      <c r="BK68" s="11">
        <v>65</v>
      </c>
      <c r="BL68" s="12"/>
      <c r="BM68" s="13"/>
      <c r="BN68" s="13"/>
      <c r="BP68" s="11">
        <v>65</v>
      </c>
      <c r="BQ68" s="12"/>
      <c r="BR68" s="13"/>
      <c r="BS68" s="13"/>
      <c r="BU68" s="11">
        <v>65</v>
      </c>
      <c r="BV68" s="12"/>
      <c r="BW68" s="12"/>
      <c r="BX68" s="12"/>
    </row>
    <row r="69" spans="1:76">
      <c r="A69" s="20">
        <v>1</v>
      </c>
      <c r="B69" s="20">
        <v>2</v>
      </c>
      <c r="C69" s="5">
        <v>1</v>
      </c>
      <c r="D69" s="6">
        <f t="shared" si="10"/>
        <v>6623</v>
      </c>
      <c r="E69" s="128">
        <f t="shared" si="9"/>
        <v>2208</v>
      </c>
      <c r="F69" s="7">
        <f t="shared" si="9"/>
        <v>0</v>
      </c>
      <c r="R69" s="11">
        <v>66</v>
      </c>
      <c r="S69" s="12"/>
      <c r="T69" s="13"/>
      <c r="U69" s="13"/>
      <c r="W69" s="11">
        <v>66</v>
      </c>
      <c r="X69" s="12"/>
      <c r="Y69" s="13"/>
      <c r="Z69" s="13"/>
      <c r="AB69" s="11">
        <v>66</v>
      </c>
      <c r="AC69" s="12"/>
      <c r="AD69" s="12"/>
      <c r="AE69" s="12"/>
      <c r="AG69" s="11">
        <v>66</v>
      </c>
      <c r="AH69" s="12"/>
      <c r="AI69" s="12"/>
      <c r="AJ69" s="12"/>
      <c r="AL69" s="11">
        <v>66</v>
      </c>
      <c r="AM69" s="12"/>
      <c r="AN69" s="12"/>
      <c r="AO69" s="12"/>
      <c r="AQ69" s="11">
        <v>66</v>
      </c>
      <c r="AR69" s="13"/>
      <c r="AS69" s="13"/>
      <c r="AT69" s="11">
        <v>66</v>
      </c>
      <c r="AU69" s="13"/>
      <c r="AW69" s="11">
        <v>66</v>
      </c>
      <c r="AX69" s="12"/>
      <c r="AY69" s="12"/>
      <c r="AZ69" s="12"/>
      <c r="BA69" s="12"/>
      <c r="BB69" s="12"/>
      <c r="BC69" s="12"/>
      <c r="BD69" s="12"/>
      <c r="BE69" s="12"/>
      <c r="BF69" s="24"/>
      <c r="BG69" s="29"/>
      <c r="BH69" s="12"/>
      <c r="BI69" s="12"/>
      <c r="BK69" s="11">
        <v>66</v>
      </c>
      <c r="BL69" s="12"/>
      <c r="BM69" s="13"/>
      <c r="BN69" s="13"/>
      <c r="BP69" s="11">
        <v>66</v>
      </c>
      <c r="BQ69" s="12"/>
      <c r="BR69" s="13"/>
      <c r="BS69" s="13"/>
      <c r="BU69" s="11">
        <v>66</v>
      </c>
      <c r="BV69" s="12"/>
      <c r="BW69" s="12"/>
      <c r="BX69" s="12"/>
    </row>
    <row r="70" spans="1:76">
      <c r="A70" s="21">
        <v>5</v>
      </c>
      <c r="B70" s="21">
        <v>3</v>
      </c>
      <c r="C70" s="23">
        <v>5</v>
      </c>
      <c r="D70" s="6">
        <f t="shared" si="10"/>
        <v>1753</v>
      </c>
      <c r="E70" s="128">
        <f t="shared" si="9"/>
        <v>4091</v>
      </c>
      <c r="F70" s="7">
        <f t="shared" si="9"/>
        <v>0</v>
      </c>
      <c r="R70" s="11">
        <v>67</v>
      </c>
      <c r="S70" s="12"/>
      <c r="T70" s="13"/>
      <c r="U70" s="13"/>
      <c r="W70" s="11">
        <v>67</v>
      </c>
      <c r="X70" s="12"/>
      <c r="Y70" s="13"/>
      <c r="Z70" s="13"/>
      <c r="AB70" s="11">
        <v>67</v>
      </c>
      <c r="AC70" s="12"/>
      <c r="AD70" s="12"/>
      <c r="AE70" s="12"/>
      <c r="AG70" s="11">
        <v>67</v>
      </c>
      <c r="AH70" s="12"/>
      <c r="AI70" s="12"/>
      <c r="AJ70" s="12"/>
      <c r="AL70" s="11">
        <v>67</v>
      </c>
      <c r="AM70" s="12"/>
      <c r="AN70" s="12"/>
      <c r="AO70" s="12"/>
      <c r="AQ70" s="11">
        <v>67</v>
      </c>
      <c r="AR70" s="13"/>
      <c r="AS70" s="13"/>
      <c r="AT70" s="11">
        <v>67</v>
      </c>
      <c r="AU70" s="13"/>
      <c r="AW70" s="11">
        <v>67</v>
      </c>
      <c r="AX70" s="12"/>
      <c r="AY70" s="12"/>
      <c r="AZ70" s="12"/>
      <c r="BA70" s="12"/>
      <c r="BB70" s="12"/>
      <c r="BC70" s="12"/>
      <c r="BD70" s="12"/>
      <c r="BE70" s="12"/>
      <c r="BF70" s="24"/>
      <c r="BG70" s="29"/>
      <c r="BH70" s="12"/>
      <c r="BI70" s="12"/>
      <c r="BK70" s="11">
        <v>67</v>
      </c>
      <c r="BL70" s="12"/>
      <c r="BM70" s="13"/>
      <c r="BN70" s="13"/>
      <c r="BP70" s="11">
        <v>67</v>
      </c>
      <c r="BQ70" s="12"/>
      <c r="BR70" s="13"/>
      <c r="BS70" s="13"/>
      <c r="BU70" s="11">
        <v>67</v>
      </c>
      <c r="BV70" s="12"/>
      <c r="BW70" s="12"/>
      <c r="BX70" s="12"/>
    </row>
    <row r="71" spans="1:76">
      <c r="A71" s="21">
        <v>10</v>
      </c>
      <c r="B71" s="21">
        <v>4</v>
      </c>
      <c r="C71" s="23">
        <v>10</v>
      </c>
      <c r="D71" s="6">
        <f t="shared" si="10"/>
        <v>1364</v>
      </c>
      <c r="E71" s="59">
        <f t="shared" si="9"/>
        <v>0</v>
      </c>
      <c r="F71" s="38">
        <f t="shared" si="9"/>
        <v>0</v>
      </c>
      <c r="R71" s="11">
        <v>68</v>
      </c>
      <c r="S71" s="12"/>
      <c r="T71" s="13"/>
      <c r="U71" s="13"/>
      <c r="W71" s="11">
        <v>68</v>
      </c>
      <c r="X71" s="12"/>
      <c r="Y71" s="13"/>
      <c r="Z71" s="13"/>
      <c r="AB71" s="11">
        <v>68</v>
      </c>
      <c r="AC71" s="12"/>
      <c r="AD71" s="12"/>
      <c r="AE71" s="12"/>
      <c r="AG71" s="11">
        <v>68</v>
      </c>
      <c r="AH71" s="12"/>
      <c r="AI71" s="12"/>
      <c r="AJ71" s="12"/>
      <c r="AL71" s="11">
        <v>68</v>
      </c>
      <c r="AM71" s="12"/>
      <c r="AN71" s="12"/>
      <c r="AO71" s="12"/>
      <c r="AQ71" s="11">
        <v>68</v>
      </c>
      <c r="AR71" s="13"/>
      <c r="AS71" s="13"/>
      <c r="AT71" s="11">
        <v>68</v>
      </c>
      <c r="AU71" s="13"/>
      <c r="AW71" s="11">
        <v>68</v>
      </c>
      <c r="AX71" s="12"/>
      <c r="AY71" s="12"/>
      <c r="AZ71" s="12"/>
      <c r="BA71" s="12"/>
      <c r="BB71" s="12"/>
      <c r="BC71" s="12"/>
      <c r="BD71" s="12"/>
      <c r="BE71" s="12"/>
      <c r="BF71" s="24"/>
      <c r="BG71" s="29"/>
      <c r="BH71" s="12"/>
      <c r="BI71" s="12"/>
      <c r="BK71" s="11">
        <v>68</v>
      </c>
      <c r="BL71" s="12"/>
      <c r="BM71" s="13"/>
      <c r="BN71" s="13"/>
      <c r="BP71" s="11">
        <v>68</v>
      </c>
      <c r="BQ71" s="12"/>
      <c r="BR71" s="13"/>
      <c r="BS71" s="13"/>
      <c r="BU71" s="11">
        <v>68</v>
      </c>
      <c r="BV71" s="12"/>
      <c r="BW71" s="12"/>
      <c r="BX71" s="12"/>
    </row>
    <row r="72" spans="1:76">
      <c r="A72" s="20" t="s">
        <v>20</v>
      </c>
      <c r="B72" s="20">
        <v>5</v>
      </c>
      <c r="C72" s="23" t="s">
        <v>29</v>
      </c>
      <c r="D72" s="37">
        <f t="shared" si="10"/>
        <v>0</v>
      </c>
      <c r="E72" s="59">
        <f t="shared" si="9"/>
        <v>0</v>
      </c>
      <c r="F72" s="38">
        <f t="shared" si="9"/>
        <v>0</v>
      </c>
      <c r="R72" s="11">
        <v>69</v>
      </c>
      <c r="S72" s="12"/>
      <c r="T72" s="13"/>
      <c r="U72" s="13"/>
      <c r="W72" s="11">
        <v>69</v>
      </c>
      <c r="X72" s="12"/>
      <c r="Y72" s="13"/>
      <c r="Z72" s="13"/>
      <c r="AB72" s="11">
        <v>69</v>
      </c>
      <c r="AC72" s="12"/>
      <c r="AD72" s="12"/>
      <c r="AE72" s="12"/>
      <c r="AG72" s="11">
        <v>69</v>
      </c>
      <c r="AH72" s="12"/>
      <c r="AI72" s="12"/>
      <c r="AJ72" s="12"/>
      <c r="AL72" s="11">
        <v>69</v>
      </c>
      <c r="AM72" s="12"/>
      <c r="AN72" s="12"/>
      <c r="AO72" s="12"/>
      <c r="AQ72" s="11">
        <v>69</v>
      </c>
      <c r="AR72" s="13"/>
      <c r="AS72" s="13"/>
      <c r="AT72" s="11">
        <v>69</v>
      </c>
      <c r="AU72" s="13"/>
      <c r="AW72" s="11">
        <v>69</v>
      </c>
      <c r="AX72" s="12"/>
      <c r="AY72" s="12"/>
      <c r="AZ72" s="12"/>
      <c r="BA72" s="12"/>
      <c r="BB72" s="12"/>
      <c r="BC72" s="12"/>
      <c r="BD72" s="12"/>
      <c r="BE72" s="12"/>
      <c r="BF72" s="24"/>
      <c r="BG72" s="29"/>
      <c r="BH72" s="12"/>
      <c r="BI72" s="12"/>
      <c r="BK72" s="11">
        <v>69</v>
      </c>
      <c r="BL72" s="12"/>
      <c r="BM72" s="13"/>
      <c r="BN72" s="13"/>
      <c r="BP72" s="11">
        <v>69</v>
      </c>
      <c r="BQ72" s="12"/>
      <c r="BR72" s="13"/>
      <c r="BS72" s="13"/>
      <c r="BU72" s="11">
        <v>69</v>
      </c>
      <c r="BV72" s="12"/>
      <c r="BW72" s="12"/>
      <c r="BX72" s="12"/>
    </row>
    <row r="73" spans="1:76">
      <c r="A73" s="21" t="s">
        <v>21</v>
      </c>
      <c r="B73" s="21">
        <v>6</v>
      </c>
      <c r="C73" s="23" t="s">
        <v>26</v>
      </c>
      <c r="D73" s="37">
        <f t="shared" si="10"/>
        <v>0</v>
      </c>
      <c r="E73" s="59">
        <f t="shared" si="9"/>
        <v>0</v>
      </c>
      <c r="F73" s="38">
        <f t="shared" si="9"/>
        <v>0</v>
      </c>
      <c r="R73" s="11">
        <v>70</v>
      </c>
      <c r="S73" s="12"/>
      <c r="T73" s="13"/>
      <c r="U73" s="13"/>
      <c r="W73" s="11">
        <v>70</v>
      </c>
      <c r="X73" s="12"/>
      <c r="Y73" s="13"/>
      <c r="Z73" s="13"/>
      <c r="AB73" s="11">
        <v>70</v>
      </c>
      <c r="AC73" s="12"/>
      <c r="AD73" s="12"/>
      <c r="AE73" s="12"/>
      <c r="AG73" s="11">
        <v>70</v>
      </c>
      <c r="AH73" s="12"/>
      <c r="AI73" s="12"/>
      <c r="AJ73" s="12"/>
      <c r="AL73" s="11">
        <v>70</v>
      </c>
      <c r="AM73" s="12"/>
      <c r="AN73" s="12"/>
      <c r="AO73" s="12"/>
      <c r="AQ73" s="11">
        <v>70</v>
      </c>
      <c r="AR73" s="13"/>
      <c r="AS73" s="13"/>
      <c r="AT73" s="11">
        <v>70</v>
      </c>
      <c r="AU73" s="13"/>
      <c r="AW73" s="11">
        <v>70</v>
      </c>
      <c r="AX73" s="12"/>
      <c r="AY73" s="12"/>
      <c r="AZ73" s="12"/>
      <c r="BA73" s="12"/>
      <c r="BB73" s="12"/>
      <c r="BC73" s="12"/>
      <c r="BD73" s="12"/>
      <c r="BE73" s="12"/>
      <c r="BF73" s="24"/>
      <c r="BG73" s="29"/>
      <c r="BH73" s="12"/>
      <c r="BI73" s="12"/>
      <c r="BK73" s="11">
        <v>70</v>
      </c>
      <c r="BL73" s="12"/>
      <c r="BM73" s="13"/>
      <c r="BN73" s="13"/>
      <c r="BP73" s="11">
        <v>70</v>
      </c>
      <c r="BQ73" s="12"/>
      <c r="BR73" s="13"/>
      <c r="BS73" s="13"/>
      <c r="BU73" s="11">
        <v>70</v>
      </c>
      <c r="BV73" s="12"/>
      <c r="BW73" s="12"/>
      <c r="BX73" s="12"/>
    </row>
    <row r="74" spans="1:76">
      <c r="A74" s="20" t="s">
        <v>22</v>
      </c>
      <c r="B74" s="20">
        <v>7</v>
      </c>
      <c r="C74" s="5" t="s">
        <v>27</v>
      </c>
      <c r="D74" s="37">
        <f t="shared" si="10"/>
        <v>0</v>
      </c>
      <c r="E74" s="59">
        <f t="shared" si="9"/>
        <v>0</v>
      </c>
      <c r="F74" s="38">
        <f t="shared" si="9"/>
        <v>0</v>
      </c>
      <c r="R74" s="11">
        <v>71</v>
      </c>
      <c r="S74" s="12"/>
      <c r="T74" s="13"/>
      <c r="U74" s="13"/>
      <c r="W74" s="11">
        <v>71</v>
      </c>
      <c r="X74" s="12"/>
      <c r="Y74" s="13"/>
      <c r="Z74" s="13"/>
      <c r="AB74" s="11">
        <v>71</v>
      </c>
      <c r="AC74" s="12"/>
      <c r="AD74" s="12"/>
      <c r="AE74" s="12"/>
      <c r="AG74" s="11">
        <v>71</v>
      </c>
      <c r="AH74" s="12"/>
      <c r="AI74" s="12"/>
      <c r="AJ74" s="12"/>
      <c r="AL74" s="11">
        <v>71</v>
      </c>
      <c r="AM74" s="12"/>
      <c r="AN74" s="12"/>
      <c r="AO74" s="12"/>
      <c r="AQ74" s="11">
        <v>71</v>
      </c>
      <c r="AR74" s="13"/>
      <c r="AS74" s="13"/>
      <c r="AT74" s="11">
        <v>71</v>
      </c>
      <c r="AU74" s="13"/>
      <c r="AW74" s="11">
        <v>71</v>
      </c>
      <c r="AX74" s="12"/>
      <c r="AY74" s="12"/>
      <c r="AZ74" s="12"/>
      <c r="BA74" s="12"/>
      <c r="BB74" s="12"/>
      <c r="BC74" s="12"/>
      <c r="BD74" s="12"/>
      <c r="BE74" s="12"/>
      <c r="BF74" s="24"/>
      <c r="BG74" s="29"/>
      <c r="BH74" s="12"/>
      <c r="BI74" s="12"/>
      <c r="BK74" s="11">
        <v>71</v>
      </c>
      <c r="BL74" s="12"/>
      <c r="BM74" s="13"/>
      <c r="BN74" s="13"/>
      <c r="BP74" s="11">
        <v>71</v>
      </c>
      <c r="BQ74" s="12"/>
      <c r="BR74" s="13"/>
      <c r="BS74" s="13"/>
      <c r="BU74" s="11">
        <v>71</v>
      </c>
      <c r="BV74" s="12"/>
      <c r="BW74" s="12"/>
      <c r="BX74" s="12"/>
    </row>
    <row r="75" spans="1:76">
      <c r="A75" s="20" t="s">
        <v>23</v>
      </c>
      <c r="B75" s="20">
        <v>8</v>
      </c>
      <c r="C75" s="5" t="s">
        <v>28</v>
      </c>
      <c r="D75" s="37">
        <f t="shared" si="10"/>
        <v>0</v>
      </c>
      <c r="E75" s="59">
        <f t="shared" si="9"/>
        <v>0</v>
      </c>
      <c r="F75" s="38">
        <f t="shared" si="9"/>
        <v>0</v>
      </c>
      <c r="R75" s="11">
        <v>72</v>
      </c>
      <c r="S75" s="12"/>
      <c r="T75" s="13"/>
      <c r="U75" s="13"/>
      <c r="W75" s="11">
        <v>72</v>
      </c>
      <c r="X75" s="12"/>
      <c r="Y75" s="13"/>
      <c r="Z75" s="13"/>
      <c r="AB75" s="11">
        <v>72</v>
      </c>
      <c r="AC75" s="12"/>
      <c r="AD75" s="12"/>
      <c r="AE75" s="12"/>
      <c r="AG75" s="11">
        <v>72</v>
      </c>
      <c r="AH75" s="12"/>
      <c r="AI75" s="12"/>
      <c r="AJ75" s="12"/>
      <c r="AL75" s="11">
        <v>72</v>
      </c>
      <c r="AM75" s="12"/>
      <c r="AN75" s="12"/>
      <c r="AO75" s="12"/>
      <c r="AQ75" s="11">
        <v>72</v>
      </c>
      <c r="AR75" s="13"/>
      <c r="AS75" s="13"/>
      <c r="AT75" s="11">
        <v>72</v>
      </c>
      <c r="AU75" s="13"/>
      <c r="AW75" s="11">
        <v>72</v>
      </c>
      <c r="AX75" s="12"/>
      <c r="AY75" s="12"/>
      <c r="AZ75" s="12"/>
      <c r="BA75" s="12"/>
      <c r="BB75" s="12"/>
      <c r="BC75" s="12"/>
      <c r="BD75" s="12"/>
      <c r="BE75" s="12"/>
      <c r="BF75" s="24"/>
      <c r="BG75" s="29"/>
      <c r="BH75" s="12"/>
      <c r="BI75" s="12"/>
      <c r="BK75" s="11">
        <v>72</v>
      </c>
      <c r="BL75" s="12"/>
      <c r="BM75" s="13"/>
      <c r="BN75" s="13"/>
      <c r="BP75" s="11">
        <v>72</v>
      </c>
      <c r="BQ75" s="12"/>
      <c r="BR75" s="13"/>
      <c r="BS75" s="13"/>
      <c r="BU75" s="11">
        <v>72</v>
      </c>
      <c r="BV75" s="12"/>
      <c r="BW75" s="12"/>
      <c r="BX75" s="12"/>
    </row>
    <row r="76" spans="1:76">
      <c r="A76" s="20" t="s">
        <v>24</v>
      </c>
      <c r="B76" s="20">
        <v>9</v>
      </c>
      <c r="C76" s="5" t="s">
        <v>16</v>
      </c>
      <c r="D76" s="37">
        <f t="shared" si="10"/>
        <v>0</v>
      </c>
      <c r="E76" s="59">
        <f t="shared" si="9"/>
        <v>0</v>
      </c>
      <c r="F76" s="38">
        <f t="shared" si="9"/>
        <v>0</v>
      </c>
      <c r="R76" s="11">
        <v>73</v>
      </c>
      <c r="S76" s="12"/>
      <c r="T76" s="13"/>
      <c r="U76" s="13"/>
      <c r="W76" s="11">
        <v>73</v>
      </c>
      <c r="X76" s="12"/>
      <c r="Y76" s="13"/>
      <c r="Z76" s="13"/>
      <c r="AB76" s="11">
        <v>73</v>
      </c>
      <c r="AC76" s="12"/>
      <c r="AD76" s="12"/>
      <c r="AE76" s="12"/>
      <c r="AG76" s="11">
        <v>73</v>
      </c>
      <c r="AH76" s="12"/>
      <c r="AI76" s="12"/>
      <c r="AJ76" s="12"/>
      <c r="AL76" s="11">
        <v>73</v>
      </c>
      <c r="AM76" s="12"/>
      <c r="AN76" s="12"/>
      <c r="AO76" s="12"/>
      <c r="AQ76" s="11">
        <v>73</v>
      </c>
      <c r="AR76" s="13"/>
      <c r="AS76" s="13"/>
      <c r="AT76" s="11">
        <v>73</v>
      </c>
      <c r="AU76" s="13"/>
      <c r="AW76" s="11">
        <v>73</v>
      </c>
      <c r="AX76" s="12"/>
      <c r="AY76" s="12"/>
      <c r="AZ76" s="12"/>
      <c r="BA76" s="12"/>
      <c r="BB76" s="12"/>
      <c r="BC76" s="12"/>
      <c r="BD76" s="12"/>
      <c r="BE76" s="12"/>
      <c r="BF76" s="24"/>
      <c r="BG76" s="29"/>
      <c r="BH76" s="12"/>
      <c r="BI76" s="12"/>
      <c r="BK76" s="11">
        <v>73</v>
      </c>
      <c r="BL76" s="12"/>
      <c r="BM76" s="13"/>
      <c r="BN76" s="13"/>
      <c r="BP76" s="11">
        <v>73</v>
      </c>
      <c r="BQ76" s="12"/>
      <c r="BR76" s="13"/>
      <c r="BS76" s="13"/>
      <c r="BU76" s="11">
        <v>73</v>
      </c>
      <c r="BV76" s="12"/>
      <c r="BW76" s="12"/>
      <c r="BX76" s="12"/>
    </row>
    <row r="77" spans="1:76">
      <c r="A77" s="21" t="s">
        <v>35</v>
      </c>
      <c r="B77" s="21">
        <v>10</v>
      </c>
      <c r="C77" s="5" t="s">
        <v>37</v>
      </c>
      <c r="D77" s="37">
        <f t="shared" si="10"/>
        <v>0</v>
      </c>
      <c r="E77" s="59">
        <f t="shared" si="9"/>
        <v>0</v>
      </c>
      <c r="F77" s="38">
        <f t="shared" si="9"/>
        <v>0</v>
      </c>
      <c r="R77" s="11">
        <v>74</v>
      </c>
      <c r="S77" s="12"/>
      <c r="T77" s="13"/>
      <c r="U77" s="13"/>
      <c r="W77" s="11">
        <v>74</v>
      </c>
      <c r="X77" s="12"/>
      <c r="Y77" s="13"/>
      <c r="Z77" s="13"/>
      <c r="AB77" s="11">
        <v>74</v>
      </c>
      <c r="AC77" s="12"/>
      <c r="AD77" s="12"/>
      <c r="AE77" s="12"/>
      <c r="AG77" s="11">
        <v>74</v>
      </c>
      <c r="AH77" s="12"/>
      <c r="AI77" s="12"/>
      <c r="AJ77" s="12"/>
      <c r="AL77" s="11">
        <v>74</v>
      </c>
      <c r="AM77" s="12"/>
      <c r="AN77" s="12"/>
      <c r="AO77" s="12"/>
      <c r="AQ77" s="11">
        <v>74</v>
      </c>
      <c r="AR77" s="13"/>
      <c r="AS77" s="13"/>
      <c r="AT77" s="11">
        <v>74</v>
      </c>
      <c r="AU77" s="13"/>
      <c r="AW77" s="11">
        <v>74</v>
      </c>
      <c r="AX77" s="12"/>
      <c r="AY77" s="12"/>
      <c r="AZ77" s="12"/>
      <c r="BA77" s="12"/>
      <c r="BB77" s="12"/>
      <c r="BC77" s="12"/>
      <c r="BD77" s="12"/>
      <c r="BE77" s="12"/>
      <c r="BF77" s="24"/>
      <c r="BG77" s="29"/>
      <c r="BH77" s="12"/>
      <c r="BI77" s="12"/>
      <c r="BK77" s="11">
        <v>74</v>
      </c>
      <c r="BL77" s="12"/>
      <c r="BM77" s="13"/>
      <c r="BN77" s="13"/>
      <c r="BP77" s="11">
        <v>74</v>
      </c>
      <c r="BQ77" s="12"/>
      <c r="BR77" s="13"/>
      <c r="BS77" s="13"/>
      <c r="BU77" s="11">
        <v>74</v>
      </c>
      <c r="BV77" s="12"/>
      <c r="BW77" s="12"/>
      <c r="BX77" s="12"/>
    </row>
    <row r="78" spans="1:76">
      <c r="A78" s="22" t="s">
        <v>39</v>
      </c>
      <c r="B78" s="22">
        <v>11</v>
      </c>
      <c r="C78" s="17" t="s">
        <v>38</v>
      </c>
      <c r="D78" s="60">
        <f t="shared" si="10"/>
        <v>0</v>
      </c>
      <c r="E78" s="39">
        <f t="shared" si="9"/>
        <v>0</v>
      </c>
      <c r="F78" s="40">
        <f t="shared" si="9"/>
        <v>0</v>
      </c>
      <c r="R78" s="11">
        <v>75</v>
      </c>
      <c r="S78" s="12"/>
      <c r="T78" s="13"/>
      <c r="U78" s="13"/>
      <c r="W78" s="11">
        <v>75</v>
      </c>
      <c r="X78" s="12"/>
      <c r="Y78" s="13"/>
      <c r="Z78" s="13"/>
      <c r="AB78" s="11">
        <v>75</v>
      </c>
      <c r="AC78" s="12"/>
      <c r="AD78" s="12"/>
      <c r="AE78" s="12"/>
      <c r="AG78" s="11">
        <v>75</v>
      </c>
      <c r="AH78" s="12"/>
      <c r="AI78" s="12"/>
      <c r="AJ78" s="12"/>
      <c r="AL78" s="11">
        <v>75</v>
      </c>
      <c r="AM78" s="12"/>
      <c r="AN78" s="12"/>
      <c r="AO78" s="12"/>
      <c r="AQ78" s="11">
        <v>75</v>
      </c>
      <c r="AR78" s="13"/>
      <c r="AS78" s="13"/>
      <c r="AT78" s="11">
        <v>75</v>
      </c>
      <c r="AU78" s="13"/>
      <c r="AW78" s="11">
        <v>75</v>
      </c>
      <c r="AX78" s="12"/>
      <c r="AY78" s="12"/>
      <c r="AZ78" s="12"/>
      <c r="BA78" s="12"/>
      <c r="BB78" s="12"/>
      <c r="BC78" s="12"/>
      <c r="BD78" s="12"/>
      <c r="BE78" s="12"/>
      <c r="BF78" s="24"/>
      <c r="BG78" s="29"/>
      <c r="BH78" s="12"/>
      <c r="BI78" s="12"/>
      <c r="BK78" s="11">
        <v>75</v>
      </c>
      <c r="BL78" s="12"/>
      <c r="BM78" s="13"/>
      <c r="BN78" s="13"/>
      <c r="BP78" s="11">
        <v>75</v>
      </c>
      <c r="BQ78" s="12"/>
      <c r="BR78" s="13"/>
      <c r="BS78" s="13"/>
      <c r="BU78" s="11">
        <v>75</v>
      </c>
      <c r="BV78" s="12"/>
      <c r="BW78" s="12"/>
      <c r="BX78" s="12"/>
    </row>
    <row r="79" spans="1:76">
      <c r="R79" s="11">
        <v>76</v>
      </c>
      <c r="S79" s="12"/>
      <c r="T79" s="13"/>
      <c r="U79" s="13"/>
      <c r="W79" s="11">
        <v>76</v>
      </c>
      <c r="X79" s="12"/>
      <c r="Y79" s="13"/>
      <c r="Z79" s="13"/>
      <c r="AB79" s="11">
        <v>76</v>
      </c>
      <c r="AC79" s="12"/>
      <c r="AD79" s="12"/>
      <c r="AE79" s="12"/>
      <c r="AG79" s="11">
        <v>76</v>
      </c>
      <c r="AH79" s="12"/>
      <c r="AI79" s="12"/>
      <c r="AJ79" s="12"/>
      <c r="AL79" s="11">
        <v>76</v>
      </c>
      <c r="AM79" s="12"/>
      <c r="AN79" s="12"/>
      <c r="AO79" s="12"/>
      <c r="AQ79" s="11">
        <v>76</v>
      </c>
      <c r="AR79" s="13"/>
      <c r="AS79" s="13"/>
      <c r="AT79" s="11">
        <v>76</v>
      </c>
      <c r="AU79" s="13"/>
      <c r="AW79" s="11">
        <v>76</v>
      </c>
      <c r="AX79" s="12"/>
      <c r="AY79" s="12"/>
      <c r="AZ79" s="12"/>
      <c r="BA79" s="12"/>
      <c r="BB79" s="12"/>
      <c r="BC79" s="12"/>
      <c r="BD79" s="12"/>
      <c r="BE79" s="12"/>
      <c r="BF79" s="24"/>
      <c r="BG79" s="29"/>
      <c r="BH79" s="12"/>
      <c r="BI79" s="12"/>
      <c r="BK79" s="11">
        <v>76</v>
      </c>
      <c r="BL79" s="12"/>
      <c r="BM79" s="13"/>
      <c r="BN79" s="13"/>
      <c r="BP79" s="11">
        <v>76</v>
      </c>
      <c r="BQ79" s="12"/>
      <c r="BR79" s="13"/>
      <c r="BS79" s="13"/>
      <c r="BU79" s="11">
        <v>76</v>
      </c>
      <c r="BV79" s="12"/>
      <c r="BW79" s="12"/>
      <c r="BX79" s="12"/>
    </row>
    <row r="80" spans="1:76">
      <c r="R80" s="11">
        <v>77</v>
      </c>
      <c r="S80" s="12"/>
      <c r="T80" s="13"/>
      <c r="U80" s="13"/>
      <c r="W80" s="11">
        <v>77</v>
      </c>
      <c r="X80" s="12"/>
      <c r="Y80" s="13"/>
      <c r="Z80" s="13"/>
      <c r="AB80" s="11">
        <v>77</v>
      </c>
      <c r="AC80" s="12"/>
      <c r="AD80" s="12"/>
      <c r="AE80" s="12"/>
      <c r="AG80" s="11">
        <v>77</v>
      </c>
      <c r="AH80" s="12"/>
      <c r="AI80" s="12"/>
      <c r="AJ80" s="12"/>
      <c r="AL80" s="11">
        <v>77</v>
      </c>
      <c r="AM80" s="12"/>
      <c r="AN80" s="12"/>
      <c r="AO80" s="12"/>
      <c r="AQ80" s="11">
        <v>77</v>
      </c>
      <c r="AR80" s="13"/>
      <c r="AS80" s="13"/>
      <c r="AT80" s="11">
        <v>77</v>
      </c>
      <c r="AU80" s="13"/>
      <c r="AW80" s="11">
        <v>77</v>
      </c>
      <c r="AX80" s="12"/>
      <c r="AY80" s="12"/>
      <c r="AZ80" s="12"/>
      <c r="BA80" s="12"/>
      <c r="BB80" s="12"/>
      <c r="BC80" s="12"/>
      <c r="BD80" s="12"/>
      <c r="BE80" s="12"/>
      <c r="BF80" s="24"/>
      <c r="BG80" s="29"/>
      <c r="BH80" s="12"/>
      <c r="BI80" s="12"/>
      <c r="BK80" s="11">
        <v>77</v>
      </c>
      <c r="BL80" s="12"/>
      <c r="BM80" s="13"/>
      <c r="BN80" s="13"/>
      <c r="BP80" s="11">
        <v>77</v>
      </c>
      <c r="BQ80" s="12"/>
      <c r="BR80" s="13"/>
      <c r="BS80" s="13"/>
      <c r="BU80" s="11">
        <v>77</v>
      </c>
      <c r="BV80" s="12"/>
      <c r="BW80" s="12"/>
      <c r="BX80" s="12"/>
    </row>
    <row r="81" spans="18:76">
      <c r="R81" s="11">
        <v>78</v>
      </c>
      <c r="S81" s="12"/>
      <c r="T81" s="13"/>
      <c r="U81" s="13"/>
      <c r="W81" s="11">
        <v>78</v>
      </c>
      <c r="X81" s="12"/>
      <c r="Y81" s="13"/>
      <c r="Z81" s="13"/>
      <c r="AB81" s="11">
        <v>78</v>
      </c>
      <c r="AC81" s="12"/>
      <c r="AD81" s="12"/>
      <c r="AE81" s="12"/>
      <c r="AG81" s="11">
        <v>78</v>
      </c>
      <c r="AH81" s="12"/>
      <c r="AI81" s="12"/>
      <c r="AJ81" s="12"/>
      <c r="AL81" s="11">
        <v>78</v>
      </c>
      <c r="AM81" s="12"/>
      <c r="AN81" s="12"/>
      <c r="AO81" s="12"/>
      <c r="AQ81" s="11">
        <v>78</v>
      </c>
      <c r="AR81" s="13"/>
      <c r="AS81" s="13"/>
      <c r="AT81" s="11">
        <v>78</v>
      </c>
      <c r="AU81" s="13"/>
      <c r="AW81" s="11">
        <v>78</v>
      </c>
      <c r="AX81" s="12"/>
      <c r="AY81" s="12"/>
      <c r="AZ81" s="12"/>
      <c r="BA81" s="12"/>
      <c r="BB81" s="12"/>
      <c r="BC81" s="12"/>
      <c r="BD81" s="12"/>
      <c r="BE81" s="12"/>
      <c r="BF81" s="24"/>
      <c r="BG81" s="29"/>
      <c r="BH81" s="12"/>
      <c r="BI81" s="12"/>
      <c r="BK81" s="11">
        <v>78</v>
      </c>
      <c r="BL81" s="12"/>
      <c r="BM81" s="13"/>
      <c r="BN81" s="13"/>
      <c r="BP81" s="11">
        <v>78</v>
      </c>
      <c r="BQ81" s="12"/>
      <c r="BR81" s="13"/>
      <c r="BS81" s="13"/>
      <c r="BU81" s="11">
        <v>78</v>
      </c>
      <c r="BV81" s="12"/>
      <c r="BW81" s="12"/>
      <c r="BX81" s="12"/>
    </row>
    <row r="82" spans="18:76">
      <c r="R82" s="11">
        <v>79</v>
      </c>
      <c r="S82" s="12"/>
      <c r="T82" s="13"/>
      <c r="U82" s="13"/>
      <c r="W82" s="11">
        <v>79</v>
      </c>
      <c r="X82" s="12"/>
      <c r="Y82" s="13"/>
      <c r="Z82" s="13"/>
      <c r="AB82" s="11">
        <v>79</v>
      </c>
      <c r="AC82" s="12"/>
      <c r="AD82" s="12"/>
      <c r="AE82" s="12"/>
      <c r="AG82" s="11">
        <v>79</v>
      </c>
      <c r="AH82" s="12"/>
      <c r="AI82" s="12"/>
      <c r="AJ82" s="12"/>
      <c r="AL82" s="11">
        <v>79</v>
      </c>
      <c r="AM82" s="12"/>
      <c r="AN82" s="12"/>
      <c r="AO82" s="12"/>
      <c r="AQ82" s="11">
        <v>79</v>
      </c>
      <c r="AR82" s="13"/>
      <c r="AS82" s="13"/>
      <c r="AT82" s="11">
        <v>79</v>
      </c>
      <c r="AU82" s="13"/>
      <c r="AW82" s="11">
        <v>79</v>
      </c>
      <c r="AX82" s="12"/>
      <c r="AY82" s="12"/>
      <c r="AZ82" s="12"/>
      <c r="BA82" s="12"/>
      <c r="BB82" s="12"/>
      <c r="BC82" s="12"/>
      <c r="BD82" s="12"/>
      <c r="BE82" s="12"/>
      <c r="BF82" s="24"/>
      <c r="BG82" s="29"/>
      <c r="BH82" s="12"/>
      <c r="BI82" s="12"/>
      <c r="BK82" s="11">
        <v>79</v>
      </c>
      <c r="BL82" s="12"/>
      <c r="BM82" s="13"/>
      <c r="BN82" s="13"/>
      <c r="BP82" s="11">
        <v>79</v>
      </c>
      <c r="BQ82" s="12"/>
      <c r="BR82" s="13"/>
      <c r="BS82" s="13"/>
      <c r="BU82" s="11">
        <v>79</v>
      </c>
      <c r="BV82" s="12"/>
      <c r="BW82" s="12"/>
      <c r="BX82" s="12"/>
    </row>
    <row r="83" spans="18:76">
      <c r="R83" s="11">
        <v>80</v>
      </c>
      <c r="S83" s="12"/>
      <c r="T83" s="13"/>
      <c r="U83" s="13"/>
      <c r="W83" s="11">
        <v>80</v>
      </c>
      <c r="X83" s="12"/>
      <c r="Y83" s="13"/>
      <c r="Z83" s="13"/>
      <c r="AB83" s="11">
        <v>80</v>
      </c>
      <c r="AC83" s="12"/>
      <c r="AD83" s="12"/>
      <c r="AE83" s="12"/>
      <c r="AG83" s="11">
        <v>80</v>
      </c>
      <c r="AH83" s="12"/>
      <c r="AI83" s="12"/>
      <c r="AJ83" s="12"/>
      <c r="AL83" s="11">
        <v>80</v>
      </c>
      <c r="AM83" s="12"/>
      <c r="AN83" s="12"/>
      <c r="AO83" s="12"/>
      <c r="AQ83" s="11">
        <v>80</v>
      </c>
      <c r="AR83" s="13"/>
      <c r="AS83" s="13"/>
      <c r="AT83" s="11">
        <v>80</v>
      </c>
      <c r="AU83" s="13"/>
      <c r="AW83" s="11">
        <v>80</v>
      </c>
      <c r="AX83" s="12"/>
      <c r="AY83" s="12"/>
      <c r="AZ83" s="12"/>
      <c r="BA83" s="12"/>
      <c r="BB83" s="12"/>
      <c r="BC83" s="12"/>
      <c r="BD83" s="12"/>
      <c r="BE83" s="12"/>
      <c r="BF83" s="24"/>
      <c r="BG83" s="29"/>
      <c r="BH83" s="12"/>
      <c r="BI83" s="12"/>
      <c r="BK83" s="11">
        <v>80</v>
      </c>
      <c r="BL83" s="12"/>
      <c r="BM83" s="13"/>
      <c r="BN83" s="13"/>
      <c r="BP83" s="11">
        <v>80</v>
      </c>
      <c r="BQ83" s="12"/>
      <c r="BR83" s="13"/>
      <c r="BS83" s="13"/>
      <c r="BU83" s="11">
        <v>80</v>
      </c>
      <c r="BV83" s="12"/>
      <c r="BW83" s="12"/>
      <c r="BX83" s="12"/>
    </row>
    <row r="84" spans="18:76">
      <c r="R84" s="11">
        <v>81</v>
      </c>
      <c r="S84" s="12"/>
      <c r="T84" s="13"/>
      <c r="U84" s="13"/>
      <c r="W84" s="11">
        <v>81</v>
      </c>
      <c r="X84" s="12"/>
      <c r="Y84" s="13"/>
      <c r="Z84" s="13"/>
      <c r="AB84" s="11">
        <v>81</v>
      </c>
      <c r="AC84" s="12"/>
      <c r="AD84" s="12"/>
      <c r="AE84" s="12"/>
      <c r="AG84" s="11">
        <v>81</v>
      </c>
      <c r="AH84" s="12"/>
      <c r="AI84" s="12"/>
      <c r="AJ84" s="12"/>
      <c r="AL84" s="11">
        <v>81</v>
      </c>
      <c r="AM84" s="12"/>
      <c r="AN84" s="12"/>
      <c r="AO84" s="12"/>
      <c r="AQ84" s="11">
        <v>81</v>
      </c>
      <c r="AR84" s="13"/>
      <c r="AS84" s="13"/>
      <c r="AT84" s="11">
        <v>81</v>
      </c>
      <c r="AU84" s="13"/>
      <c r="AW84" s="11">
        <v>81</v>
      </c>
      <c r="AX84" s="12"/>
      <c r="AY84" s="12"/>
      <c r="AZ84" s="12"/>
      <c r="BA84" s="12"/>
      <c r="BB84" s="12"/>
      <c r="BC84" s="12"/>
      <c r="BD84" s="12"/>
      <c r="BE84" s="12"/>
      <c r="BF84" s="24"/>
      <c r="BG84" s="29"/>
      <c r="BH84" s="12"/>
      <c r="BI84" s="12"/>
      <c r="BK84" s="11">
        <v>81</v>
      </c>
      <c r="BL84" s="12"/>
      <c r="BM84" s="13"/>
      <c r="BN84" s="13"/>
      <c r="BP84" s="11">
        <v>81</v>
      </c>
      <c r="BQ84" s="12"/>
      <c r="BR84" s="13"/>
      <c r="BS84" s="13"/>
      <c r="BU84" s="11">
        <v>81</v>
      </c>
      <c r="BV84" s="12"/>
      <c r="BW84" s="12"/>
      <c r="BX84" s="12"/>
    </row>
    <row r="85" spans="18:76">
      <c r="R85" s="11">
        <v>82</v>
      </c>
      <c r="S85" s="12"/>
      <c r="T85" s="13"/>
      <c r="U85" s="13"/>
      <c r="W85" s="11">
        <v>82</v>
      </c>
      <c r="X85" s="12"/>
      <c r="Y85" s="13"/>
      <c r="Z85" s="13"/>
      <c r="AB85" s="11">
        <v>82</v>
      </c>
      <c r="AC85" s="12"/>
      <c r="AD85" s="12"/>
      <c r="AE85" s="12"/>
      <c r="AG85" s="11">
        <v>82</v>
      </c>
      <c r="AH85" s="12"/>
      <c r="AI85" s="12"/>
      <c r="AJ85" s="12"/>
      <c r="AL85" s="11">
        <v>82</v>
      </c>
      <c r="AM85" s="12"/>
      <c r="AN85" s="12"/>
      <c r="AO85" s="12"/>
      <c r="AQ85" s="11">
        <v>82</v>
      </c>
      <c r="AR85" s="13"/>
      <c r="AS85" s="13"/>
      <c r="AT85" s="11">
        <v>82</v>
      </c>
      <c r="AU85" s="13"/>
      <c r="AW85" s="11">
        <v>82</v>
      </c>
      <c r="AX85" s="12"/>
      <c r="AY85" s="12"/>
      <c r="AZ85" s="12"/>
      <c r="BA85" s="12"/>
      <c r="BB85" s="12"/>
      <c r="BC85" s="12"/>
      <c r="BD85" s="12"/>
      <c r="BE85" s="12"/>
      <c r="BF85" s="24"/>
      <c r="BG85" s="29"/>
      <c r="BH85" s="12"/>
      <c r="BI85" s="12"/>
      <c r="BK85" s="11">
        <v>82</v>
      </c>
      <c r="BL85" s="12"/>
      <c r="BM85" s="13"/>
      <c r="BN85" s="13"/>
      <c r="BP85" s="11">
        <v>82</v>
      </c>
      <c r="BQ85" s="12"/>
      <c r="BR85" s="13"/>
      <c r="BS85" s="13"/>
      <c r="BU85" s="11">
        <v>82</v>
      </c>
      <c r="BV85" s="12"/>
      <c r="BW85" s="12"/>
      <c r="BX85" s="12"/>
    </row>
    <row r="86" spans="18:76">
      <c r="R86" s="11">
        <v>83</v>
      </c>
      <c r="S86" s="12"/>
      <c r="T86" s="13"/>
      <c r="U86" s="13"/>
      <c r="W86" s="11">
        <v>83</v>
      </c>
      <c r="X86" s="12"/>
      <c r="Y86" s="13"/>
      <c r="Z86" s="13"/>
      <c r="AB86" s="11">
        <v>83</v>
      </c>
      <c r="AC86" s="12"/>
      <c r="AD86" s="12"/>
      <c r="AE86" s="12"/>
      <c r="AG86" s="11">
        <v>83</v>
      </c>
      <c r="AH86" s="12"/>
      <c r="AI86" s="12"/>
      <c r="AJ86" s="12"/>
      <c r="AL86" s="11">
        <v>83</v>
      </c>
      <c r="AM86" s="12"/>
      <c r="AN86" s="12"/>
      <c r="AO86" s="12"/>
      <c r="AQ86" s="11">
        <v>83</v>
      </c>
      <c r="AR86" s="13"/>
      <c r="AS86" s="13"/>
      <c r="AT86" s="11">
        <v>83</v>
      </c>
      <c r="AU86" s="13"/>
      <c r="AW86" s="11">
        <v>83</v>
      </c>
      <c r="AX86" s="12"/>
      <c r="AY86" s="12"/>
      <c r="AZ86" s="12"/>
      <c r="BA86" s="12"/>
      <c r="BB86" s="12"/>
      <c r="BC86" s="12"/>
      <c r="BD86" s="12"/>
      <c r="BE86" s="12"/>
      <c r="BF86" s="24"/>
      <c r="BG86" s="29"/>
      <c r="BH86" s="12"/>
      <c r="BI86" s="12"/>
      <c r="BK86" s="11">
        <v>83</v>
      </c>
      <c r="BL86" s="12"/>
      <c r="BM86" s="13"/>
      <c r="BN86" s="13"/>
      <c r="BP86" s="11">
        <v>83</v>
      </c>
      <c r="BQ86" s="12"/>
      <c r="BR86" s="13"/>
      <c r="BS86" s="13"/>
      <c r="BU86" s="11">
        <v>83</v>
      </c>
      <c r="BV86" s="12"/>
      <c r="BW86" s="12"/>
      <c r="BX86" s="12"/>
    </row>
    <row r="87" spans="18:76">
      <c r="R87" s="11">
        <v>84</v>
      </c>
      <c r="S87" s="12"/>
      <c r="T87" s="13"/>
      <c r="U87" s="13"/>
      <c r="W87" s="11">
        <v>84</v>
      </c>
      <c r="X87" s="12"/>
      <c r="Y87" s="13"/>
      <c r="Z87" s="13"/>
      <c r="AB87" s="11">
        <v>84</v>
      </c>
      <c r="AC87" s="12"/>
      <c r="AD87" s="12"/>
      <c r="AE87" s="12"/>
      <c r="AG87" s="11">
        <v>84</v>
      </c>
      <c r="AH87" s="12"/>
      <c r="AI87" s="12"/>
      <c r="AJ87" s="12"/>
      <c r="AL87" s="11">
        <v>84</v>
      </c>
      <c r="AM87" s="12"/>
      <c r="AN87" s="12"/>
      <c r="AO87" s="12"/>
      <c r="AQ87" s="11">
        <v>84</v>
      </c>
      <c r="AR87" s="13"/>
      <c r="AS87" s="13"/>
      <c r="AT87" s="11">
        <v>84</v>
      </c>
      <c r="AU87" s="13"/>
      <c r="AW87" s="11">
        <v>84</v>
      </c>
      <c r="AX87" s="12"/>
      <c r="AY87" s="12"/>
      <c r="AZ87" s="12"/>
      <c r="BA87" s="12"/>
      <c r="BB87" s="12"/>
      <c r="BC87" s="12"/>
      <c r="BD87" s="12"/>
      <c r="BE87" s="12"/>
      <c r="BF87" s="24"/>
      <c r="BG87" s="29"/>
      <c r="BH87" s="12"/>
      <c r="BI87" s="12"/>
      <c r="BK87" s="11">
        <v>84</v>
      </c>
      <c r="BL87" s="12"/>
      <c r="BM87" s="13"/>
      <c r="BN87" s="13"/>
      <c r="BP87" s="11">
        <v>84</v>
      </c>
      <c r="BQ87" s="12"/>
      <c r="BR87" s="13"/>
      <c r="BS87" s="13"/>
      <c r="BU87" s="11">
        <v>84</v>
      </c>
      <c r="BV87" s="12"/>
      <c r="BW87" s="12"/>
      <c r="BX87" s="12"/>
    </row>
    <row r="88" spans="18:76">
      <c r="R88" s="11">
        <v>85</v>
      </c>
      <c r="S88" s="12"/>
      <c r="T88" s="13"/>
      <c r="U88" s="13"/>
      <c r="W88" s="11">
        <v>85</v>
      </c>
      <c r="X88" s="12"/>
      <c r="Y88" s="13"/>
      <c r="Z88" s="13"/>
      <c r="AB88" s="11">
        <v>85</v>
      </c>
      <c r="AC88" s="12"/>
      <c r="AD88" s="12"/>
      <c r="AE88" s="12"/>
      <c r="AG88" s="11">
        <v>85</v>
      </c>
      <c r="AH88" s="12"/>
      <c r="AI88" s="12"/>
      <c r="AJ88" s="12"/>
      <c r="AL88" s="11">
        <v>85</v>
      </c>
      <c r="AM88" s="12"/>
      <c r="AN88" s="12"/>
      <c r="AO88" s="12"/>
      <c r="AQ88" s="11">
        <v>85</v>
      </c>
      <c r="AR88" s="13"/>
      <c r="AS88" s="13"/>
      <c r="AT88" s="11">
        <v>85</v>
      </c>
      <c r="AU88" s="13"/>
      <c r="AW88" s="11">
        <v>85</v>
      </c>
      <c r="AX88" s="12"/>
      <c r="AY88" s="12"/>
      <c r="AZ88" s="12"/>
      <c r="BA88" s="12"/>
      <c r="BB88" s="12"/>
      <c r="BC88" s="12"/>
      <c r="BD88" s="12"/>
      <c r="BE88" s="12"/>
      <c r="BF88" s="24"/>
      <c r="BG88" s="29"/>
      <c r="BH88" s="12"/>
      <c r="BI88" s="12"/>
      <c r="BK88" s="11">
        <v>85</v>
      </c>
      <c r="BL88" s="12"/>
      <c r="BM88" s="13"/>
      <c r="BN88" s="13"/>
      <c r="BP88" s="11">
        <v>85</v>
      </c>
      <c r="BQ88" s="12"/>
      <c r="BR88" s="13"/>
      <c r="BS88" s="13"/>
      <c r="BU88" s="11">
        <v>85</v>
      </c>
      <c r="BV88" s="12"/>
      <c r="BW88" s="12"/>
      <c r="BX88" s="12"/>
    </row>
    <row r="89" spans="18:76">
      <c r="R89" s="11">
        <v>86</v>
      </c>
      <c r="S89" s="12"/>
      <c r="T89" s="13"/>
      <c r="U89" s="13"/>
      <c r="W89" s="11">
        <v>86</v>
      </c>
      <c r="X89" s="12"/>
      <c r="Y89" s="13"/>
      <c r="Z89" s="13"/>
      <c r="AB89" s="11">
        <v>86</v>
      </c>
      <c r="AC89" s="12"/>
      <c r="AD89" s="12"/>
      <c r="AE89" s="12"/>
      <c r="AG89" s="11">
        <v>86</v>
      </c>
      <c r="AH89" s="12"/>
      <c r="AI89" s="12"/>
      <c r="AJ89" s="12"/>
      <c r="AL89" s="11">
        <v>86</v>
      </c>
      <c r="AM89" s="12"/>
      <c r="AN89" s="12"/>
      <c r="AO89" s="12"/>
      <c r="AQ89" s="11">
        <v>86</v>
      </c>
      <c r="AR89" s="13"/>
      <c r="AS89" s="13"/>
      <c r="AT89" s="11">
        <v>86</v>
      </c>
      <c r="AU89" s="13"/>
      <c r="AW89" s="11">
        <v>86</v>
      </c>
      <c r="AX89" s="12"/>
      <c r="AY89" s="12"/>
      <c r="AZ89" s="12"/>
      <c r="BA89" s="12"/>
      <c r="BB89" s="12"/>
      <c r="BC89" s="12"/>
      <c r="BD89" s="12"/>
      <c r="BE89" s="12"/>
      <c r="BF89" s="24"/>
      <c r="BG89" s="29"/>
      <c r="BH89" s="12"/>
      <c r="BI89" s="12"/>
      <c r="BK89" s="11">
        <v>86</v>
      </c>
      <c r="BL89" s="12"/>
      <c r="BM89" s="13"/>
      <c r="BN89" s="13"/>
      <c r="BP89" s="11">
        <v>86</v>
      </c>
      <c r="BQ89" s="12"/>
      <c r="BR89" s="13"/>
      <c r="BS89" s="13"/>
      <c r="BU89" s="11">
        <v>86</v>
      </c>
      <c r="BV89" s="12"/>
      <c r="BW89" s="12"/>
      <c r="BX89" s="12"/>
    </row>
    <row r="90" spans="18:76">
      <c r="R90" s="11">
        <v>87</v>
      </c>
      <c r="S90" s="12"/>
      <c r="T90" s="13"/>
      <c r="U90" s="13"/>
      <c r="W90" s="11">
        <v>87</v>
      </c>
      <c r="X90" s="12"/>
      <c r="Y90" s="13"/>
      <c r="Z90" s="13"/>
      <c r="AB90" s="11">
        <v>87</v>
      </c>
      <c r="AC90" s="12"/>
      <c r="AD90" s="12"/>
      <c r="AE90" s="12"/>
      <c r="AG90" s="11">
        <v>87</v>
      </c>
      <c r="AH90" s="12"/>
      <c r="AI90" s="12"/>
      <c r="AJ90" s="12"/>
      <c r="AL90" s="11">
        <v>87</v>
      </c>
      <c r="AM90" s="12"/>
      <c r="AN90" s="12"/>
      <c r="AO90" s="12"/>
      <c r="AQ90" s="11">
        <v>87</v>
      </c>
      <c r="AR90" s="13"/>
      <c r="AS90" s="13"/>
      <c r="AT90" s="11">
        <v>87</v>
      </c>
      <c r="AU90" s="13"/>
      <c r="AW90" s="11">
        <v>87</v>
      </c>
      <c r="AX90" s="12"/>
      <c r="AY90" s="12"/>
      <c r="AZ90" s="12"/>
      <c r="BA90" s="12"/>
      <c r="BB90" s="12"/>
      <c r="BC90" s="12"/>
      <c r="BD90" s="12"/>
      <c r="BE90" s="12"/>
      <c r="BF90" s="24"/>
      <c r="BG90" s="29"/>
      <c r="BH90" s="12"/>
      <c r="BI90" s="12"/>
      <c r="BK90" s="11">
        <v>87</v>
      </c>
      <c r="BL90" s="12"/>
      <c r="BM90" s="13"/>
      <c r="BN90" s="13"/>
      <c r="BP90" s="11">
        <v>87</v>
      </c>
      <c r="BQ90" s="12"/>
      <c r="BR90" s="13"/>
      <c r="BS90" s="13"/>
      <c r="BU90" s="11">
        <v>87</v>
      </c>
      <c r="BV90" s="12"/>
      <c r="BW90" s="12"/>
      <c r="BX90" s="12"/>
    </row>
    <row r="91" spans="18:76">
      <c r="R91" s="11">
        <v>88</v>
      </c>
      <c r="S91" s="12"/>
      <c r="T91" s="13"/>
      <c r="U91" s="13"/>
      <c r="W91" s="11">
        <v>88</v>
      </c>
      <c r="X91" s="12"/>
      <c r="Y91" s="13"/>
      <c r="Z91" s="13"/>
      <c r="AB91" s="11">
        <v>88</v>
      </c>
      <c r="AC91" s="12"/>
      <c r="AD91" s="12"/>
      <c r="AE91" s="12"/>
      <c r="AG91" s="11">
        <v>88</v>
      </c>
      <c r="AH91" s="12"/>
      <c r="AI91" s="12"/>
      <c r="AJ91" s="12"/>
      <c r="AL91" s="11">
        <v>88</v>
      </c>
      <c r="AM91" s="12"/>
      <c r="AN91" s="12"/>
      <c r="AO91" s="12"/>
      <c r="AQ91" s="11">
        <v>88</v>
      </c>
      <c r="AR91" s="13"/>
      <c r="AS91" s="13"/>
      <c r="AT91" s="11">
        <v>88</v>
      </c>
      <c r="AU91" s="13"/>
      <c r="AW91" s="11">
        <v>88</v>
      </c>
      <c r="AX91" s="12"/>
      <c r="AY91" s="12"/>
      <c r="AZ91" s="12"/>
      <c r="BA91" s="12"/>
      <c r="BB91" s="12"/>
      <c r="BC91" s="12"/>
      <c r="BD91" s="12"/>
      <c r="BE91" s="12"/>
      <c r="BF91" s="24"/>
      <c r="BG91" s="29"/>
      <c r="BH91" s="12"/>
      <c r="BI91" s="12"/>
      <c r="BK91" s="11">
        <v>88</v>
      </c>
      <c r="BL91" s="12"/>
      <c r="BM91" s="13"/>
      <c r="BN91" s="13"/>
      <c r="BP91" s="11">
        <v>88</v>
      </c>
      <c r="BQ91" s="12"/>
      <c r="BR91" s="13"/>
      <c r="BS91" s="13"/>
      <c r="BU91" s="11">
        <v>88</v>
      </c>
      <c r="BV91" s="12"/>
      <c r="BW91" s="12"/>
      <c r="BX91" s="12"/>
    </row>
    <row r="92" spans="18:76">
      <c r="R92" s="11">
        <v>89</v>
      </c>
      <c r="S92" s="12"/>
      <c r="T92" s="13"/>
      <c r="U92" s="13"/>
      <c r="W92" s="11">
        <v>89</v>
      </c>
      <c r="X92" s="12"/>
      <c r="Y92" s="13"/>
      <c r="Z92" s="13"/>
      <c r="AB92" s="11">
        <v>89</v>
      </c>
      <c r="AC92" s="12"/>
      <c r="AD92" s="12"/>
      <c r="AE92" s="12"/>
      <c r="AG92" s="11">
        <v>89</v>
      </c>
      <c r="AH92" s="12"/>
      <c r="AI92" s="12"/>
      <c r="AJ92" s="12"/>
      <c r="AL92" s="11">
        <v>89</v>
      </c>
      <c r="AM92" s="12"/>
      <c r="AN92" s="12"/>
      <c r="AO92" s="12"/>
      <c r="AQ92" s="11">
        <v>89</v>
      </c>
      <c r="AR92" s="13"/>
      <c r="AS92" s="13"/>
      <c r="AT92" s="11">
        <v>89</v>
      </c>
      <c r="AU92" s="13"/>
      <c r="AW92" s="11">
        <v>89</v>
      </c>
      <c r="AX92" s="12"/>
      <c r="AY92" s="12"/>
      <c r="AZ92" s="12"/>
      <c r="BA92" s="12"/>
      <c r="BB92" s="12"/>
      <c r="BC92" s="12"/>
      <c r="BD92" s="12"/>
      <c r="BE92" s="12"/>
      <c r="BF92" s="24"/>
      <c r="BG92" s="29"/>
      <c r="BH92" s="12"/>
      <c r="BI92" s="12"/>
      <c r="BK92" s="11">
        <v>89</v>
      </c>
      <c r="BL92" s="12"/>
      <c r="BM92" s="13"/>
      <c r="BN92" s="13"/>
      <c r="BP92" s="11">
        <v>89</v>
      </c>
      <c r="BQ92" s="12"/>
      <c r="BR92" s="13"/>
      <c r="BS92" s="13"/>
      <c r="BU92" s="11">
        <v>89</v>
      </c>
      <c r="BV92" s="12"/>
      <c r="BW92" s="12"/>
      <c r="BX92" s="12"/>
    </row>
    <row r="93" spans="18:76">
      <c r="R93" s="11">
        <v>90</v>
      </c>
      <c r="S93" s="12"/>
      <c r="T93" s="13"/>
      <c r="U93" s="13"/>
      <c r="W93" s="11">
        <v>90</v>
      </c>
      <c r="X93" s="12"/>
      <c r="Y93" s="13"/>
      <c r="Z93" s="13"/>
      <c r="AB93" s="11">
        <v>90</v>
      </c>
      <c r="AC93" s="12"/>
      <c r="AD93" s="12"/>
      <c r="AE93" s="12"/>
      <c r="AG93" s="11">
        <v>90</v>
      </c>
      <c r="AH93" s="12"/>
      <c r="AI93" s="12"/>
      <c r="AJ93" s="12"/>
      <c r="AL93" s="11">
        <v>90</v>
      </c>
      <c r="AM93" s="12"/>
      <c r="AN93" s="12"/>
      <c r="AO93" s="12"/>
      <c r="AQ93" s="11">
        <v>90</v>
      </c>
      <c r="AR93" s="13"/>
      <c r="AS93" s="13"/>
      <c r="AT93" s="11">
        <v>90</v>
      </c>
      <c r="AU93" s="13"/>
      <c r="AW93" s="11">
        <v>90</v>
      </c>
      <c r="AX93" s="12"/>
      <c r="AY93" s="12"/>
      <c r="AZ93" s="12"/>
      <c r="BA93" s="12"/>
      <c r="BB93" s="12"/>
      <c r="BC93" s="12"/>
      <c r="BD93" s="12"/>
      <c r="BE93" s="12"/>
      <c r="BF93" s="24"/>
      <c r="BG93" s="29"/>
      <c r="BH93" s="12"/>
      <c r="BI93" s="12"/>
      <c r="BK93" s="11">
        <v>90</v>
      </c>
      <c r="BL93" s="12"/>
      <c r="BM93" s="13"/>
      <c r="BN93" s="13"/>
      <c r="BP93" s="11">
        <v>90</v>
      </c>
      <c r="BQ93" s="12"/>
      <c r="BR93" s="13"/>
      <c r="BS93" s="13"/>
      <c r="BU93" s="11">
        <v>90</v>
      </c>
      <c r="BV93" s="12"/>
      <c r="BW93" s="12"/>
      <c r="BX93" s="12"/>
    </row>
    <row r="94" spans="18:76">
      <c r="R94" s="11">
        <v>91</v>
      </c>
      <c r="S94" s="12"/>
      <c r="T94" s="13"/>
      <c r="U94" s="13"/>
      <c r="W94" s="11">
        <v>91</v>
      </c>
      <c r="X94" s="12"/>
      <c r="Y94" s="13"/>
      <c r="Z94" s="13"/>
      <c r="AB94" s="11">
        <v>91</v>
      </c>
      <c r="AC94" s="12"/>
      <c r="AD94" s="12"/>
      <c r="AE94" s="12"/>
      <c r="AG94" s="11">
        <v>91</v>
      </c>
      <c r="AH94" s="12"/>
      <c r="AI94" s="12"/>
      <c r="AJ94" s="12"/>
      <c r="AL94" s="11">
        <v>91</v>
      </c>
      <c r="AM94" s="12"/>
      <c r="AN94" s="12"/>
      <c r="AO94" s="12"/>
      <c r="AQ94" s="11">
        <v>91</v>
      </c>
      <c r="AR94" s="13"/>
      <c r="AS94" s="13"/>
      <c r="AT94" s="11">
        <v>91</v>
      </c>
      <c r="AU94" s="13"/>
      <c r="AW94" s="11">
        <v>91</v>
      </c>
      <c r="AX94" s="12"/>
      <c r="AY94" s="12"/>
      <c r="AZ94" s="12"/>
      <c r="BA94" s="12"/>
      <c r="BB94" s="12"/>
      <c r="BC94" s="12"/>
      <c r="BD94" s="12"/>
      <c r="BE94" s="12"/>
      <c r="BF94" s="24"/>
      <c r="BG94" s="29"/>
      <c r="BH94" s="12"/>
      <c r="BI94" s="12"/>
      <c r="BK94" s="11">
        <v>91</v>
      </c>
      <c r="BL94" s="12"/>
      <c r="BM94" s="13"/>
      <c r="BN94" s="13"/>
      <c r="BP94" s="11">
        <v>91</v>
      </c>
      <c r="BQ94" s="12"/>
      <c r="BR94" s="13"/>
      <c r="BS94" s="13"/>
      <c r="BU94" s="11">
        <v>91</v>
      </c>
      <c r="BV94" s="12"/>
      <c r="BW94" s="12"/>
      <c r="BX94" s="12"/>
    </row>
    <row r="95" spans="18:76">
      <c r="R95" s="11">
        <v>92</v>
      </c>
      <c r="S95" s="12"/>
      <c r="T95" s="13"/>
      <c r="U95" s="13"/>
      <c r="W95" s="11">
        <v>92</v>
      </c>
      <c r="X95" s="12"/>
      <c r="Y95" s="13"/>
      <c r="Z95" s="13"/>
      <c r="AB95" s="11">
        <v>92</v>
      </c>
      <c r="AC95" s="12"/>
      <c r="AD95" s="12"/>
      <c r="AE95" s="12"/>
      <c r="AG95" s="11">
        <v>92</v>
      </c>
      <c r="AH95" s="12"/>
      <c r="AI95" s="12"/>
      <c r="AJ95" s="12"/>
      <c r="AL95" s="11">
        <v>92</v>
      </c>
      <c r="AM95" s="12"/>
      <c r="AN95" s="12"/>
      <c r="AO95" s="12"/>
      <c r="AQ95" s="11">
        <v>92</v>
      </c>
      <c r="AR95" s="13"/>
      <c r="AS95" s="13"/>
      <c r="AT95" s="11">
        <v>92</v>
      </c>
      <c r="AU95" s="13"/>
      <c r="AW95" s="11">
        <v>92</v>
      </c>
      <c r="AX95" s="12"/>
      <c r="AY95" s="12"/>
      <c r="AZ95" s="12"/>
      <c r="BA95" s="12"/>
      <c r="BB95" s="12"/>
      <c r="BC95" s="12"/>
      <c r="BD95" s="12"/>
      <c r="BE95" s="12"/>
      <c r="BF95" s="24"/>
      <c r="BG95" s="29"/>
      <c r="BH95" s="12"/>
      <c r="BI95" s="12"/>
      <c r="BK95" s="11">
        <v>92</v>
      </c>
      <c r="BL95" s="12"/>
      <c r="BM95" s="13"/>
      <c r="BN95" s="13"/>
      <c r="BP95" s="11">
        <v>92</v>
      </c>
      <c r="BQ95" s="12"/>
      <c r="BR95" s="13"/>
      <c r="BS95" s="13"/>
      <c r="BU95" s="11">
        <v>92</v>
      </c>
      <c r="BV95" s="12"/>
      <c r="BW95" s="12"/>
      <c r="BX95" s="12"/>
    </row>
    <row r="96" spans="18:76">
      <c r="R96" s="11">
        <v>93</v>
      </c>
      <c r="S96" s="12"/>
      <c r="T96" s="13"/>
      <c r="U96" s="13"/>
      <c r="W96" s="11">
        <v>93</v>
      </c>
      <c r="X96" s="12"/>
      <c r="Y96" s="13"/>
      <c r="Z96" s="13"/>
      <c r="AB96" s="11">
        <v>93</v>
      </c>
      <c r="AC96" s="12"/>
      <c r="AD96" s="12"/>
      <c r="AE96" s="12"/>
      <c r="AG96" s="11">
        <v>93</v>
      </c>
      <c r="AH96" s="12"/>
      <c r="AI96" s="12"/>
      <c r="AJ96" s="12"/>
      <c r="AL96" s="11">
        <v>93</v>
      </c>
      <c r="AM96" s="12"/>
      <c r="AN96" s="12"/>
      <c r="AO96" s="12"/>
      <c r="AQ96" s="11">
        <v>93</v>
      </c>
      <c r="AR96" s="13"/>
      <c r="AS96" s="13"/>
      <c r="AT96" s="11">
        <v>93</v>
      </c>
      <c r="AU96" s="13"/>
      <c r="AW96" s="11">
        <v>93</v>
      </c>
      <c r="AX96" s="12"/>
      <c r="AY96" s="12"/>
      <c r="AZ96" s="12"/>
      <c r="BA96" s="12"/>
      <c r="BB96" s="12"/>
      <c r="BC96" s="12"/>
      <c r="BD96" s="12"/>
      <c r="BE96" s="12"/>
      <c r="BF96" s="24"/>
      <c r="BG96" s="29"/>
      <c r="BH96" s="12"/>
      <c r="BI96" s="12"/>
      <c r="BK96" s="11">
        <v>93</v>
      </c>
      <c r="BL96" s="12"/>
      <c r="BM96" s="13"/>
      <c r="BN96" s="13"/>
      <c r="BP96" s="11">
        <v>93</v>
      </c>
      <c r="BQ96" s="12"/>
      <c r="BR96" s="13"/>
      <c r="BS96" s="13"/>
      <c r="BU96" s="11">
        <v>93</v>
      </c>
      <c r="BV96" s="12"/>
      <c r="BW96" s="12"/>
      <c r="BX96" s="12"/>
    </row>
    <row r="97" spans="18:76">
      <c r="R97" s="11">
        <v>94</v>
      </c>
      <c r="S97" s="12"/>
      <c r="T97" s="13"/>
      <c r="U97" s="13"/>
      <c r="W97" s="11">
        <v>94</v>
      </c>
      <c r="X97" s="12"/>
      <c r="Y97" s="13"/>
      <c r="Z97" s="13"/>
      <c r="AB97" s="11">
        <v>94</v>
      </c>
      <c r="AC97" s="12"/>
      <c r="AD97" s="12"/>
      <c r="AE97" s="12"/>
      <c r="AG97" s="11">
        <v>94</v>
      </c>
      <c r="AH97" s="12"/>
      <c r="AI97" s="12"/>
      <c r="AJ97" s="12"/>
      <c r="AL97" s="11">
        <v>94</v>
      </c>
      <c r="AM97" s="12"/>
      <c r="AN97" s="12"/>
      <c r="AO97" s="12"/>
      <c r="AQ97" s="11">
        <v>94</v>
      </c>
      <c r="AR97" s="13"/>
      <c r="AS97" s="13"/>
      <c r="AT97" s="11">
        <v>94</v>
      </c>
      <c r="AU97" s="13"/>
      <c r="AW97" s="11">
        <v>94</v>
      </c>
      <c r="AX97" s="12"/>
      <c r="AY97" s="12"/>
      <c r="AZ97" s="12"/>
      <c r="BA97" s="12"/>
      <c r="BB97" s="12"/>
      <c r="BC97" s="12"/>
      <c r="BD97" s="12"/>
      <c r="BE97" s="12"/>
      <c r="BF97" s="24"/>
      <c r="BG97" s="29"/>
      <c r="BH97" s="12"/>
      <c r="BI97" s="12"/>
      <c r="BK97" s="11">
        <v>94</v>
      </c>
      <c r="BL97" s="12"/>
      <c r="BM97" s="13"/>
      <c r="BN97" s="13"/>
      <c r="BP97" s="11">
        <v>94</v>
      </c>
      <c r="BQ97" s="12"/>
      <c r="BR97" s="13"/>
      <c r="BS97" s="13"/>
      <c r="BU97" s="11">
        <v>94</v>
      </c>
      <c r="BV97" s="12"/>
      <c r="BW97" s="12"/>
      <c r="BX97" s="12"/>
    </row>
    <row r="98" spans="18:76">
      <c r="R98" s="11">
        <v>95</v>
      </c>
      <c r="S98" s="12"/>
      <c r="T98" s="13"/>
      <c r="U98" s="13"/>
      <c r="W98" s="11">
        <v>95</v>
      </c>
      <c r="X98" s="12"/>
      <c r="Y98" s="13"/>
      <c r="Z98" s="13"/>
      <c r="AB98" s="11">
        <v>95</v>
      </c>
      <c r="AC98" s="12"/>
      <c r="AD98" s="12"/>
      <c r="AE98" s="12"/>
      <c r="AG98" s="11">
        <v>95</v>
      </c>
      <c r="AH98" s="12"/>
      <c r="AI98" s="12"/>
      <c r="AJ98" s="12"/>
      <c r="AL98" s="11">
        <v>95</v>
      </c>
      <c r="AM98" s="12"/>
      <c r="AN98" s="12"/>
      <c r="AO98" s="12"/>
      <c r="AQ98" s="11">
        <v>95</v>
      </c>
      <c r="AR98" s="13"/>
      <c r="AS98" s="13"/>
      <c r="AT98" s="11">
        <v>95</v>
      </c>
      <c r="AU98" s="13"/>
      <c r="AW98" s="11">
        <v>95</v>
      </c>
      <c r="AX98" s="12"/>
      <c r="AY98" s="12"/>
      <c r="AZ98" s="12"/>
      <c r="BA98" s="12"/>
      <c r="BB98" s="12"/>
      <c r="BC98" s="12"/>
      <c r="BD98" s="12"/>
      <c r="BE98" s="12"/>
      <c r="BF98" s="24"/>
      <c r="BG98" s="29"/>
      <c r="BH98" s="12"/>
      <c r="BI98" s="12"/>
      <c r="BK98" s="11">
        <v>95</v>
      </c>
      <c r="BL98" s="12"/>
      <c r="BM98" s="13"/>
      <c r="BN98" s="13"/>
      <c r="BP98" s="11">
        <v>95</v>
      </c>
      <c r="BQ98" s="12"/>
      <c r="BR98" s="13"/>
      <c r="BS98" s="13"/>
      <c r="BU98" s="11">
        <v>95</v>
      </c>
      <c r="BV98" s="12"/>
      <c r="BW98" s="12"/>
      <c r="BX98" s="12"/>
    </row>
    <row r="99" spans="18:76">
      <c r="R99" s="11">
        <v>96</v>
      </c>
      <c r="S99" s="12"/>
      <c r="T99" s="13"/>
      <c r="U99" s="13"/>
      <c r="W99" s="11">
        <v>96</v>
      </c>
      <c r="X99" s="12"/>
      <c r="Y99" s="13"/>
      <c r="Z99" s="13"/>
      <c r="AB99" s="11">
        <v>96</v>
      </c>
      <c r="AC99" s="12"/>
      <c r="AD99" s="12"/>
      <c r="AE99" s="12"/>
      <c r="AG99" s="11">
        <v>96</v>
      </c>
      <c r="AH99" s="12"/>
      <c r="AI99" s="12"/>
      <c r="AJ99" s="12"/>
      <c r="AL99" s="11">
        <v>96</v>
      </c>
      <c r="AM99" s="12"/>
      <c r="AN99" s="12"/>
      <c r="AO99" s="12"/>
      <c r="AQ99" s="11">
        <v>96</v>
      </c>
      <c r="AR99" s="13"/>
      <c r="AS99" s="13"/>
      <c r="AT99" s="11">
        <v>96</v>
      </c>
      <c r="AU99" s="13"/>
      <c r="AW99" s="11">
        <v>96</v>
      </c>
      <c r="AX99" s="12"/>
      <c r="AY99" s="12"/>
      <c r="AZ99" s="12"/>
      <c r="BA99" s="12"/>
      <c r="BB99" s="12"/>
      <c r="BC99" s="12"/>
      <c r="BD99" s="12"/>
      <c r="BE99" s="12"/>
      <c r="BF99" s="24"/>
      <c r="BG99" s="29"/>
      <c r="BH99" s="12"/>
      <c r="BI99" s="12"/>
      <c r="BK99" s="11">
        <v>96</v>
      </c>
      <c r="BL99" s="12"/>
      <c r="BM99" s="13"/>
      <c r="BN99" s="13"/>
      <c r="BP99" s="11">
        <v>96</v>
      </c>
      <c r="BQ99" s="12"/>
      <c r="BR99" s="13"/>
      <c r="BS99" s="13"/>
      <c r="BU99" s="11">
        <v>96</v>
      </c>
      <c r="BV99" s="12"/>
      <c r="BW99" s="12"/>
      <c r="BX99" s="12"/>
    </row>
    <row r="100" spans="18:76">
      <c r="R100" s="11">
        <v>97</v>
      </c>
      <c r="S100" s="12"/>
      <c r="T100" s="13"/>
      <c r="U100" s="13"/>
      <c r="W100" s="11">
        <v>97</v>
      </c>
      <c r="X100" s="12"/>
      <c r="Y100" s="13"/>
      <c r="Z100" s="13"/>
      <c r="AB100" s="11">
        <v>97</v>
      </c>
      <c r="AC100" s="12"/>
      <c r="AD100" s="12"/>
      <c r="AE100" s="12"/>
      <c r="AG100" s="11">
        <v>97</v>
      </c>
      <c r="AH100" s="12"/>
      <c r="AI100" s="12"/>
      <c r="AJ100" s="12"/>
      <c r="AL100" s="11">
        <v>97</v>
      </c>
      <c r="AM100" s="12"/>
      <c r="AN100" s="12"/>
      <c r="AO100" s="12"/>
      <c r="AQ100" s="11">
        <v>97</v>
      </c>
      <c r="AR100" s="13"/>
      <c r="AS100" s="13"/>
      <c r="AT100" s="11">
        <v>97</v>
      </c>
      <c r="AU100" s="13"/>
      <c r="AW100" s="11">
        <v>97</v>
      </c>
      <c r="AX100" s="12"/>
      <c r="AY100" s="12"/>
      <c r="AZ100" s="12"/>
      <c r="BA100" s="12"/>
      <c r="BB100" s="12"/>
      <c r="BC100" s="12"/>
      <c r="BD100" s="12"/>
      <c r="BE100" s="12"/>
      <c r="BF100" s="24"/>
      <c r="BG100" s="29"/>
      <c r="BH100" s="12"/>
      <c r="BI100" s="12"/>
      <c r="BK100" s="11">
        <v>97</v>
      </c>
      <c r="BL100" s="12"/>
      <c r="BM100" s="13"/>
      <c r="BN100" s="13"/>
      <c r="BP100" s="11">
        <v>97</v>
      </c>
      <c r="BQ100" s="12"/>
      <c r="BR100" s="13"/>
      <c r="BS100" s="13"/>
      <c r="BU100" s="11">
        <v>97</v>
      </c>
      <c r="BV100" s="12"/>
      <c r="BW100" s="12"/>
      <c r="BX100" s="12"/>
    </row>
    <row r="101" spans="18:76">
      <c r="R101" s="11">
        <v>98</v>
      </c>
      <c r="S101" s="12"/>
      <c r="T101" s="13"/>
      <c r="U101" s="13"/>
      <c r="W101" s="11">
        <v>98</v>
      </c>
      <c r="X101" s="12"/>
      <c r="Y101" s="13"/>
      <c r="Z101" s="13"/>
      <c r="AB101" s="11">
        <v>98</v>
      </c>
      <c r="AC101" s="12"/>
      <c r="AD101" s="12"/>
      <c r="AE101" s="12"/>
      <c r="AG101" s="11">
        <v>98</v>
      </c>
      <c r="AH101" s="12"/>
      <c r="AI101" s="12"/>
      <c r="AJ101" s="12"/>
      <c r="AL101" s="11">
        <v>98</v>
      </c>
      <c r="AM101" s="12"/>
      <c r="AN101" s="12"/>
      <c r="AO101" s="12"/>
      <c r="AQ101" s="11">
        <v>98</v>
      </c>
      <c r="AR101" s="13"/>
      <c r="AS101" s="13"/>
      <c r="AT101" s="11">
        <v>98</v>
      </c>
      <c r="AU101" s="13"/>
      <c r="AW101" s="11">
        <v>98</v>
      </c>
      <c r="AX101" s="12"/>
      <c r="AY101" s="12"/>
      <c r="AZ101" s="12"/>
      <c r="BA101" s="12"/>
      <c r="BB101" s="12"/>
      <c r="BC101" s="12"/>
      <c r="BD101" s="12"/>
      <c r="BE101" s="12"/>
      <c r="BF101" s="24"/>
      <c r="BG101" s="29"/>
      <c r="BH101" s="12"/>
      <c r="BI101" s="12"/>
      <c r="BK101" s="11">
        <v>98</v>
      </c>
      <c r="BL101" s="12"/>
      <c r="BM101" s="13"/>
      <c r="BN101" s="13"/>
      <c r="BP101" s="11">
        <v>98</v>
      </c>
      <c r="BQ101" s="12"/>
      <c r="BR101" s="13"/>
      <c r="BS101" s="13"/>
      <c r="BU101" s="11">
        <v>98</v>
      </c>
      <c r="BV101" s="12"/>
      <c r="BW101" s="12"/>
      <c r="BX101" s="12"/>
    </row>
    <row r="102" spans="18:76">
      <c r="R102" s="11">
        <v>99</v>
      </c>
      <c r="S102" s="12"/>
      <c r="T102" s="13"/>
      <c r="U102" s="13"/>
      <c r="W102" s="11">
        <v>99</v>
      </c>
      <c r="X102" s="12"/>
      <c r="Y102" s="13"/>
      <c r="Z102" s="13"/>
      <c r="AB102" s="11">
        <v>99</v>
      </c>
      <c r="AC102" s="12"/>
      <c r="AD102" s="12"/>
      <c r="AE102" s="12"/>
      <c r="AG102" s="11">
        <v>99</v>
      </c>
      <c r="AH102" s="12"/>
      <c r="AI102" s="12"/>
      <c r="AJ102" s="12"/>
      <c r="AL102" s="11">
        <v>99</v>
      </c>
      <c r="AM102" s="12"/>
      <c r="AN102" s="12"/>
      <c r="AO102" s="12"/>
      <c r="AQ102" s="11">
        <v>99</v>
      </c>
      <c r="AR102" s="13"/>
      <c r="AS102" s="13"/>
      <c r="AT102" s="11">
        <v>99</v>
      </c>
      <c r="AU102" s="13"/>
      <c r="AW102" s="11">
        <v>99</v>
      </c>
      <c r="AX102" s="12"/>
      <c r="AY102" s="12"/>
      <c r="AZ102" s="12"/>
      <c r="BA102" s="12"/>
      <c r="BB102" s="12"/>
      <c r="BC102" s="12"/>
      <c r="BD102" s="12"/>
      <c r="BE102" s="12"/>
      <c r="BF102" s="24"/>
      <c r="BG102" s="29"/>
      <c r="BH102" s="12"/>
      <c r="BI102" s="12"/>
      <c r="BK102" s="11">
        <v>99</v>
      </c>
      <c r="BL102" s="12"/>
      <c r="BM102" s="13"/>
      <c r="BN102" s="13"/>
      <c r="BP102" s="11">
        <v>99</v>
      </c>
      <c r="BQ102" s="12"/>
      <c r="BR102" s="13"/>
      <c r="BS102" s="13"/>
      <c r="BU102" s="11">
        <v>99</v>
      </c>
      <c r="BV102" s="12"/>
      <c r="BW102" s="12"/>
      <c r="BX102" s="12"/>
    </row>
    <row r="103" spans="18:76">
      <c r="R103" s="11">
        <v>100</v>
      </c>
      <c r="S103" s="12"/>
      <c r="T103" s="13"/>
      <c r="U103" s="13"/>
      <c r="W103" s="11">
        <v>100</v>
      </c>
      <c r="X103" s="12"/>
      <c r="Y103" s="13"/>
      <c r="Z103" s="13"/>
      <c r="AB103" s="11">
        <v>100</v>
      </c>
      <c r="AC103" s="12"/>
      <c r="AD103" s="12"/>
      <c r="AE103" s="12"/>
      <c r="AG103" s="11">
        <v>100</v>
      </c>
      <c r="AH103" s="12"/>
      <c r="AI103" s="12"/>
      <c r="AJ103" s="12"/>
      <c r="AL103" s="11">
        <v>100</v>
      </c>
      <c r="AM103" s="12"/>
      <c r="AN103" s="12"/>
      <c r="AO103" s="12"/>
      <c r="AQ103" s="11">
        <v>100</v>
      </c>
      <c r="AR103" s="13"/>
      <c r="AS103" s="13"/>
      <c r="AT103" s="11">
        <v>100</v>
      </c>
      <c r="AU103" s="13"/>
      <c r="AW103" s="11">
        <v>100</v>
      </c>
      <c r="AX103" s="12"/>
      <c r="AY103" s="12"/>
      <c r="AZ103" s="12"/>
      <c r="BA103" s="12"/>
      <c r="BB103" s="12"/>
      <c r="BC103" s="12"/>
      <c r="BD103" s="12"/>
      <c r="BE103" s="12"/>
      <c r="BF103" s="24"/>
      <c r="BG103" s="29"/>
      <c r="BH103" s="12"/>
      <c r="BI103" s="12"/>
      <c r="BK103" s="11">
        <v>100</v>
      </c>
      <c r="BL103" s="12"/>
      <c r="BM103" s="13"/>
      <c r="BN103" s="13"/>
      <c r="BP103" s="11">
        <v>100</v>
      </c>
      <c r="BQ103" s="12"/>
      <c r="BR103" s="13"/>
      <c r="BS103" s="13"/>
      <c r="BU103" s="11">
        <v>100</v>
      </c>
      <c r="BV103" s="12"/>
      <c r="BW103" s="12"/>
      <c r="BX103" s="12"/>
    </row>
    <row r="111" spans="18:76">
      <c r="U111"/>
      <c r="AC111"/>
      <c r="AD111"/>
      <c r="AE111"/>
    </row>
    <row r="112" spans="18:76">
      <c r="U112" s="15"/>
      <c r="V112" s="15"/>
      <c r="W112" s="15"/>
      <c r="X112" s="15"/>
      <c r="Y112" s="15"/>
      <c r="Z112" s="15"/>
      <c r="AA112" s="15"/>
      <c r="AB112" s="15"/>
      <c r="AC112" s="15"/>
      <c r="AD112" s="15"/>
      <c r="AE112" s="15"/>
      <c r="AF112" s="15"/>
      <c r="AP112" s="15"/>
    </row>
    <row r="113" spans="9:42">
      <c r="V113" s="16"/>
      <c r="W113" s="16"/>
      <c r="X113" s="16"/>
      <c r="Y113" s="16"/>
      <c r="Z113" s="16"/>
      <c r="AA113" s="16"/>
      <c r="AB113" s="16"/>
      <c r="AF113" s="16"/>
      <c r="AP113" s="16"/>
    </row>
    <row r="120" spans="9:42">
      <c r="I120" s="34"/>
    </row>
  </sheetData>
  <mergeCells count="2">
    <mergeCell ref="J2:N2"/>
    <mergeCell ref="L5:N5"/>
  </mergeCells>
  <phoneticPr fontId="1" type="noConversion"/>
  <conditionalFormatting sqref="BA2">
    <cfRule type="cellIs" dxfId="2001" priority="135" operator="equal">
      <formula>"E"</formula>
    </cfRule>
  </conditionalFormatting>
  <conditionalFormatting sqref="BD43:BD103">
    <cfRule type="cellIs" dxfId="2000" priority="130" operator="equal">
      <formula>"E"</formula>
    </cfRule>
  </conditionalFormatting>
  <conditionalFormatting sqref="BD2">
    <cfRule type="cellIs" dxfId="1999" priority="129" operator="equal">
      <formula>"E"</formula>
    </cfRule>
  </conditionalFormatting>
  <conditionalFormatting sqref="BE43:BE103">
    <cfRule type="cellIs" dxfId="1998" priority="128" operator="equal">
      <formula>"E"</formula>
    </cfRule>
  </conditionalFormatting>
  <conditionalFormatting sqref="BB33:BB42">
    <cfRule type="cellIs" dxfId="1997" priority="124" operator="equal">
      <formula>"E"</formula>
    </cfRule>
  </conditionalFormatting>
  <conditionalFormatting sqref="BF2">
    <cfRule type="cellIs" dxfId="1996" priority="125" operator="equal">
      <formula>"E"</formula>
    </cfRule>
  </conditionalFormatting>
  <conditionalFormatting sqref="BI33:BI42">
    <cfRule type="cellIs" dxfId="1995" priority="90" operator="equal">
      <formula>"E"</formula>
    </cfRule>
  </conditionalFormatting>
  <conditionalFormatting sqref="BC33:BC42">
    <cfRule type="cellIs" dxfId="1994" priority="123" operator="equal">
      <formula>"E"</formula>
    </cfRule>
  </conditionalFormatting>
  <conditionalFormatting sqref="BD33:BD42">
    <cfRule type="cellIs" dxfId="1993" priority="122" operator="equal">
      <formula>"E"</formula>
    </cfRule>
  </conditionalFormatting>
  <conditionalFormatting sqref="BE33:BE42">
    <cfRule type="cellIs" dxfId="1992" priority="121" operator="equal">
      <formula>"E"</formula>
    </cfRule>
  </conditionalFormatting>
  <conditionalFormatting sqref="BF33:BF42">
    <cfRule type="cellIs" dxfId="1991" priority="120" operator="equal">
      <formula>"E"</formula>
    </cfRule>
  </conditionalFormatting>
  <conditionalFormatting sqref="BG43:BG103">
    <cfRule type="cellIs" dxfId="1990" priority="119" operator="equal">
      <formula>"E"</formula>
    </cfRule>
  </conditionalFormatting>
  <conditionalFormatting sqref="BG2">
    <cfRule type="cellIs" dxfId="1989" priority="118" operator="equal">
      <formula>"E"</formula>
    </cfRule>
  </conditionalFormatting>
  <conditionalFormatting sqref="BG3:BG8">
    <cfRule type="cellIs" dxfId="1988" priority="117" operator="equal">
      <formula>"E"</formula>
    </cfRule>
  </conditionalFormatting>
  <conditionalFormatting sqref="BG33:BG42">
    <cfRule type="cellIs" dxfId="1987" priority="116" operator="equal">
      <formula>"E"</formula>
    </cfRule>
  </conditionalFormatting>
  <conditionalFormatting sqref="BH43:BH103">
    <cfRule type="cellIs" dxfId="1986" priority="115" operator="equal">
      <formula>"E"</formula>
    </cfRule>
  </conditionalFormatting>
  <conditionalFormatting sqref="BH2">
    <cfRule type="cellIs" dxfId="1985" priority="114" operator="equal">
      <formula>"E"</formula>
    </cfRule>
  </conditionalFormatting>
  <conditionalFormatting sqref="BH3:BH8">
    <cfRule type="cellIs" dxfId="1984" priority="113" operator="equal">
      <formula>"E"</formula>
    </cfRule>
  </conditionalFormatting>
  <conditionalFormatting sqref="BH33:BH42">
    <cfRule type="cellIs" dxfId="1983" priority="112" operator="equal">
      <formula>"E"</formula>
    </cfRule>
  </conditionalFormatting>
  <conditionalFormatting sqref="BV2:BX2">
    <cfRule type="cellIs" dxfId="1982" priority="103" operator="equal">
      <formula>"E"</formula>
    </cfRule>
  </conditionalFormatting>
  <conditionalFormatting sqref="BI2">
    <cfRule type="cellIs" dxfId="1981" priority="89" operator="equal">
      <formula>"E"</formula>
    </cfRule>
  </conditionalFormatting>
  <conditionalFormatting sqref="AX2">
    <cfRule type="cellIs" dxfId="1980" priority="92" operator="equal">
      <formula>"E"</formula>
    </cfRule>
  </conditionalFormatting>
  <conditionalFormatting sqref="BI43:BI103">
    <cfRule type="cellIs" dxfId="1979" priority="91" operator="equal">
      <formula>"E"</formula>
    </cfRule>
  </conditionalFormatting>
  <conditionalFormatting sqref="BG9:BG14">
    <cfRule type="cellIs" dxfId="1978" priority="60" operator="equal">
      <formula>"E"</formula>
    </cfRule>
  </conditionalFormatting>
  <conditionalFormatting sqref="BG15:BG20">
    <cfRule type="cellIs" dxfId="1977" priority="59" operator="equal">
      <formula>"E"</formula>
    </cfRule>
  </conditionalFormatting>
  <conditionalFormatting sqref="BG21:BG26">
    <cfRule type="cellIs" dxfId="1976" priority="58" operator="equal">
      <formula>"E"</formula>
    </cfRule>
  </conditionalFormatting>
  <conditionalFormatting sqref="BI27:BI32">
    <cfRule type="cellIs" dxfId="1975" priority="52" operator="equal">
      <formula>"E"</formula>
    </cfRule>
  </conditionalFormatting>
  <conditionalFormatting sqref="BG27:BG32">
    <cfRule type="cellIs" dxfId="1974" priority="57" operator="equal">
      <formula>"E"</formula>
    </cfRule>
  </conditionalFormatting>
  <conditionalFormatting sqref="BI21:BI26">
    <cfRule type="cellIs" dxfId="1973" priority="53" operator="equal">
      <formula>"E"</formula>
    </cfRule>
  </conditionalFormatting>
  <conditionalFormatting sqref="AF113">
    <cfRule type="cellIs" dxfId="1972" priority="47" operator="equal">
      <formula>"E"</formula>
    </cfRule>
  </conditionalFormatting>
  <conditionalFormatting sqref="AH3:AI38">
    <cfRule type="cellIs" dxfId="1971" priority="36" operator="equal">
      <formula>"E"</formula>
    </cfRule>
  </conditionalFormatting>
  <conditionalFormatting sqref="AJ3:AJ38">
    <cfRule type="cellIs" dxfId="1970" priority="35" operator="equal">
      <formula>"E"</formula>
    </cfRule>
  </conditionalFormatting>
  <conditionalFormatting sqref="AM3:AN38">
    <cfRule type="cellIs" dxfId="1969" priority="34" operator="equal">
      <formula>"E"</formula>
    </cfRule>
  </conditionalFormatting>
  <conditionalFormatting sqref="AZ9:AZ14">
    <cfRule type="cellIs" dxfId="1968" priority="28" operator="equal">
      <formula>"E"</formula>
    </cfRule>
  </conditionalFormatting>
  <conditionalFormatting sqref="BA15:BA20">
    <cfRule type="cellIs" dxfId="1967" priority="23" operator="equal">
      <formula>"E"</formula>
    </cfRule>
  </conditionalFormatting>
  <conditionalFormatting sqref="BB15:BB20">
    <cfRule type="cellIs" dxfId="1966" priority="18" operator="equal">
      <formula>"E"</formula>
    </cfRule>
  </conditionalFormatting>
  <conditionalFormatting sqref="BD9:BD14">
    <cfRule type="cellIs" dxfId="1965" priority="10" operator="equal">
      <formula>"E"</formula>
    </cfRule>
  </conditionalFormatting>
  <conditionalFormatting sqref="BD15:BD20">
    <cfRule type="cellIs" dxfId="1964" priority="9" operator="equal">
      <formula>"E"</formula>
    </cfRule>
  </conditionalFormatting>
  <conditionalFormatting sqref="BE9:BE14">
    <cfRule type="cellIs" dxfId="1963" priority="5" operator="equal">
      <formula>"E"</formula>
    </cfRule>
  </conditionalFormatting>
  <conditionalFormatting sqref="BE15:BE20">
    <cfRule type="cellIs" dxfId="1962" priority="4" operator="equal">
      <formula>"E"</formula>
    </cfRule>
  </conditionalFormatting>
  <conditionalFormatting sqref="R1:R70">
    <cfRule type="cellIs" dxfId="1961" priority="182" stopIfTrue="1" operator="equal">
      <formula>"WW"</formula>
    </cfRule>
    <cfRule type="cellIs" dxfId="1960" priority="183" stopIfTrue="1" operator="equal">
      <formula>"C2"</formula>
    </cfRule>
  </conditionalFormatting>
  <conditionalFormatting sqref="S39:U103 Y3:Z52 AU3:AU42 S3:S38">
    <cfRule type="cellIs" dxfId="1959" priority="178" operator="equal">
      <formula>"M4"</formula>
    </cfRule>
    <cfRule type="cellIs" dxfId="1958" priority="179" operator="equal">
      <formula>"M3"</formula>
    </cfRule>
    <cfRule type="cellIs" dxfId="1957" priority="180" operator="equal">
      <formula>"M2"</formula>
    </cfRule>
    <cfRule type="cellIs" dxfId="1956" priority="181" operator="equal">
      <formula>"M1"</formula>
    </cfRule>
  </conditionalFormatting>
  <conditionalFormatting sqref="AD1:AE1 AB1 AS39:AS103 S1:U2 X2:Z103 AU2:AU42 S114:U1048576 S111:T113 AR1:AR1048576 S39:U110 S3:S38">
    <cfRule type="cellIs" dxfId="1955" priority="176" operator="equal">
      <formula>"E"</formula>
    </cfRule>
  </conditionalFormatting>
  <conditionalFormatting sqref="AS39:AS103 AU3:AU42 AR3:AR103">
    <cfRule type="cellIs" dxfId="1954" priority="165" operator="equal">
      <formula>"RE"</formula>
    </cfRule>
    <cfRule type="cellIs" dxfId="1953" priority="166" operator="equal">
      <formula>"3000"</formula>
    </cfRule>
    <cfRule type="cellIs" dxfId="1952" priority="167" operator="equal">
      <formula>"300"</formula>
    </cfRule>
    <cfRule type="cellIs" dxfId="1951" priority="168" operator="equal">
      <formula>"100"</formula>
    </cfRule>
    <cfRule type="cellIs" dxfId="1950" priority="169" operator="equal">
      <formula>"50"</formula>
    </cfRule>
    <cfRule type="cellIs" dxfId="1949" priority="170" operator="equal">
      <formula>"40"</formula>
    </cfRule>
    <cfRule type="cellIs" dxfId="1948" priority="171" operator="equal">
      <formula>"20"</formula>
    </cfRule>
  </conditionalFormatting>
  <conditionalFormatting sqref="AR1 AR104:AR1048576">
    <cfRule type="cellIs" dxfId="1947" priority="172" operator="equal">
      <formula>"M4"</formula>
    </cfRule>
    <cfRule type="cellIs" dxfId="1946" priority="173" operator="equal">
      <formula>"M3"</formula>
    </cfRule>
    <cfRule type="cellIs" dxfId="1945" priority="174" operator="equal">
      <formula>"M1"</formula>
    </cfRule>
    <cfRule type="cellIs" dxfId="1944" priority="175" operator="equal">
      <formula>"M2"</formula>
    </cfRule>
    <cfRule type="cellIs" dxfId="1943" priority="177" stopIfTrue="1" operator="between">
      <formula>"C1"</formula>
      <formula>"C2"</formula>
    </cfRule>
  </conditionalFormatting>
  <conditionalFormatting sqref="AC39:AE110 AC114:AE1048576 AC3:AD38">
    <cfRule type="cellIs" dxfId="1942" priority="164" operator="equal">
      <formula>"E"</formula>
    </cfRule>
  </conditionalFormatting>
  <conditionalFormatting sqref="AC2:AE2">
    <cfRule type="cellIs" dxfId="1941" priority="163" operator="equal">
      <formula>"E"</formula>
    </cfRule>
  </conditionalFormatting>
  <conditionalFormatting sqref="AB2:AB70">
    <cfRule type="cellIs" dxfId="1940" priority="161" stopIfTrue="1" operator="equal">
      <formula>"WW"</formula>
    </cfRule>
    <cfRule type="cellIs" dxfId="1939" priority="162" stopIfTrue="1" operator="equal">
      <formula>"C2"</formula>
    </cfRule>
  </conditionalFormatting>
  <conditionalFormatting sqref="W2:W70">
    <cfRule type="cellIs" dxfId="1938" priority="159" stopIfTrue="1" operator="equal">
      <formula>"WW"</formula>
    </cfRule>
    <cfRule type="cellIs" dxfId="1937" priority="160" stopIfTrue="1" operator="equal">
      <formula>"C2"</formula>
    </cfRule>
  </conditionalFormatting>
  <conditionalFormatting sqref="X3:Z103">
    <cfRule type="cellIs" dxfId="1936" priority="155" operator="equal">
      <formula>"M4"</formula>
    </cfRule>
    <cfRule type="cellIs" dxfId="1935" priority="156" operator="equal">
      <formula>"M3"</formula>
    </cfRule>
    <cfRule type="cellIs" dxfId="1934" priority="157" operator="equal">
      <formula>"M2"</formula>
    </cfRule>
    <cfRule type="cellIs" dxfId="1933" priority="158" operator="equal">
      <formula>"M1"</formula>
    </cfRule>
  </conditionalFormatting>
  <conditionalFormatting sqref="AQ2:AQ70">
    <cfRule type="cellIs" dxfId="1932" priority="153" stopIfTrue="1" operator="equal">
      <formula>"WW"</formula>
    </cfRule>
    <cfRule type="cellIs" dxfId="1931" priority="154" stopIfTrue="1" operator="equal">
      <formula>"C2"</formula>
    </cfRule>
  </conditionalFormatting>
  <conditionalFormatting sqref="AT2:AT70">
    <cfRule type="cellIs" dxfId="1930" priority="151" stopIfTrue="1" operator="equal">
      <formula>"WW"</formula>
    </cfRule>
    <cfRule type="cellIs" dxfId="1929" priority="152" stopIfTrue="1" operator="equal">
      <formula>"C2"</formula>
    </cfRule>
  </conditionalFormatting>
  <conditionalFormatting sqref="AU43:AU103">
    <cfRule type="cellIs" dxfId="1928" priority="150" operator="equal">
      <formula>"E"</formula>
    </cfRule>
  </conditionalFormatting>
  <conditionalFormatting sqref="AU43:AU103">
    <cfRule type="cellIs" dxfId="1927" priority="146" operator="equal">
      <formula>"M4"</formula>
    </cfRule>
    <cfRule type="cellIs" dxfId="1926" priority="147" operator="equal">
      <formula>"M3"</formula>
    </cfRule>
    <cfRule type="cellIs" dxfId="1925" priority="148" operator="equal">
      <formula>"M2"</formula>
    </cfRule>
    <cfRule type="cellIs" dxfId="1924" priority="149" operator="equal">
      <formula>"M1"</formula>
    </cfRule>
  </conditionalFormatting>
  <conditionalFormatting sqref="AW1">
    <cfRule type="cellIs" dxfId="1923" priority="145" operator="equal">
      <formula>"E"</formula>
    </cfRule>
  </conditionalFormatting>
  <conditionalFormatting sqref="AY3:AY8 AY33:AY103">
    <cfRule type="cellIs" dxfId="1922" priority="144" operator="equal">
      <formula>"E"</formula>
    </cfRule>
  </conditionalFormatting>
  <conditionalFormatting sqref="AY2">
    <cfRule type="cellIs" dxfId="1921" priority="143" operator="equal">
      <formula>"E"</formula>
    </cfRule>
  </conditionalFormatting>
  <conditionalFormatting sqref="AW2:AW70">
    <cfRule type="cellIs" dxfId="1920" priority="141" stopIfTrue="1" operator="equal">
      <formula>"WW"</formula>
    </cfRule>
    <cfRule type="cellIs" dxfId="1919" priority="142" stopIfTrue="1" operator="equal">
      <formula>"C2"</formula>
    </cfRule>
  </conditionalFormatting>
  <conditionalFormatting sqref="AT1">
    <cfRule type="cellIs" dxfId="1918" priority="139" operator="equal">
      <formula>"E"</formula>
    </cfRule>
  </conditionalFormatting>
  <conditionalFormatting sqref="AQ1">
    <cfRule type="cellIs" dxfId="1917" priority="140" operator="equal">
      <formula>"E"</formula>
    </cfRule>
  </conditionalFormatting>
  <conditionalFormatting sqref="AZ3:AZ8 AZ33:AZ103">
    <cfRule type="cellIs" dxfId="1916" priority="138" operator="equal">
      <formula>"E"</formula>
    </cfRule>
  </conditionalFormatting>
  <conditionalFormatting sqref="AZ2">
    <cfRule type="cellIs" dxfId="1915" priority="137" operator="equal">
      <formula>"E"</formula>
    </cfRule>
  </conditionalFormatting>
  <conditionalFormatting sqref="BA3:BA8 BA33:BA103">
    <cfRule type="cellIs" dxfId="1914" priority="136" operator="equal">
      <formula>"E"</formula>
    </cfRule>
  </conditionalFormatting>
  <conditionalFormatting sqref="BB43:BB103">
    <cfRule type="cellIs" dxfId="1913" priority="134" operator="equal">
      <formula>"E"</formula>
    </cfRule>
  </conditionalFormatting>
  <conditionalFormatting sqref="BB2">
    <cfRule type="cellIs" dxfId="1912" priority="133" operator="equal">
      <formula>"E"</formula>
    </cfRule>
  </conditionalFormatting>
  <conditionalFormatting sqref="BC43:BC103">
    <cfRule type="cellIs" dxfId="1911" priority="132" operator="equal">
      <formula>"E"</formula>
    </cfRule>
  </conditionalFormatting>
  <conditionalFormatting sqref="BC2">
    <cfRule type="cellIs" dxfId="1910" priority="131" operator="equal">
      <formula>"E"</formula>
    </cfRule>
  </conditionalFormatting>
  <conditionalFormatting sqref="BE2">
    <cfRule type="cellIs" dxfId="1909" priority="127" operator="equal">
      <formula>"E"</formula>
    </cfRule>
  </conditionalFormatting>
  <conditionalFormatting sqref="BF43:BF103">
    <cfRule type="cellIs" dxfId="1908" priority="126" operator="equal">
      <formula>"E"</formula>
    </cfRule>
  </conditionalFormatting>
  <conditionalFormatting sqref="BP2:BP70">
    <cfRule type="cellIs" dxfId="1907" priority="99" stopIfTrue="1" operator="equal">
      <formula>"WW"</formula>
    </cfRule>
    <cfRule type="cellIs" dxfId="1906" priority="100" stopIfTrue="1" operator="equal">
      <formula>"C2"</formula>
    </cfRule>
  </conditionalFormatting>
  <conditionalFormatting sqref="BX3:BX38">
    <cfRule type="cellIs" dxfId="1905" priority="67" operator="equal">
      <formula>"E"</formula>
    </cfRule>
  </conditionalFormatting>
  <conditionalFormatting sqref="BF3:BF8">
    <cfRule type="cellIs" dxfId="1904" priority="66" operator="equal">
      <formula>"E"</formula>
    </cfRule>
  </conditionalFormatting>
  <conditionalFormatting sqref="BF9:BF14">
    <cfRule type="cellIs" dxfId="1903" priority="65" operator="equal">
      <formula>"E"</formula>
    </cfRule>
  </conditionalFormatting>
  <conditionalFormatting sqref="BF15:BF20">
    <cfRule type="cellIs" dxfId="1902" priority="64" operator="equal">
      <formula>"E"</formula>
    </cfRule>
  </conditionalFormatting>
  <conditionalFormatting sqref="BF21:BF26">
    <cfRule type="cellIs" dxfId="1901" priority="63" operator="equal">
      <formula>"E"</formula>
    </cfRule>
  </conditionalFormatting>
  <conditionalFormatting sqref="BF27:BF32">
    <cfRule type="cellIs" dxfId="1900" priority="62" operator="equal">
      <formula>"E"</formula>
    </cfRule>
  </conditionalFormatting>
  <conditionalFormatting sqref="BC3:BC8">
    <cfRule type="cellIs" dxfId="1899" priority="61" operator="equal">
      <formula>"E"</formula>
    </cfRule>
  </conditionalFormatting>
  <conditionalFormatting sqref="BI3:BI8">
    <cfRule type="cellIs" dxfId="1898" priority="56" operator="equal">
      <formula>"E"</formula>
    </cfRule>
  </conditionalFormatting>
  <conditionalFormatting sqref="BI9:BI14">
    <cfRule type="cellIs" dxfId="1897" priority="55" operator="equal">
      <formula>"E"</formula>
    </cfRule>
  </conditionalFormatting>
  <conditionalFormatting sqref="BI15:BI20">
    <cfRule type="cellIs" dxfId="1896" priority="54" operator="equal">
      <formula>"E"</formula>
    </cfRule>
  </conditionalFormatting>
  <conditionalFormatting sqref="BH9:BH14">
    <cfRule type="cellIs" dxfId="1895" priority="51" operator="equal">
      <formula>"E"</formula>
    </cfRule>
  </conditionalFormatting>
  <conditionalFormatting sqref="BH15:BH20">
    <cfRule type="cellIs" dxfId="1894" priority="50" operator="equal">
      <formula>"E"</formula>
    </cfRule>
  </conditionalFormatting>
  <conditionalFormatting sqref="BH21:BH26">
    <cfRule type="cellIs" dxfId="1893" priority="49" operator="equal">
      <formula>"E"</formula>
    </cfRule>
  </conditionalFormatting>
  <conditionalFormatting sqref="BH27:BH32">
    <cfRule type="cellIs" dxfId="1892" priority="48" operator="equal">
      <formula>"E"</formula>
    </cfRule>
  </conditionalFormatting>
  <conditionalFormatting sqref="AI1:AJ1 AG1">
    <cfRule type="cellIs" dxfId="1891" priority="46" operator="equal">
      <formula>"E"</formula>
    </cfRule>
  </conditionalFormatting>
  <conditionalFormatting sqref="AH39:AJ103">
    <cfRule type="cellIs" dxfId="1890" priority="45" operator="equal">
      <formula>"E"</formula>
    </cfRule>
  </conditionalFormatting>
  <conditionalFormatting sqref="AH2:AJ2">
    <cfRule type="cellIs" dxfId="1889" priority="44" operator="equal">
      <formula>"E"</formula>
    </cfRule>
  </conditionalFormatting>
  <conditionalFormatting sqref="AN1:AO1 AL1">
    <cfRule type="cellIs" dxfId="1888" priority="41" operator="equal">
      <formula>"E"</formula>
    </cfRule>
  </conditionalFormatting>
  <conditionalFormatting sqref="AM39:AO103">
    <cfRule type="cellIs" dxfId="1887" priority="40" operator="equal">
      <formula>"E"</formula>
    </cfRule>
  </conditionalFormatting>
  <conditionalFormatting sqref="AM2:AO2">
    <cfRule type="cellIs" dxfId="1886" priority="39" operator="equal">
      <formula>"E"</formula>
    </cfRule>
  </conditionalFormatting>
  <conditionalFormatting sqref="AO3:AO38">
    <cfRule type="cellIs" dxfId="1885" priority="33" operator="equal">
      <formula>"E"</formula>
    </cfRule>
  </conditionalFormatting>
  <conditionalFormatting sqref="AY9:AY14">
    <cfRule type="cellIs" dxfId="1884" priority="32" operator="equal">
      <formula>"E"</formula>
    </cfRule>
  </conditionalFormatting>
  <conditionalFormatting sqref="AY15:AY20">
    <cfRule type="cellIs" dxfId="1883" priority="31" operator="equal">
      <formula>"E"</formula>
    </cfRule>
  </conditionalFormatting>
  <conditionalFormatting sqref="AY21:AY26">
    <cfRule type="cellIs" dxfId="1882" priority="30" operator="equal">
      <formula>"E"</formula>
    </cfRule>
  </conditionalFormatting>
  <conditionalFormatting sqref="AY27:AY32">
    <cfRule type="cellIs" dxfId="1881" priority="29" operator="equal">
      <formula>"E"</formula>
    </cfRule>
  </conditionalFormatting>
  <conditionalFormatting sqref="AZ15:AZ20">
    <cfRule type="cellIs" dxfId="1880" priority="27" operator="equal">
      <formula>"E"</formula>
    </cfRule>
  </conditionalFormatting>
  <conditionalFormatting sqref="AZ21:AZ26">
    <cfRule type="cellIs" dxfId="1879" priority="26" operator="equal">
      <formula>"E"</formula>
    </cfRule>
  </conditionalFormatting>
  <conditionalFormatting sqref="AZ27:AZ32">
    <cfRule type="cellIs" dxfId="1878" priority="25" operator="equal">
      <formula>"E"</formula>
    </cfRule>
  </conditionalFormatting>
  <conditionalFormatting sqref="BA9:BA14">
    <cfRule type="cellIs" dxfId="1877" priority="24" operator="equal">
      <formula>"E"</formula>
    </cfRule>
  </conditionalFormatting>
  <conditionalFormatting sqref="BA21:BA26">
    <cfRule type="cellIs" dxfId="1876" priority="22" operator="equal">
      <formula>"E"</formula>
    </cfRule>
  </conditionalFormatting>
  <conditionalFormatting sqref="BA27:BA32">
    <cfRule type="cellIs" dxfId="1875" priority="21" operator="equal">
      <formula>"E"</formula>
    </cfRule>
  </conditionalFormatting>
  <conditionalFormatting sqref="BB3:BB8">
    <cfRule type="cellIs" dxfId="1874" priority="20" operator="equal">
      <formula>"E"</formula>
    </cfRule>
  </conditionalFormatting>
  <conditionalFormatting sqref="BB9:BB14">
    <cfRule type="cellIs" dxfId="1873" priority="19" operator="equal">
      <formula>"E"</formula>
    </cfRule>
  </conditionalFormatting>
  <conditionalFormatting sqref="BB21:BB26">
    <cfRule type="cellIs" dxfId="1872" priority="17" operator="equal">
      <formula>"E"</formula>
    </cfRule>
  </conditionalFormatting>
  <conditionalFormatting sqref="BB27:BB32">
    <cfRule type="cellIs" dxfId="1871" priority="16" operator="equal">
      <formula>"E"</formula>
    </cfRule>
  </conditionalFormatting>
  <conditionalFormatting sqref="BC9:BC14">
    <cfRule type="cellIs" dxfId="1870" priority="15" operator="equal">
      <formula>"E"</formula>
    </cfRule>
  </conditionalFormatting>
  <conditionalFormatting sqref="BC15:BC20">
    <cfRule type="cellIs" dxfId="1869" priority="14" operator="equal">
      <formula>"E"</formula>
    </cfRule>
  </conditionalFormatting>
  <conditionalFormatting sqref="BC21:BC26">
    <cfRule type="cellIs" dxfId="1868" priority="13" operator="equal">
      <formula>"E"</formula>
    </cfRule>
  </conditionalFormatting>
  <conditionalFormatting sqref="BD21:BD26">
    <cfRule type="cellIs" dxfId="1867" priority="8" operator="equal">
      <formula>"E"</formula>
    </cfRule>
  </conditionalFormatting>
  <conditionalFormatting sqref="BE21:BE26">
    <cfRule type="cellIs" dxfId="1866" priority="3" operator="equal">
      <formula>"E"</formula>
    </cfRule>
  </conditionalFormatting>
  <conditionalFormatting sqref="BE27:BE32">
    <cfRule type="cellIs" dxfId="1865" priority="2" operator="equal">
      <formula>"E"</formula>
    </cfRule>
  </conditionalFormatting>
  <conditionalFormatting sqref="BK1:BK70">
    <cfRule type="cellIs" dxfId="1864" priority="110" stopIfTrue="1" operator="equal">
      <formula>"WW"</formula>
    </cfRule>
    <cfRule type="cellIs" dxfId="1863" priority="111" stopIfTrue="1" operator="equal">
      <formula>"C2"</formula>
    </cfRule>
  </conditionalFormatting>
  <conditionalFormatting sqref="BL39:BN103 BR3:BS52 BL3:BL38">
    <cfRule type="cellIs" dxfId="1862" priority="106" operator="equal">
      <formula>"M4"</formula>
    </cfRule>
    <cfRule type="cellIs" dxfId="1861" priority="107" operator="equal">
      <formula>"M3"</formula>
    </cfRule>
    <cfRule type="cellIs" dxfId="1860" priority="108" operator="equal">
      <formula>"M2"</formula>
    </cfRule>
    <cfRule type="cellIs" dxfId="1859" priority="109" operator="equal">
      <formula>"M1"</formula>
    </cfRule>
  </conditionalFormatting>
  <conditionalFormatting sqref="BW1:BX1 BU1 BL1:BN2 BQ2:BS103 BL39:BN1048576 BL3:BL38">
    <cfRule type="cellIs" dxfId="1858" priority="105" operator="equal">
      <formula>"E"</formula>
    </cfRule>
  </conditionalFormatting>
  <conditionalFormatting sqref="BV39:BX1048576 BV3:BW38">
    <cfRule type="cellIs" dxfId="1857" priority="104" operator="equal">
      <formula>"E"</formula>
    </cfRule>
  </conditionalFormatting>
  <conditionalFormatting sqref="BU2:BU70">
    <cfRule type="cellIs" dxfId="1856" priority="101" stopIfTrue="1" operator="equal">
      <formula>"WW"</formula>
    </cfRule>
    <cfRule type="cellIs" dxfId="1855" priority="102" stopIfTrue="1" operator="equal">
      <formula>"C2"</formula>
    </cfRule>
  </conditionalFormatting>
  <conditionalFormatting sqref="BQ3:BS103">
    <cfRule type="cellIs" dxfId="1854" priority="95" operator="equal">
      <formula>"M4"</formula>
    </cfRule>
    <cfRule type="cellIs" dxfId="1853" priority="96" operator="equal">
      <formula>"M3"</formula>
    </cfRule>
    <cfRule type="cellIs" dxfId="1852" priority="97" operator="equal">
      <formula>"M2"</formula>
    </cfRule>
    <cfRule type="cellIs" dxfId="1851" priority="98" operator="equal">
      <formula>"M1"</formula>
    </cfRule>
  </conditionalFormatting>
  <conditionalFormatting sqref="U113:AE113 AP113">
    <cfRule type="cellIs" dxfId="1850" priority="94" operator="equal">
      <formula>"E"</formula>
    </cfRule>
  </conditionalFormatting>
  <conditionalFormatting sqref="AX3:AX103">
    <cfRule type="cellIs" dxfId="1849" priority="93" operator="equal">
      <formula>"E"</formula>
    </cfRule>
  </conditionalFormatting>
  <conditionalFormatting sqref="T3:T38">
    <cfRule type="cellIs" dxfId="1848" priority="85" operator="equal">
      <formula>"M4"</formula>
    </cfRule>
    <cfRule type="cellIs" dxfId="1847" priority="86" operator="equal">
      <formula>"M3"</formula>
    </cfRule>
    <cfRule type="cellIs" dxfId="1846" priority="87" operator="equal">
      <formula>"M2"</formula>
    </cfRule>
    <cfRule type="cellIs" dxfId="1845" priority="88" operator="equal">
      <formula>"M1"</formula>
    </cfRule>
  </conditionalFormatting>
  <conditionalFormatting sqref="T3:T38">
    <cfRule type="cellIs" dxfId="1844" priority="84" operator="equal">
      <formula>"E"</formula>
    </cfRule>
  </conditionalFormatting>
  <conditionalFormatting sqref="BM3:BM38">
    <cfRule type="cellIs" dxfId="1843" priority="80" operator="equal">
      <formula>"M4"</formula>
    </cfRule>
    <cfRule type="cellIs" dxfId="1842" priority="81" operator="equal">
      <formula>"M3"</formula>
    </cfRule>
    <cfRule type="cellIs" dxfId="1841" priority="82" operator="equal">
      <formula>"M2"</formula>
    </cfRule>
    <cfRule type="cellIs" dxfId="1840" priority="83" operator="equal">
      <formula>"M1"</formula>
    </cfRule>
  </conditionalFormatting>
  <conditionalFormatting sqref="BM3:BM38">
    <cfRule type="cellIs" dxfId="1839" priority="79" operator="equal">
      <formula>"E"</formula>
    </cfRule>
  </conditionalFormatting>
  <conditionalFormatting sqref="U3:U38">
    <cfRule type="cellIs" dxfId="1838" priority="75" operator="equal">
      <formula>"M4"</formula>
    </cfRule>
    <cfRule type="cellIs" dxfId="1837" priority="76" operator="equal">
      <formula>"M3"</formula>
    </cfRule>
    <cfRule type="cellIs" dxfId="1836" priority="77" operator="equal">
      <formula>"M2"</formula>
    </cfRule>
    <cfRule type="cellIs" dxfId="1835" priority="78" operator="equal">
      <formula>"M1"</formula>
    </cfRule>
  </conditionalFormatting>
  <conditionalFormatting sqref="U3:U38">
    <cfRule type="cellIs" dxfId="1834" priority="74" operator="equal">
      <formula>"E"</formula>
    </cfRule>
  </conditionalFormatting>
  <conditionalFormatting sqref="BN3:BN38">
    <cfRule type="cellIs" dxfId="1833" priority="70" operator="equal">
      <formula>"M4"</formula>
    </cfRule>
    <cfRule type="cellIs" dxfId="1832" priority="71" operator="equal">
      <formula>"M3"</formula>
    </cfRule>
    <cfRule type="cellIs" dxfId="1831" priority="72" operator="equal">
      <formula>"M2"</formula>
    </cfRule>
    <cfRule type="cellIs" dxfId="1830" priority="73" operator="equal">
      <formula>"M1"</formula>
    </cfRule>
  </conditionalFormatting>
  <conditionalFormatting sqref="BN3:BN38">
    <cfRule type="cellIs" dxfId="1829" priority="69" operator="equal">
      <formula>"E"</formula>
    </cfRule>
  </conditionalFormatting>
  <conditionalFormatting sqref="AE3:AE38">
    <cfRule type="cellIs" dxfId="1828" priority="68" operator="equal">
      <formula>"E"</formula>
    </cfRule>
  </conditionalFormatting>
  <conditionalFormatting sqref="AG2:AG70">
    <cfRule type="cellIs" dxfId="1827" priority="42" stopIfTrue="1" operator="equal">
      <formula>"WW"</formula>
    </cfRule>
    <cfRule type="cellIs" dxfId="1826" priority="43" stopIfTrue="1" operator="equal">
      <formula>"C2"</formula>
    </cfRule>
  </conditionalFormatting>
  <conditionalFormatting sqref="AL2:AL70">
    <cfRule type="cellIs" dxfId="1825" priority="37" stopIfTrue="1" operator="equal">
      <formula>"WW"</formula>
    </cfRule>
    <cfRule type="cellIs" dxfId="1824" priority="38" stopIfTrue="1" operator="equal">
      <formula>"C2"</formula>
    </cfRule>
  </conditionalFormatting>
  <conditionalFormatting sqref="BC27:BC32">
    <cfRule type="cellIs" dxfId="1823" priority="12" operator="equal">
      <formula>"E"</formula>
    </cfRule>
  </conditionalFormatting>
  <conditionalFormatting sqref="BD3:BD8">
    <cfRule type="cellIs" dxfId="1822" priority="11" operator="equal">
      <formula>"E"</formula>
    </cfRule>
  </conditionalFormatting>
  <conditionalFormatting sqref="BD27:BD32">
    <cfRule type="cellIs" dxfId="1821" priority="7" operator="equal">
      <formula>"E"</formula>
    </cfRule>
  </conditionalFormatting>
  <conditionalFormatting sqref="BE3:BE8">
    <cfRule type="cellIs" dxfId="1820" priority="6" operator="equal">
      <formula>"E"</formula>
    </cfRule>
  </conditionalFormatting>
  <conditionalFormatting sqref="J13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{BD878DC9-F3C9-4F41-B5DB-509B9F61B822}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D878DC9-F3C9-4F41-B5DB-509B9F61B82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J13</xm:sqref>
        </x14:conditionalFormatting>
      </x14:conditionalFormatting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2C6A7F-8AFC-4C75-892F-64CEA099B746}">
  <dimension ref="A1:BX120"/>
  <sheetViews>
    <sheetView workbookViewId="0">
      <selection sqref="A1:C1"/>
    </sheetView>
  </sheetViews>
  <sheetFormatPr defaultRowHeight="16.2"/>
  <cols>
    <col min="1" max="1" width="14.44140625" customWidth="1"/>
    <col min="2" max="2" width="5.77734375" customWidth="1"/>
    <col min="3" max="3" width="20.109375" customWidth="1"/>
    <col min="4" max="4" width="8.77734375" customWidth="1"/>
    <col min="5" max="5" width="7.21875" customWidth="1"/>
    <col min="6" max="6" width="7.77734375" customWidth="1"/>
    <col min="10" max="10" width="12.88671875" customWidth="1"/>
    <col min="13" max="15" width="8.6640625" customWidth="1"/>
    <col min="16" max="16" width="10.44140625" bestFit="1" customWidth="1"/>
    <col min="18" max="18" width="10.6640625" style="15" bestFit="1" customWidth="1"/>
    <col min="19" max="21" width="9.77734375" style="16" customWidth="1"/>
    <col min="22" max="22" width="3.77734375" customWidth="1"/>
    <col min="23" max="23" width="8.88671875" customWidth="1"/>
    <col min="24" max="26" width="4.44140625" customWidth="1"/>
    <col min="27" max="27" width="3.77734375" customWidth="1"/>
    <col min="28" max="28" width="9.88671875" customWidth="1"/>
    <col min="29" max="31" width="5.44140625" style="16" customWidth="1"/>
    <col min="32" max="32" width="3.6640625" customWidth="1"/>
    <col min="34" max="36" width="5.33203125" customWidth="1"/>
    <col min="37" max="37" width="3.44140625" customWidth="1"/>
    <col min="39" max="41" width="5.33203125" customWidth="1"/>
    <col min="42" max="42" width="13.44140625" customWidth="1"/>
    <col min="44" max="44" width="13.44140625" style="16" customWidth="1"/>
    <col min="45" max="45" width="3.77734375" customWidth="1"/>
    <col min="48" max="48" width="3.77734375" customWidth="1"/>
    <col min="49" max="49" width="12.44140625" customWidth="1"/>
    <col min="59" max="59" width="9.44140625" style="26" customWidth="1"/>
    <col min="61" max="61" width="15.33203125" customWidth="1"/>
    <col min="63" max="63" width="10.6640625" style="15" bestFit="1" customWidth="1"/>
    <col min="64" max="66" width="9.77734375" style="16" customWidth="1"/>
    <col min="67" max="67" width="3.77734375" customWidth="1"/>
    <col min="69" max="71" width="4.44140625" customWidth="1"/>
    <col min="72" max="72" width="3.77734375" customWidth="1"/>
    <col min="73" max="73" width="9.88671875" customWidth="1"/>
    <col min="74" max="76" width="5.44140625" style="16" customWidth="1"/>
  </cols>
  <sheetData>
    <row r="1" spans="1:76">
      <c r="A1" s="30" t="s">
        <v>115</v>
      </c>
      <c r="D1" s="119"/>
      <c r="E1" s="119"/>
      <c r="F1" s="119"/>
      <c r="R1" s="9" t="s">
        <v>41</v>
      </c>
      <c r="S1" s="10"/>
      <c r="T1" s="10"/>
      <c r="U1" s="10"/>
      <c r="W1" s="18" t="s">
        <v>30</v>
      </c>
      <c r="AB1" s="10" t="s">
        <v>93</v>
      </c>
      <c r="AD1" s="10"/>
      <c r="AE1" s="10"/>
      <c r="AG1" s="10" t="s">
        <v>94</v>
      </c>
      <c r="AH1" s="16"/>
      <c r="AI1" s="10"/>
      <c r="AJ1" s="10"/>
      <c r="AL1" s="10" t="s">
        <v>95</v>
      </c>
      <c r="AM1" s="16"/>
      <c r="AN1" s="10"/>
      <c r="AO1" s="10"/>
      <c r="AQ1" s="19" t="s">
        <v>31</v>
      </c>
      <c r="AR1" s="10"/>
      <c r="AT1" s="19" t="s">
        <v>32</v>
      </c>
      <c r="AW1" s="19" t="s">
        <v>33</v>
      </c>
      <c r="AX1" s="16" t="s">
        <v>60</v>
      </c>
      <c r="AY1" s="16" t="s">
        <v>48</v>
      </c>
      <c r="AZ1" s="16" t="s">
        <v>49</v>
      </c>
      <c r="BA1" s="16" t="s">
        <v>50</v>
      </c>
      <c r="BB1" s="16" t="s">
        <v>51</v>
      </c>
      <c r="BC1" s="16" t="s">
        <v>52</v>
      </c>
      <c r="BD1" s="16" t="s">
        <v>53</v>
      </c>
      <c r="BE1" s="16" t="s">
        <v>54</v>
      </c>
      <c r="BF1" s="16" t="s">
        <v>55</v>
      </c>
      <c r="BG1" s="25" t="s">
        <v>87</v>
      </c>
      <c r="BH1" s="16" t="s">
        <v>88</v>
      </c>
      <c r="BI1" s="41" t="s">
        <v>89</v>
      </c>
      <c r="BK1" s="9" t="s">
        <v>43</v>
      </c>
      <c r="BL1" s="10"/>
      <c r="BM1" s="10"/>
      <c r="BN1" s="10"/>
      <c r="BP1" s="18" t="s">
        <v>143</v>
      </c>
      <c r="BU1" s="19" t="s">
        <v>142</v>
      </c>
      <c r="BW1" s="10"/>
      <c r="BX1" s="10"/>
    </row>
    <row r="2" spans="1:76" ht="18" customHeight="1">
      <c r="A2" s="30" t="s">
        <v>46</v>
      </c>
      <c r="B2" s="1" t="s">
        <v>86</v>
      </c>
      <c r="C2" s="2" t="s">
        <v>114</v>
      </c>
      <c r="D2" s="3" t="s">
        <v>80</v>
      </c>
      <c r="E2" s="99" t="s">
        <v>1</v>
      </c>
      <c r="F2" s="4" t="s">
        <v>2</v>
      </c>
      <c r="J2" s="301" t="s">
        <v>112</v>
      </c>
      <c r="K2" s="318"/>
      <c r="L2" s="318"/>
      <c r="M2" s="318"/>
      <c r="N2" s="319"/>
      <c r="R2" s="11" t="s">
        <v>17</v>
      </c>
      <c r="S2" s="12" t="s">
        <v>0</v>
      </c>
      <c r="T2" s="13" t="s">
        <v>1</v>
      </c>
      <c r="U2" s="12" t="s">
        <v>2</v>
      </c>
      <c r="W2" s="11" t="s">
        <v>17</v>
      </c>
      <c r="X2" s="12" t="s">
        <v>0</v>
      </c>
      <c r="Y2" s="13" t="s">
        <v>1</v>
      </c>
      <c r="Z2" s="12" t="s">
        <v>2</v>
      </c>
      <c r="AB2" s="11" t="s">
        <v>17</v>
      </c>
      <c r="AC2" s="12" t="s">
        <v>0</v>
      </c>
      <c r="AD2" s="13" t="s">
        <v>1</v>
      </c>
      <c r="AE2" s="12" t="s">
        <v>2</v>
      </c>
      <c r="AG2" s="11" t="s">
        <v>17</v>
      </c>
      <c r="AH2" s="12" t="s">
        <v>0</v>
      </c>
      <c r="AI2" s="13" t="s">
        <v>1</v>
      </c>
      <c r="AJ2" s="12" t="s">
        <v>2</v>
      </c>
      <c r="AL2" s="11" t="s">
        <v>17</v>
      </c>
      <c r="AM2" s="12" t="s">
        <v>0</v>
      </c>
      <c r="AN2" s="13" t="s">
        <v>1</v>
      </c>
      <c r="AO2" s="12" t="s">
        <v>2</v>
      </c>
      <c r="AQ2" s="11" t="s">
        <v>17</v>
      </c>
      <c r="AR2" s="13" t="s">
        <v>3</v>
      </c>
      <c r="AT2" s="11" t="s">
        <v>17</v>
      </c>
      <c r="AU2" s="13" t="s">
        <v>4</v>
      </c>
      <c r="AW2" s="11" t="s">
        <v>17</v>
      </c>
      <c r="AX2" s="12" t="s">
        <v>4</v>
      </c>
      <c r="AY2" s="12" t="s">
        <v>4</v>
      </c>
      <c r="AZ2" s="12" t="s">
        <v>4</v>
      </c>
      <c r="BA2" s="12" t="s">
        <v>4</v>
      </c>
      <c r="BB2" s="12" t="s">
        <v>4</v>
      </c>
      <c r="BC2" s="12" t="s">
        <v>4</v>
      </c>
      <c r="BD2" s="12" t="s">
        <v>4</v>
      </c>
      <c r="BE2" s="12" t="s">
        <v>4</v>
      </c>
      <c r="BF2" s="24" t="s">
        <v>4</v>
      </c>
      <c r="BG2" s="29" t="s">
        <v>4</v>
      </c>
      <c r="BH2" s="12" t="s">
        <v>4</v>
      </c>
      <c r="BI2" s="12" t="s">
        <v>4</v>
      </c>
      <c r="BK2" s="11" t="s">
        <v>17</v>
      </c>
      <c r="BL2" s="12" t="s">
        <v>0</v>
      </c>
      <c r="BM2" s="13" t="s">
        <v>1</v>
      </c>
      <c r="BN2" s="12" t="s">
        <v>2</v>
      </c>
      <c r="BP2" s="11" t="s">
        <v>17</v>
      </c>
      <c r="BQ2" s="12" t="s">
        <v>0</v>
      </c>
      <c r="BR2" s="13" t="s">
        <v>1</v>
      </c>
      <c r="BS2" s="12" t="s">
        <v>2</v>
      </c>
      <c r="BU2" s="11" t="s">
        <v>17</v>
      </c>
      <c r="BV2" s="12" t="s">
        <v>0</v>
      </c>
      <c r="BW2" s="13" t="s">
        <v>1</v>
      </c>
      <c r="BX2" s="12" t="s">
        <v>2</v>
      </c>
    </row>
    <row r="3" spans="1:76" ht="16.8">
      <c r="A3" s="1" t="s">
        <v>19</v>
      </c>
      <c r="B3" s="1">
        <v>0</v>
      </c>
      <c r="C3" s="3" t="s">
        <v>25</v>
      </c>
      <c r="D3" s="3">
        <f>SUMIF(S$3:S$38,$A3,AC$3:AC$38)</f>
        <v>18</v>
      </c>
      <c r="E3" s="99">
        <f t="shared" ref="E3:F14" si="0">SUMIF(T$3:T$38,$A3,AD$3:AD$38)</f>
        <v>18</v>
      </c>
      <c r="F3" s="4">
        <f t="shared" si="0"/>
        <v>6</v>
      </c>
      <c r="H3" s="27"/>
      <c r="I3" s="27"/>
      <c r="J3" s="64" t="s">
        <v>79</v>
      </c>
      <c r="K3" s="64" t="s">
        <v>78</v>
      </c>
      <c r="L3" s="2" t="s">
        <v>80</v>
      </c>
      <c r="M3" s="2" t="s">
        <v>72</v>
      </c>
      <c r="N3" s="2" t="s">
        <v>73</v>
      </c>
      <c r="R3" s="11">
        <v>0</v>
      </c>
      <c r="S3" s="12">
        <v>1</v>
      </c>
      <c r="T3" s="12" t="s">
        <v>15</v>
      </c>
      <c r="U3" s="12" t="s">
        <v>15</v>
      </c>
      <c r="W3" s="11">
        <v>0</v>
      </c>
      <c r="X3" s="12">
        <v>2</v>
      </c>
      <c r="Y3" s="12">
        <v>0</v>
      </c>
      <c r="Z3" s="12">
        <v>0</v>
      </c>
      <c r="AB3" s="11">
        <v>0</v>
      </c>
      <c r="AC3" s="12">
        <v>1</v>
      </c>
      <c r="AD3" s="69">
        <v>1</v>
      </c>
      <c r="AE3" s="69">
        <v>0</v>
      </c>
      <c r="AG3" s="11">
        <v>0</v>
      </c>
      <c r="AH3" s="12">
        <v>1</v>
      </c>
      <c r="AI3" s="69">
        <v>1</v>
      </c>
      <c r="AJ3" s="69">
        <v>0</v>
      </c>
      <c r="AL3" s="11">
        <v>0</v>
      </c>
      <c r="AM3" s="12">
        <v>1</v>
      </c>
      <c r="AN3" s="69">
        <v>1</v>
      </c>
      <c r="AO3" s="69">
        <v>0</v>
      </c>
      <c r="AQ3" s="11">
        <v>0</v>
      </c>
      <c r="AR3" s="14" t="s">
        <v>5</v>
      </c>
      <c r="AT3" s="11">
        <v>0</v>
      </c>
      <c r="AU3" s="12">
        <v>6</v>
      </c>
      <c r="AW3" s="11">
        <v>0</v>
      </c>
      <c r="AX3" s="12">
        <v>1</v>
      </c>
      <c r="AY3" s="12">
        <v>1</v>
      </c>
      <c r="AZ3" s="12">
        <v>1</v>
      </c>
      <c r="BA3" s="12">
        <v>1</v>
      </c>
      <c r="BB3" s="12">
        <v>1</v>
      </c>
      <c r="BC3" s="12">
        <v>1</v>
      </c>
      <c r="BD3" s="12">
        <v>1</v>
      </c>
      <c r="BE3" s="12">
        <v>1</v>
      </c>
      <c r="BF3" s="12">
        <v>1</v>
      </c>
      <c r="BG3" s="29">
        <v>1</v>
      </c>
      <c r="BH3" s="12">
        <v>1</v>
      </c>
      <c r="BI3" s="12">
        <v>1</v>
      </c>
      <c r="BK3" s="11">
        <v>0</v>
      </c>
      <c r="BL3" s="12">
        <v>1</v>
      </c>
      <c r="BM3" s="12" t="s">
        <v>15</v>
      </c>
      <c r="BN3" s="12" t="s">
        <v>15</v>
      </c>
      <c r="BP3" s="11">
        <v>0</v>
      </c>
      <c r="BQ3" s="12">
        <v>2</v>
      </c>
      <c r="BR3" s="12">
        <v>0</v>
      </c>
      <c r="BS3" s="12">
        <v>0</v>
      </c>
      <c r="BU3" s="11">
        <v>0</v>
      </c>
      <c r="BV3" s="12">
        <v>1</v>
      </c>
      <c r="BW3" s="12">
        <v>1</v>
      </c>
      <c r="BX3" s="69">
        <v>0</v>
      </c>
    </row>
    <row r="4" spans="1:76" ht="16.8">
      <c r="A4" s="20">
        <v>0</v>
      </c>
      <c r="B4" s="20">
        <v>1</v>
      </c>
      <c r="C4" s="5">
        <v>0</v>
      </c>
      <c r="D4" s="37">
        <f t="shared" ref="D4:D14" si="1">SUMIF(S$3:S$38,$A4,AC$3:AC$38)</f>
        <v>0</v>
      </c>
      <c r="E4" s="100">
        <f t="shared" si="0"/>
        <v>6</v>
      </c>
      <c r="F4" s="7">
        <f t="shared" si="0"/>
        <v>0</v>
      </c>
      <c r="H4" s="27"/>
      <c r="J4" s="61" t="s">
        <v>77</v>
      </c>
      <c r="K4" s="61" t="s">
        <v>7</v>
      </c>
      <c r="L4" s="2">
        <v>6</v>
      </c>
      <c r="M4" s="2">
        <v>7</v>
      </c>
      <c r="N4" s="2">
        <v>2</v>
      </c>
      <c r="O4" s="6"/>
      <c r="R4" s="11">
        <v>1</v>
      </c>
      <c r="S4" s="12" t="s">
        <v>15</v>
      </c>
      <c r="T4" s="12">
        <v>0</v>
      </c>
      <c r="U4" s="12">
        <v>0</v>
      </c>
      <c r="W4" s="11">
        <v>1</v>
      </c>
      <c r="X4" s="12">
        <v>0</v>
      </c>
      <c r="Y4" s="12">
        <v>1</v>
      </c>
      <c r="Z4" s="12">
        <v>1</v>
      </c>
      <c r="AB4" s="11">
        <v>1</v>
      </c>
      <c r="AC4" s="12">
        <v>1</v>
      </c>
      <c r="AD4" s="69">
        <v>1</v>
      </c>
      <c r="AE4" s="69">
        <v>0</v>
      </c>
      <c r="AG4" s="11">
        <v>1</v>
      </c>
      <c r="AH4" s="12">
        <v>1</v>
      </c>
      <c r="AI4" s="69">
        <v>1</v>
      </c>
      <c r="AJ4" s="69">
        <v>0</v>
      </c>
      <c r="AL4" s="11">
        <v>1</v>
      </c>
      <c r="AM4" s="12">
        <v>1</v>
      </c>
      <c r="AN4" s="69">
        <v>1</v>
      </c>
      <c r="AO4" s="69">
        <v>0</v>
      </c>
      <c r="AQ4" s="11">
        <v>1</v>
      </c>
      <c r="AR4" s="12" t="s">
        <v>15</v>
      </c>
      <c r="AT4" s="11">
        <v>1</v>
      </c>
      <c r="AU4" s="12">
        <v>0</v>
      </c>
      <c r="AW4" s="11">
        <v>1</v>
      </c>
      <c r="AX4" s="12">
        <v>1</v>
      </c>
      <c r="AY4" s="12">
        <v>1</v>
      </c>
      <c r="AZ4" s="12">
        <v>1</v>
      </c>
      <c r="BA4" s="12">
        <v>1</v>
      </c>
      <c r="BB4" s="12">
        <v>1</v>
      </c>
      <c r="BC4" s="12">
        <v>1</v>
      </c>
      <c r="BD4" s="12">
        <v>1</v>
      </c>
      <c r="BE4" s="12">
        <v>1</v>
      </c>
      <c r="BF4" s="12">
        <v>1</v>
      </c>
      <c r="BG4" s="29">
        <v>1</v>
      </c>
      <c r="BH4" s="12">
        <v>1</v>
      </c>
      <c r="BI4" s="12">
        <v>1</v>
      </c>
      <c r="BK4" s="11">
        <v>1</v>
      </c>
      <c r="BL4" s="12" t="s">
        <v>15</v>
      </c>
      <c r="BM4" s="12">
        <v>0</v>
      </c>
      <c r="BN4" s="12">
        <v>0</v>
      </c>
      <c r="BP4" s="11">
        <v>1</v>
      </c>
      <c r="BQ4" s="12">
        <v>0</v>
      </c>
      <c r="BR4" s="12">
        <v>1</v>
      </c>
      <c r="BS4" s="12">
        <v>1</v>
      </c>
      <c r="BU4" s="11">
        <v>1</v>
      </c>
      <c r="BV4" s="12">
        <v>1</v>
      </c>
      <c r="BW4" s="12">
        <v>1</v>
      </c>
      <c r="BX4" s="69">
        <v>0</v>
      </c>
    </row>
    <row r="5" spans="1:76" ht="16.8">
      <c r="A5" s="20">
        <v>1</v>
      </c>
      <c r="B5" s="20">
        <v>2</v>
      </c>
      <c r="C5" s="5">
        <v>1</v>
      </c>
      <c r="D5" s="6">
        <f t="shared" si="1"/>
        <v>6</v>
      </c>
      <c r="E5" s="100">
        <f t="shared" si="0"/>
        <v>6</v>
      </c>
      <c r="F5" s="7">
        <f t="shared" si="0"/>
        <v>0</v>
      </c>
      <c r="H5" s="27"/>
      <c r="I5" s="27"/>
      <c r="J5" s="91"/>
      <c r="K5" s="91"/>
      <c r="L5" s="320" t="s">
        <v>84</v>
      </c>
      <c r="M5" s="320"/>
      <c r="N5" s="320"/>
      <c r="R5" s="11">
        <v>2</v>
      </c>
      <c r="S5" s="12">
        <v>5</v>
      </c>
      <c r="T5" s="12" t="s">
        <v>15</v>
      </c>
      <c r="U5" s="12" t="s">
        <v>15</v>
      </c>
      <c r="W5" s="11">
        <v>2</v>
      </c>
      <c r="X5" s="12">
        <v>3</v>
      </c>
      <c r="Y5" s="12">
        <v>0</v>
      </c>
      <c r="Z5" s="12">
        <v>0</v>
      </c>
      <c r="AB5" s="11">
        <v>2</v>
      </c>
      <c r="AC5" s="12">
        <v>1</v>
      </c>
      <c r="AD5" s="69">
        <v>1</v>
      </c>
      <c r="AE5" s="69">
        <v>0</v>
      </c>
      <c r="AG5" s="11">
        <v>2</v>
      </c>
      <c r="AH5" s="12">
        <v>1</v>
      </c>
      <c r="AI5" s="69">
        <v>1</v>
      </c>
      <c r="AJ5" s="69">
        <v>0</v>
      </c>
      <c r="AL5" s="11">
        <v>2</v>
      </c>
      <c r="AM5" s="12">
        <v>1</v>
      </c>
      <c r="AN5" s="69">
        <v>1</v>
      </c>
      <c r="AO5" s="69">
        <v>0</v>
      </c>
      <c r="AQ5" s="11">
        <v>2</v>
      </c>
      <c r="AR5" s="14" t="s">
        <v>7</v>
      </c>
      <c r="AT5" s="11">
        <v>2</v>
      </c>
      <c r="AU5" s="12">
        <v>9</v>
      </c>
      <c r="AW5" s="11">
        <v>2</v>
      </c>
      <c r="AX5" s="12">
        <v>1</v>
      </c>
      <c r="AY5" s="12">
        <v>1</v>
      </c>
      <c r="AZ5" s="12">
        <v>1</v>
      </c>
      <c r="BA5" s="12">
        <v>1</v>
      </c>
      <c r="BB5" s="12">
        <v>1</v>
      </c>
      <c r="BC5" s="12">
        <v>1</v>
      </c>
      <c r="BD5" s="12">
        <v>1</v>
      </c>
      <c r="BE5" s="12">
        <v>1</v>
      </c>
      <c r="BF5" s="12">
        <v>1</v>
      </c>
      <c r="BG5" s="29">
        <v>1</v>
      </c>
      <c r="BH5" s="12">
        <v>1</v>
      </c>
      <c r="BI5" s="12">
        <v>1</v>
      </c>
      <c r="BK5" s="11">
        <v>2</v>
      </c>
      <c r="BL5" s="12">
        <v>5</v>
      </c>
      <c r="BM5" s="12" t="s">
        <v>15</v>
      </c>
      <c r="BN5" s="12" t="s">
        <v>15</v>
      </c>
      <c r="BP5" s="11">
        <v>2</v>
      </c>
      <c r="BQ5" s="12">
        <v>3</v>
      </c>
      <c r="BR5" s="12">
        <v>0</v>
      </c>
      <c r="BS5" s="12">
        <v>0</v>
      </c>
      <c r="BU5" s="11">
        <v>2</v>
      </c>
      <c r="BV5" s="12">
        <v>1</v>
      </c>
      <c r="BW5" s="12">
        <v>1</v>
      </c>
      <c r="BX5" s="69">
        <v>0</v>
      </c>
    </row>
    <row r="6" spans="1:76">
      <c r="A6" s="21">
        <v>5</v>
      </c>
      <c r="B6" s="21">
        <v>3</v>
      </c>
      <c r="C6" s="23">
        <v>5</v>
      </c>
      <c r="D6" s="6">
        <f t="shared" si="1"/>
        <v>6</v>
      </c>
      <c r="E6" s="100">
        <f t="shared" si="0"/>
        <v>6</v>
      </c>
      <c r="F6" s="7">
        <f t="shared" si="0"/>
        <v>0</v>
      </c>
      <c r="H6" s="27"/>
      <c r="I6" s="27"/>
      <c r="J6" s="27"/>
      <c r="R6" s="11">
        <v>3</v>
      </c>
      <c r="S6" s="12" t="s">
        <v>15</v>
      </c>
      <c r="T6" s="12">
        <v>1</v>
      </c>
      <c r="U6" s="12">
        <v>1</v>
      </c>
      <c r="W6" s="11">
        <v>3</v>
      </c>
      <c r="X6" s="12">
        <v>0</v>
      </c>
      <c r="Y6" s="12">
        <v>2</v>
      </c>
      <c r="Z6" s="12">
        <v>2</v>
      </c>
      <c r="AB6" s="11">
        <v>3</v>
      </c>
      <c r="AC6" s="12">
        <v>1</v>
      </c>
      <c r="AD6" s="69">
        <v>1</v>
      </c>
      <c r="AE6" s="69">
        <v>0</v>
      </c>
      <c r="AG6" s="11">
        <v>3</v>
      </c>
      <c r="AH6" s="12">
        <v>1</v>
      </c>
      <c r="AI6" s="69">
        <v>1</v>
      </c>
      <c r="AJ6" s="69">
        <v>0</v>
      </c>
      <c r="AL6" s="11">
        <v>3</v>
      </c>
      <c r="AM6" s="12">
        <v>1</v>
      </c>
      <c r="AN6" s="69">
        <v>1</v>
      </c>
      <c r="AO6" s="69">
        <v>0</v>
      </c>
      <c r="AQ6" s="11">
        <v>3</v>
      </c>
      <c r="AR6" s="12" t="s">
        <v>15</v>
      </c>
      <c r="AT6" s="11">
        <v>3</v>
      </c>
      <c r="AU6" s="12">
        <v>0</v>
      </c>
      <c r="AW6" s="11">
        <v>3</v>
      </c>
      <c r="AX6" s="12">
        <v>1</v>
      </c>
      <c r="AY6" s="12">
        <v>1</v>
      </c>
      <c r="AZ6" s="12">
        <v>1</v>
      </c>
      <c r="BA6" s="12">
        <v>1</v>
      </c>
      <c r="BB6" s="12">
        <v>1</v>
      </c>
      <c r="BC6" s="12">
        <v>1</v>
      </c>
      <c r="BD6" s="12">
        <v>1</v>
      </c>
      <c r="BE6" s="12">
        <v>1</v>
      </c>
      <c r="BF6" s="12">
        <v>1</v>
      </c>
      <c r="BG6" s="29">
        <v>1</v>
      </c>
      <c r="BH6" s="12">
        <v>1</v>
      </c>
      <c r="BI6" s="12">
        <v>1</v>
      </c>
      <c r="BK6" s="11">
        <v>3</v>
      </c>
      <c r="BL6" s="12" t="s">
        <v>15</v>
      </c>
      <c r="BM6" s="12">
        <v>1</v>
      </c>
      <c r="BN6" s="12">
        <v>1</v>
      </c>
      <c r="BP6" s="11">
        <v>3</v>
      </c>
      <c r="BQ6" s="12">
        <v>0</v>
      </c>
      <c r="BR6" s="12">
        <v>2</v>
      </c>
      <c r="BS6" s="12">
        <v>2</v>
      </c>
      <c r="BU6" s="11">
        <v>3</v>
      </c>
      <c r="BV6" s="12">
        <v>1</v>
      </c>
      <c r="BW6" s="12">
        <v>1</v>
      </c>
      <c r="BX6" s="69">
        <v>0</v>
      </c>
    </row>
    <row r="7" spans="1:76" ht="16.8">
      <c r="A7" s="21">
        <v>10</v>
      </c>
      <c r="B7" s="21">
        <v>4</v>
      </c>
      <c r="C7" s="23">
        <v>10</v>
      </c>
      <c r="D7" s="6">
        <f t="shared" si="1"/>
        <v>6</v>
      </c>
      <c r="E7" s="59">
        <f t="shared" si="0"/>
        <v>0</v>
      </c>
      <c r="F7" s="38">
        <f t="shared" si="0"/>
        <v>0</v>
      </c>
      <c r="H7" s="27"/>
      <c r="J7" s="64" t="s">
        <v>81</v>
      </c>
      <c r="K7" s="64" t="s">
        <v>82</v>
      </c>
      <c r="L7" s="64" t="s">
        <v>83</v>
      </c>
      <c r="M7" s="64" t="s">
        <v>113</v>
      </c>
      <c r="R7" s="11">
        <v>4</v>
      </c>
      <c r="S7" s="12">
        <v>10</v>
      </c>
      <c r="T7" s="12" t="s">
        <v>15</v>
      </c>
      <c r="U7" s="12" t="s">
        <v>15</v>
      </c>
      <c r="W7" s="11">
        <v>4</v>
      </c>
      <c r="X7" s="12">
        <v>4</v>
      </c>
      <c r="Y7" s="12">
        <v>0</v>
      </c>
      <c r="Z7" s="12">
        <v>0</v>
      </c>
      <c r="AB7" s="11">
        <v>4</v>
      </c>
      <c r="AC7" s="12">
        <v>1</v>
      </c>
      <c r="AD7" s="69">
        <v>1</v>
      </c>
      <c r="AE7" s="69">
        <v>1</v>
      </c>
      <c r="AG7" s="11">
        <v>4</v>
      </c>
      <c r="AH7" s="12">
        <v>1</v>
      </c>
      <c r="AI7" s="69">
        <v>1</v>
      </c>
      <c r="AJ7" s="69">
        <v>1</v>
      </c>
      <c r="AL7" s="11">
        <v>4</v>
      </c>
      <c r="AM7" s="12">
        <v>1</v>
      </c>
      <c r="AN7" s="69">
        <v>1</v>
      </c>
      <c r="AO7" s="69">
        <v>1</v>
      </c>
      <c r="AQ7" s="11">
        <v>4</v>
      </c>
      <c r="AR7" s="14" t="s">
        <v>6</v>
      </c>
      <c r="AT7" s="11">
        <v>4</v>
      </c>
      <c r="AU7" s="12">
        <v>7</v>
      </c>
      <c r="AW7" s="11">
        <v>4</v>
      </c>
      <c r="AX7" s="12">
        <v>1</v>
      </c>
      <c r="AY7" s="12">
        <v>1</v>
      </c>
      <c r="AZ7" s="12">
        <v>1</v>
      </c>
      <c r="BA7" s="12">
        <v>1</v>
      </c>
      <c r="BB7" s="12">
        <v>1</v>
      </c>
      <c r="BC7" s="12">
        <v>1</v>
      </c>
      <c r="BD7" s="12">
        <v>1</v>
      </c>
      <c r="BE7" s="12">
        <v>1</v>
      </c>
      <c r="BF7" s="12">
        <v>1</v>
      </c>
      <c r="BG7" s="29">
        <v>1</v>
      </c>
      <c r="BH7" s="12">
        <v>1</v>
      </c>
      <c r="BI7" s="12">
        <v>1</v>
      </c>
      <c r="BK7" s="11">
        <v>4</v>
      </c>
      <c r="BL7" s="12">
        <v>10</v>
      </c>
      <c r="BM7" s="12" t="s">
        <v>15</v>
      </c>
      <c r="BN7" s="12" t="s">
        <v>15</v>
      </c>
      <c r="BP7" s="11">
        <v>4</v>
      </c>
      <c r="BQ7" s="12">
        <v>4</v>
      </c>
      <c r="BR7" s="12">
        <v>0</v>
      </c>
      <c r="BS7" s="12">
        <v>0</v>
      </c>
      <c r="BU7" s="11">
        <v>4</v>
      </c>
      <c r="BV7" s="12">
        <v>1</v>
      </c>
      <c r="BW7" s="12">
        <v>1</v>
      </c>
      <c r="BX7" s="69">
        <v>1</v>
      </c>
    </row>
    <row r="8" spans="1:76" ht="16.8">
      <c r="A8" s="20" t="s">
        <v>20</v>
      </c>
      <c r="B8" s="20">
        <v>5</v>
      </c>
      <c r="C8" s="23" t="s">
        <v>29</v>
      </c>
      <c r="D8" s="37">
        <f t="shared" si="1"/>
        <v>0</v>
      </c>
      <c r="E8" s="59">
        <f t="shared" si="0"/>
        <v>0</v>
      </c>
      <c r="F8" s="38">
        <f t="shared" si="0"/>
        <v>0</v>
      </c>
      <c r="H8" s="27"/>
      <c r="J8" s="64" t="s">
        <v>80</v>
      </c>
      <c r="K8" s="64">
        <v>3</v>
      </c>
      <c r="L8" s="64">
        <v>3</v>
      </c>
      <c r="M8" s="64">
        <v>94</v>
      </c>
      <c r="R8" s="11">
        <v>5</v>
      </c>
      <c r="S8" s="12" t="s">
        <v>15</v>
      </c>
      <c r="T8" s="12">
        <v>5</v>
      </c>
      <c r="U8" s="12">
        <v>5</v>
      </c>
      <c r="W8" s="11">
        <v>5</v>
      </c>
      <c r="X8" s="12">
        <v>0</v>
      </c>
      <c r="Y8" s="12">
        <v>3</v>
      </c>
      <c r="Z8" s="12">
        <v>3</v>
      </c>
      <c r="AB8" s="11">
        <v>5</v>
      </c>
      <c r="AC8" s="12">
        <v>1</v>
      </c>
      <c r="AD8" s="69">
        <v>1</v>
      </c>
      <c r="AE8" s="69">
        <v>0</v>
      </c>
      <c r="AG8" s="11">
        <v>5</v>
      </c>
      <c r="AH8" s="12">
        <v>1</v>
      </c>
      <c r="AI8" s="69">
        <v>1</v>
      </c>
      <c r="AJ8" s="69">
        <v>0</v>
      </c>
      <c r="AL8" s="11">
        <v>5</v>
      </c>
      <c r="AM8" s="12">
        <v>1</v>
      </c>
      <c r="AN8" s="69">
        <v>1</v>
      </c>
      <c r="AO8" s="69">
        <v>0</v>
      </c>
      <c r="AQ8" s="11">
        <v>5</v>
      </c>
      <c r="AR8" s="12" t="s">
        <v>15</v>
      </c>
      <c r="AT8" s="11">
        <v>5</v>
      </c>
      <c r="AU8" s="12">
        <v>0</v>
      </c>
      <c r="AW8" s="11">
        <v>5</v>
      </c>
      <c r="AX8" s="12">
        <v>1</v>
      </c>
      <c r="AY8" s="12">
        <v>1</v>
      </c>
      <c r="AZ8" s="12">
        <v>1</v>
      </c>
      <c r="BA8" s="12">
        <v>1</v>
      </c>
      <c r="BB8" s="12">
        <v>1</v>
      </c>
      <c r="BC8" s="12">
        <v>1</v>
      </c>
      <c r="BD8" s="12">
        <v>1</v>
      </c>
      <c r="BE8" s="12">
        <v>1</v>
      </c>
      <c r="BF8" s="12">
        <v>1</v>
      </c>
      <c r="BG8" s="29">
        <v>1</v>
      </c>
      <c r="BH8" s="12">
        <v>1</v>
      </c>
      <c r="BI8" s="12">
        <v>1</v>
      </c>
      <c r="BK8" s="11">
        <v>5</v>
      </c>
      <c r="BL8" s="12" t="s">
        <v>15</v>
      </c>
      <c r="BM8" s="12">
        <v>5</v>
      </c>
      <c r="BN8" s="12">
        <v>5</v>
      </c>
      <c r="BP8" s="11">
        <v>5</v>
      </c>
      <c r="BQ8" s="12">
        <v>0</v>
      </c>
      <c r="BR8" s="12">
        <v>3</v>
      </c>
      <c r="BS8" s="12">
        <v>3</v>
      </c>
      <c r="BU8" s="11">
        <v>5</v>
      </c>
      <c r="BV8" s="12">
        <v>1</v>
      </c>
      <c r="BW8" s="12">
        <v>1</v>
      </c>
      <c r="BX8" s="69">
        <v>0</v>
      </c>
    </row>
    <row r="9" spans="1:76" ht="15.6" customHeight="1">
      <c r="A9" s="21" t="s">
        <v>21</v>
      </c>
      <c r="B9" s="21">
        <v>6</v>
      </c>
      <c r="C9" s="23" t="s">
        <v>26</v>
      </c>
      <c r="D9" s="37">
        <f t="shared" si="1"/>
        <v>0</v>
      </c>
      <c r="E9" s="59">
        <f t="shared" si="0"/>
        <v>0</v>
      </c>
      <c r="F9" s="38">
        <f t="shared" si="0"/>
        <v>0</v>
      </c>
      <c r="H9" s="27"/>
      <c r="J9" s="64" t="s">
        <v>72</v>
      </c>
      <c r="K9" s="64">
        <v>0</v>
      </c>
      <c r="L9" s="64">
        <v>0</v>
      </c>
      <c r="M9" s="64">
        <v>0</v>
      </c>
      <c r="N9" s="92"/>
      <c r="O9" s="92"/>
      <c r="R9" s="11">
        <v>6</v>
      </c>
      <c r="S9" s="12">
        <v>1</v>
      </c>
      <c r="T9" s="12" t="s">
        <v>15</v>
      </c>
      <c r="U9" s="12" t="s">
        <v>15</v>
      </c>
      <c r="W9" s="11">
        <v>6</v>
      </c>
      <c r="X9" s="12">
        <v>2</v>
      </c>
      <c r="Y9" s="12">
        <v>0</v>
      </c>
      <c r="Z9" s="12">
        <v>0</v>
      </c>
      <c r="AB9" s="11">
        <v>6</v>
      </c>
      <c r="AC9" s="12">
        <v>1</v>
      </c>
      <c r="AD9" s="69">
        <v>1</v>
      </c>
      <c r="AE9" s="69">
        <v>0</v>
      </c>
      <c r="AG9" s="11">
        <v>6</v>
      </c>
      <c r="AH9" s="12">
        <v>1</v>
      </c>
      <c r="AI9" s="69">
        <v>1</v>
      </c>
      <c r="AJ9" s="69">
        <v>0</v>
      </c>
      <c r="AL9" s="11">
        <v>6</v>
      </c>
      <c r="AM9" s="12">
        <v>1</v>
      </c>
      <c r="AN9" s="69">
        <v>1</v>
      </c>
      <c r="AO9" s="69">
        <v>0</v>
      </c>
      <c r="AQ9" s="11">
        <v>6</v>
      </c>
      <c r="AR9" s="14" t="s">
        <v>5</v>
      </c>
      <c r="AT9" s="11">
        <v>6</v>
      </c>
      <c r="AU9" s="12">
        <v>6</v>
      </c>
      <c r="AW9" s="11">
        <v>6</v>
      </c>
      <c r="AX9" s="12">
        <v>1</v>
      </c>
      <c r="AY9" s="12">
        <v>1</v>
      </c>
      <c r="AZ9" s="12">
        <v>1</v>
      </c>
      <c r="BA9" s="12">
        <v>1</v>
      </c>
      <c r="BB9" s="12">
        <v>1</v>
      </c>
      <c r="BC9" s="12">
        <v>1</v>
      </c>
      <c r="BD9" s="12">
        <v>1</v>
      </c>
      <c r="BE9" s="12">
        <v>1</v>
      </c>
      <c r="BF9" s="12">
        <v>1</v>
      </c>
      <c r="BG9" s="29">
        <v>1</v>
      </c>
      <c r="BH9" s="12">
        <v>1</v>
      </c>
      <c r="BI9" s="12">
        <v>1</v>
      </c>
      <c r="BK9" s="11">
        <v>6</v>
      </c>
      <c r="BL9" s="12">
        <v>1</v>
      </c>
      <c r="BM9" s="12" t="s">
        <v>15</v>
      </c>
      <c r="BN9" s="12" t="s">
        <v>15</v>
      </c>
      <c r="BP9" s="11">
        <v>6</v>
      </c>
      <c r="BQ9" s="12">
        <v>2</v>
      </c>
      <c r="BR9" s="12">
        <v>0</v>
      </c>
      <c r="BS9" s="12">
        <v>0</v>
      </c>
      <c r="BU9" s="11">
        <v>6</v>
      </c>
      <c r="BV9" s="12">
        <v>1</v>
      </c>
      <c r="BW9" s="12">
        <v>1</v>
      </c>
      <c r="BX9" s="69">
        <v>0</v>
      </c>
    </row>
    <row r="10" spans="1:76" ht="16.8">
      <c r="A10" s="20" t="s">
        <v>22</v>
      </c>
      <c r="B10" s="20">
        <v>7</v>
      </c>
      <c r="C10" s="5" t="s">
        <v>27</v>
      </c>
      <c r="D10" s="37">
        <f t="shared" si="1"/>
        <v>0</v>
      </c>
      <c r="E10" s="59">
        <f t="shared" si="0"/>
        <v>0</v>
      </c>
      <c r="F10" s="38">
        <f t="shared" si="0"/>
        <v>0</v>
      </c>
      <c r="H10" s="27"/>
      <c r="J10" s="64" t="s">
        <v>73</v>
      </c>
      <c r="K10" s="64">
        <v>0</v>
      </c>
      <c r="L10" s="64">
        <v>0</v>
      </c>
      <c r="M10" s="64">
        <v>0</v>
      </c>
      <c r="N10" s="93"/>
      <c r="O10" s="93"/>
      <c r="R10" s="11">
        <v>7</v>
      </c>
      <c r="S10" s="12" t="s">
        <v>15</v>
      </c>
      <c r="T10" s="12">
        <v>0</v>
      </c>
      <c r="U10" s="12">
        <v>0</v>
      </c>
      <c r="W10" s="11">
        <v>7</v>
      </c>
      <c r="X10" s="12">
        <v>0</v>
      </c>
      <c r="Y10" s="12">
        <v>1</v>
      </c>
      <c r="Z10" s="12">
        <v>1</v>
      </c>
      <c r="AB10" s="11">
        <v>7</v>
      </c>
      <c r="AC10" s="12">
        <v>1</v>
      </c>
      <c r="AD10" s="69">
        <v>1</v>
      </c>
      <c r="AE10" s="69">
        <v>0</v>
      </c>
      <c r="AG10" s="11">
        <v>7</v>
      </c>
      <c r="AH10" s="12">
        <v>1</v>
      </c>
      <c r="AI10" s="69">
        <v>1</v>
      </c>
      <c r="AJ10" s="69">
        <v>0</v>
      </c>
      <c r="AL10" s="11">
        <v>7</v>
      </c>
      <c r="AM10" s="12">
        <v>1</v>
      </c>
      <c r="AN10" s="69">
        <v>1</v>
      </c>
      <c r="AO10" s="69">
        <v>0</v>
      </c>
      <c r="AQ10" s="11">
        <v>7</v>
      </c>
      <c r="AR10" s="12" t="s">
        <v>15</v>
      </c>
      <c r="AT10" s="11">
        <v>7</v>
      </c>
      <c r="AU10" s="12">
        <v>0</v>
      </c>
      <c r="AW10" s="11">
        <v>7</v>
      </c>
      <c r="AX10" s="12">
        <v>1</v>
      </c>
      <c r="AY10" s="12">
        <v>1</v>
      </c>
      <c r="AZ10" s="12">
        <v>1</v>
      </c>
      <c r="BA10" s="12">
        <v>1</v>
      </c>
      <c r="BB10" s="12">
        <v>1</v>
      </c>
      <c r="BC10" s="12">
        <v>1</v>
      </c>
      <c r="BD10" s="12">
        <v>1</v>
      </c>
      <c r="BE10" s="12">
        <v>1</v>
      </c>
      <c r="BF10" s="12">
        <v>1</v>
      </c>
      <c r="BG10" s="29">
        <v>1</v>
      </c>
      <c r="BH10" s="12">
        <v>1</v>
      </c>
      <c r="BI10" s="12">
        <v>1</v>
      </c>
      <c r="BK10" s="11">
        <v>7</v>
      </c>
      <c r="BL10" s="12" t="s">
        <v>15</v>
      </c>
      <c r="BM10" s="12">
        <v>0</v>
      </c>
      <c r="BN10" s="12">
        <v>0</v>
      </c>
      <c r="BP10" s="11">
        <v>7</v>
      </c>
      <c r="BQ10" s="12">
        <v>0</v>
      </c>
      <c r="BR10" s="12">
        <v>1</v>
      </c>
      <c r="BS10" s="12">
        <v>1</v>
      </c>
      <c r="BU10" s="11">
        <v>7</v>
      </c>
      <c r="BV10" s="12">
        <v>1</v>
      </c>
      <c r="BW10" s="12">
        <v>1</v>
      </c>
      <c r="BX10" s="69">
        <v>0</v>
      </c>
    </row>
    <row r="11" spans="1:76" ht="16.8">
      <c r="A11" s="20" t="s">
        <v>23</v>
      </c>
      <c r="B11" s="20">
        <v>8</v>
      </c>
      <c r="C11" s="5" t="s">
        <v>28</v>
      </c>
      <c r="D11" s="37">
        <f t="shared" si="1"/>
        <v>0</v>
      </c>
      <c r="E11" s="59">
        <f t="shared" si="0"/>
        <v>0</v>
      </c>
      <c r="F11" s="38">
        <f t="shared" si="0"/>
        <v>0</v>
      </c>
      <c r="H11" s="27"/>
      <c r="J11" s="64" t="s">
        <v>4</v>
      </c>
      <c r="K11" s="64">
        <v>7</v>
      </c>
      <c r="L11" s="64">
        <v>7</v>
      </c>
      <c r="M11" s="64">
        <v>86</v>
      </c>
      <c r="N11" s="93"/>
      <c r="O11" s="93"/>
      <c r="R11" s="11">
        <v>8</v>
      </c>
      <c r="S11" s="12">
        <v>5</v>
      </c>
      <c r="T11" s="12" t="s">
        <v>15</v>
      </c>
      <c r="U11" s="12" t="s">
        <v>15</v>
      </c>
      <c r="W11" s="11">
        <v>8</v>
      </c>
      <c r="X11" s="12">
        <v>3</v>
      </c>
      <c r="Y11" s="12">
        <v>0</v>
      </c>
      <c r="Z11" s="12">
        <v>0</v>
      </c>
      <c r="AB11" s="11">
        <v>8</v>
      </c>
      <c r="AC11" s="12">
        <v>1</v>
      </c>
      <c r="AD11" s="69">
        <v>1</v>
      </c>
      <c r="AE11" s="69">
        <v>0</v>
      </c>
      <c r="AG11" s="11">
        <v>8</v>
      </c>
      <c r="AH11" s="12">
        <v>1</v>
      </c>
      <c r="AI11" s="69">
        <v>1</v>
      </c>
      <c r="AJ11" s="69">
        <v>0</v>
      </c>
      <c r="AL11" s="11">
        <v>8</v>
      </c>
      <c r="AM11" s="12">
        <v>1</v>
      </c>
      <c r="AN11" s="69">
        <v>1</v>
      </c>
      <c r="AO11" s="69">
        <v>0</v>
      </c>
      <c r="AQ11" s="11">
        <v>8</v>
      </c>
      <c r="AR11" s="14" t="s">
        <v>7</v>
      </c>
      <c r="AT11" s="11">
        <v>8</v>
      </c>
      <c r="AU11" s="12">
        <v>9</v>
      </c>
      <c r="AW11" s="11">
        <v>8</v>
      </c>
      <c r="AX11" s="12">
        <v>1</v>
      </c>
      <c r="AY11" s="12">
        <v>1</v>
      </c>
      <c r="AZ11" s="12">
        <v>1</v>
      </c>
      <c r="BA11" s="12">
        <v>1</v>
      </c>
      <c r="BB11" s="12">
        <v>1</v>
      </c>
      <c r="BC11" s="12">
        <v>1</v>
      </c>
      <c r="BD11" s="12">
        <v>1</v>
      </c>
      <c r="BE11" s="12">
        <v>1</v>
      </c>
      <c r="BF11" s="12">
        <v>1</v>
      </c>
      <c r="BG11" s="29">
        <v>1</v>
      </c>
      <c r="BH11" s="12">
        <v>1</v>
      </c>
      <c r="BI11" s="12">
        <v>1</v>
      </c>
      <c r="BK11" s="11">
        <v>8</v>
      </c>
      <c r="BL11" s="12">
        <v>5</v>
      </c>
      <c r="BM11" s="12" t="s">
        <v>15</v>
      </c>
      <c r="BN11" s="12" t="s">
        <v>15</v>
      </c>
      <c r="BP11" s="11">
        <v>8</v>
      </c>
      <c r="BQ11" s="12">
        <v>3</v>
      </c>
      <c r="BR11" s="12">
        <v>0</v>
      </c>
      <c r="BS11" s="12">
        <v>0</v>
      </c>
      <c r="BU11" s="11">
        <v>8</v>
      </c>
      <c r="BV11" s="12">
        <v>1</v>
      </c>
      <c r="BW11" s="12">
        <v>1</v>
      </c>
      <c r="BX11" s="69">
        <v>0</v>
      </c>
    </row>
    <row r="12" spans="1:76">
      <c r="A12" s="20" t="s">
        <v>24</v>
      </c>
      <c r="B12" s="20">
        <v>9</v>
      </c>
      <c r="C12" s="5" t="s">
        <v>16</v>
      </c>
      <c r="D12" s="37">
        <f t="shared" si="1"/>
        <v>0</v>
      </c>
      <c r="E12" s="59">
        <f t="shared" si="0"/>
        <v>0</v>
      </c>
      <c r="F12" s="38">
        <f t="shared" si="0"/>
        <v>0</v>
      </c>
      <c r="H12" s="27"/>
      <c r="J12" s="27"/>
      <c r="K12" s="27"/>
      <c r="R12" s="11">
        <v>9</v>
      </c>
      <c r="S12" s="12" t="s">
        <v>15</v>
      </c>
      <c r="T12" s="12">
        <v>1</v>
      </c>
      <c r="U12" s="12">
        <v>1</v>
      </c>
      <c r="W12" s="11">
        <v>9</v>
      </c>
      <c r="X12" s="12">
        <v>0</v>
      </c>
      <c r="Y12" s="12">
        <v>2</v>
      </c>
      <c r="Z12" s="12">
        <v>2</v>
      </c>
      <c r="AB12" s="11">
        <v>9</v>
      </c>
      <c r="AC12" s="12">
        <v>1</v>
      </c>
      <c r="AD12" s="69">
        <v>1</v>
      </c>
      <c r="AE12" s="69">
        <v>0</v>
      </c>
      <c r="AG12" s="11">
        <v>9</v>
      </c>
      <c r="AH12" s="12">
        <v>1</v>
      </c>
      <c r="AI12" s="69">
        <v>1</v>
      </c>
      <c r="AJ12" s="69">
        <v>0</v>
      </c>
      <c r="AL12" s="11">
        <v>9</v>
      </c>
      <c r="AM12" s="12">
        <v>1</v>
      </c>
      <c r="AN12" s="69">
        <v>1</v>
      </c>
      <c r="AO12" s="69">
        <v>0</v>
      </c>
      <c r="AQ12" s="11">
        <v>9</v>
      </c>
      <c r="AR12" s="12" t="s">
        <v>15</v>
      </c>
      <c r="AT12" s="11">
        <v>9</v>
      </c>
      <c r="AU12" s="12">
        <v>0</v>
      </c>
      <c r="AW12" s="11">
        <v>9</v>
      </c>
      <c r="AX12" s="12">
        <v>1</v>
      </c>
      <c r="AY12" s="12">
        <v>1</v>
      </c>
      <c r="AZ12" s="12">
        <v>1</v>
      </c>
      <c r="BA12" s="12">
        <v>1</v>
      </c>
      <c r="BB12" s="12">
        <v>1</v>
      </c>
      <c r="BC12" s="12">
        <v>1</v>
      </c>
      <c r="BD12" s="12">
        <v>1</v>
      </c>
      <c r="BE12" s="12">
        <v>1</v>
      </c>
      <c r="BF12" s="12">
        <v>1</v>
      </c>
      <c r="BG12" s="29">
        <v>1</v>
      </c>
      <c r="BH12" s="12">
        <v>1</v>
      </c>
      <c r="BI12" s="12">
        <v>1</v>
      </c>
      <c r="BK12" s="11">
        <v>9</v>
      </c>
      <c r="BL12" s="12" t="s">
        <v>15</v>
      </c>
      <c r="BM12" s="12">
        <v>1</v>
      </c>
      <c r="BN12" s="12">
        <v>1</v>
      </c>
      <c r="BP12" s="11">
        <v>9</v>
      </c>
      <c r="BQ12" s="12">
        <v>0</v>
      </c>
      <c r="BR12" s="12">
        <v>2</v>
      </c>
      <c r="BS12" s="12">
        <v>2</v>
      </c>
      <c r="BU12" s="11">
        <v>9</v>
      </c>
      <c r="BV12" s="12">
        <v>1</v>
      </c>
      <c r="BW12" s="12">
        <v>1</v>
      </c>
      <c r="BX12" s="69">
        <v>0</v>
      </c>
    </row>
    <row r="13" spans="1:76" ht="18" customHeight="1">
      <c r="A13" s="21" t="s">
        <v>35</v>
      </c>
      <c r="B13" s="21">
        <v>10</v>
      </c>
      <c r="C13" s="5" t="s">
        <v>37</v>
      </c>
      <c r="D13" s="37">
        <f t="shared" si="1"/>
        <v>0</v>
      </c>
      <c r="E13" s="59">
        <f t="shared" si="0"/>
        <v>0</v>
      </c>
      <c r="F13" s="38">
        <f t="shared" si="0"/>
        <v>0</v>
      </c>
      <c r="H13" s="27"/>
      <c r="J13" s="66"/>
      <c r="K13" s="64" t="s">
        <v>90</v>
      </c>
      <c r="L13" s="64" t="s">
        <v>91</v>
      </c>
      <c r="M13" s="64" t="s">
        <v>92</v>
      </c>
      <c r="R13" s="11">
        <v>10</v>
      </c>
      <c r="S13" s="12">
        <v>10</v>
      </c>
      <c r="T13" s="12" t="s">
        <v>15</v>
      </c>
      <c r="U13" s="12" t="s">
        <v>15</v>
      </c>
      <c r="W13" s="11">
        <v>10</v>
      </c>
      <c r="X13" s="12">
        <v>4</v>
      </c>
      <c r="Y13" s="12">
        <v>0</v>
      </c>
      <c r="Z13" s="12">
        <v>0</v>
      </c>
      <c r="AB13" s="11">
        <v>10</v>
      </c>
      <c r="AC13" s="12">
        <v>1</v>
      </c>
      <c r="AD13" s="69">
        <v>1</v>
      </c>
      <c r="AE13" s="69">
        <v>1</v>
      </c>
      <c r="AG13" s="11">
        <v>10</v>
      </c>
      <c r="AH13" s="12">
        <v>1</v>
      </c>
      <c r="AI13" s="69">
        <v>1</v>
      </c>
      <c r="AJ13" s="69">
        <v>1</v>
      </c>
      <c r="AL13" s="11">
        <v>10</v>
      </c>
      <c r="AM13" s="12">
        <v>1</v>
      </c>
      <c r="AN13" s="69">
        <v>1</v>
      </c>
      <c r="AO13" s="69">
        <v>1</v>
      </c>
      <c r="AQ13" s="11">
        <v>10</v>
      </c>
      <c r="AR13" s="14" t="s">
        <v>6</v>
      </c>
      <c r="AT13" s="11">
        <v>10</v>
      </c>
      <c r="AU13" s="12">
        <v>7</v>
      </c>
      <c r="AW13" s="11">
        <v>10</v>
      </c>
      <c r="AX13" s="12">
        <v>1</v>
      </c>
      <c r="AY13" s="12">
        <v>1</v>
      </c>
      <c r="AZ13" s="12">
        <v>1</v>
      </c>
      <c r="BA13" s="12">
        <v>1</v>
      </c>
      <c r="BB13" s="12">
        <v>1</v>
      </c>
      <c r="BC13" s="12">
        <v>1</v>
      </c>
      <c r="BD13" s="12">
        <v>1</v>
      </c>
      <c r="BE13" s="12">
        <v>1</v>
      </c>
      <c r="BF13" s="12">
        <v>1</v>
      </c>
      <c r="BG13" s="29">
        <v>1</v>
      </c>
      <c r="BH13" s="12">
        <v>1</v>
      </c>
      <c r="BI13" s="12">
        <v>1</v>
      </c>
      <c r="BK13" s="11">
        <v>10</v>
      </c>
      <c r="BL13" s="12">
        <v>10</v>
      </c>
      <c r="BM13" s="12" t="s">
        <v>15</v>
      </c>
      <c r="BN13" s="12" t="s">
        <v>15</v>
      </c>
      <c r="BP13" s="11">
        <v>10</v>
      </c>
      <c r="BQ13" s="12">
        <v>4</v>
      </c>
      <c r="BR13" s="12">
        <v>0</v>
      </c>
      <c r="BS13" s="12">
        <v>0</v>
      </c>
      <c r="BU13" s="11">
        <v>10</v>
      </c>
      <c r="BV13" s="12">
        <v>1</v>
      </c>
      <c r="BW13" s="12">
        <v>1</v>
      </c>
      <c r="BX13" s="69">
        <v>1</v>
      </c>
    </row>
    <row r="14" spans="1:76" ht="16.8">
      <c r="A14" s="22" t="s">
        <v>39</v>
      </c>
      <c r="B14" s="22">
        <v>11</v>
      </c>
      <c r="C14" s="17" t="s">
        <v>38</v>
      </c>
      <c r="D14" s="60">
        <f t="shared" si="1"/>
        <v>0</v>
      </c>
      <c r="E14" s="39">
        <f t="shared" si="0"/>
        <v>0</v>
      </c>
      <c r="F14" s="40">
        <f t="shared" si="0"/>
        <v>0</v>
      </c>
      <c r="H14" s="27"/>
      <c r="J14" s="64" t="s">
        <v>96</v>
      </c>
      <c r="K14" s="64">
        <v>1</v>
      </c>
      <c r="L14" s="64">
        <v>1</v>
      </c>
      <c r="M14" s="64">
        <v>1</v>
      </c>
      <c r="R14" s="11">
        <v>11</v>
      </c>
      <c r="S14" s="12" t="s">
        <v>15</v>
      </c>
      <c r="T14" s="12">
        <v>5</v>
      </c>
      <c r="U14" s="12">
        <v>5</v>
      </c>
      <c r="W14" s="11">
        <v>11</v>
      </c>
      <c r="X14" s="12">
        <v>0</v>
      </c>
      <c r="Y14" s="12">
        <v>3</v>
      </c>
      <c r="Z14" s="12">
        <v>3</v>
      </c>
      <c r="AB14" s="11">
        <v>11</v>
      </c>
      <c r="AC14" s="12">
        <v>1</v>
      </c>
      <c r="AD14" s="69">
        <v>1</v>
      </c>
      <c r="AE14" s="69">
        <v>0</v>
      </c>
      <c r="AG14" s="11">
        <v>11</v>
      </c>
      <c r="AH14" s="12">
        <v>1</v>
      </c>
      <c r="AI14" s="69">
        <v>1</v>
      </c>
      <c r="AJ14" s="69">
        <v>0</v>
      </c>
      <c r="AL14" s="11">
        <v>11</v>
      </c>
      <c r="AM14" s="12">
        <v>1</v>
      </c>
      <c r="AN14" s="69">
        <v>1</v>
      </c>
      <c r="AO14" s="69">
        <v>0</v>
      </c>
      <c r="AQ14" s="11">
        <v>11</v>
      </c>
      <c r="AR14" s="12" t="s">
        <v>15</v>
      </c>
      <c r="AT14" s="11">
        <v>11</v>
      </c>
      <c r="AU14" s="12">
        <v>0</v>
      </c>
      <c r="AW14" s="11">
        <v>11</v>
      </c>
      <c r="AX14" s="12">
        <v>1</v>
      </c>
      <c r="AY14" s="12">
        <v>1</v>
      </c>
      <c r="AZ14" s="12">
        <v>1</v>
      </c>
      <c r="BA14" s="12">
        <v>1</v>
      </c>
      <c r="BB14" s="12">
        <v>1</v>
      </c>
      <c r="BC14" s="12">
        <v>1</v>
      </c>
      <c r="BD14" s="12">
        <v>1</v>
      </c>
      <c r="BE14" s="12">
        <v>1</v>
      </c>
      <c r="BF14" s="12">
        <v>1</v>
      </c>
      <c r="BG14" s="29">
        <v>1</v>
      </c>
      <c r="BH14" s="12">
        <v>1</v>
      </c>
      <c r="BI14" s="12">
        <v>1</v>
      </c>
      <c r="BK14" s="11">
        <v>11</v>
      </c>
      <c r="BL14" s="12" t="s">
        <v>15</v>
      </c>
      <c r="BM14" s="12">
        <v>5</v>
      </c>
      <c r="BN14" s="12">
        <v>5</v>
      </c>
      <c r="BP14" s="11">
        <v>11</v>
      </c>
      <c r="BQ14" s="12">
        <v>0</v>
      </c>
      <c r="BR14" s="12">
        <v>3</v>
      </c>
      <c r="BS14" s="12">
        <v>3</v>
      </c>
      <c r="BU14" s="11">
        <v>11</v>
      </c>
      <c r="BV14" s="12">
        <v>1</v>
      </c>
      <c r="BW14" s="12">
        <v>1</v>
      </c>
      <c r="BX14" s="69">
        <v>0</v>
      </c>
    </row>
    <row r="15" spans="1:76">
      <c r="D15" s="100">
        <f>SUM(D3:D14)</f>
        <v>36</v>
      </c>
      <c r="E15" s="115">
        <f>SUM(E3:E14)</f>
        <v>36</v>
      </c>
      <c r="F15" s="115">
        <f>SUM(F3:F14)</f>
        <v>6</v>
      </c>
      <c r="R15" s="11">
        <v>12</v>
      </c>
      <c r="S15" s="12">
        <v>1</v>
      </c>
      <c r="T15" s="12" t="s">
        <v>15</v>
      </c>
      <c r="U15" s="12" t="s">
        <v>15</v>
      </c>
      <c r="W15" s="11">
        <v>12</v>
      </c>
      <c r="X15" s="12">
        <v>2</v>
      </c>
      <c r="Y15" s="12">
        <v>0</v>
      </c>
      <c r="Z15" s="12">
        <v>0</v>
      </c>
      <c r="AB15" s="11">
        <v>12</v>
      </c>
      <c r="AC15" s="12">
        <v>1</v>
      </c>
      <c r="AD15" s="69">
        <v>1</v>
      </c>
      <c r="AE15" s="69">
        <v>0</v>
      </c>
      <c r="AG15" s="11">
        <v>12</v>
      </c>
      <c r="AH15" s="12">
        <v>1</v>
      </c>
      <c r="AI15" s="69">
        <v>1</v>
      </c>
      <c r="AJ15" s="69">
        <v>0</v>
      </c>
      <c r="AL15" s="11">
        <v>12</v>
      </c>
      <c r="AM15" s="12">
        <v>1</v>
      </c>
      <c r="AN15" s="69">
        <v>1</v>
      </c>
      <c r="AO15" s="69">
        <v>0</v>
      </c>
      <c r="AQ15" s="11">
        <v>12</v>
      </c>
      <c r="AR15" s="14" t="s">
        <v>5</v>
      </c>
      <c r="AT15" s="11">
        <v>12</v>
      </c>
      <c r="AU15" s="12">
        <v>6</v>
      </c>
      <c r="AW15" s="11">
        <v>12</v>
      </c>
      <c r="AX15" s="12">
        <v>1</v>
      </c>
      <c r="AY15" s="12">
        <v>1</v>
      </c>
      <c r="AZ15" s="12">
        <v>1</v>
      </c>
      <c r="BA15" s="12">
        <v>1</v>
      </c>
      <c r="BB15" s="12">
        <v>1</v>
      </c>
      <c r="BC15" s="12">
        <v>1</v>
      </c>
      <c r="BD15" s="12">
        <v>1</v>
      </c>
      <c r="BE15" s="12">
        <v>1</v>
      </c>
      <c r="BF15" s="12">
        <v>1</v>
      </c>
      <c r="BG15" s="29">
        <v>1</v>
      </c>
      <c r="BH15" s="12">
        <v>1</v>
      </c>
      <c r="BI15" s="12">
        <v>1</v>
      </c>
      <c r="BK15" s="11">
        <v>12</v>
      </c>
      <c r="BL15" s="12">
        <v>1</v>
      </c>
      <c r="BM15" s="12" t="s">
        <v>15</v>
      </c>
      <c r="BN15" s="12" t="s">
        <v>15</v>
      </c>
      <c r="BP15" s="11">
        <v>12</v>
      </c>
      <c r="BQ15" s="12">
        <v>2</v>
      </c>
      <c r="BR15" s="12">
        <v>0</v>
      </c>
      <c r="BS15" s="12">
        <v>0</v>
      </c>
      <c r="BU15" s="11">
        <v>12</v>
      </c>
      <c r="BV15" s="12">
        <v>1</v>
      </c>
      <c r="BW15" s="12">
        <v>1</v>
      </c>
      <c r="BX15" s="69">
        <v>0</v>
      </c>
    </row>
    <row r="16" spans="1:76" ht="16.8">
      <c r="C16" s="8"/>
      <c r="J16" s="2"/>
      <c r="K16" s="2" t="s">
        <v>119</v>
      </c>
      <c r="L16" s="2" t="s">
        <v>120</v>
      </c>
      <c r="R16" s="11">
        <v>13</v>
      </c>
      <c r="S16" s="12" t="s">
        <v>15</v>
      </c>
      <c r="T16" s="12">
        <v>0</v>
      </c>
      <c r="U16" s="12">
        <v>0</v>
      </c>
      <c r="W16" s="11">
        <v>13</v>
      </c>
      <c r="X16" s="12">
        <v>0</v>
      </c>
      <c r="Y16" s="12">
        <v>1</v>
      </c>
      <c r="Z16" s="12">
        <v>1</v>
      </c>
      <c r="AB16" s="11">
        <v>13</v>
      </c>
      <c r="AC16" s="12">
        <v>1</v>
      </c>
      <c r="AD16" s="69">
        <v>1</v>
      </c>
      <c r="AE16" s="69">
        <v>0</v>
      </c>
      <c r="AG16" s="11">
        <v>13</v>
      </c>
      <c r="AH16" s="12">
        <v>1</v>
      </c>
      <c r="AI16" s="69">
        <v>1</v>
      </c>
      <c r="AJ16" s="69">
        <v>0</v>
      </c>
      <c r="AL16" s="11">
        <v>13</v>
      </c>
      <c r="AM16" s="12">
        <v>1</v>
      </c>
      <c r="AN16" s="69">
        <v>1</v>
      </c>
      <c r="AO16" s="69">
        <v>0</v>
      </c>
      <c r="AQ16" s="11">
        <v>13</v>
      </c>
      <c r="AR16" s="12" t="s">
        <v>15</v>
      </c>
      <c r="AT16" s="11">
        <v>13</v>
      </c>
      <c r="AU16" s="12">
        <v>0</v>
      </c>
      <c r="AW16" s="11">
        <v>13</v>
      </c>
      <c r="AX16" s="12">
        <v>1</v>
      </c>
      <c r="AY16" s="12">
        <v>1</v>
      </c>
      <c r="AZ16" s="12">
        <v>1</v>
      </c>
      <c r="BA16" s="12">
        <v>1</v>
      </c>
      <c r="BB16" s="12">
        <v>1</v>
      </c>
      <c r="BC16" s="12">
        <v>1</v>
      </c>
      <c r="BD16" s="12">
        <v>1</v>
      </c>
      <c r="BE16" s="12">
        <v>1</v>
      </c>
      <c r="BF16" s="12">
        <v>1</v>
      </c>
      <c r="BG16" s="29">
        <v>1</v>
      </c>
      <c r="BH16" s="12">
        <v>1</v>
      </c>
      <c r="BI16" s="12">
        <v>1</v>
      </c>
      <c r="BK16" s="11">
        <v>13</v>
      </c>
      <c r="BL16" s="12" t="s">
        <v>15</v>
      </c>
      <c r="BM16" s="12">
        <v>0</v>
      </c>
      <c r="BN16" s="12">
        <v>0</v>
      </c>
      <c r="BP16" s="11">
        <v>13</v>
      </c>
      <c r="BQ16" s="12">
        <v>0</v>
      </c>
      <c r="BR16" s="12">
        <v>1</v>
      </c>
      <c r="BS16" s="12">
        <v>1</v>
      </c>
      <c r="BU16" s="11">
        <v>13</v>
      </c>
      <c r="BV16" s="12">
        <v>1</v>
      </c>
      <c r="BW16" s="12">
        <v>1</v>
      </c>
      <c r="BX16" s="69">
        <v>0</v>
      </c>
    </row>
    <row r="17" spans="1:76" ht="16.8">
      <c r="A17" s="30" t="s">
        <v>116</v>
      </c>
      <c r="D17" s="119" t="s">
        <v>8</v>
      </c>
      <c r="E17" s="119">
        <v>1</v>
      </c>
      <c r="F17" s="119" t="s">
        <v>8</v>
      </c>
      <c r="J17" s="2" t="s">
        <v>118</v>
      </c>
      <c r="K17" s="33">
        <v>100</v>
      </c>
      <c r="L17" s="33">
        <v>0</v>
      </c>
      <c r="R17" s="11">
        <v>14</v>
      </c>
      <c r="S17" s="12">
        <v>5</v>
      </c>
      <c r="T17" s="12" t="s">
        <v>15</v>
      </c>
      <c r="U17" s="12" t="s">
        <v>15</v>
      </c>
      <c r="W17" s="11">
        <v>14</v>
      </c>
      <c r="X17" s="12">
        <v>3</v>
      </c>
      <c r="Y17" s="12">
        <v>0</v>
      </c>
      <c r="Z17" s="12">
        <v>0</v>
      </c>
      <c r="AB17" s="11">
        <v>14</v>
      </c>
      <c r="AC17" s="12">
        <v>1</v>
      </c>
      <c r="AD17" s="69">
        <v>1</v>
      </c>
      <c r="AE17" s="69">
        <v>0</v>
      </c>
      <c r="AG17" s="11">
        <v>14</v>
      </c>
      <c r="AH17" s="12">
        <v>1</v>
      </c>
      <c r="AI17" s="69">
        <v>1</v>
      </c>
      <c r="AJ17" s="69">
        <v>0</v>
      </c>
      <c r="AL17" s="11">
        <v>14</v>
      </c>
      <c r="AM17" s="12">
        <v>1</v>
      </c>
      <c r="AN17" s="69">
        <v>1</v>
      </c>
      <c r="AO17" s="69">
        <v>0</v>
      </c>
      <c r="AQ17" s="11">
        <v>14</v>
      </c>
      <c r="AR17" s="14" t="s">
        <v>7</v>
      </c>
      <c r="AT17" s="11">
        <v>14</v>
      </c>
      <c r="AU17" s="12">
        <v>9</v>
      </c>
      <c r="AW17" s="11">
        <v>14</v>
      </c>
      <c r="AX17" s="12">
        <v>1</v>
      </c>
      <c r="AY17" s="12">
        <v>1</v>
      </c>
      <c r="AZ17" s="12">
        <v>1</v>
      </c>
      <c r="BA17" s="12">
        <v>1</v>
      </c>
      <c r="BB17" s="12">
        <v>1</v>
      </c>
      <c r="BC17" s="12">
        <v>1</v>
      </c>
      <c r="BD17" s="12">
        <v>1</v>
      </c>
      <c r="BE17" s="12">
        <v>1</v>
      </c>
      <c r="BF17" s="12">
        <v>1</v>
      </c>
      <c r="BG17" s="29">
        <v>1</v>
      </c>
      <c r="BH17" s="12">
        <v>1</v>
      </c>
      <c r="BI17" s="12">
        <v>1</v>
      </c>
      <c r="BK17" s="11">
        <v>14</v>
      </c>
      <c r="BL17" s="12">
        <v>5</v>
      </c>
      <c r="BM17" s="12" t="s">
        <v>15</v>
      </c>
      <c r="BN17" s="12" t="s">
        <v>15</v>
      </c>
      <c r="BP17" s="11">
        <v>14</v>
      </c>
      <c r="BQ17" s="12">
        <v>3</v>
      </c>
      <c r="BR17" s="12">
        <v>0</v>
      </c>
      <c r="BS17" s="12">
        <v>0</v>
      </c>
      <c r="BU17" s="11">
        <v>14</v>
      </c>
      <c r="BV17" s="12">
        <v>1</v>
      </c>
      <c r="BW17" s="12">
        <v>1</v>
      </c>
      <c r="BX17" s="69">
        <v>0</v>
      </c>
    </row>
    <row r="18" spans="1:76">
      <c r="A18" s="30" t="s">
        <v>46</v>
      </c>
      <c r="B18" s="1" t="s">
        <v>10</v>
      </c>
      <c r="C18" s="2" t="s">
        <v>11</v>
      </c>
      <c r="D18" s="3" t="s">
        <v>80</v>
      </c>
      <c r="E18" s="99" t="s">
        <v>1</v>
      </c>
      <c r="F18" s="4" t="s">
        <v>2</v>
      </c>
      <c r="R18" s="11">
        <v>15</v>
      </c>
      <c r="S18" s="12" t="s">
        <v>15</v>
      </c>
      <c r="T18" s="12">
        <v>1</v>
      </c>
      <c r="U18" s="12">
        <v>1</v>
      </c>
      <c r="W18" s="11">
        <v>15</v>
      </c>
      <c r="X18" s="12">
        <v>0</v>
      </c>
      <c r="Y18" s="12">
        <v>2</v>
      </c>
      <c r="Z18" s="12">
        <v>2</v>
      </c>
      <c r="AB18" s="11">
        <v>15</v>
      </c>
      <c r="AC18" s="12">
        <v>1</v>
      </c>
      <c r="AD18" s="69">
        <v>1</v>
      </c>
      <c r="AE18" s="69">
        <v>0</v>
      </c>
      <c r="AG18" s="11">
        <v>15</v>
      </c>
      <c r="AH18" s="12">
        <v>1</v>
      </c>
      <c r="AI18" s="69">
        <v>1</v>
      </c>
      <c r="AJ18" s="69">
        <v>0</v>
      </c>
      <c r="AL18" s="11">
        <v>15</v>
      </c>
      <c r="AM18" s="12">
        <v>1</v>
      </c>
      <c r="AN18" s="69">
        <v>1</v>
      </c>
      <c r="AO18" s="69">
        <v>0</v>
      </c>
      <c r="AQ18" s="11">
        <v>15</v>
      </c>
      <c r="AR18" s="12" t="s">
        <v>15</v>
      </c>
      <c r="AT18" s="11">
        <v>15</v>
      </c>
      <c r="AU18" s="12">
        <v>0</v>
      </c>
      <c r="AW18" s="11">
        <v>15</v>
      </c>
      <c r="AX18" s="12">
        <v>1</v>
      </c>
      <c r="AY18" s="12">
        <v>1</v>
      </c>
      <c r="AZ18" s="12">
        <v>1</v>
      </c>
      <c r="BA18" s="12">
        <v>1</v>
      </c>
      <c r="BB18" s="12">
        <v>1</v>
      </c>
      <c r="BC18" s="12">
        <v>1</v>
      </c>
      <c r="BD18" s="12">
        <v>1</v>
      </c>
      <c r="BE18" s="12">
        <v>1</v>
      </c>
      <c r="BF18" s="12">
        <v>1</v>
      </c>
      <c r="BG18" s="29">
        <v>1</v>
      </c>
      <c r="BH18" s="12">
        <v>1</v>
      </c>
      <c r="BI18" s="12">
        <v>1</v>
      </c>
      <c r="BK18" s="11">
        <v>15</v>
      </c>
      <c r="BL18" s="12" t="s">
        <v>15</v>
      </c>
      <c r="BM18" s="12">
        <v>1</v>
      </c>
      <c r="BN18" s="12">
        <v>1</v>
      </c>
      <c r="BP18" s="11">
        <v>15</v>
      </c>
      <c r="BQ18" s="12">
        <v>0</v>
      </c>
      <c r="BR18" s="12">
        <v>2</v>
      </c>
      <c r="BS18" s="12">
        <v>2</v>
      </c>
      <c r="BU18" s="11">
        <v>15</v>
      </c>
      <c r="BV18" s="12">
        <v>1</v>
      </c>
      <c r="BW18" s="12">
        <v>1</v>
      </c>
      <c r="BX18" s="69">
        <v>0</v>
      </c>
    </row>
    <row r="19" spans="1:76">
      <c r="A19" s="1" t="s">
        <v>19</v>
      </c>
      <c r="B19" s="1">
        <v>0</v>
      </c>
      <c r="C19" s="3" t="s">
        <v>25</v>
      </c>
      <c r="D19" s="3">
        <f>SUMIF(S$3:S$38,$A19,AH$3:AH$38)</f>
        <v>18</v>
      </c>
      <c r="E19" s="116">
        <f t="shared" ref="E19:F30" si="2">SUMIF(T$3:T$38,$A19,AI$3:AI$38)</f>
        <v>18</v>
      </c>
      <c r="F19" s="4">
        <f t="shared" si="2"/>
        <v>6</v>
      </c>
      <c r="J19" s="94" t="s">
        <v>125</v>
      </c>
      <c r="K19" s="100"/>
      <c r="R19" s="11">
        <v>16</v>
      </c>
      <c r="S19" s="12">
        <v>10</v>
      </c>
      <c r="T19" s="12" t="s">
        <v>15</v>
      </c>
      <c r="U19" s="12" t="s">
        <v>15</v>
      </c>
      <c r="W19" s="11">
        <v>16</v>
      </c>
      <c r="X19" s="12">
        <v>4</v>
      </c>
      <c r="Y19" s="12">
        <v>0</v>
      </c>
      <c r="Z19" s="12">
        <v>0</v>
      </c>
      <c r="AB19" s="11">
        <v>16</v>
      </c>
      <c r="AC19" s="12">
        <v>1</v>
      </c>
      <c r="AD19" s="69">
        <v>1</v>
      </c>
      <c r="AE19" s="69">
        <v>1</v>
      </c>
      <c r="AG19" s="11">
        <v>16</v>
      </c>
      <c r="AH19" s="12">
        <v>1</v>
      </c>
      <c r="AI19" s="69">
        <v>1</v>
      </c>
      <c r="AJ19" s="69">
        <v>1</v>
      </c>
      <c r="AL19" s="11">
        <v>16</v>
      </c>
      <c r="AM19" s="12">
        <v>1</v>
      </c>
      <c r="AN19" s="69">
        <v>1</v>
      </c>
      <c r="AO19" s="69">
        <v>1</v>
      </c>
      <c r="AQ19" s="11">
        <v>16</v>
      </c>
      <c r="AR19" s="14" t="s">
        <v>6</v>
      </c>
      <c r="AT19" s="11">
        <v>16</v>
      </c>
      <c r="AU19" s="12">
        <v>7</v>
      </c>
      <c r="AW19" s="11">
        <v>16</v>
      </c>
      <c r="AX19" s="12">
        <v>1</v>
      </c>
      <c r="AY19" s="12">
        <v>1</v>
      </c>
      <c r="AZ19" s="12">
        <v>1</v>
      </c>
      <c r="BA19" s="12">
        <v>1</v>
      </c>
      <c r="BB19" s="12">
        <v>1</v>
      </c>
      <c r="BC19" s="12">
        <v>1</v>
      </c>
      <c r="BD19" s="12">
        <v>1</v>
      </c>
      <c r="BE19" s="12">
        <v>1</v>
      </c>
      <c r="BF19" s="12">
        <v>1</v>
      </c>
      <c r="BG19" s="29">
        <v>1</v>
      </c>
      <c r="BH19" s="12">
        <v>1</v>
      </c>
      <c r="BI19" s="12">
        <v>1</v>
      </c>
      <c r="BK19" s="11">
        <v>16</v>
      </c>
      <c r="BL19" s="12">
        <v>10</v>
      </c>
      <c r="BM19" s="12" t="s">
        <v>15</v>
      </c>
      <c r="BN19" s="12" t="s">
        <v>15</v>
      </c>
      <c r="BP19" s="11">
        <v>16</v>
      </c>
      <c r="BQ19" s="12">
        <v>4</v>
      </c>
      <c r="BR19" s="12">
        <v>0</v>
      </c>
      <c r="BS19" s="12">
        <v>0</v>
      </c>
      <c r="BU19" s="11">
        <v>16</v>
      </c>
      <c r="BV19" s="12">
        <v>1</v>
      </c>
      <c r="BW19" s="12">
        <v>1</v>
      </c>
      <c r="BX19" s="69">
        <v>1</v>
      </c>
    </row>
    <row r="20" spans="1:76">
      <c r="A20" s="20">
        <v>0</v>
      </c>
      <c r="B20" s="20">
        <v>1</v>
      </c>
      <c r="C20" s="5">
        <v>0</v>
      </c>
      <c r="D20" s="37">
        <f t="shared" ref="D20:D30" si="3">SUMIF(S$3:S$38,$A20,AH$3:AH$38)</f>
        <v>0</v>
      </c>
      <c r="E20" s="115">
        <f t="shared" si="2"/>
        <v>6</v>
      </c>
      <c r="F20" s="7">
        <f t="shared" si="2"/>
        <v>0</v>
      </c>
      <c r="J20" s="2" t="s">
        <v>66</v>
      </c>
      <c r="K20" s="2" t="s">
        <v>67</v>
      </c>
      <c r="R20" s="11">
        <v>17</v>
      </c>
      <c r="S20" s="12" t="s">
        <v>15</v>
      </c>
      <c r="T20" s="12">
        <v>5</v>
      </c>
      <c r="U20" s="12">
        <v>5</v>
      </c>
      <c r="W20" s="11">
        <v>17</v>
      </c>
      <c r="X20" s="12">
        <v>0</v>
      </c>
      <c r="Y20" s="12">
        <v>3</v>
      </c>
      <c r="Z20" s="12">
        <v>3</v>
      </c>
      <c r="AB20" s="11">
        <v>17</v>
      </c>
      <c r="AC20" s="12">
        <v>1</v>
      </c>
      <c r="AD20" s="69">
        <v>1</v>
      </c>
      <c r="AE20" s="69">
        <v>0</v>
      </c>
      <c r="AG20" s="11">
        <v>17</v>
      </c>
      <c r="AH20" s="12">
        <v>1</v>
      </c>
      <c r="AI20" s="69">
        <v>1</v>
      </c>
      <c r="AJ20" s="69">
        <v>0</v>
      </c>
      <c r="AL20" s="11">
        <v>17</v>
      </c>
      <c r="AM20" s="12">
        <v>1</v>
      </c>
      <c r="AN20" s="69">
        <v>1</v>
      </c>
      <c r="AO20" s="69">
        <v>0</v>
      </c>
      <c r="AQ20" s="11">
        <v>17</v>
      </c>
      <c r="AR20" s="12" t="s">
        <v>15</v>
      </c>
      <c r="AT20" s="11">
        <v>17</v>
      </c>
      <c r="AU20" s="12">
        <v>0</v>
      </c>
      <c r="AW20" s="11">
        <v>17</v>
      </c>
      <c r="AX20" s="12">
        <v>1</v>
      </c>
      <c r="AY20" s="12">
        <v>1</v>
      </c>
      <c r="AZ20" s="12">
        <v>1</v>
      </c>
      <c r="BA20" s="12">
        <v>1</v>
      </c>
      <c r="BB20" s="12">
        <v>1</v>
      </c>
      <c r="BC20" s="12">
        <v>1</v>
      </c>
      <c r="BD20" s="12">
        <v>1</v>
      </c>
      <c r="BE20" s="12">
        <v>1</v>
      </c>
      <c r="BF20" s="12">
        <v>1</v>
      </c>
      <c r="BG20" s="29">
        <v>1</v>
      </c>
      <c r="BH20" s="12">
        <v>1</v>
      </c>
      <c r="BI20" s="12">
        <v>1</v>
      </c>
      <c r="BK20" s="11">
        <v>17</v>
      </c>
      <c r="BL20" s="12" t="s">
        <v>15</v>
      </c>
      <c r="BM20" s="12">
        <v>5</v>
      </c>
      <c r="BN20" s="12">
        <v>5</v>
      </c>
      <c r="BP20" s="11">
        <v>17</v>
      </c>
      <c r="BQ20" s="12">
        <v>0</v>
      </c>
      <c r="BR20" s="12">
        <v>3</v>
      </c>
      <c r="BS20" s="12">
        <v>3</v>
      </c>
      <c r="BU20" s="11">
        <v>17</v>
      </c>
      <c r="BV20" s="12">
        <v>1</v>
      </c>
      <c r="BW20" s="12">
        <v>1</v>
      </c>
      <c r="BX20" s="69">
        <v>0</v>
      </c>
    </row>
    <row r="21" spans="1:76">
      <c r="A21" s="20">
        <v>1</v>
      </c>
      <c r="B21" s="20">
        <v>2</v>
      </c>
      <c r="C21" s="5">
        <v>1</v>
      </c>
      <c r="D21" s="6">
        <f t="shared" si="3"/>
        <v>6</v>
      </c>
      <c r="E21" s="115">
        <f t="shared" si="2"/>
        <v>6</v>
      </c>
      <c r="F21" s="7">
        <f t="shared" si="2"/>
        <v>0</v>
      </c>
      <c r="J21" s="2">
        <v>0</v>
      </c>
      <c r="K21" s="2">
        <v>1</v>
      </c>
      <c r="R21" s="11">
        <v>18</v>
      </c>
      <c r="S21" s="12">
        <v>1</v>
      </c>
      <c r="T21" s="12" t="s">
        <v>15</v>
      </c>
      <c r="U21" s="12" t="s">
        <v>15</v>
      </c>
      <c r="W21" s="11">
        <v>18</v>
      </c>
      <c r="X21" s="12">
        <v>2</v>
      </c>
      <c r="Y21" s="12">
        <v>0</v>
      </c>
      <c r="Z21" s="12">
        <v>0</v>
      </c>
      <c r="AB21" s="11">
        <v>18</v>
      </c>
      <c r="AC21" s="12">
        <v>1</v>
      </c>
      <c r="AD21" s="69">
        <v>1</v>
      </c>
      <c r="AE21" s="69">
        <v>0</v>
      </c>
      <c r="AG21" s="11">
        <v>18</v>
      </c>
      <c r="AH21" s="12">
        <v>1</v>
      </c>
      <c r="AI21" s="69">
        <v>1</v>
      </c>
      <c r="AJ21" s="69">
        <v>0</v>
      </c>
      <c r="AL21" s="11">
        <v>18</v>
      </c>
      <c r="AM21" s="12">
        <v>1</v>
      </c>
      <c r="AN21" s="69">
        <v>1</v>
      </c>
      <c r="AO21" s="69">
        <v>0</v>
      </c>
      <c r="AQ21" s="11">
        <v>18</v>
      </c>
      <c r="AR21" s="14" t="s">
        <v>5</v>
      </c>
      <c r="AT21" s="11">
        <v>18</v>
      </c>
      <c r="AU21" s="12">
        <v>6</v>
      </c>
      <c r="AW21" s="11">
        <v>18</v>
      </c>
      <c r="AX21" s="12">
        <v>1</v>
      </c>
      <c r="AY21" s="12">
        <v>1</v>
      </c>
      <c r="AZ21" s="12">
        <v>1</v>
      </c>
      <c r="BA21" s="12">
        <v>1</v>
      </c>
      <c r="BB21" s="12">
        <v>1</v>
      </c>
      <c r="BC21" s="12">
        <v>1</v>
      </c>
      <c r="BD21" s="12">
        <v>1</v>
      </c>
      <c r="BE21" s="12">
        <v>1</v>
      </c>
      <c r="BF21" s="12">
        <v>1</v>
      </c>
      <c r="BG21" s="29">
        <v>1</v>
      </c>
      <c r="BH21" s="12">
        <v>1</v>
      </c>
      <c r="BI21" s="12">
        <v>1</v>
      </c>
      <c r="BK21" s="11">
        <v>18</v>
      </c>
      <c r="BL21" s="12">
        <v>1</v>
      </c>
      <c r="BM21" s="12" t="s">
        <v>15</v>
      </c>
      <c r="BN21" s="12" t="s">
        <v>15</v>
      </c>
      <c r="BP21" s="11">
        <v>18</v>
      </c>
      <c r="BQ21" s="12">
        <v>2</v>
      </c>
      <c r="BR21" s="12">
        <v>0</v>
      </c>
      <c r="BS21" s="12">
        <v>0</v>
      </c>
      <c r="BU21" s="11">
        <v>18</v>
      </c>
      <c r="BV21" s="12">
        <v>1</v>
      </c>
      <c r="BW21" s="12">
        <v>1</v>
      </c>
      <c r="BX21" s="69">
        <v>0</v>
      </c>
    </row>
    <row r="22" spans="1:76">
      <c r="A22" s="21">
        <v>5</v>
      </c>
      <c r="B22" s="21">
        <v>3</v>
      </c>
      <c r="C22" s="23">
        <v>5</v>
      </c>
      <c r="D22" s="6">
        <f t="shared" si="3"/>
        <v>6</v>
      </c>
      <c r="E22" s="115">
        <f t="shared" si="2"/>
        <v>6</v>
      </c>
      <c r="F22" s="7">
        <f t="shared" si="2"/>
        <v>0</v>
      </c>
      <c r="R22" s="11">
        <v>19</v>
      </c>
      <c r="S22" s="12" t="s">
        <v>15</v>
      </c>
      <c r="T22" s="12">
        <v>0</v>
      </c>
      <c r="U22" s="12">
        <v>0</v>
      </c>
      <c r="W22" s="11">
        <v>19</v>
      </c>
      <c r="X22" s="12">
        <v>0</v>
      </c>
      <c r="Y22" s="12">
        <v>1</v>
      </c>
      <c r="Z22" s="12">
        <v>1</v>
      </c>
      <c r="AB22" s="11">
        <v>19</v>
      </c>
      <c r="AC22" s="12">
        <v>1</v>
      </c>
      <c r="AD22" s="69">
        <v>1</v>
      </c>
      <c r="AE22" s="69">
        <v>0</v>
      </c>
      <c r="AG22" s="11">
        <v>19</v>
      </c>
      <c r="AH22" s="12">
        <v>1</v>
      </c>
      <c r="AI22" s="69">
        <v>1</v>
      </c>
      <c r="AJ22" s="69">
        <v>0</v>
      </c>
      <c r="AL22" s="11">
        <v>19</v>
      </c>
      <c r="AM22" s="12">
        <v>1</v>
      </c>
      <c r="AN22" s="69">
        <v>1</v>
      </c>
      <c r="AO22" s="69">
        <v>0</v>
      </c>
      <c r="AQ22" s="11">
        <v>19</v>
      </c>
      <c r="AR22" s="12" t="s">
        <v>15</v>
      </c>
      <c r="AT22" s="11">
        <v>19</v>
      </c>
      <c r="AU22" s="12">
        <v>0</v>
      </c>
      <c r="AW22" s="11">
        <v>19</v>
      </c>
      <c r="AX22" s="12">
        <v>1</v>
      </c>
      <c r="AY22" s="12">
        <v>1</v>
      </c>
      <c r="AZ22" s="12">
        <v>1</v>
      </c>
      <c r="BA22" s="12">
        <v>1</v>
      </c>
      <c r="BB22" s="12">
        <v>1</v>
      </c>
      <c r="BC22" s="12">
        <v>1</v>
      </c>
      <c r="BD22" s="12">
        <v>1</v>
      </c>
      <c r="BE22" s="12">
        <v>1</v>
      </c>
      <c r="BF22" s="12">
        <v>1</v>
      </c>
      <c r="BG22" s="29">
        <v>1</v>
      </c>
      <c r="BH22" s="12">
        <v>1</v>
      </c>
      <c r="BI22" s="12">
        <v>1</v>
      </c>
      <c r="BK22" s="11">
        <v>19</v>
      </c>
      <c r="BL22" s="12" t="s">
        <v>15</v>
      </c>
      <c r="BM22" s="12">
        <v>0</v>
      </c>
      <c r="BN22" s="12">
        <v>0</v>
      </c>
      <c r="BP22" s="11">
        <v>19</v>
      </c>
      <c r="BQ22" s="12">
        <v>0</v>
      </c>
      <c r="BR22" s="12">
        <v>1</v>
      </c>
      <c r="BS22" s="12">
        <v>1</v>
      </c>
      <c r="BU22" s="11">
        <v>19</v>
      </c>
      <c r="BV22" s="12">
        <v>1</v>
      </c>
      <c r="BW22" s="12">
        <v>1</v>
      </c>
      <c r="BX22" s="69">
        <v>0</v>
      </c>
    </row>
    <row r="23" spans="1:76">
      <c r="A23" s="21">
        <v>10</v>
      </c>
      <c r="B23" s="21">
        <v>4</v>
      </c>
      <c r="C23" s="23">
        <v>10</v>
      </c>
      <c r="D23" s="6">
        <f t="shared" si="3"/>
        <v>6</v>
      </c>
      <c r="E23" s="59">
        <f t="shared" si="2"/>
        <v>0</v>
      </c>
      <c r="F23" s="38">
        <f t="shared" si="2"/>
        <v>0</v>
      </c>
      <c r="R23" s="11">
        <v>20</v>
      </c>
      <c r="S23" s="12">
        <v>5</v>
      </c>
      <c r="T23" s="12" t="s">
        <v>15</v>
      </c>
      <c r="U23" s="12" t="s">
        <v>15</v>
      </c>
      <c r="W23" s="11">
        <v>20</v>
      </c>
      <c r="X23" s="12">
        <v>3</v>
      </c>
      <c r="Y23" s="12">
        <v>0</v>
      </c>
      <c r="Z23" s="12">
        <v>0</v>
      </c>
      <c r="AB23" s="11">
        <v>20</v>
      </c>
      <c r="AC23" s="12">
        <v>1</v>
      </c>
      <c r="AD23" s="69">
        <v>1</v>
      </c>
      <c r="AE23" s="69">
        <v>0</v>
      </c>
      <c r="AG23" s="11">
        <v>20</v>
      </c>
      <c r="AH23" s="12">
        <v>1</v>
      </c>
      <c r="AI23" s="69">
        <v>1</v>
      </c>
      <c r="AJ23" s="69">
        <v>0</v>
      </c>
      <c r="AL23" s="11">
        <v>20</v>
      </c>
      <c r="AM23" s="12">
        <v>1</v>
      </c>
      <c r="AN23" s="69">
        <v>1</v>
      </c>
      <c r="AO23" s="69">
        <v>0</v>
      </c>
      <c r="AQ23" s="11">
        <v>20</v>
      </c>
      <c r="AR23" s="14" t="s">
        <v>7</v>
      </c>
      <c r="AT23" s="11">
        <v>20</v>
      </c>
      <c r="AU23" s="12">
        <v>9</v>
      </c>
      <c r="AW23" s="11">
        <v>20</v>
      </c>
      <c r="AX23" s="12">
        <v>1</v>
      </c>
      <c r="AY23" s="12">
        <v>1</v>
      </c>
      <c r="AZ23" s="12">
        <v>1</v>
      </c>
      <c r="BA23" s="12">
        <v>1</v>
      </c>
      <c r="BB23" s="12">
        <v>1</v>
      </c>
      <c r="BC23" s="12">
        <v>1</v>
      </c>
      <c r="BD23" s="12">
        <v>1</v>
      </c>
      <c r="BE23" s="12">
        <v>1</v>
      </c>
      <c r="BF23" s="12">
        <v>1</v>
      </c>
      <c r="BG23" s="29">
        <v>1</v>
      </c>
      <c r="BH23" s="12">
        <v>1</v>
      </c>
      <c r="BI23" s="12">
        <v>1</v>
      </c>
      <c r="BK23" s="11">
        <v>20</v>
      </c>
      <c r="BL23" s="12">
        <v>5</v>
      </c>
      <c r="BM23" s="12" t="s">
        <v>15</v>
      </c>
      <c r="BN23" s="12" t="s">
        <v>15</v>
      </c>
      <c r="BP23" s="11">
        <v>20</v>
      </c>
      <c r="BQ23" s="12">
        <v>3</v>
      </c>
      <c r="BR23" s="12">
        <v>0</v>
      </c>
      <c r="BS23" s="12">
        <v>0</v>
      </c>
      <c r="BU23" s="11">
        <v>20</v>
      </c>
      <c r="BV23" s="12">
        <v>1</v>
      </c>
      <c r="BW23" s="12">
        <v>1</v>
      </c>
      <c r="BX23" s="69">
        <v>0</v>
      </c>
    </row>
    <row r="24" spans="1:76">
      <c r="A24" s="20" t="s">
        <v>20</v>
      </c>
      <c r="B24" s="20">
        <v>5</v>
      </c>
      <c r="C24" s="23" t="s">
        <v>29</v>
      </c>
      <c r="D24" s="37">
        <f t="shared" si="3"/>
        <v>0</v>
      </c>
      <c r="E24" s="59">
        <f t="shared" si="2"/>
        <v>0</v>
      </c>
      <c r="F24" s="38">
        <f t="shared" si="2"/>
        <v>0</v>
      </c>
      <c r="R24" s="11">
        <v>21</v>
      </c>
      <c r="S24" s="12" t="s">
        <v>15</v>
      </c>
      <c r="T24" s="12">
        <v>1</v>
      </c>
      <c r="U24" s="12">
        <v>1</v>
      </c>
      <c r="W24" s="11">
        <v>21</v>
      </c>
      <c r="X24" s="12">
        <v>0</v>
      </c>
      <c r="Y24" s="12">
        <v>2</v>
      </c>
      <c r="Z24" s="12">
        <v>2</v>
      </c>
      <c r="AB24" s="11">
        <v>21</v>
      </c>
      <c r="AC24" s="12">
        <v>1</v>
      </c>
      <c r="AD24" s="69">
        <v>1</v>
      </c>
      <c r="AE24" s="69">
        <v>0</v>
      </c>
      <c r="AG24" s="11">
        <v>21</v>
      </c>
      <c r="AH24" s="12">
        <v>1</v>
      </c>
      <c r="AI24" s="69">
        <v>1</v>
      </c>
      <c r="AJ24" s="69">
        <v>0</v>
      </c>
      <c r="AL24" s="11">
        <v>21</v>
      </c>
      <c r="AM24" s="12">
        <v>1</v>
      </c>
      <c r="AN24" s="69">
        <v>1</v>
      </c>
      <c r="AO24" s="69">
        <v>0</v>
      </c>
      <c r="AQ24" s="11">
        <v>21</v>
      </c>
      <c r="AR24" s="12" t="s">
        <v>15</v>
      </c>
      <c r="AT24" s="11">
        <v>21</v>
      </c>
      <c r="AU24" s="12">
        <v>0</v>
      </c>
      <c r="AW24" s="11">
        <v>21</v>
      </c>
      <c r="AX24" s="12">
        <v>1</v>
      </c>
      <c r="AY24" s="12">
        <v>1</v>
      </c>
      <c r="AZ24" s="12">
        <v>1</v>
      </c>
      <c r="BA24" s="12">
        <v>1</v>
      </c>
      <c r="BB24" s="12">
        <v>1</v>
      </c>
      <c r="BC24" s="12">
        <v>1</v>
      </c>
      <c r="BD24" s="12">
        <v>1</v>
      </c>
      <c r="BE24" s="12">
        <v>1</v>
      </c>
      <c r="BF24" s="12">
        <v>1</v>
      </c>
      <c r="BG24" s="29">
        <v>1</v>
      </c>
      <c r="BH24" s="12">
        <v>1</v>
      </c>
      <c r="BI24" s="12">
        <v>1</v>
      </c>
      <c r="BK24" s="11">
        <v>21</v>
      </c>
      <c r="BL24" s="12" t="s">
        <v>15</v>
      </c>
      <c r="BM24" s="12">
        <v>1</v>
      </c>
      <c r="BN24" s="12">
        <v>1</v>
      </c>
      <c r="BP24" s="11">
        <v>21</v>
      </c>
      <c r="BQ24" s="12">
        <v>0</v>
      </c>
      <c r="BR24" s="12">
        <v>2</v>
      </c>
      <c r="BS24" s="12">
        <v>2</v>
      </c>
      <c r="BU24" s="11">
        <v>21</v>
      </c>
      <c r="BV24" s="12">
        <v>1</v>
      </c>
      <c r="BW24" s="12">
        <v>1</v>
      </c>
      <c r="BX24" s="69">
        <v>0</v>
      </c>
    </row>
    <row r="25" spans="1:76">
      <c r="A25" s="21" t="s">
        <v>21</v>
      </c>
      <c r="B25" s="21">
        <v>6</v>
      </c>
      <c r="C25" s="23" t="s">
        <v>26</v>
      </c>
      <c r="D25" s="37">
        <f t="shared" si="3"/>
        <v>0</v>
      </c>
      <c r="E25" s="59">
        <f t="shared" si="2"/>
        <v>0</v>
      </c>
      <c r="F25" s="38">
        <f t="shared" si="2"/>
        <v>0</v>
      </c>
      <c r="R25" s="11">
        <v>22</v>
      </c>
      <c r="S25" s="12">
        <v>10</v>
      </c>
      <c r="T25" s="12" t="s">
        <v>15</v>
      </c>
      <c r="U25" s="12" t="s">
        <v>15</v>
      </c>
      <c r="W25" s="11">
        <v>22</v>
      </c>
      <c r="X25" s="12">
        <v>4</v>
      </c>
      <c r="Y25" s="12">
        <v>0</v>
      </c>
      <c r="Z25" s="12">
        <v>0</v>
      </c>
      <c r="AB25" s="11">
        <v>22</v>
      </c>
      <c r="AC25" s="12">
        <v>1</v>
      </c>
      <c r="AD25" s="69">
        <v>1</v>
      </c>
      <c r="AE25" s="69">
        <v>1</v>
      </c>
      <c r="AG25" s="11">
        <v>22</v>
      </c>
      <c r="AH25" s="12">
        <v>1</v>
      </c>
      <c r="AI25" s="69">
        <v>1</v>
      </c>
      <c r="AJ25" s="69">
        <v>1</v>
      </c>
      <c r="AL25" s="11">
        <v>22</v>
      </c>
      <c r="AM25" s="12">
        <v>1</v>
      </c>
      <c r="AN25" s="69">
        <v>1</v>
      </c>
      <c r="AO25" s="69">
        <v>1</v>
      </c>
      <c r="AQ25" s="11">
        <v>22</v>
      </c>
      <c r="AR25" s="14" t="s">
        <v>6</v>
      </c>
      <c r="AT25" s="11">
        <v>22</v>
      </c>
      <c r="AU25" s="12">
        <v>7</v>
      </c>
      <c r="AW25" s="11">
        <v>22</v>
      </c>
      <c r="AX25" s="12">
        <v>1</v>
      </c>
      <c r="AY25" s="12">
        <v>1</v>
      </c>
      <c r="AZ25" s="12">
        <v>1</v>
      </c>
      <c r="BA25" s="12">
        <v>1</v>
      </c>
      <c r="BB25" s="12">
        <v>1</v>
      </c>
      <c r="BC25" s="12">
        <v>1</v>
      </c>
      <c r="BD25" s="12">
        <v>1</v>
      </c>
      <c r="BE25" s="12">
        <v>1</v>
      </c>
      <c r="BF25" s="12">
        <v>1</v>
      </c>
      <c r="BG25" s="29">
        <v>1</v>
      </c>
      <c r="BH25" s="12">
        <v>1</v>
      </c>
      <c r="BI25" s="12">
        <v>1</v>
      </c>
      <c r="BK25" s="11">
        <v>22</v>
      </c>
      <c r="BL25" s="12">
        <v>10</v>
      </c>
      <c r="BM25" s="12" t="s">
        <v>15</v>
      </c>
      <c r="BN25" s="12" t="s">
        <v>15</v>
      </c>
      <c r="BP25" s="11">
        <v>22</v>
      </c>
      <c r="BQ25" s="12">
        <v>4</v>
      </c>
      <c r="BR25" s="12">
        <v>0</v>
      </c>
      <c r="BS25" s="12">
        <v>0</v>
      </c>
      <c r="BU25" s="11">
        <v>22</v>
      </c>
      <c r="BV25" s="12">
        <v>1</v>
      </c>
      <c r="BW25" s="12">
        <v>1</v>
      </c>
      <c r="BX25" s="69">
        <v>1</v>
      </c>
    </row>
    <row r="26" spans="1:76">
      <c r="A26" s="20" t="s">
        <v>22</v>
      </c>
      <c r="B26" s="20">
        <v>7</v>
      </c>
      <c r="C26" s="5" t="s">
        <v>27</v>
      </c>
      <c r="D26" s="37">
        <f t="shared" si="3"/>
        <v>0</v>
      </c>
      <c r="E26" s="59">
        <f t="shared" si="2"/>
        <v>0</v>
      </c>
      <c r="F26" s="38">
        <f t="shared" si="2"/>
        <v>0</v>
      </c>
      <c r="R26" s="11">
        <v>23</v>
      </c>
      <c r="S26" s="12" t="s">
        <v>15</v>
      </c>
      <c r="T26" s="12">
        <v>5</v>
      </c>
      <c r="U26" s="12">
        <v>5</v>
      </c>
      <c r="W26" s="11">
        <v>23</v>
      </c>
      <c r="X26" s="12">
        <v>0</v>
      </c>
      <c r="Y26" s="12">
        <v>3</v>
      </c>
      <c r="Z26" s="12">
        <v>3</v>
      </c>
      <c r="AB26" s="11">
        <v>23</v>
      </c>
      <c r="AC26" s="12">
        <v>1</v>
      </c>
      <c r="AD26" s="69">
        <v>1</v>
      </c>
      <c r="AE26" s="69">
        <v>0</v>
      </c>
      <c r="AG26" s="11">
        <v>23</v>
      </c>
      <c r="AH26" s="12">
        <v>1</v>
      </c>
      <c r="AI26" s="69">
        <v>1</v>
      </c>
      <c r="AJ26" s="69">
        <v>0</v>
      </c>
      <c r="AL26" s="11">
        <v>23</v>
      </c>
      <c r="AM26" s="12">
        <v>1</v>
      </c>
      <c r="AN26" s="69">
        <v>1</v>
      </c>
      <c r="AO26" s="69">
        <v>0</v>
      </c>
      <c r="AQ26" s="11">
        <v>23</v>
      </c>
      <c r="AR26" s="12" t="s">
        <v>15</v>
      </c>
      <c r="AT26" s="11">
        <v>23</v>
      </c>
      <c r="AU26" s="12">
        <v>0</v>
      </c>
      <c r="AW26" s="11">
        <v>23</v>
      </c>
      <c r="AX26" s="12">
        <v>1</v>
      </c>
      <c r="AY26" s="12">
        <v>1</v>
      </c>
      <c r="AZ26" s="12">
        <v>1</v>
      </c>
      <c r="BA26" s="12">
        <v>1</v>
      </c>
      <c r="BB26" s="12">
        <v>1</v>
      </c>
      <c r="BC26" s="12">
        <v>1</v>
      </c>
      <c r="BD26" s="12">
        <v>1</v>
      </c>
      <c r="BE26" s="12">
        <v>1</v>
      </c>
      <c r="BF26" s="12">
        <v>1</v>
      </c>
      <c r="BG26" s="29">
        <v>1</v>
      </c>
      <c r="BH26" s="12">
        <v>1</v>
      </c>
      <c r="BI26" s="12">
        <v>1</v>
      </c>
      <c r="BK26" s="11">
        <v>23</v>
      </c>
      <c r="BL26" s="12" t="s">
        <v>15</v>
      </c>
      <c r="BM26" s="12">
        <v>5</v>
      </c>
      <c r="BN26" s="12">
        <v>5</v>
      </c>
      <c r="BP26" s="11">
        <v>23</v>
      </c>
      <c r="BQ26" s="12">
        <v>0</v>
      </c>
      <c r="BR26" s="12">
        <v>3</v>
      </c>
      <c r="BS26" s="12">
        <v>3</v>
      </c>
      <c r="BU26" s="11">
        <v>23</v>
      </c>
      <c r="BV26" s="12">
        <v>1</v>
      </c>
      <c r="BW26" s="12">
        <v>1</v>
      </c>
      <c r="BX26" s="69">
        <v>0</v>
      </c>
    </row>
    <row r="27" spans="1:76">
      <c r="A27" s="20" t="s">
        <v>23</v>
      </c>
      <c r="B27" s="20">
        <v>8</v>
      </c>
      <c r="C27" s="5" t="s">
        <v>28</v>
      </c>
      <c r="D27" s="37">
        <f t="shared" si="3"/>
        <v>0</v>
      </c>
      <c r="E27" s="59">
        <f t="shared" si="2"/>
        <v>0</v>
      </c>
      <c r="F27" s="38">
        <f t="shared" si="2"/>
        <v>0</v>
      </c>
      <c r="R27" s="11">
        <v>24</v>
      </c>
      <c r="S27" s="12">
        <v>1</v>
      </c>
      <c r="T27" s="12" t="s">
        <v>15</v>
      </c>
      <c r="U27" s="12" t="s">
        <v>15</v>
      </c>
      <c r="W27" s="11">
        <v>24</v>
      </c>
      <c r="X27" s="12">
        <v>2</v>
      </c>
      <c r="Y27" s="12">
        <v>0</v>
      </c>
      <c r="Z27" s="12">
        <v>0</v>
      </c>
      <c r="AB27" s="11">
        <v>24</v>
      </c>
      <c r="AC27" s="12">
        <v>1</v>
      </c>
      <c r="AD27" s="69">
        <v>1</v>
      </c>
      <c r="AE27" s="69">
        <v>0</v>
      </c>
      <c r="AG27" s="11">
        <v>24</v>
      </c>
      <c r="AH27" s="12">
        <v>1</v>
      </c>
      <c r="AI27" s="69">
        <v>1</v>
      </c>
      <c r="AJ27" s="69">
        <v>0</v>
      </c>
      <c r="AL27" s="11">
        <v>24</v>
      </c>
      <c r="AM27" s="12">
        <v>1</v>
      </c>
      <c r="AN27" s="69">
        <v>1</v>
      </c>
      <c r="AO27" s="69">
        <v>0</v>
      </c>
      <c r="AQ27" s="11">
        <v>24</v>
      </c>
      <c r="AR27" s="14" t="s">
        <v>5</v>
      </c>
      <c r="AT27" s="11">
        <v>24</v>
      </c>
      <c r="AU27" s="12">
        <v>6</v>
      </c>
      <c r="AW27" s="11">
        <v>24</v>
      </c>
      <c r="AX27" s="12">
        <v>1</v>
      </c>
      <c r="AY27" s="12">
        <v>1</v>
      </c>
      <c r="AZ27" s="12">
        <v>1</v>
      </c>
      <c r="BA27" s="12">
        <v>1</v>
      </c>
      <c r="BB27" s="12">
        <v>1</v>
      </c>
      <c r="BC27" s="12">
        <v>1</v>
      </c>
      <c r="BD27" s="12">
        <v>1</v>
      </c>
      <c r="BE27" s="12">
        <v>1</v>
      </c>
      <c r="BF27" s="12">
        <v>1</v>
      </c>
      <c r="BG27" s="29">
        <v>1</v>
      </c>
      <c r="BH27" s="12">
        <v>1</v>
      </c>
      <c r="BI27" s="12">
        <v>1</v>
      </c>
      <c r="BK27" s="11">
        <v>24</v>
      </c>
      <c r="BL27" s="12">
        <v>1</v>
      </c>
      <c r="BM27" s="12" t="s">
        <v>15</v>
      </c>
      <c r="BN27" s="12" t="s">
        <v>15</v>
      </c>
      <c r="BP27" s="11">
        <v>24</v>
      </c>
      <c r="BQ27" s="12">
        <v>2</v>
      </c>
      <c r="BR27" s="12">
        <v>0</v>
      </c>
      <c r="BS27" s="12">
        <v>0</v>
      </c>
      <c r="BU27" s="11">
        <v>24</v>
      </c>
      <c r="BV27" s="12">
        <v>1</v>
      </c>
      <c r="BW27" s="12">
        <v>1</v>
      </c>
      <c r="BX27" s="69">
        <v>0</v>
      </c>
    </row>
    <row r="28" spans="1:76">
      <c r="A28" s="20" t="s">
        <v>24</v>
      </c>
      <c r="B28" s="20">
        <v>9</v>
      </c>
      <c r="C28" s="5" t="s">
        <v>16</v>
      </c>
      <c r="D28" s="37">
        <f t="shared" si="3"/>
        <v>0</v>
      </c>
      <c r="E28" s="59">
        <f t="shared" si="2"/>
        <v>0</v>
      </c>
      <c r="F28" s="38">
        <f t="shared" si="2"/>
        <v>0</v>
      </c>
      <c r="R28" s="11">
        <v>25</v>
      </c>
      <c r="S28" s="12" t="s">
        <v>15</v>
      </c>
      <c r="T28" s="12">
        <v>0</v>
      </c>
      <c r="U28" s="12">
        <v>0</v>
      </c>
      <c r="W28" s="11">
        <v>25</v>
      </c>
      <c r="X28" s="12">
        <v>0</v>
      </c>
      <c r="Y28" s="12">
        <v>1</v>
      </c>
      <c r="Z28" s="12">
        <v>1</v>
      </c>
      <c r="AB28" s="11">
        <v>25</v>
      </c>
      <c r="AC28" s="12">
        <v>1</v>
      </c>
      <c r="AD28" s="69">
        <v>1</v>
      </c>
      <c r="AE28" s="69">
        <v>0</v>
      </c>
      <c r="AG28" s="11">
        <v>25</v>
      </c>
      <c r="AH28" s="12">
        <v>1</v>
      </c>
      <c r="AI28" s="69">
        <v>1</v>
      </c>
      <c r="AJ28" s="69">
        <v>0</v>
      </c>
      <c r="AL28" s="11">
        <v>25</v>
      </c>
      <c r="AM28" s="12">
        <v>1</v>
      </c>
      <c r="AN28" s="69">
        <v>1</v>
      </c>
      <c r="AO28" s="69">
        <v>0</v>
      </c>
      <c r="AQ28" s="11">
        <v>25</v>
      </c>
      <c r="AR28" s="12" t="s">
        <v>15</v>
      </c>
      <c r="AT28" s="11">
        <v>25</v>
      </c>
      <c r="AU28" s="12">
        <v>0</v>
      </c>
      <c r="AW28" s="11">
        <v>25</v>
      </c>
      <c r="AX28" s="12">
        <v>1</v>
      </c>
      <c r="AY28" s="12">
        <v>1</v>
      </c>
      <c r="AZ28" s="12">
        <v>1</v>
      </c>
      <c r="BA28" s="12">
        <v>1</v>
      </c>
      <c r="BB28" s="12">
        <v>1</v>
      </c>
      <c r="BC28" s="12">
        <v>1</v>
      </c>
      <c r="BD28" s="12">
        <v>1</v>
      </c>
      <c r="BE28" s="12">
        <v>1</v>
      </c>
      <c r="BF28" s="12">
        <v>1</v>
      </c>
      <c r="BG28" s="29">
        <v>1</v>
      </c>
      <c r="BH28" s="12">
        <v>1</v>
      </c>
      <c r="BI28" s="12">
        <v>1</v>
      </c>
      <c r="BK28" s="11">
        <v>25</v>
      </c>
      <c r="BL28" s="12" t="s">
        <v>15</v>
      </c>
      <c r="BM28" s="12">
        <v>0</v>
      </c>
      <c r="BN28" s="12">
        <v>0</v>
      </c>
      <c r="BP28" s="11">
        <v>25</v>
      </c>
      <c r="BQ28" s="12">
        <v>0</v>
      </c>
      <c r="BR28" s="12">
        <v>1</v>
      </c>
      <c r="BS28" s="12">
        <v>1</v>
      </c>
      <c r="BU28" s="11">
        <v>25</v>
      </c>
      <c r="BV28" s="12">
        <v>1</v>
      </c>
      <c r="BW28" s="12">
        <v>1</v>
      </c>
      <c r="BX28" s="69">
        <v>0</v>
      </c>
    </row>
    <row r="29" spans="1:76">
      <c r="A29" s="21" t="s">
        <v>35</v>
      </c>
      <c r="B29" s="21">
        <v>10</v>
      </c>
      <c r="C29" s="5" t="s">
        <v>37</v>
      </c>
      <c r="D29" s="37">
        <f t="shared" si="3"/>
        <v>0</v>
      </c>
      <c r="E29" s="59">
        <f t="shared" si="2"/>
        <v>0</v>
      </c>
      <c r="F29" s="38">
        <f t="shared" si="2"/>
        <v>0</v>
      </c>
      <c r="R29" s="11">
        <v>26</v>
      </c>
      <c r="S29" s="12">
        <v>5</v>
      </c>
      <c r="T29" s="12" t="s">
        <v>15</v>
      </c>
      <c r="U29" s="12" t="s">
        <v>15</v>
      </c>
      <c r="W29" s="11">
        <v>26</v>
      </c>
      <c r="X29" s="12">
        <v>3</v>
      </c>
      <c r="Y29" s="12">
        <v>0</v>
      </c>
      <c r="Z29" s="12">
        <v>0</v>
      </c>
      <c r="AB29" s="11">
        <v>26</v>
      </c>
      <c r="AC29" s="12">
        <v>1</v>
      </c>
      <c r="AD29" s="69">
        <v>1</v>
      </c>
      <c r="AE29" s="69">
        <v>0</v>
      </c>
      <c r="AG29" s="11">
        <v>26</v>
      </c>
      <c r="AH29" s="12">
        <v>1</v>
      </c>
      <c r="AI29" s="69">
        <v>1</v>
      </c>
      <c r="AJ29" s="69">
        <v>0</v>
      </c>
      <c r="AL29" s="11">
        <v>26</v>
      </c>
      <c r="AM29" s="12">
        <v>1</v>
      </c>
      <c r="AN29" s="69">
        <v>1</v>
      </c>
      <c r="AO29" s="69">
        <v>0</v>
      </c>
      <c r="AQ29" s="11">
        <v>26</v>
      </c>
      <c r="AR29" s="14" t="s">
        <v>7</v>
      </c>
      <c r="AT29" s="11">
        <v>26</v>
      </c>
      <c r="AU29" s="12">
        <v>9</v>
      </c>
      <c r="AW29" s="11">
        <v>26</v>
      </c>
      <c r="AX29" s="12">
        <v>1</v>
      </c>
      <c r="AY29" s="12">
        <v>1</v>
      </c>
      <c r="AZ29" s="12">
        <v>1</v>
      </c>
      <c r="BA29" s="12">
        <v>1</v>
      </c>
      <c r="BB29" s="12">
        <v>1</v>
      </c>
      <c r="BC29" s="12">
        <v>1</v>
      </c>
      <c r="BD29" s="12">
        <v>1</v>
      </c>
      <c r="BE29" s="12">
        <v>1</v>
      </c>
      <c r="BF29" s="12">
        <v>1</v>
      </c>
      <c r="BG29" s="29">
        <v>1</v>
      </c>
      <c r="BH29" s="12">
        <v>1</v>
      </c>
      <c r="BI29" s="12">
        <v>1</v>
      </c>
      <c r="BK29" s="11">
        <v>26</v>
      </c>
      <c r="BL29" s="12">
        <v>5</v>
      </c>
      <c r="BM29" s="12" t="s">
        <v>15</v>
      </c>
      <c r="BN29" s="12" t="s">
        <v>15</v>
      </c>
      <c r="BP29" s="11">
        <v>26</v>
      </c>
      <c r="BQ29" s="12">
        <v>3</v>
      </c>
      <c r="BR29" s="12">
        <v>0</v>
      </c>
      <c r="BS29" s="12">
        <v>0</v>
      </c>
      <c r="BU29" s="11">
        <v>26</v>
      </c>
      <c r="BV29" s="12">
        <v>1</v>
      </c>
      <c r="BW29" s="12">
        <v>1</v>
      </c>
      <c r="BX29" s="69">
        <v>0</v>
      </c>
    </row>
    <row r="30" spans="1:76">
      <c r="A30" s="22" t="s">
        <v>39</v>
      </c>
      <c r="B30" s="22">
        <v>11</v>
      </c>
      <c r="C30" s="17" t="s">
        <v>38</v>
      </c>
      <c r="D30" s="60">
        <f t="shared" si="3"/>
        <v>0</v>
      </c>
      <c r="E30" s="39">
        <f t="shared" si="2"/>
        <v>0</v>
      </c>
      <c r="F30" s="40">
        <f t="shared" si="2"/>
        <v>0</v>
      </c>
      <c r="R30" s="11">
        <v>27</v>
      </c>
      <c r="S30" s="12" t="s">
        <v>15</v>
      </c>
      <c r="T30" s="12">
        <v>1</v>
      </c>
      <c r="U30" s="12">
        <v>1</v>
      </c>
      <c r="W30" s="11">
        <v>27</v>
      </c>
      <c r="X30" s="12">
        <v>0</v>
      </c>
      <c r="Y30" s="12">
        <v>2</v>
      </c>
      <c r="Z30" s="12">
        <v>2</v>
      </c>
      <c r="AB30" s="11">
        <v>27</v>
      </c>
      <c r="AC30" s="12">
        <v>1</v>
      </c>
      <c r="AD30" s="69">
        <v>1</v>
      </c>
      <c r="AE30" s="69">
        <v>0</v>
      </c>
      <c r="AG30" s="11">
        <v>27</v>
      </c>
      <c r="AH30" s="12">
        <v>1</v>
      </c>
      <c r="AI30" s="69">
        <v>1</v>
      </c>
      <c r="AJ30" s="69">
        <v>0</v>
      </c>
      <c r="AL30" s="11">
        <v>27</v>
      </c>
      <c r="AM30" s="12">
        <v>1</v>
      </c>
      <c r="AN30" s="69">
        <v>1</v>
      </c>
      <c r="AO30" s="69">
        <v>0</v>
      </c>
      <c r="AQ30" s="11">
        <v>27</v>
      </c>
      <c r="AR30" s="12" t="s">
        <v>15</v>
      </c>
      <c r="AT30" s="11">
        <v>27</v>
      </c>
      <c r="AU30" s="12">
        <v>0</v>
      </c>
      <c r="AW30" s="11">
        <v>27</v>
      </c>
      <c r="AX30" s="12">
        <v>1</v>
      </c>
      <c r="AY30" s="12">
        <v>1</v>
      </c>
      <c r="AZ30" s="12">
        <v>1</v>
      </c>
      <c r="BA30" s="12">
        <v>1</v>
      </c>
      <c r="BB30" s="12">
        <v>1</v>
      </c>
      <c r="BC30" s="12">
        <v>1</v>
      </c>
      <c r="BD30" s="12">
        <v>1</v>
      </c>
      <c r="BE30" s="12">
        <v>1</v>
      </c>
      <c r="BF30" s="12">
        <v>1</v>
      </c>
      <c r="BG30" s="29">
        <v>1</v>
      </c>
      <c r="BH30" s="12">
        <v>1</v>
      </c>
      <c r="BI30" s="12">
        <v>1</v>
      </c>
      <c r="BK30" s="11">
        <v>27</v>
      </c>
      <c r="BL30" s="12" t="s">
        <v>15</v>
      </c>
      <c r="BM30" s="12">
        <v>1</v>
      </c>
      <c r="BN30" s="12">
        <v>1</v>
      </c>
      <c r="BP30" s="11">
        <v>27</v>
      </c>
      <c r="BQ30" s="12">
        <v>0</v>
      </c>
      <c r="BR30" s="12">
        <v>2</v>
      </c>
      <c r="BS30" s="12">
        <v>2</v>
      </c>
      <c r="BU30" s="11">
        <v>27</v>
      </c>
      <c r="BV30" s="12">
        <v>1</v>
      </c>
      <c r="BW30" s="12">
        <v>1</v>
      </c>
      <c r="BX30" s="69">
        <v>0</v>
      </c>
    </row>
    <row r="31" spans="1:76">
      <c r="D31" s="115">
        <f>SUM(D19:D30)</f>
        <v>36</v>
      </c>
      <c r="E31" s="115">
        <f>SUM(E19:E30)</f>
        <v>36</v>
      </c>
      <c r="F31" s="115">
        <f>SUM(F19:F30)</f>
        <v>6</v>
      </c>
      <c r="R31" s="11">
        <v>28</v>
      </c>
      <c r="S31" s="12">
        <v>10</v>
      </c>
      <c r="T31" s="12" t="s">
        <v>15</v>
      </c>
      <c r="U31" s="12" t="s">
        <v>15</v>
      </c>
      <c r="W31" s="11">
        <v>28</v>
      </c>
      <c r="X31" s="12">
        <v>4</v>
      </c>
      <c r="Y31" s="12">
        <v>0</v>
      </c>
      <c r="Z31" s="12">
        <v>0</v>
      </c>
      <c r="AB31" s="11">
        <v>28</v>
      </c>
      <c r="AC31" s="12">
        <v>1</v>
      </c>
      <c r="AD31" s="69">
        <v>1</v>
      </c>
      <c r="AE31" s="69">
        <v>1</v>
      </c>
      <c r="AG31" s="11">
        <v>28</v>
      </c>
      <c r="AH31" s="12">
        <v>1</v>
      </c>
      <c r="AI31" s="69">
        <v>1</v>
      </c>
      <c r="AJ31" s="69">
        <v>1</v>
      </c>
      <c r="AL31" s="11">
        <v>28</v>
      </c>
      <c r="AM31" s="12">
        <v>1</v>
      </c>
      <c r="AN31" s="69">
        <v>1</v>
      </c>
      <c r="AO31" s="69">
        <v>1</v>
      </c>
      <c r="AQ31" s="11">
        <v>28</v>
      </c>
      <c r="AR31" s="14" t="s">
        <v>6</v>
      </c>
      <c r="AT31" s="11">
        <v>28</v>
      </c>
      <c r="AU31" s="12">
        <v>7</v>
      </c>
      <c r="AW31" s="11">
        <v>28</v>
      </c>
      <c r="AX31" s="12">
        <v>1</v>
      </c>
      <c r="AY31" s="12">
        <v>1</v>
      </c>
      <c r="AZ31" s="12">
        <v>1</v>
      </c>
      <c r="BA31" s="12">
        <v>1</v>
      </c>
      <c r="BB31" s="12">
        <v>1</v>
      </c>
      <c r="BC31" s="12">
        <v>1</v>
      </c>
      <c r="BD31" s="12">
        <v>1</v>
      </c>
      <c r="BE31" s="12">
        <v>1</v>
      </c>
      <c r="BF31" s="12">
        <v>1</v>
      </c>
      <c r="BG31" s="29">
        <v>1</v>
      </c>
      <c r="BH31" s="12">
        <v>1</v>
      </c>
      <c r="BI31" s="12">
        <v>1</v>
      </c>
      <c r="BK31" s="11">
        <v>28</v>
      </c>
      <c r="BL31" s="12">
        <v>10</v>
      </c>
      <c r="BM31" s="12" t="s">
        <v>15</v>
      </c>
      <c r="BN31" s="12" t="s">
        <v>15</v>
      </c>
      <c r="BP31" s="11">
        <v>28</v>
      </c>
      <c r="BQ31" s="12">
        <v>4</v>
      </c>
      <c r="BR31" s="12">
        <v>0</v>
      </c>
      <c r="BS31" s="12">
        <v>0</v>
      </c>
      <c r="BU31" s="11">
        <v>28</v>
      </c>
      <c r="BV31" s="12">
        <v>1</v>
      </c>
      <c r="BW31" s="12">
        <v>1</v>
      </c>
      <c r="BX31" s="69">
        <v>1</v>
      </c>
    </row>
    <row r="32" spans="1:76">
      <c r="R32" s="11">
        <v>29</v>
      </c>
      <c r="S32" s="12" t="s">
        <v>15</v>
      </c>
      <c r="T32" s="12">
        <v>5</v>
      </c>
      <c r="U32" s="12">
        <v>5</v>
      </c>
      <c r="W32" s="11">
        <v>29</v>
      </c>
      <c r="X32" s="12">
        <v>0</v>
      </c>
      <c r="Y32" s="12">
        <v>3</v>
      </c>
      <c r="Z32" s="12">
        <v>3</v>
      </c>
      <c r="AB32" s="11">
        <v>29</v>
      </c>
      <c r="AC32" s="12">
        <v>1</v>
      </c>
      <c r="AD32" s="69">
        <v>1</v>
      </c>
      <c r="AE32" s="69">
        <v>0</v>
      </c>
      <c r="AG32" s="11">
        <v>29</v>
      </c>
      <c r="AH32" s="12">
        <v>1</v>
      </c>
      <c r="AI32" s="69">
        <v>1</v>
      </c>
      <c r="AJ32" s="69">
        <v>0</v>
      </c>
      <c r="AL32" s="11">
        <v>29</v>
      </c>
      <c r="AM32" s="12">
        <v>1</v>
      </c>
      <c r="AN32" s="69">
        <v>1</v>
      </c>
      <c r="AO32" s="69">
        <v>0</v>
      </c>
      <c r="AQ32" s="11">
        <v>29</v>
      </c>
      <c r="AR32" s="12" t="s">
        <v>15</v>
      </c>
      <c r="AT32" s="11">
        <v>29</v>
      </c>
      <c r="AU32" s="12">
        <v>0</v>
      </c>
      <c r="AW32" s="11">
        <v>29</v>
      </c>
      <c r="AX32" s="12">
        <v>1</v>
      </c>
      <c r="AY32" s="12">
        <v>1</v>
      </c>
      <c r="AZ32" s="12">
        <v>1</v>
      </c>
      <c r="BA32" s="12">
        <v>1</v>
      </c>
      <c r="BB32" s="12">
        <v>1</v>
      </c>
      <c r="BC32" s="12">
        <v>1</v>
      </c>
      <c r="BD32" s="12">
        <v>1</v>
      </c>
      <c r="BE32" s="12">
        <v>1</v>
      </c>
      <c r="BF32" s="12">
        <v>1</v>
      </c>
      <c r="BG32" s="29">
        <v>1</v>
      </c>
      <c r="BH32" s="12">
        <v>1</v>
      </c>
      <c r="BI32" s="12">
        <v>1</v>
      </c>
      <c r="BK32" s="11">
        <v>29</v>
      </c>
      <c r="BL32" s="12" t="s">
        <v>15</v>
      </c>
      <c r="BM32" s="12">
        <v>5</v>
      </c>
      <c r="BN32" s="12">
        <v>5</v>
      </c>
      <c r="BP32" s="11">
        <v>29</v>
      </c>
      <c r="BQ32" s="12">
        <v>0</v>
      </c>
      <c r="BR32" s="12">
        <v>3</v>
      </c>
      <c r="BS32" s="12">
        <v>3</v>
      </c>
      <c r="BU32" s="11">
        <v>29</v>
      </c>
      <c r="BV32" s="12">
        <v>1</v>
      </c>
      <c r="BW32" s="12">
        <v>1</v>
      </c>
      <c r="BX32" s="69">
        <v>0</v>
      </c>
    </row>
    <row r="33" spans="1:76">
      <c r="A33" s="30" t="s">
        <v>117</v>
      </c>
      <c r="D33" s="119" t="s">
        <v>8</v>
      </c>
      <c r="E33" s="119" t="s">
        <v>8</v>
      </c>
      <c r="F33" s="119">
        <v>1</v>
      </c>
      <c r="G33" s="100"/>
      <c r="H33" s="94" t="s">
        <v>34</v>
      </c>
      <c r="J33" s="100"/>
      <c r="R33" s="11">
        <v>30</v>
      </c>
      <c r="S33" s="12">
        <v>1</v>
      </c>
      <c r="T33" s="12" t="s">
        <v>15</v>
      </c>
      <c r="U33" s="12" t="s">
        <v>15</v>
      </c>
      <c r="W33" s="11">
        <v>30</v>
      </c>
      <c r="X33" s="12">
        <v>2</v>
      </c>
      <c r="Y33" s="12">
        <v>0</v>
      </c>
      <c r="Z33" s="12">
        <v>0</v>
      </c>
      <c r="AB33" s="11">
        <v>30</v>
      </c>
      <c r="AC33" s="12">
        <v>1</v>
      </c>
      <c r="AD33" s="69">
        <v>1</v>
      </c>
      <c r="AE33" s="69">
        <v>0</v>
      </c>
      <c r="AG33" s="11">
        <v>30</v>
      </c>
      <c r="AH33" s="12">
        <v>1</v>
      </c>
      <c r="AI33" s="69">
        <v>1</v>
      </c>
      <c r="AJ33" s="69">
        <v>0</v>
      </c>
      <c r="AL33" s="11">
        <v>30</v>
      </c>
      <c r="AM33" s="12">
        <v>1</v>
      </c>
      <c r="AN33" s="69">
        <v>1</v>
      </c>
      <c r="AO33" s="69">
        <v>0</v>
      </c>
      <c r="AQ33" s="11">
        <v>30</v>
      </c>
      <c r="AR33" s="14"/>
      <c r="AT33" s="11">
        <v>30</v>
      </c>
      <c r="AU33" s="12"/>
      <c r="AW33" s="11">
        <v>30</v>
      </c>
      <c r="AX33" s="12"/>
      <c r="AY33" s="12"/>
      <c r="AZ33" s="12"/>
      <c r="BA33" s="12"/>
      <c r="BB33" s="12"/>
      <c r="BC33" s="12"/>
      <c r="BD33" s="12"/>
      <c r="BE33" s="12"/>
      <c r="BF33" s="24"/>
      <c r="BG33" s="29"/>
      <c r="BH33" s="12"/>
      <c r="BI33" s="12"/>
      <c r="BK33" s="11">
        <v>30</v>
      </c>
      <c r="BL33" s="12">
        <v>1</v>
      </c>
      <c r="BM33" s="12" t="s">
        <v>15</v>
      </c>
      <c r="BN33" s="12" t="s">
        <v>15</v>
      </c>
      <c r="BP33" s="11">
        <v>30</v>
      </c>
      <c r="BQ33" s="12">
        <v>2</v>
      </c>
      <c r="BR33" s="12">
        <v>0</v>
      </c>
      <c r="BS33" s="12">
        <v>0</v>
      </c>
      <c r="BU33" s="11">
        <v>30</v>
      </c>
      <c r="BV33" s="12">
        <v>1</v>
      </c>
      <c r="BW33" s="12">
        <v>1</v>
      </c>
      <c r="BX33" s="69">
        <v>0</v>
      </c>
    </row>
    <row r="34" spans="1:76">
      <c r="A34" s="30" t="s">
        <v>46</v>
      </c>
      <c r="B34" s="1" t="s">
        <v>10</v>
      </c>
      <c r="C34" s="2" t="s">
        <v>11</v>
      </c>
      <c r="D34" s="3" t="s">
        <v>80</v>
      </c>
      <c r="E34" s="99" t="s">
        <v>13</v>
      </c>
      <c r="F34" s="4" t="s">
        <v>14</v>
      </c>
      <c r="G34" s="100"/>
      <c r="H34" s="95" t="s">
        <v>57</v>
      </c>
      <c r="I34" s="58" t="s">
        <v>58</v>
      </c>
      <c r="R34" s="11">
        <v>31</v>
      </c>
      <c r="S34" s="12" t="s">
        <v>15</v>
      </c>
      <c r="T34" s="12">
        <v>0</v>
      </c>
      <c r="U34" s="12">
        <v>0</v>
      </c>
      <c r="W34" s="11">
        <v>31</v>
      </c>
      <c r="X34" s="12">
        <v>0</v>
      </c>
      <c r="Y34" s="12">
        <v>1</v>
      </c>
      <c r="Z34" s="12">
        <v>1</v>
      </c>
      <c r="AB34" s="11">
        <v>31</v>
      </c>
      <c r="AC34" s="12">
        <v>1</v>
      </c>
      <c r="AD34" s="69">
        <v>1</v>
      </c>
      <c r="AE34" s="69">
        <v>0</v>
      </c>
      <c r="AG34" s="11">
        <v>31</v>
      </c>
      <c r="AH34" s="12">
        <v>1</v>
      </c>
      <c r="AI34" s="69">
        <v>1</v>
      </c>
      <c r="AJ34" s="69">
        <v>0</v>
      </c>
      <c r="AL34" s="11">
        <v>31</v>
      </c>
      <c r="AM34" s="12">
        <v>1</v>
      </c>
      <c r="AN34" s="69">
        <v>1</v>
      </c>
      <c r="AO34" s="69">
        <v>0</v>
      </c>
      <c r="AQ34" s="11">
        <v>31</v>
      </c>
      <c r="AR34" s="12"/>
      <c r="AT34" s="11">
        <v>31</v>
      </c>
      <c r="AU34" s="12"/>
      <c r="AW34" s="11">
        <v>31</v>
      </c>
      <c r="AX34" s="12"/>
      <c r="AY34" s="12"/>
      <c r="AZ34" s="12"/>
      <c r="BA34" s="12"/>
      <c r="BB34" s="12"/>
      <c r="BC34" s="12"/>
      <c r="BD34" s="12"/>
      <c r="BE34" s="12"/>
      <c r="BF34" s="24"/>
      <c r="BG34" s="29"/>
      <c r="BH34" s="12"/>
      <c r="BI34" s="12"/>
      <c r="BK34" s="11">
        <v>31</v>
      </c>
      <c r="BL34" s="12" t="s">
        <v>15</v>
      </c>
      <c r="BM34" s="12">
        <v>0</v>
      </c>
      <c r="BN34" s="12">
        <v>0</v>
      </c>
      <c r="BP34" s="11">
        <v>31</v>
      </c>
      <c r="BQ34" s="12">
        <v>0</v>
      </c>
      <c r="BR34" s="12">
        <v>1</v>
      </c>
      <c r="BS34" s="12">
        <v>1</v>
      </c>
      <c r="BU34" s="11">
        <v>31</v>
      </c>
      <c r="BV34" s="12">
        <v>1</v>
      </c>
      <c r="BW34" s="12">
        <v>1</v>
      </c>
      <c r="BX34" s="69">
        <v>0</v>
      </c>
    </row>
    <row r="35" spans="1:76">
      <c r="A35" s="1" t="s">
        <v>19</v>
      </c>
      <c r="B35" s="1">
        <v>0</v>
      </c>
      <c r="C35" s="3" t="s">
        <v>25</v>
      </c>
      <c r="D35" s="3">
        <f>SUMIF(S$3:S$38,$A35,AM$3:AM$38)</f>
        <v>18</v>
      </c>
      <c r="E35" s="116">
        <f t="shared" ref="E35:F46" si="4">SUMIF(T$3:T$38,$A35,AN$3:AN$38)</f>
        <v>18</v>
      </c>
      <c r="F35" s="4">
        <f t="shared" si="4"/>
        <v>6</v>
      </c>
      <c r="G35" s="100"/>
      <c r="H35" s="21">
        <v>5</v>
      </c>
      <c r="I35" s="7" t="e">
        <v>#REF!</v>
      </c>
      <c r="R35" s="11">
        <v>32</v>
      </c>
      <c r="S35" s="12">
        <v>5</v>
      </c>
      <c r="T35" s="12" t="s">
        <v>15</v>
      </c>
      <c r="U35" s="12" t="s">
        <v>15</v>
      </c>
      <c r="W35" s="11">
        <v>32</v>
      </c>
      <c r="X35" s="12">
        <v>3</v>
      </c>
      <c r="Y35" s="12">
        <v>0</v>
      </c>
      <c r="Z35" s="12">
        <v>0</v>
      </c>
      <c r="AB35" s="11">
        <v>32</v>
      </c>
      <c r="AC35" s="12">
        <v>1</v>
      </c>
      <c r="AD35" s="69">
        <v>1</v>
      </c>
      <c r="AE35" s="69">
        <v>0</v>
      </c>
      <c r="AG35" s="11">
        <v>32</v>
      </c>
      <c r="AH35" s="12">
        <v>1</v>
      </c>
      <c r="AI35" s="69">
        <v>1</v>
      </c>
      <c r="AJ35" s="69">
        <v>0</v>
      </c>
      <c r="AL35" s="11">
        <v>32</v>
      </c>
      <c r="AM35" s="12">
        <v>1</v>
      </c>
      <c r="AN35" s="69">
        <v>1</v>
      </c>
      <c r="AO35" s="69">
        <v>0</v>
      </c>
      <c r="AQ35" s="11">
        <v>32</v>
      </c>
      <c r="AR35" s="14"/>
      <c r="AT35" s="11">
        <v>32</v>
      </c>
      <c r="AU35" s="12"/>
      <c r="AW35" s="11">
        <v>32</v>
      </c>
      <c r="AX35" s="12"/>
      <c r="AY35" s="12"/>
      <c r="AZ35" s="12"/>
      <c r="BA35" s="12"/>
      <c r="BB35" s="12"/>
      <c r="BC35" s="12"/>
      <c r="BD35" s="12"/>
      <c r="BE35" s="12"/>
      <c r="BF35" s="24"/>
      <c r="BG35" s="29"/>
      <c r="BH35" s="12"/>
      <c r="BI35" s="12"/>
      <c r="BK35" s="11">
        <v>32</v>
      </c>
      <c r="BL35" s="12">
        <v>5</v>
      </c>
      <c r="BM35" s="12" t="s">
        <v>15</v>
      </c>
      <c r="BN35" s="12" t="s">
        <v>15</v>
      </c>
      <c r="BP35" s="11">
        <v>32</v>
      </c>
      <c r="BQ35" s="12">
        <v>3</v>
      </c>
      <c r="BR35" s="12">
        <v>0</v>
      </c>
      <c r="BS35" s="12">
        <v>0</v>
      </c>
      <c r="BU35" s="11">
        <v>32</v>
      </c>
      <c r="BV35" s="12">
        <v>1</v>
      </c>
      <c r="BW35" s="12">
        <v>1</v>
      </c>
      <c r="BX35" s="69">
        <v>0</v>
      </c>
    </row>
    <row r="36" spans="1:76">
      <c r="A36" s="20">
        <v>0</v>
      </c>
      <c r="B36" s="20">
        <v>1</v>
      </c>
      <c r="C36" s="5">
        <v>0</v>
      </c>
      <c r="D36" s="37">
        <f t="shared" ref="D36:D46" si="5">SUMIF(S$3:S$38,$A36,AM$3:AM$38)</f>
        <v>0</v>
      </c>
      <c r="E36" s="115">
        <f t="shared" si="4"/>
        <v>6</v>
      </c>
      <c r="F36" s="7">
        <f t="shared" si="4"/>
        <v>0</v>
      </c>
      <c r="G36" s="100"/>
      <c r="H36" s="21">
        <v>10</v>
      </c>
      <c r="I36" s="7" t="e">
        <v>#REF!</v>
      </c>
      <c r="K36" s="100"/>
      <c r="L36" s="100"/>
      <c r="M36" s="100"/>
      <c r="N36" s="100"/>
      <c r="O36" s="100"/>
      <c r="R36" s="11">
        <v>33</v>
      </c>
      <c r="S36" s="12" t="s">
        <v>15</v>
      </c>
      <c r="T36" s="12">
        <v>1</v>
      </c>
      <c r="U36" s="12">
        <v>1</v>
      </c>
      <c r="W36" s="11">
        <v>33</v>
      </c>
      <c r="X36" s="12">
        <v>0</v>
      </c>
      <c r="Y36" s="12">
        <v>2</v>
      </c>
      <c r="Z36" s="12">
        <v>2</v>
      </c>
      <c r="AB36" s="11">
        <v>33</v>
      </c>
      <c r="AC36" s="12">
        <v>1</v>
      </c>
      <c r="AD36" s="69">
        <v>1</v>
      </c>
      <c r="AE36" s="69">
        <v>0</v>
      </c>
      <c r="AG36" s="11">
        <v>33</v>
      </c>
      <c r="AH36" s="12">
        <v>1</v>
      </c>
      <c r="AI36" s="69">
        <v>1</v>
      </c>
      <c r="AJ36" s="69">
        <v>0</v>
      </c>
      <c r="AL36" s="11">
        <v>33</v>
      </c>
      <c r="AM36" s="12">
        <v>1</v>
      </c>
      <c r="AN36" s="69">
        <v>1</v>
      </c>
      <c r="AO36" s="69">
        <v>0</v>
      </c>
      <c r="AQ36" s="11">
        <v>33</v>
      </c>
      <c r="AR36" s="12"/>
      <c r="AT36" s="11">
        <v>33</v>
      </c>
      <c r="AU36" s="12"/>
      <c r="AW36" s="11">
        <v>33</v>
      </c>
      <c r="AX36" s="12"/>
      <c r="AY36" s="12"/>
      <c r="AZ36" s="12"/>
      <c r="BA36" s="12"/>
      <c r="BB36" s="12"/>
      <c r="BC36" s="12"/>
      <c r="BD36" s="12"/>
      <c r="BE36" s="12"/>
      <c r="BF36" s="24"/>
      <c r="BG36" s="29"/>
      <c r="BH36" s="12"/>
      <c r="BI36" s="12"/>
      <c r="BK36" s="11">
        <v>33</v>
      </c>
      <c r="BL36" s="12" t="s">
        <v>15</v>
      </c>
      <c r="BM36" s="12">
        <v>1</v>
      </c>
      <c r="BN36" s="12">
        <v>1</v>
      </c>
      <c r="BP36" s="11">
        <v>33</v>
      </c>
      <c r="BQ36" s="12">
        <v>0</v>
      </c>
      <c r="BR36" s="12">
        <v>2</v>
      </c>
      <c r="BS36" s="12">
        <v>2</v>
      </c>
      <c r="BU36" s="11">
        <v>33</v>
      </c>
      <c r="BV36" s="12">
        <v>1</v>
      </c>
      <c r="BW36" s="12">
        <v>1</v>
      </c>
      <c r="BX36" s="69">
        <v>0</v>
      </c>
    </row>
    <row r="37" spans="1:76">
      <c r="A37" s="20">
        <v>1</v>
      </c>
      <c r="B37" s="20">
        <v>2</v>
      </c>
      <c r="C37" s="5">
        <v>1</v>
      </c>
      <c r="D37" s="6">
        <f t="shared" si="5"/>
        <v>6</v>
      </c>
      <c r="E37" s="115">
        <f t="shared" si="4"/>
        <v>6</v>
      </c>
      <c r="F37" s="7">
        <f t="shared" si="4"/>
        <v>0</v>
      </c>
      <c r="G37" s="100"/>
      <c r="H37" s="21">
        <v>15</v>
      </c>
      <c r="I37" s="7" t="e">
        <v>#REF!</v>
      </c>
      <c r="K37" s="100"/>
      <c r="L37" s="100"/>
      <c r="M37" s="100"/>
      <c r="N37" s="100"/>
      <c r="O37" s="100"/>
      <c r="R37" s="11">
        <v>34</v>
      </c>
      <c r="S37" s="12">
        <v>10</v>
      </c>
      <c r="T37" s="12" t="s">
        <v>15</v>
      </c>
      <c r="U37" s="12" t="s">
        <v>15</v>
      </c>
      <c r="W37" s="11">
        <v>34</v>
      </c>
      <c r="X37" s="12">
        <v>4</v>
      </c>
      <c r="Y37" s="12">
        <v>0</v>
      </c>
      <c r="Z37" s="12">
        <v>0</v>
      </c>
      <c r="AB37" s="11">
        <v>34</v>
      </c>
      <c r="AC37" s="12">
        <v>1</v>
      </c>
      <c r="AD37" s="69">
        <v>1</v>
      </c>
      <c r="AE37" s="69">
        <v>1</v>
      </c>
      <c r="AG37" s="11">
        <v>34</v>
      </c>
      <c r="AH37" s="12">
        <v>1</v>
      </c>
      <c r="AI37" s="69">
        <v>1</v>
      </c>
      <c r="AJ37" s="69">
        <v>1</v>
      </c>
      <c r="AL37" s="11">
        <v>34</v>
      </c>
      <c r="AM37" s="12">
        <v>1</v>
      </c>
      <c r="AN37" s="69">
        <v>1</v>
      </c>
      <c r="AO37" s="69">
        <v>1</v>
      </c>
      <c r="AQ37" s="11">
        <v>34</v>
      </c>
      <c r="AR37" s="14"/>
      <c r="AT37" s="11">
        <v>34</v>
      </c>
      <c r="AU37" s="12"/>
      <c r="AW37" s="11">
        <v>34</v>
      </c>
      <c r="AX37" s="12"/>
      <c r="AY37" s="12"/>
      <c r="AZ37" s="12"/>
      <c r="BA37" s="12"/>
      <c r="BB37" s="12"/>
      <c r="BC37" s="12"/>
      <c r="BD37" s="12"/>
      <c r="BE37" s="12"/>
      <c r="BF37" s="24"/>
      <c r="BG37" s="29"/>
      <c r="BH37" s="12"/>
      <c r="BI37" s="12"/>
      <c r="BK37" s="11">
        <v>34</v>
      </c>
      <c r="BL37" s="12">
        <v>10</v>
      </c>
      <c r="BM37" s="12" t="s">
        <v>15</v>
      </c>
      <c r="BN37" s="12" t="s">
        <v>15</v>
      </c>
      <c r="BP37" s="11">
        <v>34</v>
      </c>
      <c r="BQ37" s="12">
        <v>4</v>
      </c>
      <c r="BR37" s="12">
        <v>0</v>
      </c>
      <c r="BS37" s="12">
        <v>0</v>
      </c>
      <c r="BU37" s="11">
        <v>34</v>
      </c>
      <c r="BV37" s="12">
        <v>1</v>
      </c>
      <c r="BW37" s="12">
        <v>1</v>
      </c>
      <c r="BX37" s="69">
        <v>1</v>
      </c>
    </row>
    <row r="38" spans="1:76">
      <c r="A38" s="21">
        <v>5</v>
      </c>
      <c r="B38" s="21">
        <v>3</v>
      </c>
      <c r="C38" s="23">
        <v>5</v>
      </c>
      <c r="D38" s="6">
        <f t="shared" si="5"/>
        <v>6</v>
      </c>
      <c r="E38" s="115">
        <f t="shared" si="4"/>
        <v>6</v>
      </c>
      <c r="F38" s="7">
        <f t="shared" si="4"/>
        <v>0</v>
      </c>
      <c r="G38" s="100"/>
      <c r="H38" s="21">
        <v>20</v>
      </c>
      <c r="I38" s="7" t="e">
        <v>#REF!</v>
      </c>
      <c r="K38" s="100"/>
      <c r="L38" s="100"/>
      <c r="M38" s="100"/>
      <c r="N38" s="100"/>
      <c r="O38" s="100"/>
      <c r="R38" s="11">
        <v>35</v>
      </c>
      <c r="S38" s="12" t="s">
        <v>8</v>
      </c>
      <c r="T38" s="12">
        <v>5</v>
      </c>
      <c r="U38" s="12">
        <v>5</v>
      </c>
      <c r="W38" s="11">
        <v>35</v>
      </c>
      <c r="X38" s="12">
        <v>0</v>
      </c>
      <c r="Y38" s="12">
        <v>3</v>
      </c>
      <c r="Z38" s="12">
        <v>3</v>
      </c>
      <c r="AB38" s="11">
        <v>35</v>
      </c>
      <c r="AC38" s="12">
        <v>1</v>
      </c>
      <c r="AD38" s="69">
        <v>1</v>
      </c>
      <c r="AE38" s="69">
        <v>0</v>
      </c>
      <c r="AG38" s="11">
        <v>35</v>
      </c>
      <c r="AH38" s="12">
        <v>1</v>
      </c>
      <c r="AI38" s="69">
        <v>1</v>
      </c>
      <c r="AJ38" s="69">
        <v>0</v>
      </c>
      <c r="AL38" s="11">
        <v>35</v>
      </c>
      <c r="AM38" s="12">
        <v>1</v>
      </c>
      <c r="AN38" s="69">
        <v>1</v>
      </c>
      <c r="AO38" s="69">
        <v>0</v>
      </c>
      <c r="AQ38" s="11">
        <v>35</v>
      </c>
      <c r="AR38" s="12"/>
      <c r="AT38" s="11">
        <v>35</v>
      </c>
      <c r="AU38" s="12"/>
      <c r="AW38" s="11">
        <v>35</v>
      </c>
      <c r="AX38" s="12"/>
      <c r="AY38" s="12"/>
      <c r="AZ38" s="12"/>
      <c r="BA38" s="12"/>
      <c r="BB38" s="12"/>
      <c r="BC38" s="12"/>
      <c r="BD38" s="12"/>
      <c r="BE38" s="12"/>
      <c r="BF38" s="24"/>
      <c r="BG38" s="29"/>
      <c r="BH38" s="12"/>
      <c r="BI38" s="12"/>
      <c r="BK38" s="11">
        <v>35</v>
      </c>
      <c r="BL38" s="12" t="s">
        <v>8</v>
      </c>
      <c r="BM38" s="12">
        <v>5</v>
      </c>
      <c r="BN38" s="12">
        <v>5</v>
      </c>
      <c r="BP38" s="11">
        <v>35</v>
      </c>
      <c r="BQ38" s="12">
        <v>0</v>
      </c>
      <c r="BR38" s="12">
        <v>3</v>
      </c>
      <c r="BS38" s="12">
        <v>3</v>
      </c>
      <c r="BU38" s="11">
        <v>35</v>
      </c>
      <c r="BV38" s="12">
        <v>1</v>
      </c>
      <c r="BW38" s="12">
        <v>1</v>
      </c>
      <c r="BX38" s="69">
        <v>0</v>
      </c>
    </row>
    <row r="39" spans="1:76">
      <c r="A39" s="21">
        <v>10</v>
      </c>
      <c r="B39" s="21">
        <v>4</v>
      </c>
      <c r="C39" s="23">
        <v>10</v>
      </c>
      <c r="D39" s="6">
        <f t="shared" si="5"/>
        <v>6</v>
      </c>
      <c r="E39" s="59">
        <f t="shared" si="4"/>
        <v>0</v>
      </c>
      <c r="F39" s="38">
        <f t="shared" si="4"/>
        <v>0</v>
      </c>
      <c r="G39" s="100"/>
      <c r="H39" s="21">
        <v>30</v>
      </c>
      <c r="I39" s="7" t="e">
        <v>#REF!</v>
      </c>
      <c r="K39" s="100"/>
      <c r="L39" s="100"/>
      <c r="M39" s="100"/>
      <c r="N39" s="100"/>
      <c r="O39" s="100"/>
      <c r="R39" s="11">
        <v>36</v>
      </c>
      <c r="S39" s="12"/>
      <c r="T39" s="12"/>
      <c r="U39" s="12"/>
      <c r="W39" s="11">
        <v>36</v>
      </c>
      <c r="X39" s="12"/>
      <c r="Y39" s="12"/>
      <c r="Z39" s="12"/>
      <c r="AB39" s="11">
        <v>36</v>
      </c>
      <c r="AC39" s="12"/>
      <c r="AD39" s="12"/>
      <c r="AE39" s="12"/>
      <c r="AG39" s="11">
        <v>36</v>
      </c>
      <c r="AH39" s="12"/>
      <c r="AI39" s="12"/>
      <c r="AJ39" s="12"/>
      <c r="AL39" s="11">
        <v>36</v>
      </c>
      <c r="AM39" s="12"/>
      <c r="AN39" s="12"/>
      <c r="AO39" s="12"/>
      <c r="AQ39" s="11">
        <v>36</v>
      </c>
      <c r="AR39" s="14"/>
      <c r="AS39" s="14"/>
      <c r="AT39" s="11">
        <v>36</v>
      </c>
      <c r="AU39" s="12"/>
      <c r="AW39" s="11">
        <v>36</v>
      </c>
      <c r="AX39" s="12"/>
      <c r="AY39" s="12"/>
      <c r="AZ39" s="12"/>
      <c r="BA39" s="12"/>
      <c r="BB39" s="12"/>
      <c r="BC39" s="12"/>
      <c r="BD39" s="12"/>
      <c r="BE39" s="12"/>
      <c r="BF39" s="24"/>
      <c r="BG39" s="29"/>
      <c r="BH39" s="12"/>
      <c r="BI39" s="12"/>
      <c r="BK39" s="11">
        <v>36</v>
      </c>
      <c r="BL39" s="12"/>
      <c r="BM39" s="12"/>
      <c r="BN39" s="12"/>
      <c r="BP39" s="11">
        <v>36</v>
      </c>
      <c r="BQ39" s="12"/>
      <c r="BR39" s="12"/>
      <c r="BS39" s="12"/>
      <c r="BU39" s="11">
        <v>36</v>
      </c>
      <c r="BV39" s="12"/>
      <c r="BW39" s="12"/>
      <c r="BX39" s="12"/>
    </row>
    <row r="40" spans="1:76">
      <c r="A40" s="20" t="s">
        <v>20</v>
      </c>
      <c r="B40" s="20">
        <v>5</v>
      </c>
      <c r="C40" s="23" t="s">
        <v>29</v>
      </c>
      <c r="D40" s="37">
        <f t="shared" si="5"/>
        <v>0</v>
      </c>
      <c r="E40" s="59">
        <f t="shared" si="4"/>
        <v>0</v>
      </c>
      <c r="F40" s="38">
        <f t="shared" si="4"/>
        <v>0</v>
      </c>
      <c r="G40" s="100"/>
      <c r="H40" s="21">
        <v>50</v>
      </c>
      <c r="I40" s="7" t="e">
        <v>#REF!</v>
      </c>
      <c r="K40" s="100"/>
      <c r="L40" s="100"/>
      <c r="M40" s="100"/>
      <c r="N40" s="100"/>
      <c r="O40" s="100"/>
      <c r="R40" s="11">
        <v>37</v>
      </c>
      <c r="S40" s="12"/>
      <c r="T40" s="12"/>
      <c r="U40" s="12"/>
      <c r="W40" s="11">
        <v>37</v>
      </c>
      <c r="X40" s="12"/>
      <c r="Y40" s="12"/>
      <c r="Z40" s="12"/>
      <c r="AB40" s="11">
        <v>37</v>
      </c>
      <c r="AC40" s="12"/>
      <c r="AD40" s="12"/>
      <c r="AE40" s="12"/>
      <c r="AG40" s="11">
        <v>37</v>
      </c>
      <c r="AH40" s="12"/>
      <c r="AI40" s="12"/>
      <c r="AJ40" s="12"/>
      <c r="AL40" s="11">
        <v>37</v>
      </c>
      <c r="AM40" s="12"/>
      <c r="AN40" s="12"/>
      <c r="AO40" s="12"/>
      <c r="AQ40" s="11">
        <v>37</v>
      </c>
      <c r="AR40" s="12"/>
      <c r="AS40" s="12"/>
      <c r="AT40" s="11">
        <v>37</v>
      </c>
      <c r="AU40" s="12"/>
      <c r="AW40" s="11">
        <v>37</v>
      </c>
      <c r="AX40" s="12"/>
      <c r="AY40" s="12"/>
      <c r="AZ40" s="12"/>
      <c r="BA40" s="12"/>
      <c r="BB40" s="12"/>
      <c r="BC40" s="12"/>
      <c r="BD40" s="12"/>
      <c r="BE40" s="12"/>
      <c r="BF40" s="24"/>
      <c r="BG40" s="29"/>
      <c r="BH40" s="12"/>
      <c r="BI40" s="12"/>
      <c r="BK40" s="11">
        <v>37</v>
      </c>
      <c r="BL40" s="12"/>
      <c r="BM40" s="12"/>
      <c r="BN40" s="12"/>
      <c r="BP40" s="11">
        <v>37</v>
      </c>
      <c r="BQ40" s="12"/>
      <c r="BR40" s="12"/>
      <c r="BS40" s="12"/>
      <c r="BU40" s="11">
        <v>37</v>
      </c>
      <c r="BV40" s="12"/>
      <c r="BW40" s="12"/>
      <c r="BX40" s="12"/>
    </row>
    <row r="41" spans="1:76">
      <c r="A41" s="21" t="s">
        <v>21</v>
      </c>
      <c r="B41" s="21">
        <v>6</v>
      </c>
      <c r="C41" s="23" t="s">
        <v>26</v>
      </c>
      <c r="D41" s="37">
        <f t="shared" si="5"/>
        <v>0</v>
      </c>
      <c r="E41" s="59">
        <f t="shared" si="4"/>
        <v>0</v>
      </c>
      <c r="F41" s="38">
        <f t="shared" si="4"/>
        <v>0</v>
      </c>
      <c r="G41" s="100"/>
      <c r="H41" s="21">
        <v>100</v>
      </c>
      <c r="I41" s="7" t="e">
        <v>#REF!</v>
      </c>
      <c r="K41" s="100"/>
      <c r="L41" s="100"/>
      <c r="M41" s="100"/>
      <c r="N41" s="100"/>
      <c r="O41" s="100"/>
      <c r="R41" s="11">
        <v>38</v>
      </c>
      <c r="S41" s="12"/>
      <c r="T41" s="12"/>
      <c r="U41" s="12"/>
      <c r="W41" s="11">
        <v>38</v>
      </c>
      <c r="X41" s="12"/>
      <c r="Y41" s="12"/>
      <c r="Z41" s="12"/>
      <c r="AB41" s="11">
        <v>38</v>
      </c>
      <c r="AC41" s="12"/>
      <c r="AD41" s="12"/>
      <c r="AE41" s="12"/>
      <c r="AG41" s="11">
        <v>38</v>
      </c>
      <c r="AH41" s="12"/>
      <c r="AI41" s="12"/>
      <c r="AJ41" s="12"/>
      <c r="AL41" s="11">
        <v>38</v>
      </c>
      <c r="AM41" s="12"/>
      <c r="AN41" s="12"/>
      <c r="AO41" s="12"/>
      <c r="AQ41" s="11">
        <v>38</v>
      </c>
      <c r="AR41" s="14"/>
      <c r="AS41" s="14"/>
      <c r="AT41" s="11">
        <v>38</v>
      </c>
      <c r="AU41" s="12"/>
      <c r="AW41" s="11">
        <v>38</v>
      </c>
      <c r="AX41" s="12"/>
      <c r="AY41" s="12"/>
      <c r="AZ41" s="12"/>
      <c r="BA41" s="12"/>
      <c r="BB41" s="12"/>
      <c r="BC41" s="12"/>
      <c r="BD41" s="12"/>
      <c r="BE41" s="12"/>
      <c r="BF41" s="24"/>
      <c r="BG41" s="29"/>
      <c r="BH41" s="12"/>
      <c r="BI41" s="12"/>
      <c r="BK41" s="11">
        <v>38</v>
      </c>
      <c r="BL41" s="12"/>
      <c r="BM41" s="12"/>
      <c r="BN41" s="12"/>
      <c r="BP41" s="11">
        <v>38</v>
      </c>
      <c r="BQ41" s="12"/>
      <c r="BR41" s="12"/>
      <c r="BS41" s="12"/>
      <c r="BU41" s="11">
        <v>38</v>
      </c>
      <c r="BV41" s="12"/>
      <c r="BW41" s="12"/>
      <c r="BX41" s="12"/>
    </row>
    <row r="42" spans="1:76">
      <c r="A42" s="20" t="s">
        <v>22</v>
      </c>
      <c r="B42" s="20">
        <v>7</v>
      </c>
      <c r="C42" s="5" t="s">
        <v>27</v>
      </c>
      <c r="D42" s="37">
        <f t="shared" si="5"/>
        <v>0</v>
      </c>
      <c r="E42" s="59">
        <f t="shared" si="4"/>
        <v>0</v>
      </c>
      <c r="F42" s="38">
        <f t="shared" si="4"/>
        <v>0</v>
      </c>
      <c r="H42" s="22">
        <v>200</v>
      </c>
      <c r="I42" s="96" t="e">
        <v>#REF!</v>
      </c>
      <c r="R42" s="11">
        <v>39</v>
      </c>
      <c r="S42" s="12"/>
      <c r="T42" s="12"/>
      <c r="U42" s="12"/>
      <c r="W42" s="11">
        <v>39</v>
      </c>
      <c r="X42" s="12"/>
      <c r="Y42" s="12"/>
      <c r="Z42" s="12"/>
      <c r="AB42" s="11">
        <v>39</v>
      </c>
      <c r="AC42" s="12"/>
      <c r="AD42" s="12"/>
      <c r="AE42" s="12"/>
      <c r="AG42" s="11">
        <v>39</v>
      </c>
      <c r="AH42" s="12"/>
      <c r="AI42" s="12"/>
      <c r="AJ42" s="12"/>
      <c r="AL42" s="11">
        <v>39</v>
      </c>
      <c r="AM42" s="12"/>
      <c r="AN42" s="12"/>
      <c r="AO42" s="12"/>
      <c r="AQ42" s="11">
        <v>39</v>
      </c>
      <c r="AR42" s="12"/>
      <c r="AS42" s="12"/>
      <c r="AT42" s="11">
        <v>39</v>
      </c>
      <c r="AU42" s="12"/>
      <c r="AW42" s="11">
        <v>39</v>
      </c>
      <c r="AX42" s="12"/>
      <c r="AY42" s="12"/>
      <c r="AZ42" s="12"/>
      <c r="BA42" s="12"/>
      <c r="BB42" s="12"/>
      <c r="BC42" s="12"/>
      <c r="BD42" s="12"/>
      <c r="BE42" s="12"/>
      <c r="BF42" s="24"/>
      <c r="BG42" s="29"/>
      <c r="BH42" s="12"/>
      <c r="BI42" s="12"/>
      <c r="BK42" s="11">
        <v>39</v>
      </c>
      <c r="BL42" s="12"/>
      <c r="BM42" s="12"/>
      <c r="BN42" s="12"/>
      <c r="BP42" s="11">
        <v>39</v>
      </c>
      <c r="BQ42" s="12"/>
      <c r="BR42" s="12"/>
      <c r="BS42" s="12"/>
      <c r="BU42" s="11">
        <v>39</v>
      </c>
      <c r="BV42" s="12"/>
      <c r="BW42" s="12"/>
      <c r="BX42" s="12"/>
    </row>
    <row r="43" spans="1:76">
      <c r="A43" s="20" t="s">
        <v>23</v>
      </c>
      <c r="B43" s="20">
        <v>8</v>
      </c>
      <c r="C43" s="5" t="s">
        <v>28</v>
      </c>
      <c r="D43" s="37">
        <f t="shared" si="5"/>
        <v>0</v>
      </c>
      <c r="E43" s="59">
        <f t="shared" si="4"/>
        <v>0</v>
      </c>
      <c r="F43" s="38">
        <f t="shared" si="4"/>
        <v>0</v>
      </c>
      <c r="R43" s="11">
        <v>40</v>
      </c>
      <c r="S43" s="12"/>
      <c r="T43" s="12"/>
      <c r="U43" s="12"/>
      <c r="W43" s="11">
        <v>40</v>
      </c>
      <c r="X43" s="12"/>
      <c r="Y43" s="12"/>
      <c r="Z43" s="12"/>
      <c r="AB43" s="11">
        <v>40</v>
      </c>
      <c r="AC43" s="12"/>
      <c r="AD43" s="12"/>
      <c r="AE43" s="12"/>
      <c r="AG43" s="11">
        <v>40</v>
      </c>
      <c r="AH43" s="12"/>
      <c r="AI43" s="12"/>
      <c r="AJ43" s="12"/>
      <c r="AL43" s="11">
        <v>40</v>
      </c>
      <c r="AM43" s="12"/>
      <c r="AN43" s="12"/>
      <c r="AO43" s="12"/>
      <c r="AQ43" s="11">
        <v>40</v>
      </c>
      <c r="AR43" s="14"/>
      <c r="AS43" s="14"/>
      <c r="AT43" s="11">
        <v>40</v>
      </c>
      <c r="AU43" s="12"/>
      <c r="AW43" s="11">
        <v>40</v>
      </c>
      <c r="AX43" s="12"/>
      <c r="AY43" s="12"/>
      <c r="AZ43" s="12"/>
      <c r="BA43" s="12"/>
      <c r="BB43" s="12"/>
      <c r="BC43" s="12"/>
      <c r="BD43" s="12"/>
      <c r="BE43" s="12"/>
      <c r="BF43" s="24"/>
      <c r="BG43" s="29"/>
      <c r="BH43" s="12"/>
      <c r="BI43" s="12"/>
      <c r="BK43" s="11">
        <v>40</v>
      </c>
      <c r="BL43" s="12"/>
      <c r="BM43" s="12"/>
      <c r="BN43" s="12"/>
      <c r="BP43" s="11">
        <v>40</v>
      </c>
      <c r="BQ43" s="12"/>
      <c r="BR43" s="12"/>
      <c r="BS43" s="12"/>
      <c r="BU43" s="11">
        <v>40</v>
      </c>
      <c r="BV43" s="12"/>
      <c r="BW43" s="12"/>
      <c r="BX43" s="12"/>
    </row>
    <row r="44" spans="1:76">
      <c r="A44" s="20" t="s">
        <v>24</v>
      </c>
      <c r="B44" s="20">
        <v>9</v>
      </c>
      <c r="C44" s="5" t="s">
        <v>16</v>
      </c>
      <c r="D44" s="37">
        <f t="shared" si="5"/>
        <v>0</v>
      </c>
      <c r="E44" s="59">
        <f t="shared" si="4"/>
        <v>0</v>
      </c>
      <c r="F44" s="38">
        <f t="shared" si="4"/>
        <v>0</v>
      </c>
      <c r="R44" s="11">
        <v>41</v>
      </c>
      <c r="S44" s="12"/>
      <c r="T44" s="12"/>
      <c r="U44" s="12"/>
      <c r="W44" s="11">
        <v>41</v>
      </c>
      <c r="X44" s="12"/>
      <c r="Y44" s="12"/>
      <c r="Z44" s="12"/>
      <c r="AB44" s="11">
        <v>41</v>
      </c>
      <c r="AC44" s="12"/>
      <c r="AD44" s="12"/>
      <c r="AE44" s="12"/>
      <c r="AG44" s="11">
        <v>41</v>
      </c>
      <c r="AH44" s="12"/>
      <c r="AI44" s="12"/>
      <c r="AJ44" s="12"/>
      <c r="AL44" s="11">
        <v>41</v>
      </c>
      <c r="AM44" s="12"/>
      <c r="AN44" s="12"/>
      <c r="AO44" s="12"/>
      <c r="AQ44" s="11">
        <v>41</v>
      </c>
      <c r="AR44" s="12"/>
      <c r="AS44" s="12"/>
      <c r="AT44" s="11">
        <v>41</v>
      </c>
      <c r="AU44" s="12"/>
      <c r="AW44" s="11">
        <v>41</v>
      </c>
      <c r="AX44" s="12"/>
      <c r="AY44" s="12"/>
      <c r="AZ44" s="12"/>
      <c r="BA44" s="12"/>
      <c r="BB44" s="12"/>
      <c r="BC44" s="12"/>
      <c r="BD44" s="12"/>
      <c r="BE44" s="12"/>
      <c r="BF44" s="24"/>
      <c r="BG44" s="29"/>
      <c r="BH44" s="12"/>
      <c r="BI44" s="12"/>
      <c r="BK44" s="11">
        <v>41</v>
      </c>
      <c r="BL44" s="12"/>
      <c r="BM44" s="12"/>
      <c r="BN44" s="12"/>
      <c r="BP44" s="11">
        <v>41</v>
      </c>
      <c r="BQ44" s="12"/>
      <c r="BR44" s="12"/>
      <c r="BS44" s="12"/>
      <c r="BU44" s="11">
        <v>41</v>
      </c>
      <c r="BV44" s="12"/>
      <c r="BW44" s="12"/>
      <c r="BX44" s="12"/>
    </row>
    <row r="45" spans="1:76">
      <c r="A45" s="21" t="s">
        <v>35</v>
      </c>
      <c r="B45" s="21">
        <v>10</v>
      </c>
      <c r="C45" s="5" t="s">
        <v>37</v>
      </c>
      <c r="D45" s="37">
        <f t="shared" si="5"/>
        <v>0</v>
      </c>
      <c r="E45" s="59">
        <f t="shared" si="4"/>
        <v>0</v>
      </c>
      <c r="F45" s="38">
        <f t="shared" si="4"/>
        <v>0</v>
      </c>
      <c r="R45" s="11">
        <v>42</v>
      </c>
      <c r="S45" s="12"/>
      <c r="T45" s="12"/>
      <c r="U45" s="12"/>
      <c r="W45" s="11">
        <v>42</v>
      </c>
      <c r="X45" s="12"/>
      <c r="Y45" s="12"/>
      <c r="Z45" s="12"/>
      <c r="AB45" s="11">
        <v>42</v>
      </c>
      <c r="AC45" s="12"/>
      <c r="AD45" s="12"/>
      <c r="AE45" s="12"/>
      <c r="AG45" s="11">
        <v>42</v>
      </c>
      <c r="AH45" s="12"/>
      <c r="AI45" s="12"/>
      <c r="AJ45" s="12"/>
      <c r="AL45" s="11">
        <v>42</v>
      </c>
      <c r="AM45" s="12"/>
      <c r="AN45" s="12"/>
      <c r="AO45" s="12"/>
      <c r="AQ45" s="11">
        <v>42</v>
      </c>
      <c r="AR45" s="14"/>
      <c r="AS45" s="14"/>
      <c r="AT45" s="11">
        <v>42</v>
      </c>
      <c r="AU45" s="12"/>
      <c r="AW45" s="11">
        <v>42</v>
      </c>
      <c r="AX45" s="12"/>
      <c r="AY45" s="12"/>
      <c r="AZ45" s="12"/>
      <c r="BA45" s="12"/>
      <c r="BB45" s="12"/>
      <c r="BC45" s="12"/>
      <c r="BD45" s="12"/>
      <c r="BE45" s="12"/>
      <c r="BF45" s="24"/>
      <c r="BG45" s="29"/>
      <c r="BH45" s="12"/>
      <c r="BI45" s="12"/>
      <c r="BK45" s="11">
        <v>42</v>
      </c>
      <c r="BL45" s="12"/>
      <c r="BM45" s="12"/>
      <c r="BN45" s="12"/>
      <c r="BP45" s="11">
        <v>42</v>
      </c>
      <c r="BQ45" s="12"/>
      <c r="BR45" s="12"/>
      <c r="BS45" s="12"/>
      <c r="BU45" s="11">
        <v>42</v>
      </c>
      <c r="BV45" s="12"/>
      <c r="BW45" s="12"/>
      <c r="BX45" s="12"/>
    </row>
    <row r="46" spans="1:76">
      <c r="A46" s="22" t="s">
        <v>39</v>
      </c>
      <c r="B46" s="22">
        <v>11</v>
      </c>
      <c r="C46" s="17" t="s">
        <v>38</v>
      </c>
      <c r="D46" s="60">
        <f t="shared" si="5"/>
        <v>0</v>
      </c>
      <c r="E46" s="39">
        <f t="shared" si="4"/>
        <v>0</v>
      </c>
      <c r="F46" s="40">
        <f t="shared" si="4"/>
        <v>0</v>
      </c>
      <c r="R46" s="11">
        <v>43</v>
      </c>
      <c r="S46" s="12"/>
      <c r="T46" s="12"/>
      <c r="U46" s="12"/>
      <c r="W46" s="11">
        <v>43</v>
      </c>
      <c r="X46" s="12"/>
      <c r="Y46" s="12"/>
      <c r="Z46" s="12"/>
      <c r="AB46" s="11">
        <v>43</v>
      </c>
      <c r="AC46" s="12"/>
      <c r="AD46" s="12"/>
      <c r="AE46" s="12"/>
      <c r="AG46" s="11">
        <v>43</v>
      </c>
      <c r="AH46" s="12"/>
      <c r="AI46" s="12"/>
      <c r="AJ46" s="12"/>
      <c r="AL46" s="11">
        <v>43</v>
      </c>
      <c r="AM46" s="12"/>
      <c r="AN46" s="12"/>
      <c r="AO46" s="12"/>
      <c r="AQ46" s="11">
        <v>43</v>
      </c>
      <c r="AR46" s="12"/>
      <c r="AS46" s="12"/>
      <c r="AT46" s="11">
        <v>43</v>
      </c>
      <c r="AU46" s="12"/>
      <c r="AW46" s="11">
        <v>43</v>
      </c>
      <c r="AX46" s="12"/>
      <c r="AY46" s="12"/>
      <c r="AZ46" s="12"/>
      <c r="BA46" s="12"/>
      <c r="BB46" s="12"/>
      <c r="BC46" s="12"/>
      <c r="BD46" s="12"/>
      <c r="BE46" s="12"/>
      <c r="BF46" s="24"/>
      <c r="BG46" s="29"/>
      <c r="BH46" s="12"/>
      <c r="BI46" s="12"/>
      <c r="BK46" s="11">
        <v>43</v>
      </c>
      <c r="BL46" s="12"/>
      <c r="BM46" s="12"/>
      <c r="BN46" s="12"/>
      <c r="BP46" s="11">
        <v>43</v>
      </c>
      <c r="BQ46" s="12"/>
      <c r="BR46" s="12"/>
      <c r="BS46" s="12"/>
      <c r="BU46" s="11">
        <v>43</v>
      </c>
      <c r="BV46" s="12"/>
      <c r="BW46" s="12"/>
      <c r="BX46" s="12"/>
    </row>
    <row r="47" spans="1:76">
      <c r="D47" s="115">
        <f>SUM(D35:D46)</f>
        <v>36</v>
      </c>
      <c r="E47" s="115">
        <f>SUM(E35:E46)</f>
        <v>36</v>
      </c>
      <c r="F47" s="115">
        <f>SUM(F35:F46)</f>
        <v>6</v>
      </c>
      <c r="R47" s="11">
        <v>44</v>
      </c>
      <c r="S47" s="12"/>
      <c r="T47" s="12"/>
      <c r="U47" s="12"/>
      <c r="W47" s="11">
        <v>44</v>
      </c>
      <c r="X47" s="12"/>
      <c r="Y47" s="12"/>
      <c r="Z47" s="12"/>
      <c r="AB47" s="11">
        <v>44</v>
      </c>
      <c r="AC47" s="12"/>
      <c r="AD47" s="12"/>
      <c r="AE47" s="12"/>
      <c r="AG47" s="11">
        <v>44</v>
      </c>
      <c r="AH47" s="12"/>
      <c r="AI47" s="12"/>
      <c r="AJ47" s="12"/>
      <c r="AL47" s="11">
        <v>44</v>
      </c>
      <c r="AM47" s="12"/>
      <c r="AN47" s="12"/>
      <c r="AO47" s="12"/>
      <c r="AQ47" s="11">
        <v>44</v>
      </c>
      <c r="AR47" s="14"/>
      <c r="AS47" s="14"/>
      <c r="AT47" s="11">
        <v>44</v>
      </c>
      <c r="AU47" s="12"/>
      <c r="AW47" s="11">
        <v>44</v>
      </c>
      <c r="AX47" s="12"/>
      <c r="AY47" s="12"/>
      <c r="AZ47" s="12"/>
      <c r="BA47" s="12"/>
      <c r="BB47" s="12"/>
      <c r="BC47" s="12"/>
      <c r="BD47" s="12"/>
      <c r="BE47" s="12"/>
      <c r="BF47" s="24"/>
      <c r="BG47" s="29"/>
      <c r="BH47" s="12"/>
      <c r="BI47" s="12"/>
      <c r="BK47" s="11">
        <v>44</v>
      </c>
      <c r="BL47" s="12"/>
      <c r="BM47" s="12"/>
      <c r="BN47" s="12"/>
      <c r="BP47" s="11">
        <v>44</v>
      </c>
      <c r="BQ47" s="12"/>
      <c r="BR47" s="12"/>
      <c r="BS47" s="12"/>
      <c r="BU47" s="11">
        <v>44</v>
      </c>
      <c r="BV47" s="12"/>
      <c r="BW47" s="12"/>
      <c r="BX47" s="12"/>
    </row>
    <row r="48" spans="1:76">
      <c r="R48" s="11">
        <v>45</v>
      </c>
      <c r="S48" s="12"/>
      <c r="T48" s="12"/>
      <c r="U48" s="12"/>
      <c r="W48" s="11">
        <v>45</v>
      </c>
      <c r="X48" s="12"/>
      <c r="Y48" s="12"/>
      <c r="Z48" s="12"/>
      <c r="AB48" s="11">
        <v>45</v>
      </c>
      <c r="AC48" s="12"/>
      <c r="AD48" s="12"/>
      <c r="AE48" s="12"/>
      <c r="AG48" s="11">
        <v>45</v>
      </c>
      <c r="AH48" s="12"/>
      <c r="AI48" s="12"/>
      <c r="AJ48" s="12"/>
      <c r="AL48" s="11">
        <v>45</v>
      </c>
      <c r="AM48" s="12"/>
      <c r="AN48" s="12"/>
      <c r="AO48" s="12"/>
      <c r="AQ48" s="11">
        <v>45</v>
      </c>
      <c r="AR48" s="12"/>
      <c r="AS48" s="12"/>
      <c r="AT48" s="11">
        <v>45</v>
      </c>
      <c r="AU48" s="12"/>
      <c r="AW48" s="11">
        <v>45</v>
      </c>
      <c r="AX48" s="12"/>
      <c r="AY48" s="12"/>
      <c r="AZ48" s="12"/>
      <c r="BA48" s="12"/>
      <c r="BB48" s="12"/>
      <c r="BC48" s="12"/>
      <c r="BD48" s="12"/>
      <c r="BE48" s="12"/>
      <c r="BF48" s="24"/>
      <c r="BG48" s="29"/>
      <c r="BH48" s="12"/>
      <c r="BI48" s="12"/>
      <c r="BK48" s="11">
        <v>45</v>
      </c>
      <c r="BL48" s="12"/>
      <c r="BM48" s="12"/>
      <c r="BN48" s="12"/>
      <c r="BP48" s="11">
        <v>45</v>
      </c>
      <c r="BQ48" s="12"/>
      <c r="BR48" s="12"/>
      <c r="BS48" s="12"/>
      <c r="BU48" s="11">
        <v>45</v>
      </c>
      <c r="BV48" s="12"/>
      <c r="BW48" s="12"/>
      <c r="BX48" s="12"/>
    </row>
    <row r="49" spans="1:76" ht="16.8" thickBot="1">
      <c r="A49" s="31" t="s">
        <v>47</v>
      </c>
      <c r="R49" s="11">
        <v>46</v>
      </c>
      <c r="S49" s="12"/>
      <c r="T49" s="12"/>
      <c r="U49" s="12"/>
      <c r="W49" s="11">
        <v>46</v>
      </c>
      <c r="X49" s="12"/>
      <c r="Y49" s="12"/>
      <c r="Z49" s="12"/>
      <c r="AB49" s="11">
        <v>46</v>
      </c>
      <c r="AC49" s="12"/>
      <c r="AD49" s="12"/>
      <c r="AE49" s="12"/>
      <c r="AG49" s="11">
        <v>46</v>
      </c>
      <c r="AH49" s="12"/>
      <c r="AI49" s="12"/>
      <c r="AJ49" s="12"/>
      <c r="AL49" s="11">
        <v>46</v>
      </c>
      <c r="AM49" s="12"/>
      <c r="AN49" s="12"/>
      <c r="AO49" s="12"/>
      <c r="AQ49" s="11">
        <v>46</v>
      </c>
      <c r="AR49" s="14"/>
      <c r="AS49" s="14"/>
      <c r="AT49" s="11">
        <v>46</v>
      </c>
      <c r="AU49" s="12"/>
      <c r="AW49" s="11">
        <v>46</v>
      </c>
      <c r="AX49" s="12"/>
      <c r="AY49" s="12"/>
      <c r="AZ49" s="12"/>
      <c r="BA49" s="12"/>
      <c r="BB49" s="12"/>
      <c r="BC49" s="12"/>
      <c r="BD49" s="12"/>
      <c r="BE49" s="12"/>
      <c r="BF49" s="24"/>
      <c r="BG49" s="29"/>
      <c r="BH49" s="12"/>
      <c r="BI49" s="12"/>
      <c r="BK49" s="11">
        <v>46</v>
      </c>
      <c r="BL49" s="12"/>
      <c r="BM49" s="12"/>
      <c r="BN49" s="12"/>
      <c r="BP49" s="11">
        <v>46</v>
      </c>
      <c r="BQ49" s="12"/>
      <c r="BR49" s="12"/>
      <c r="BS49" s="12"/>
      <c r="BU49" s="11">
        <v>46</v>
      </c>
      <c r="BV49" s="12"/>
      <c r="BW49" s="12"/>
      <c r="BX49" s="12"/>
    </row>
    <row r="50" spans="1:76">
      <c r="A50" s="30" t="s">
        <v>42</v>
      </c>
      <c r="B50" s="1" t="s">
        <v>10</v>
      </c>
      <c r="C50" s="42" t="s">
        <v>11</v>
      </c>
      <c r="D50" s="67" t="s">
        <v>56</v>
      </c>
      <c r="E50" s="52" t="s">
        <v>48</v>
      </c>
      <c r="F50" s="43" t="s">
        <v>49</v>
      </c>
      <c r="G50" s="44" t="s">
        <v>50</v>
      </c>
      <c r="H50" s="44" t="s">
        <v>51</v>
      </c>
      <c r="I50" s="44" t="s">
        <v>52</v>
      </c>
      <c r="J50" s="44" t="s">
        <v>53</v>
      </c>
      <c r="K50" s="44" t="s">
        <v>54</v>
      </c>
      <c r="L50" s="44" t="s">
        <v>55</v>
      </c>
      <c r="M50" s="45" t="s">
        <v>74</v>
      </c>
      <c r="N50" s="35" t="s">
        <v>75</v>
      </c>
      <c r="O50" s="36" t="s">
        <v>76</v>
      </c>
      <c r="R50" s="11">
        <v>47</v>
      </c>
      <c r="S50" s="12"/>
      <c r="T50" s="12"/>
      <c r="U50" s="12"/>
      <c r="W50" s="11">
        <v>47</v>
      </c>
      <c r="X50" s="12"/>
      <c r="Y50" s="12"/>
      <c r="Z50" s="12"/>
      <c r="AB50" s="11">
        <v>47</v>
      </c>
      <c r="AC50" s="12"/>
      <c r="AD50" s="12"/>
      <c r="AE50" s="12"/>
      <c r="AG50" s="11">
        <v>47</v>
      </c>
      <c r="AH50" s="12"/>
      <c r="AI50" s="12"/>
      <c r="AJ50" s="12"/>
      <c r="AL50" s="11">
        <v>47</v>
      </c>
      <c r="AM50" s="12"/>
      <c r="AN50" s="12"/>
      <c r="AO50" s="12"/>
      <c r="AQ50" s="11">
        <v>47</v>
      </c>
      <c r="AR50" s="12"/>
      <c r="AS50" s="12"/>
      <c r="AT50" s="11">
        <v>47</v>
      </c>
      <c r="AU50" s="12"/>
      <c r="AW50" s="11">
        <v>47</v>
      </c>
      <c r="AX50" s="12"/>
      <c r="AY50" s="12"/>
      <c r="AZ50" s="12"/>
      <c r="BA50" s="12"/>
      <c r="BB50" s="12"/>
      <c r="BC50" s="12"/>
      <c r="BD50" s="12"/>
      <c r="BE50" s="12"/>
      <c r="BF50" s="24"/>
      <c r="BG50" s="29"/>
      <c r="BH50" s="12"/>
      <c r="BI50" s="12"/>
      <c r="BK50" s="11">
        <v>47</v>
      </c>
      <c r="BL50" s="12"/>
      <c r="BM50" s="12"/>
      <c r="BN50" s="12"/>
      <c r="BP50" s="11">
        <v>47</v>
      </c>
      <c r="BQ50" s="12"/>
      <c r="BR50" s="12"/>
      <c r="BS50" s="12"/>
      <c r="BU50" s="11">
        <v>47</v>
      </c>
      <c r="BV50" s="12"/>
      <c r="BW50" s="12"/>
      <c r="BX50" s="12"/>
    </row>
    <row r="51" spans="1:76">
      <c r="A51" s="1" t="s">
        <v>19</v>
      </c>
      <c r="B51" s="1">
        <v>0</v>
      </c>
      <c r="C51" s="3" t="s">
        <v>25</v>
      </c>
      <c r="D51" s="53">
        <f>SUMIF($AR$3:$AR$42,$A51,AX$3:AX$42)</f>
        <v>15</v>
      </c>
      <c r="E51" s="129">
        <f t="shared" ref="E51:O62" si="6">SUMIF($AR$3:$AR$42,$A51,AY$3:AY$42)</f>
        <v>15</v>
      </c>
      <c r="F51" s="4">
        <f t="shared" si="6"/>
        <v>15</v>
      </c>
      <c r="G51" s="3">
        <f t="shared" si="6"/>
        <v>15</v>
      </c>
      <c r="H51" s="129">
        <f t="shared" si="6"/>
        <v>15</v>
      </c>
      <c r="I51" s="129">
        <f t="shared" si="6"/>
        <v>15</v>
      </c>
      <c r="J51" s="129">
        <f t="shared" si="6"/>
        <v>15</v>
      </c>
      <c r="K51" s="129">
        <f t="shared" si="6"/>
        <v>15</v>
      </c>
      <c r="L51" s="129">
        <f t="shared" si="6"/>
        <v>15</v>
      </c>
      <c r="M51" s="46">
        <f t="shared" si="6"/>
        <v>15</v>
      </c>
      <c r="N51" s="129">
        <f t="shared" si="6"/>
        <v>15</v>
      </c>
      <c r="O51" s="4">
        <f t="shared" si="6"/>
        <v>15</v>
      </c>
      <c r="R51" s="11">
        <v>48</v>
      </c>
      <c r="S51" s="12"/>
      <c r="T51" s="12"/>
      <c r="U51" s="12"/>
      <c r="W51" s="11">
        <v>48</v>
      </c>
      <c r="X51" s="12"/>
      <c r="Y51" s="12"/>
      <c r="Z51" s="12"/>
      <c r="AB51" s="11">
        <v>48</v>
      </c>
      <c r="AC51" s="12"/>
      <c r="AD51" s="12"/>
      <c r="AE51" s="12"/>
      <c r="AG51" s="11">
        <v>48</v>
      </c>
      <c r="AH51" s="12"/>
      <c r="AI51" s="12"/>
      <c r="AJ51" s="12"/>
      <c r="AL51" s="11">
        <v>48</v>
      </c>
      <c r="AM51" s="12"/>
      <c r="AN51" s="12"/>
      <c r="AO51" s="12"/>
      <c r="AQ51" s="11">
        <v>48</v>
      </c>
      <c r="AR51" s="12"/>
      <c r="AS51" s="12"/>
      <c r="AT51" s="11">
        <v>48</v>
      </c>
      <c r="AU51" s="12"/>
      <c r="AW51" s="11">
        <v>48</v>
      </c>
      <c r="AX51" s="12"/>
      <c r="AY51" s="12"/>
      <c r="AZ51" s="12"/>
      <c r="BA51" s="12"/>
      <c r="BB51" s="12"/>
      <c r="BC51" s="12"/>
      <c r="BD51" s="12"/>
      <c r="BE51" s="12"/>
      <c r="BF51" s="24"/>
      <c r="BG51" s="29"/>
      <c r="BH51" s="12"/>
      <c r="BI51" s="12"/>
      <c r="BK51" s="11">
        <v>48</v>
      </c>
      <c r="BL51" s="12"/>
      <c r="BM51" s="12"/>
      <c r="BN51" s="12"/>
      <c r="BP51" s="11">
        <v>48</v>
      </c>
      <c r="BQ51" s="12"/>
      <c r="BR51" s="12"/>
      <c r="BS51" s="12"/>
      <c r="BU51" s="11">
        <v>48</v>
      </c>
      <c r="BV51" s="12"/>
      <c r="BW51" s="12"/>
      <c r="BX51" s="12"/>
    </row>
    <row r="52" spans="1:76">
      <c r="A52" s="20">
        <v>0</v>
      </c>
      <c r="B52" s="20">
        <v>1</v>
      </c>
      <c r="C52" s="5">
        <v>0</v>
      </c>
      <c r="D52" s="54">
        <f t="shared" ref="D52:D62" si="7">SUMIF($AR$3:$AR$42,$A52,AX$3:AX$42)</f>
        <v>0</v>
      </c>
      <c r="E52" s="59">
        <f t="shared" si="6"/>
        <v>0</v>
      </c>
      <c r="F52" s="38">
        <f t="shared" si="6"/>
        <v>0</v>
      </c>
      <c r="G52" s="37">
        <f t="shared" si="6"/>
        <v>0</v>
      </c>
      <c r="H52" s="59">
        <f t="shared" si="6"/>
        <v>0</v>
      </c>
      <c r="I52" s="59">
        <f t="shared" si="6"/>
        <v>0</v>
      </c>
      <c r="J52" s="59">
        <f t="shared" si="6"/>
        <v>0</v>
      </c>
      <c r="K52" s="59">
        <f t="shared" si="6"/>
        <v>0</v>
      </c>
      <c r="L52" s="59">
        <f t="shared" si="6"/>
        <v>0</v>
      </c>
      <c r="M52" s="47">
        <f t="shared" si="6"/>
        <v>0</v>
      </c>
      <c r="N52" s="59">
        <f t="shared" si="6"/>
        <v>0</v>
      </c>
      <c r="O52" s="38">
        <f t="shared" si="6"/>
        <v>0</v>
      </c>
      <c r="R52" s="11">
        <v>49</v>
      </c>
      <c r="S52" s="12"/>
      <c r="T52" s="12"/>
      <c r="U52" s="12"/>
      <c r="W52" s="11">
        <v>49</v>
      </c>
      <c r="X52" s="12"/>
      <c r="Y52" s="12"/>
      <c r="Z52" s="12"/>
      <c r="AB52" s="11">
        <v>49</v>
      </c>
      <c r="AC52" s="12"/>
      <c r="AD52" s="12"/>
      <c r="AE52" s="12"/>
      <c r="AG52" s="11">
        <v>49</v>
      </c>
      <c r="AH52" s="12"/>
      <c r="AI52" s="12"/>
      <c r="AJ52" s="12"/>
      <c r="AL52" s="11">
        <v>49</v>
      </c>
      <c r="AM52" s="12"/>
      <c r="AN52" s="12"/>
      <c r="AO52" s="12"/>
      <c r="AQ52" s="11">
        <v>49</v>
      </c>
      <c r="AR52" s="12"/>
      <c r="AS52" s="12"/>
      <c r="AT52" s="11">
        <v>49</v>
      </c>
      <c r="AU52" s="12"/>
      <c r="AW52" s="11">
        <v>49</v>
      </c>
      <c r="AX52" s="12"/>
      <c r="AY52" s="12"/>
      <c r="AZ52" s="12"/>
      <c r="BA52" s="12"/>
      <c r="BB52" s="12"/>
      <c r="BC52" s="12"/>
      <c r="BD52" s="12"/>
      <c r="BE52" s="12"/>
      <c r="BF52" s="24"/>
      <c r="BG52" s="29"/>
      <c r="BH52" s="12"/>
      <c r="BI52" s="12"/>
      <c r="BK52" s="11">
        <v>49</v>
      </c>
      <c r="BL52" s="12"/>
      <c r="BM52" s="12"/>
      <c r="BN52" s="12"/>
      <c r="BP52" s="11">
        <v>49</v>
      </c>
      <c r="BQ52" s="12"/>
      <c r="BR52" s="12"/>
      <c r="BS52" s="12"/>
      <c r="BU52" s="11">
        <v>49</v>
      </c>
      <c r="BV52" s="12"/>
      <c r="BW52" s="12"/>
      <c r="BX52" s="12"/>
    </row>
    <row r="53" spans="1:76">
      <c r="A53" s="20">
        <v>1</v>
      </c>
      <c r="B53" s="20">
        <v>2</v>
      </c>
      <c r="C53" s="5">
        <v>1</v>
      </c>
      <c r="D53" s="54">
        <f t="shared" si="7"/>
        <v>0</v>
      </c>
      <c r="E53" s="59">
        <f t="shared" si="6"/>
        <v>0</v>
      </c>
      <c r="F53" s="38">
        <f t="shared" si="6"/>
        <v>0</v>
      </c>
      <c r="G53" s="37">
        <f t="shared" si="6"/>
        <v>0</v>
      </c>
      <c r="H53" s="59">
        <f t="shared" si="6"/>
        <v>0</v>
      </c>
      <c r="I53" s="59">
        <f t="shared" si="6"/>
        <v>0</v>
      </c>
      <c r="J53" s="59">
        <f t="shared" si="6"/>
        <v>0</v>
      </c>
      <c r="K53" s="59">
        <f t="shared" si="6"/>
        <v>0</v>
      </c>
      <c r="L53" s="59">
        <f t="shared" si="6"/>
        <v>0</v>
      </c>
      <c r="M53" s="47">
        <f t="shared" si="6"/>
        <v>0</v>
      </c>
      <c r="N53" s="59">
        <f t="shared" si="6"/>
        <v>0</v>
      </c>
      <c r="O53" s="38">
        <f t="shared" si="6"/>
        <v>0</v>
      </c>
      <c r="R53" s="11">
        <v>50</v>
      </c>
      <c r="S53" s="12"/>
      <c r="T53" s="12"/>
      <c r="U53" s="12"/>
      <c r="W53" s="11">
        <v>50</v>
      </c>
      <c r="X53" s="12"/>
      <c r="Y53" s="12"/>
      <c r="Z53" s="12"/>
      <c r="AB53" s="11">
        <v>50</v>
      </c>
      <c r="AC53" s="12"/>
      <c r="AD53" s="12"/>
      <c r="AE53" s="12"/>
      <c r="AG53" s="11">
        <v>50</v>
      </c>
      <c r="AH53" s="12"/>
      <c r="AI53" s="12"/>
      <c r="AJ53" s="12"/>
      <c r="AL53" s="11">
        <v>50</v>
      </c>
      <c r="AM53" s="12"/>
      <c r="AN53" s="12"/>
      <c r="AO53" s="12"/>
      <c r="AQ53" s="11">
        <v>50</v>
      </c>
      <c r="AR53" s="12"/>
      <c r="AS53" s="12"/>
      <c r="AT53" s="11">
        <v>50</v>
      </c>
      <c r="AU53" s="12"/>
      <c r="AW53" s="11">
        <v>50</v>
      </c>
      <c r="AX53" s="12"/>
      <c r="AY53" s="12"/>
      <c r="AZ53" s="12"/>
      <c r="BA53" s="12"/>
      <c r="BB53" s="12"/>
      <c r="BC53" s="12"/>
      <c r="BD53" s="12"/>
      <c r="BE53" s="12"/>
      <c r="BF53" s="24"/>
      <c r="BG53" s="29"/>
      <c r="BH53" s="12"/>
      <c r="BI53" s="12"/>
      <c r="BK53" s="11">
        <v>50</v>
      </c>
      <c r="BL53" s="12"/>
      <c r="BM53" s="12"/>
      <c r="BN53" s="12"/>
      <c r="BP53" s="11">
        <v>50</v>
      </c>
      <c r="BQ53" s="12"/>
      <c r="BR53" s="12"/>
      <c r="BS53" s="12"/>
      <c r="BU53" s="11">
        <v>50</v>
      </c>
      <c r="BV53" s="12"/>
      <c r="BW53" s="12"/>
      <c r="BX53" s="12"/>
    </row>
    <row r="54" spans="1:76">
      <c r="A54" s="21">
        <v>5</v>
      </c>
      <c r="B54" s="21">
        <v>3</v>
      </c>
      <c r="C54" s="23">
        <v>5</v>
      </c>
      <c r="D54" s="54">
        <f t="shared" si="7"/>
        <v>0</v>
      </c>
      <c r="E54" s="59">
        <f t="shared" si="6"/>
        <v>0</v>
      </c>
      <c r="F54" s="38">
        <f t="shared" si="6"/>
        <v>0</v>
      </c>
      <c r="G54" s="37">
        <f t="shared" si="6"/>
        <v>0</v>
      </c>
      <c r="H54" s="59">
        <f t="shared" si="6"/>
        <v>0</v>
      </c>
      <c r="I54" s="59">
        <f t="shared" si="6"/>
        <v>0</v>
      </c>
      <c r="J54" s="59">
        <f t="shared" si="6"/>
        <v>0</v>
      </c>
      <c r="K54" s="59">
        <f t="shared" si="6"/>
        <v>0</v>
      </c>
      <c r="L54" s="59">
        <f t="shared" si="6"/>
        <v>0</v>
      </c>
      <c r="M54" s="47">
        <f t="shared" si="6"/>
        <v>0</v>
      </c>
      <c r="N54" s="59">
        <f t="shared" si="6"/>
        <v>0</v>
      </c>
      <c r="O54" s="38">
        <f t="shared" si="6"/>
        <v>0</v>
      </c>
      <c r="R54" s="11">
        <v>51</v>
      </c>
      <c r="S54" s="12"/>
      <c r="T54" s="12"/>
      <c r="U54" s="12"/>
      <c r="W54" s="11">
        <v>51</v>
      </c>
      <c r="X54" s="12"/>
      <c r="Y54" s="12"/>
      <c r="Z54" s="12"/>
      <c r="AB54" s="11">
        <v>51</v>
      </c>
      <c r="AC54" s="12"/>
      <c r="AD54" s="12"/>
      <c r="AE54" s="12"/>
      <c r="AG54" s="11">
        <v>51</v>
      </c>
      <c r="AH54" s="12"/>
      <c r="AI54" s="12"/>
      <c r="AJ54" s="12"/>
      <c r="AL54" s="11">
        <v>51</v>
      </c>
      <c r="AM54" s="12"/>
      <c r="AN54" s="12"/>
      <c r="AO54" s="12"/>
      <c r="AQ54" s="11">
        <v>51</v>
      </c>
      <c r="AR54" s="12"/>
      <c r="AS54" s="12"/>
      <c r="AT54" s="11">
        <v>51</v>
      </c>
      <c r="AU54" s="12"/>
      <c r="AW54" s="11">
        <v>51</v>
      </c>
      <c r="AX54" s="12"/>
      <c r="AY54" s="12"/>
      <c r="AZ54" s="12"/>
      <c r="BA54" s="12"/>
      <c r="BB54" s="12"/>
      <c r="BC54" s="12"/>
      <c r="BD54" s="12"/>
      <c r="BE54" s="12"/>
      <c r="BF54" s="24"/>
      <c r="BG54" s="29"/>
      <c r="BH54" s="12"/>
      <c r="BI54" s="12"/>
      <c r="BK54" s="11">
        <v>51</v>
      </c>
      <c r="BL54" s="12"/>
      <c r="BM54" s="12"/>
      <c r="BN54" s="12"/>
      <c r="BP54" s="11">
        <v>51</v>
      </c>
      <c r="BQ54" s="12"/>
      <c r="BR54" s="12"/>
      <c r="BS54" s="12"/>
      <c r="BU54" s="11">
        <v>51</v>
      </c>
      <c r="BV54" s="12"/>
      <c r="BW54" s="12"/>
      <c r="BX54" s="12"/>
    </row>
    <row r="55" spans="1:76">
      <c r="A55" s="21">
        <v>10</v>
      </c>
      <c r="B55" s="21">
        <v>4</v>
      </c>
      <c r="C55" s="23">
        <v>10</v>
      </c>
      <c r="D55" s="54">
        <f t="shared" si="7"/>
        <v>0</v>
      </c>
      <c r="E55" s="59">
        <f t="shared" si="6"/>
        <v>0</v>
      </c>
      <c r="F55" s="38">
        <f t="shared" si="6"/>
        <v>0</v>
      </c>
      <c r="G55" s="37">
        <f t="shared" si="6"/>
        <v>0</v>
      </c>
      <c r="H55" s="59">
        <f t="shared" si="6"/>
        <v>0</v>
      </c>
      <c r="I55" s="59">
        <f t="shared" si="6"/>
        <v>0</v>
      </c>
      <c r="J55" s="59">
        <f t="shared" si="6"/>
        <v>0</v>
      </c>
      <c r="K55" s="59">
        <f t="shared" si="6"/>
        <v>0</v>
      </c>
      <c r="L55" s="59">
        <f t="shared" si="6"/>
        <v>0</v>
      </c>
      <c r="M55" s="47">
        <f t="shared" si="6"/>
        <v>0</v>
      </c>
      <c r="N55" s="59">
        <f t="shared" si="6"/>
        <v>0</v>
      </c>
      <c r="O55" s="38">
        <f t="shared" si="6"/>
        <v>0</v>
      </c>
      <c r="R55" s="11">
        <v>52</v>
      </c>
      <c r="S55" s="12"/>
      <c r="T55" s="12"/>
      <c r="U55" s="12"/>
      <c r="W55" s="11">
        <v>52</v>
      </c>
      <c r="X55" s="12"/>
      <c r="Y55" s="12"/>
      <c r="Z55" s="12"/>
      <c r="AB55" s="11">
        <v>52</v>
      </c>
      <c r="AC55" s="12"/>
      <c r="AD55" s="12"/>
      <c r="AE55" s="12"/>
      <c r="AG55" s="11">
        <v>52</v>
      </c>
      <c r="AH55" s="12"/>
      <c r="AI55" s="12"/>
      <c r="AJ55" s="12"/>
      <c r="AL55" s="11">
        <v>52</v>
      </c>
      <c r="AM55" s="12"/>
      <c r="AN55" s="12"/>
      <c r="AO55" s="12"/>
      <c r="AQ55" s="11">
        <v>52</v>
      </c>
      <c r="AR55" s="12"/>
      <c r="AS55" s="12"/>
      <c r="AT55" s="11">
        <v>52</v>
      </c>
      <c r="AU55" s="12"/>
      <c r="AW55" s="11">
        <v>52</v>
      </c>
      <c r="AX55" s="12"/>
      <c r="AY55" s="12"/>
      <c r="AZ55" s="12"/>
      <c r="BA55" s="12"/>
      <c r="BB55" s="12"/>
      <c r="BC55" s="12"/>
      <c r="BD55" s="12"/>
      <c r="BE55" s="12"/>
      <c r="BF55" s="24"/>
      <c r="BG55" s="29"/>
      <c r="BH55" s="12"/>
      <c r="BI55" s="12"/>
      <c r="BK55" s="11">
        <v>52</v>
      </c>
      <c r="BL55" s="12"/>
      <c r="BM55" s="12"/>
      <c r="BN55" s="12"/>
      <c r="BP55" s="11">
        <v>52</v>
      </c>
      <c r="BQ55" s="12"/>
      <c r="BR55" s="12"/>
      <c r="BS55" s="12"/>
      <c r="BU55" s="11">
        <v>52</v>
      </c>
      <c r="BV55" s="12"/>
      <c r="BW55" s="12"/>
      <c r="BX55" s="12"/>
    </row>
    <row r="56" spans="1:76">
      <c r="A56" s="20" t="s">
        <v>20</v>
      </c>
      <c r="B56" s="20">
        <v>5</v>
      </c>
      <c r="C56" s="23" t="s">
        <v>29</v>
      </c>
      <c r="D56" s="54">
        <f t="shared" si="7"/>
        <v>0</v>
      </c>
      <c r="E56" s="59">
        <f t="shared" si="6"/>
        <v>0</v>
      </c>
      <c r="F56" s="38">
        <f t="shared" si="6"/>
        <v>0</v>
      </c>
      <c r="G56" s="37">
        <f t="shared" si="6"/>
        <v>0</v>
      </c>
      <c r="H56" s="59">
        <f t="shared" si="6"/>
        <v>0</v>
      </c>
      <c r="I56" s="59">
        <f t="shared" si="6"/>
        <v>0</v>
      </c>
      <c r="J56" s="59">
        <f t="shared" si="6"/>
        <v>0</v>
      </c>
      <c r="K56" s="59">
        <f t="shared" si="6"/>
        <v>0</v>
      </c>
      <c r="L56" s="59">
        <f t="shared" si="6"/>
        <v>0</v>
      </c>
      <c r="M56" s="47">
        <f t="shared" si="6"/>
        <v>0</v>
      </c>
      <c r="N56" s="59">
        <f t="shared" si="6"/>
        <v>0</v>
      </c>
      <c r="O56" s="38">
        <f t="shared" si="6"/>
        <v>0</v>
      </c>
      <c r="R56" s="11">
        <v>53</v>
      </c>
      <c r="S56" s="12"/>
      <c r="T56" s="12"/>
      <c r="U56" s="12"/>
      <c r="W56" s="11">
        <v>53</v>
      </c>
      <c r="X56" s="12"/>
      <c r="Y56" s="12"/>
      <c r="Z56" s="12"/>
      <c r="AB56" s="11">
        <v>53</v>
      </c>
      <c r="AC56" s="12"/>
      <c r="AD56" s="12"/>
      <c r="AE56" s="12"/>
      <c r="AG56" s="11">
        <v>53</v>
      </c>
      <c r="AH56" s="12"/>
      <c r="AI56" s="12"/>
      <c r="AJ56" s="12"/>
      <c r="AL56" s="11">
        <v>53</v>
      </c>
      <c r="AM56" s="12"/>
      <c r="AN56" s="12"/>
      <c r="AO56" s="12"/>
      <c r="AQ56" s="11">
        <v>53</v>
      </c>
      <c r="AR56" s="12"/>
      <c r="AS56" s="12"/>
      <c r="AT56" s="11">
        <v>53</v>
      </c>
      <c r="AU56" s="12"/>
      <c r="AW56" s="11">
        <v>53</v>
      </c>
      <c r="AX56" s="12"/>
      <c r="AY56" s="12"/>
      <c r="AZ56" s="12"/>
      <c r="BA56" s="12"/>
      <c r="BB56" s="12"/>
      <c r="BC56" s="12"/>
      <c r="BD56" s="12"/>
      <c r="BE56" s="12"/>
      <c r="BF56" s="24"/>
      <c r="BG56" s="29"/>
      <c r="BH56" s="12"/>
      <c r="BI56" s="12"/>
      <c r="BK56" s="11">
        <v>53</v>
      </c>
      <c r="BL56" s="12"/>
      <c r="BM56" s="12"/>
      <c r="BN56" s="12"/>
      <c r="BP56" s="11">
        <v>53</v>
      </c>
      <c r="BQ56" s="12"/>
      <c r="BR56" s="12"/>
      <c r="BS56" s="12"/>
      <c r="BU56" s="11">
        <v>53</v>
      </c>
      <c r="BV56" s="12"/>
      <c r="BW56" s="12"/>
      <c r="BX56" s="12"/>
    </row>
    <row r="57" spans="1:76">
      <c r="A57" s="21" t="s">
        <v>21</v>
      </c>
      <c r="B57" s="21">
        <v>6</v>
      </c>
      <c r="C57" s="23" t="s">
        <v>26</v>
      </c>
      <c r="D57" s="55">
        <f t="shared" si="7"/>
        <v>5</v>
      </c>
      <c r="E57" s="128">
        <f t="shared" si="6"/>
        <v>5</v>
      </c>
      <c r="F57" s="7">
        <f t="shared" si="6"/>
        <v>5</v>
      </c>
      <c r="G57" s="6">
        <f t="shared" si="6"/>
        <v>5</v>
      </c>
      <c r="H57" s="128">
        <f t="shared" si="6"/>
        <v>5</v>
      </c>
      <c r="I57" s="128">
        <f t="shared" si="6"/>
        <v>5</v>
      </c>
      <c r="J57" s="128">
        <f t="shared" si="6"/>
        <v>5</v>
      </c>
      <c r="K57" s="128">
        <f t="shared" si="6"/>
        <v>5</v>
      </c>
      <c r="L57" s="128">
        <f t="shared" si="6"/>
        <v>5</v>
      </c>
      <c r="M57" s="48">
        <f t="shared" si="6"/>
        <v>5</v>
      </c>
      <c r="N57" s="128">
        <f t="shared" si="6"/>
        <v>5</v>
      </c>
      <c r="O57" s="7">
        <f t="shared" si="6"/>
        <v>5</v>
      </c>
      <c r="R57" s="11">
        <v>54</v>
      </c>
      <c r="S57" s="12"/>
      <c r="T57" s="12"/>
      <c r="U57" s="12"/>
      <c r="W57" s="11">
        <v>54</v>
      </c>
      <c r="X57" s="12"/>
      <c r="Y57" s="12"/>
      <c r="Z57" s="12"/>
      <c r="AB57" s="11">
        <v>54</v>
      </c>
      <c r="AC57" s="12"/>
      <c r="AD57" s="12"/>
      <c r="AE57" s="12"/>
      <c r="AG57" s="11">
        <v>54</v>
      </c>
      <c r="AH57" s="12"/>
      <c r="AI57" s="12"/>
      <c r="AJ57" s="12"/>
      <c r="AL57" s="11">
        <v>54</v>
      </c>
      <c r="AM57" s="12"/>
      <c r="AN57" s="12"/>
      <c r="AO57" s="12"/>
      <c r="AQ57" s="11">
        <v>54</v>
      </c>
      <c r="AR57" s="12"/>
      <c r="AS57" s="12"/>
      <c r="AT57" s="11">
        <v>54</v>
      </c>
      <c r="AU57" s="12"/>
      <c r="AW57" s="11">
        <v>54</v>
      </c>
      <c r="AX57" s="12"/>
      <c r="AY57" s="12"/>
      <c r="AZ57" s="12"/>
      <c r="BA57" s="12"/>
      <c r="BB57" s="12"/>
      <c r="BC57" s="12"/>
      <c r="BD57" s="12"/>
      <c r="BE57" s="12"/>
      <c r="BF57" s="24"/>
      <c r="BG57" s="29"/>
      <c r="BH57" s="12"/>
      <c r="BI57" s="12"/>
      <c r="BK57" s="11">
        <v>54</v>
      </c>
      <c r="BL57" s="12"/>
      <c r="BM57" s="12"/>
      <c r="BN57" s="12"/>
      <c r="BP57" s="11">
        <v>54</v>
      </c>
      <c r="BQ57" s="12"/>
      <c r="BR57" s="12"/>
      <c r="BS57" s="12"/>
      <c r="BU57" s="11">
        <v>54</v>
      </c>
      <c r="BV57" s="12"/>
      <c r="BW57" s="12"/>
      <c r="BX57" s="12"/>
    </row>
    <row r="58" spans="1:76">
      <c r="A58" s="20" t="s">
        <v>22</v>
      </c>
      <c r="B58" s="20">
        <v>7</v>
      </c>
      <c r="C58" s="5" t="s">
        <v>27</v>
      </c>
      <c r="D58" s="55">
        <f t="shared" si="7"/>
        <v>5</v>
      </c>
      <c r="E58" s="128">
        <f t="shared" si="6"/>
        <v>5</v>
      </c>
      <c r="F58" s="7">
        <f t="shared" si="6"/>
        <v>5</v>
      </c>
      <c r="G58" s="6">
        <f t="shared" si="6"/>
        <v>5</v>
      </c>
      <c r="H58" s="128">
        <f t="shared" si="6"/>
        <v>5</v>
      </c>
      <c r="I58" s="128">
        <f t="shared" si="6"/>
        <v>5</v>
      </c>
      <c r="J58" s="128">
        <f t="shared" si="6"/>
        <v>5</v>
      </c>
      <c r="K58" s="128">
        <f t="shared" si="6"/>
        <v>5</v>
      </c>
      <c r="L58" s="128">
        <f t="shared" si="6"/>
        <v>5</v>
      </c>
      <c r="M58" s="48">
        <f t="shared" si="6"/>
        <v>5</v>
      </c>
      <c r="N58" s="128">
        <f t="shared" si="6"/>
        <v>5</v>
      </c>
      <c r="O58" s="7">
        <f t="shared" si="6"/>
        <v>5</v>
      </c>
      <c r="R58" s="11">
        <v>55</v>
      </c>
      <c r="S58" s="12"/>
      <c r="T58" s="12"/>
      <c r="U58" s="12"/>
      <c r="W58" s="11">
        <v>55</v>
      </c>
      <c r="X58" s="12"/>
      <c r="Y58" s="12"/>
      <c r="Z58" s="12"/>
      <c r="AB58" s="11">
        <v>55</v>
      </c>
      <c r="AC58" s="12"/>
      <c r="AD58" s="12"/>
      <c r="AE58" s="12"/>
      <c r="AG58" s="11">
        <v>55</v>
      </c>
      <c r="AH58" s="12"/>
      <c r="AI58" s="12"/>
      <c r="AJ58" s="12"/>
      <c r="AL58" s="11">
        <v>55</v>
      </c>
      <c r="AM58" s="12"/>
      <c r="AN58" s="12"/>
      <c r="AO58" s="12"/>
      <c r="AQ58" s="11">
        <v>55</v>
      </c>
      <c r="AR58" s="12"/>
      <c r="AS58" s="12"/>
      <c r="AT58" s="11">
        <v>55</v>
      </c>
      <c r="AU58" s="12"/>
      <c r="AW58" s="11">
        <v>55</v>
      </c>
      <c r="AX58" s="12"/>
      <c r="AY58" s="12"/>
      <c r="AZ58" s="12"/>
      <c r="BA58" s="12"/>
      <c r="BB58" s="12"/>
      <c r="BC58" s="12"/>
      <c r="BD58" s="12"/>
      <c r="BE58" s="12"/>
      <c r="BF58" s="24"/>
      <c r="BG58" s="29"/>
      <c r="BH58" s="12"/>
      <c r="BI58" s="12"/>
      <c r="BK58" s="11">
        <v>55</v>
      </c>
      <c r="BL58" s="12"/>
      <c r="BM58" s="12"/>
      <c r="BN58" s="12"/>
      <c r="BP58" s="11">
        <v>55</v>
      </c>
      <c r="BQ58" s="12"/>
      <c r="BR58" s="12"/>
      <c r="BS58" s="12"/>
      <c r="BU58" s="11">
        <v>55</v>
      </c>
      <c r="BV58" s="12"/>
      <c r="BW58" s="12"/>
      <c r="BX58" s="12"/>
    </row>
    <row r="59" spans="1:76">
      <c r="A59" s="20" t="s">
        <v>23</v>
      </c>
      <c r="B59" s="20">
        <v>8</v>
      </c>
      <c r="C59" s="5" t="s">
        <v>28</v>
      </c>
      <c r="D59" s="55">
        <f t="shared" si="7"/>
        <v>0</v>
      </c>
      <c r="E59" s="128">
        <f t="shared" si="6"/>
        <v>0</v>
      </c>
      <c r="F59" s="7">
        <f t="shared" si="6"/>
        <v>0</v>
      </c>
      <c r="G59" s="6">
        <f t="shared" si="6"/>
        <v>0</v>
      </c>
      <c r="H59" s="128">
        <f t="shared" si="6"/>
        <v>0</v>
      </c>
      <c r="I59" s="128">
        <f t="shared" si="6"/>
        <v>0</v>
      </c>
      <c r="J59" s="128">
        <f t="shared" si="6"/>
        <v>0</v>
      </c>
      <c r="K59" s="128">
        <f t="shared" si="6"/>
        <v>0</v>
      </c>
      <c r="L59" s="128">
        <f t="shared" si="6"/>
        <v>0</v>
      </c>
      <c r="M59" s="48">
        <f t="shared" si="6"/>
        <v>0</v>
      </c>
      <c r="N59" s="128">
        <f t="shared" si="6"/>
        <v>0</v>
      </c>
      <c r="O59" s="7">
        <f t="shared" si="6"/>
        <v>0</v>
      </c>
      <c r="R59" s="11">
        <v>56</v>
      </c>
      <c r="S59" s="12"/>
      <c r="T59" s="12"/>
      <c r="U59" s="12"/>
      <c r="W59" s="11">
        <v>56</v>
      </c>
      <c r="X59" s="12"/>
      <c r="Y59" s="12"/>
      <c r="Z59" s="12"/>
      <c r="AB59" s="11">
        <v>56</v>
      </c>
      <c r="AC59" s="12"/>
      <c r="AD59" s="12"/>
      <c r="AE59" s="12"/>
      <c r="AG59" s="11">
        <v>56</v>
      </c>
      <c r="AH59" s="12"/>
      <c r="AI59" s="12"/>
      <c r="AJ59" s="12"/>
      <c r="AL59" s="11">
        <v>56</v>
      </c>
      <c r="AM59" s="12"/>
      <c r="AN59" s="12"/>
      <c r="AO59" s="12"/>
      <c r="AQ59" s="11">
        <v>56</v>
      </c>
      <c r="AR59" s="12"/>
      <c r="AS59" s="12"/>
      <c r="AT59" s="11">
        <v>56</v>
      </c>
      <c r="AU59" s="12"/>
      <c r="AW59" s="11">
        <v>56</v>
      </c>
      <c r="AX59" s="12"/>
      <c r="AY59" s="12"/>
      <c r="AZ59" s="12"/>
      <c r="BA59" s="12"/>
      <c r="BB59" s="12"/>
      <c r="BC59" s="12"/>
      <c r="BD59" s="12"/>
      <c r="BE59" s="12"/>
      <c r="BF59" s="24"/>
      <c r="BG59" s="29"/>
      <c r="BH59" s="12"/>
      <c r="BI59" s="12"/>
      <c r="BK59" s="11">
        <v>56</v>
      </c>
      <c r="BL59" s="12"/>
      <c r="BM59" s="12"/>
      <c r="BN59" s="12"/>
      <c r="BP59" s="11">
        <v>56</v>
      </c>
      <c r="BQ59" s="12"/>
      <c r="BR59" s="12"/>
      <c r="BS59" s="12"/>
      <c r="BU59" s="11">
        <v>56</v>
      </c>
      <c r="BV59" s="12"/>
      <c r="BW59" s="12"/>
      <c r="BX59" s="12"/>
    </row>
    <row r="60" spans="1:76">
      <c r="A60" s="20" t="s">
        <v>24</v>
      </c>
      <c r="B60" s="20">
        <v>9</v>
      </c>
      <c r="C60" s="5" t="s">
        <v>16</v>
      </c>
      <c r="D60" s="55">
        <f t="shared" si="7"/>
        <v>5</v>
      </c>
      <c r="E60" s="128">
        <f t="shared" si="6"/>
        <v>5</v>
      </c>
      <c r="F60" s="7">
        <f t="shared" si="6"/>
        <v>5</v>
      </c>
      <c r="G60" s="6">
        <f t="shared" si="6"/>
        <v>5</v>
      </c>
      <c r="H60" s="128">
        <f t="shared" si="6"/>
        <v>5</v>
      </c>
      <c r="I60" s="128">
        <f t="shared" si="6"/>
        <v>5</v>
      </c>
      <c r="J60" s="128">
        <f t="shared" si="6"/>
        <v>5</v>
      </c>
      <c r="K60" s="128">
        <f t="shared" si="6"/>
        <v>5</v>
      </c>
      <c r="L60" s="128">
        <f t="shared" si="6"/>
        <v>5</v>
      </c>
      <c r="M60" s="48">
        <f t="shared" si="6"/>
        <v>5</v>
      </c>
      <c r="N60" s="128">
        <f t="shared" si="6"/>
        <v>5</v>
      </c>
      <c r="O60" s="7">
        <f t="shared" si="6"/>
        <v>5</v>
      </c>
      <c r="R60" s="11">
        <v>57</v>
      </c>
      <c r="S60" s="12"/>
      <c r="T60" s="12"/>
      <c r="U60" s="12"/>
      <c r="W60" s="11">
        <v>57</v>
      </c>
      <c r="X60" s="12"/>
      <c r="Y60" s="12"/>
      <c r="Z60" s="12"/>
      <c r="AB60" s="11">
        <v>57</v>
      </c>
      <c r="AC60" s="12"/>
      <c r="AD60" s="12"/>
      <c r="AE60" s="12"/>
      <c r="AG60" s="11">
        <v>57</v>
      </c>
      <c r="AH60" s="12"/>
      <c r="AI60" s="12"/>
      <c r="AJ60" s="12"/>
      <c r="AL60" s="11">
        <v>57</v>
      </c>
      <c r="AM60" s="12"/>
      <c r="AN60" s="12"/>
      <c r="AO60" s="12"/>
      <c r="AQ60" s="11">
        <v>57</v>
      </c>
      <c r="AR60" s="12"/>
      <c r="AS60" s="12"/>
      <c r="AT60" s="11">
        <v>57</v>
      </c>
      <c r="AU60" s="12"/>
      <c r="AW60" s="11">
        <v>57</v>
      </c>
      <c r="AX60" s="12"/>
      <c r="AY60" s="12"/>
      <c r="AZ60" s="12"/>
      <c r="BA60" s="12"/>
      <c r="BB60" s="12"/>
      <c r="BC60" s="12"/>
      <c r="BD60" s="12"/>
      <c r="BE60" s="12"/>
      <c r="BF60" s="24"/>
      <c r="BG60" s="29"/>
      <c r="BH60" s="12"/>
      <c r="BI60" s="12"/>
      <c r="BK60" s="11">
        <v>57</v>
      </c>
      <c r="BL60" s="12"/>
      <c r="BM60" s="12"/>
      <c r="BN60" s="12"/>
      <c r="BP60" s="11">
        <v>57</v>
      </c>
      <c r="BQ60" s="12"/>
      <c r="BR60" s="12"/>
      <c r="BS60" s="12"/>
      <c r="BU60" s="11">
        <v>57</v>
      </c>
      <c r="BV60" s="12"/>
      <c r="BW60" s="12"/>
      <c r="BX60" s="12"/>
    </row>
    <row r="61" spans="1:76">
      <c r="A61" s="21" t="s">
        <v>35</v>
      </c>
      <c r="B61" s="21">
        <v>10</v>
      </c>
      <c r="C61" s="5" t="s">
        <v>37</v>
      </c>
      <c r="D61" s="55">
        <f t="shared" si="7"/>
        <v>0</v>
      </c>
      <c r="E61" s="128">
        <f t="shared" si="6"/>
        <v>0</v>
      </c>
      <c r="F61" s="7">
        <f t="shared" si="6"/>
        <v>0</v>
      </c>
      <c r="G61" s="6">
        <f t="shared" si="6"/>
        <v>0</v>
      </c>
      <c r="H61" s="128">
        <f t="shared" si="6"/>
        <v>0</v>
      </c>
      <c r="I61" s="128">
        <f t="shared" si="6"/>
        <v>0</v>
      </c>
      <c r="J61" s="128">
        <f t="shared" si="6"/>
        <v>0</v>
      </c>
      <c r="K61" s="128">
        <f t="shared" si="6"/>
        <v>0</v>
      </c>
      <c r="L61" s="128">
        <f t="shared" si="6"/>
        <v>0</v>
      </c>
      <c r="M61" s="48">
        <f t="shared" si="6"/>
        <v>0</v>
      </c>
      <c r="N61" s="128">
        <f t="shared" si="6"/>
        <v>0</v>
      </c>
      <c r="O61" s="7">
        <f t="shared" si="6"/>
        <v>0</v>
      </c>
      <c r="R61" s="11">
        <v>58</v>
      </c>
      <c r="S61" s="12"/>
      <c r="T61" s="12"/>
      <c r="U61" s="12"/>
      <c r="W61" s="11">
        <v>58</v>
      </c>
      <c r="X61" s="12"/>
      <c r="Y61" s="12"/>
      <c r="Z61" s="12"/>
      <c r="AB61" s="11">
        <v>58</v>
      </c>
      <c r="AC61" s="12"/>
      <c r="AD61" s="12"/>
      <c r="AE61" s="12"/>
      <c r="AG61" s="11">
        <v>58</v>
      </c>
      <c r="AH61" s="12"/>
      <c r="AI61" s="12"/>
      <c r="AJ61" s="12"/>
      <c r="AL61" s="11">
        <v>58</v>
      </c>
      <c r="AM61" s="12"/>
      <c r="AN61" s="12"/>
      <c r="AO61" s="12"/>
      <c r="AQ61" s="11">
        <v>58</v>
      </c>
      <c r="AR61" s="12"/>
      <c r="AS61" s="12"/>
      <c r="AT61" s="11">
        <v>58</v>
      </c>
      <c r="AU61" s="12"/>
      <c r="AW61" s="11">
        <v>58</v>
      </c>
      <c r="AX61" s="12"/>
      <c r="AY61" s="12"/>
      <c r="AZ61" s="12"/>
      <c r="BA61" s="12"/>
      <c r="BB61" s="12"/>
      <c r="BC61" s="12"/>
      <c r="BD61" s="12"/>
      <c r="BE61" s="12"/>
      <c r="BF61" s="24"/>
      <c r="BG61" s="29"/>
      <c r="BH61" s="12"/>
      <c r="BI61" s="12"/>
      <c r="BK61" s="11">
        <v>58</v>
      </c>
      <c r="BL61" s="12"/>
      <c r="BM61" s="12"/>
      <c r="BN61" s="12"/>
      <c r="BP61" s="11">
        <v>58</v>
      </c>
      <c r="BQ61" s="12"/>
      <c r="BR61" s="12"/>
      <c r="BS61" s="12"/>
      <c r="BU61" s="11">
        <v>58</v>
      </c>
      <c r="BV61" s="12"/>
      <c r="BW61" s="12"/>
      <c r="BX61" s="12"/>
    </row>
    <row r="62" spans="1:76" ht="16.8" thickBot="1">
      <c r="A62" s="22" t="s">
        <v>39</v>
      </c>
      <c r="B62" s="22">
        <v>11</v>
      </c>
      <c r="C62" s="17" t="s">
        <v>38</v>
      </c>
      <c r="D62" s="56">
        <f t="shared" si="7"/>
        <v>0</v>
      </c>
      <c r="E62" s="50">
        <f t="shared" si="6"/>
        <v>0</v>
      </c>
      <c r="F62" s="57">
        <f t="shared" si="6"/>
        <v>0</v>
      </c>
      <c r="G62" s="49">
        <f t="shared" si="6"/>
        <v>0</v>
      </c>
      <c r="H62" s="50">
        <f t="shared" si="6"/>
        <v>0</v>
      </c>
      <c r="I62" s="50">
        <f t="shared" si="6"/>
        <v>0</v>
      </c>
      <c r="J62" s="50">
        <f t="shared" si="6"/>
        <v>0</v>
      </c>
      <c r="K62" s="50">
        <f t="shared" si="6"/>
        <v>0</v>
      </c>
      <c r="L62" s="50">
        <f t="shared" si="6"/>
        <v>0</v>
      </c>
      <c r="M62" s="51">
        <f t="shared" si="6"/>
        <v>0</v>
      </c>
      <c r="N62" s="39">
        <f t="shared" si="6"/>
        <v>0</v>
      </c>
      <c r="O62" s="40">
        <f t="shared" si="6"/>
        <v>0</v>
      </c>
      <c r="R62" s="11">
        <v>59</v>
      </c>
      <c r="S62" s="12"/>
      <c r="T62" s="12"/>
      <c r="U62" s="12"/>
      <c r="W62" s="11">
        <v>59</v>
      </c>
      <c r="X62" s="12"/>
      <c r="Y62" s="12"/>
      <c r="Z62" s="12"/>
      <c r="AB62" s="11">
        <v>59</v>
      </c>
      <c r="AC62" s="12"/>
      <c r="AD62" s="12"/>
      <c r="AE62" s="12"/>
      <c r="AG62" s="11">
        <v>59</v>
      </c>
      <c r="AH62" s="12"/>
      <c r="AI62" s="12"/>
      <c r="AJ62" s="12"/>
      <c r="AL62" s="11">
        <v>59</v>
      </c>
      <c r="AM62" s="12"/>
      <c r="AN62" s="12"/>
      <c r="AO62" s="12"/>
      <c r="AQ62" s="11">
        <v>59</v>
      </c>
      <c r="AR62" s="12"/>
      <c r="AS62" s="12"/>
      <c r="AT62" s="11">
        <v>59</v>
      </c>
      <c r="AU62" s="12"/>
      <c r="AW62" s="11">
        <v>59</v>
      </c>
      <c r="AX62" s="12"/>
      <c r="AY62" s="12"/>
      <c r="AZ62" s="12"/>
      <c r="BA62" s="12"/>
      <c r="BB62" s="12"/>
      <c r="BC62" s="12"/>
      <c r="BD62" s="12"/>
      <c r="BE62" s="12"/>
      <c r="BF62" s="24"/>
      <c r="BG62" s="29"/>
      <c r="BH62" s="12"/>
      <c r="BI62" s="12"/>
      <c r="BK62" s="11">
        <v>59</v>
      </c>
      <c r="BL62" s="12"/>
      <c r="BM62" s="12"/>
      <c r="BN62" s="12"/>
      <c r="BP62" s="11">
        <v>59</v>
      </c>
      <c r="BQ62" s="12"/>
      <c r="BR62" s="12"/>
      <c r="BS62" s="12"/>
      <c r="BU62" s="11">
        <v>59</v>
      </c>
      <c r="BV62" s="12"/>
      <c r="BW62" s="12"/>
      <c r="BX62" s="12"/>
    </row>
    <row r="63" spans="1:76">
      <c r="D63" s="128">
        <f>SUM(D51:D62)</f>
        <v>30</v>
      </c>
      <c r="E63" s="128">
        <f t="shared" ref="E63:O63" si="8">SUM(E51:E62)</f>
        <v>30</v>
      </c>
      <c r="F63" s="128">
        <f t="shared" si="8"/>
        <v>30</v>
      </c>
      <c r="G63" s="128">
        <f t="shared" si="8"/>
        <v>30</v>
      </c>
      <c r="H63" s="128">
        <f t="shared" si="8"/>
        <v>30</v>
      </c>
      <c r="I63" s="128">
        <f t="shared" si="8"/>
        <v>30</v>
      </c>
      <c r="J63" s="128">
        <f t="shared" si="8"/>
        <v>30</v>
      </c>
      <c r="K63" s="128">
        <f t="shared" si="8"/>
        <v>30</v>
      </c>
      <c r="L63" s="128">
        <f t="shared" si="8"/>
        <v>30</v>
      </c>
      <c r="M63" s="128">
        <f t="shared" si="8"/>
        <v>30</v>
      </c>
      <c r="N63" s="128">
        <f t="shared" si="8"/>
        <v>30</v>
      </c>
      <c r="O63" s="128">
        <f t="shared" si="8"/>
        <v>30</v>
      </c>
      <c r="R63" s="11">
        <v>60</v>
      </c>
      <c r="S63" s="12"/>
      <c r="T63" s="12"/>
      <c r="U63" s="12"/>
      <c r="W63" s="11">
        <v>60</v>
      </c>
      <c r="X63" s="12"/>
      <c r="Y63" s="12"/>
      <c r="Z63" s="12"/>
      <c r="AB63" s="11">
        <v>60</v>
      </c>
      <c r="AC63" s="12"/>
      <c r="AD63" s="12"/>
      <c r="AE63" s="12"/>
      <c r="AG63" s="11">
        <v>60</v>
      </c>
      <c r="AH63" s="12"/>
      <c r="AI63" s="12"/>
      <c r="AJ63" s="12"/>
      <c r="AL63" s="11">
        <v>60</v>
      </c>
      <c r="AM63" s="12"/>
      <c r="AN63" s="12"/>
      <c r="AO63" s="12"/>
      <c r="AQ63" s="11">
        <v>60</v>
      </c>
      <c r="AR63" s="13"/>
      <c r="AS63" s="13"/>
      <c r="AT63" s="11">
        <v>60</v>
      </c>
      <c r="AU63" s="12"/>
      <c r="AW63" s="11">
        <v>60</v>
      </c>
      <c r="AX63" s="12"/>
      <c r="AY63" s="12"/>
      <c r="AZ63" s="12"/>
      <c r="BA63" s="12"/>
      <c r="BB63" s="12"/>
      <c r="BC63" s="12"/>
      <c r="BD63" s="12"/>
      <c r="BE63" s="12"/>
      <c r="BF63" s="24"/>
      <c r="BG63" s="29"/>
      <c r="BH63" s="12"/>
      <c r="BI63" s="12"/>
      <c r="BK63" s="11">
        <v>60</v>
      </c>
      <c r="BL63" s="12"/>
      <c r="BM63" s="12"/>
      <c r="BN63" s="12"/>
      <c r="BP63" s="11">
        <v>60</v>
      </c>
      <c r="BQ63" s="12"/>
      <c r="BR63" s="12"/>
      <c r="BS63" s="12"/>
      <c r="BU63" s="11">
        <v>60</v>
      </c>
      <c r="BV63" s="12"/>
      <c r="BW63" s="12"/>
      <c r="BX63" s="12"/>
    </row>
    <row r="64" spans="1:76">
      <c r="R64" s="11">
        <v>61</v>
      </c>
      <c r="S64" s="12"/>
      <c r="T64" s="13"/>
      <c r="U64" s="12"/>
      <c r="W64" s="11">
        <v>61</v>
      </c>
      <c r="X64" s="12"/>
      <c r="Y64" s="13"/>
      <c r="Z64" s="12"/>
      <c r="AB64" s="11">
        <v>61</v>
      </c>
      <c r="AC64" s="12"/>
      <c r="AD64" s="12"/>
      <c r="AE64" s="12"/>
      <c r="AG64" s="11">
        <v>61</v>
      </c>
      <c r="AH64" s="12"/>
      <c r="AI64" s="12"/>
      <c r="AJ64" s="12"/>
      <c r="AL64" s="11">
        <v>61</v>
      </c>
      <c r="AM64" s="12"/>
      <c r="AN64" s="12"/>
      <c r="AO64" s="12"/>
      <c r="AQ64" s="11">
        <v>61</v>
      </c>
      <c r="AR64" s="13"/>
      <c r="AS64" s="13"/>
      <c r="AT64" s="11">
        <v>61</v>
      </c>
      <c r="AU64" s="12"/>
      <c r="AW64" s="11">
        <v>61</v>
      </c>
      <c r="AX64" s="12"/>
      <c r="AY64" s="12"/>
      <c r="AZ64" s="12"/>
      <c r="BA64" s="12"/>
      <c r="BB64" s="12"/>
      <c r="BC64" s="12"/>
      <c r="BD64" s="12"/>
      <c r="BE64" s="12"/>
      <c r="BF64" s="24"/>
      <c r="BG64" s="29"/>
      <c r="BH64" s="12"/>
      <c r="BI64" s="12"/>
      <c r="BK64" s="11">
        <v>61</v>
      </c>
      <c r="BL64" s="12"/>
      <c r="BM64" s="13"/>
      <c r="BN64" s="12"/>
      <c r="BP64" s="11">
        <v>61</v>
      </c>
      <c r="BQ64" s="12"/>
      <c r="BR64" s="13"/>
      <c r="BS64" s="12"/>
      <c r="BU64" s="11">
        <v>61</v>
      </c>
      <c r="BV64" s="12"/>
      <c r="BW64" s="12"/>
      <c r="BX64" s="12"/>
    </row>
    <row r="65" spans="1:76">
      <c r="A65" s="31" t="s">
        <v>42</v>
      </c>
      <c r="R65" s="11">
        <v>62</v>
      </c>
      <c r="S65" s="12"/>
      <c r="T65" s="13"/>
      <c r="U65" s="12"/>
      <c r="W65" s="11">
        <v>62</v>
      </c>
      <c r="X65" s="12"/>
      <c r="Y65" s="13"/>
      <c r="Z65" s="12"/>
      <c r="AB65" s="11">
        <v>62</v>
      </c>
      <c r="AC65" s="12"/>
      <c r="AD65" s="12"/>
      <c r="AE65" s="12"/>
      <c r="AG65" s="11">
        <v>62</v>
      </c>
      <c r="AH65" s="12"/>
      <c r="AI65" s="12"/>
      <c r="AJ65" s="12"/>
      <c r="AL65" s="11">
        <v>62</v>
      </c>
      <c r="AM65" s="12"/>
      <c r="AN65" s="12"/>
      <c r="AO65" s="12"/>
      <c r="AQ65" s="11">
        <v>62</v>
      </c>
      <c r="AR65" s="13"/>
      <c r="AS65" s="13"/>
      <c r="AT65" s="11">
        <v>62</v>
      </c>
      <c r="AU65" s="12"/>
      <c r="AW65" s="11">
        <v>62</v>
      </c>
      <c r="AX65" s="12"/>
      <c r="AY65" s="12"/>
      <c r="AZ65" s="12"/>
      <c r="BA65" s="12"/>
      <c r="BB65" s="12"/>
      <c r="BC65" s="12"/>
      <c r="BD65" s="12"/>
      <c r="BE65" s="12"/>
      <c r="BF65" s="24"/>
      <c r="BG65" s="29"/>
      <c r="BH65" s="12"/>
      <c r="BI65" s="12"/>
      <c r="BK65" s="11">
        <v>62</v>
      </c>
      <c r="BL65" s="12"/>
      <c r="BM65" s="13"/>
      <c r="BN65" s="12"/>
      <c r="BP65" s="11">
        <v>62</v>
      </c>
      <c r="BQ65" s="12"/>
      <c r="BR65" s="13"/>
      <c r="BS65" s="12"/>
      <c r="BU65" s="11">
        <v>62</v>
      </c>
      <c r="BV65" s="12"/>
      <c r="BW65" s="12"/>
      <c r="BX65" s="12"/>
    </row>
    <row r="66" spans="1:76">
      <c r="A66" s="30" t="s">
        <v>42</v>
      </c>
      <c r="B66" s="1" t="s">
        <v>86</v>
      </c>
      <c r="C66" s="2" t="s">
        <v>114</v>
      </c>
      <c r="D66" s="3" t="s">
        <v>80</v>
      </c>
      <c r="E66" s="99" t="s">
        <v>1</v>
      </c>
      <c r="F66" s="4" t="s">
        <v>2</v>
      </c>
      <c r="R66" s="11">
        <v>63</v>
      </c>
      <c r="S66" s="12"/>
      <c r="T66" s="13"/>
      <c r="U66" s="13"/>
      <c r="W66" s="11">
        <v>63</v>
      </c>
      <c r="X66" s="12"/>
      <c r="Y66" s="13"/>
      <c r="Z66" s="13"/>
      <c r="AB66" s="11">
        <v>63</v>
      </c>
      <c r="AC66" s="12"/>
      <c r="AD66" s="12"/>
      <c r="AE66" s="12"/>
      <c r="AG66" s="11">
        <v>63</v>
      </c>
      <c r="AH66" s="12"/>
      <c r="AI66" s="12"/>
      <c r="AJ66" s="12"/>
      <c r="AL66" s="11">
        <v>63</v>
      </c>
      <c r="AM66" s="12"/>
      <c r="AN66" s="12"/>
      <c r="AO66" s="12"/>
      <c r="AQ66" s="11">
        <v>63</v>
      </c>
      <c r="AR66" s="13"/>
      <c r="AS66" s="13"/>
      <c r="AT66" s="11">
        <v>63</v>
      </c>
      <c r="AU66" s="13"/>
      <c r="AW66" s="11">
        <v>63</v>
      </c>
      <c r="AX66" s="12"/>
      <c r="AY66" s="12"/>
      <c r="AZ66" s="12"/>
      <c r="BA66" s="12"/>
      <c r="BB66" s="12"/>
      <c r="BC66" s="12"/>
      <c r="BD66" s="12"/>
      <c r="BE66" s="12"/>
      <c r="BF66" s="24"/>
      <c r="BG66" s="29"/>
      <c r="BH66" s="12"/>
      <c r="BI66" s="12"/>
      <c r="BK66" s="11">
        <v>63</v>
      </c>
      <c r="BL66" s="12"/>
      <c r="BM66" s="13"/>
      <c r="BN66" s="13"/>
      <c r="BP66" s="11">
        <v>63</v>
      </c>
      <c r="BQ66" s="12"/>
      <c r="BR66" s="13"/>
      <c r="BS66" s="13"/>
      <c r="BU66" s="11">
        <v>63</v>
      </c>
      <c r="BV66" s="12"/>
      <c r="BW66" s="12"/>
      <c r="BX66" s="12"/>
    </row>
    <row r="67" spans="1:76">
      <c r="A67" s="1" t="s">
        <v>19</v>
      </c>
      <c r="B67" s="1">
        <v>0</v>
      </c>
      <c r="C67" s="3" t="s">
        <v>25</v>
      </c>
      <c r="D67" s="3">
        <f>SUMIF(BL$3:BL$38,$A67,BV$3:BV$38)</f>
        <v>18</v>
      </c>
      <c r="E67" s="129">
        <f t="shared" ref="E67:F78" si="9">SUMIF(BM$3:BM$38,$A67,BW$3:BW$38)</f>
        <v>18</v>
      </c>
      <c r="F67" s="4">
        <f t="shared" si="9"/>
        <v>6</v>
      </c>
      <c r="R67" s="11">
        <v>64</v>
      </c>
      <c r="S67" s="12"/>
      <c r="T67" s="13"/>
      <c r="U67" s="13"/>
      <c r="W67" s="11">
        <v>64</v>
      </c>
      <c r="X67" s="12"/>
      <c r="Y67" s="13"/>
      <c r="Z67" s="13"/>
      <c r="AB67" s="11">
        <v>64</v>
      </c>
      <c r="AC67" s="12"/>
      <c r="AD67" s="12"/>
      <c r="AE67" s="12"/>
      <c r="AG67" s="11">
        <v>64</v>
      </c>
      <c r="AH67" s="12"/>
      <c r="AI67" s="12"/>
      <c r="AJ67" s="12"/>
      <c r="AL67" s="11">
        <v>64</v>
      </c>
      <c r="AM67" s="12"/>
      <c r="AN67" s="12"/>
      <c r="AO67" s="12"/>
      <c r="AQ67" s="11">
        <v>64</v>
      </c>
      <c r="AR67" s="13"/>
      <c r="AS67" s="13"/>
      <c r="AT67" s="11">
        <v>64</v>
      </c>
      <c r="AU67" s="13"/>
      <c r="AW67" s="11">
        <v>64</v>
      </c>
      <c r="AX67" s="12"/>
      <c r="AY67" s="12"/>
      <c r="AZ67" s="12"/>
      <c r="BA67" s="12"/>
      <c r="BB67" s="12"/>
      <c r="BC67" s="12"/>
      <c r="BD67" s="12"/>
      <c r="BE67" s="12"/>
      <c r="BF67" s="24"/>
      <c r="BG67" s="29"/>
      <c r="BH67" s="12"/>
      <c r="BI67" s="12"/>
      <c r="BK67" s="11">
        <v>64</v>
      </c>
      <c r="BL67" s="12"/>
      <c r="BM67" s="13"/>
      <c r="BN67" s="13"/>
      <c r="BP67" s="11">
        <v>64</v>
      </c>
      <c r="BQ67" s="12"/>
      <c r="BR67" s="13"/>
      <c r="BS67" s="13"/>
      <c r="BU67" s="11">
        <v>64</v>
      </c>
      <c r="BV67" s="12"/>
      <c r="BW67" s="12"/>
      <c r="BX67" s="12"/>
    </row>
    <row r="68" spans="1:76">
      <c r="A68" s="20">
        <v>0</v>
      </c>
      <c r="B68" s="20">
        <v>1</v>
      </c>
      <c r="C68" s="5">
        <v>0</v>
      </c>
      <c r="D68" s="37">
        <f t="shared" ref="D68:D78" si="10">SUMIF(BL$3:BL$38,$A68,BV$3:BV$38)</f>
        <v>0</v>
      </c>
      <c r="E68" s="128">
        <f t="shared" si="9"/>
        <v>6</v>
      </c>
      <c r="F68" s="7">
        <f t="shared" si="9"/>
        <v>0</v>
      </c>
      <c r="R68" s="11">
        <v>65</v>
      </c>
      <c r="S68" s="12"/>
      <c r="T68" s="13"/>
      <c r="U68" s="13"/>
      <c r="W68" s="11">
        <v>65</v>
      </c>
      <c r="X68" s="12"/>
      <c r="Y68" s="13"/>
      <c r="Z68" s="13"/>
      <c r="AB68" s="11">
        <v>65</v>
      </c>
      <c r="AC68" s="12"/>
      <c r="AD68" s="12"/>
      <c r="AE68" s="12"/>
      <c r="AG68" s="11">
        <v>65</v>
      </c>
      <c r="AH68" s="12"/>
      <c r="AI68" s="12"/>
      <c r="AJ68" s="12"/>
      <c r="AL68" s="11">
        <v>65</v>
      </c>
      <c r="AM68" s="12"/>
      <c r="AN68" s="12"/>
      <c r="AO68" s="12"/>
      <c r="AQ68" s="11">
        <v>65</v>
      </c>
      <c r="AR68" s="13"/>
      <c r="AS68" s="13"/>
      <c r="AT68" s="11">
        <v>65</v>
      </c>
      <c r="AU68" s="13"/>
      <c r="AW68" s="11">
        <v>65</v>
      </c>
      <c r="AX68" s="12"/>
      <c r="AY68" s="12"/>
      <c r="AZ68" s="12"/>
      <c r="BA68" s="12"/>
      <c r="BB68" s="12"/>
      <c r="BC68" s="12"/>
      <c r="BD68" s="12"/>
      <c r="BE68" s="12"/>
      <c r="BF68" s="24"/>
      <c r="BG68" s="29"/>
      <c r="BH68" s="12"/>
      <c r="BI68" s="12"/>
      <c r="BK68" s="11">
        <v>65</v>
      </c>
      <c r="BL68" s="12"/>
      <c r="BM68" s="13"/>
      <c r="BN68" s="13"/>
      <c r="BP68" s="11">
        <v>65</v>
      </c>
      <c r="BQ68" s="12"/>
      <c r="BR68" s="13"/>
      <c r="BS68" s="13"/>
      <c r="BU68" s="11">
        <v>65</v>
      </c>
      <c r="BV68" s="12"/>
      <c r="BW68" s="12"/>
      <c r="BX68" s="12"/>
    </row>
    <row r="69" spans="1:76">
      <c r="A69" s="20">
        <v>1</v>
      </c>
      <c r="B69" s="20">
        <v>2</v>
      </c>
      <c r="C69" s="5">
        <v>1</v>
      </c>
      <c r="D69" s="6">
        <f t="shared" si="10"/>
        <v>6</v>
      </c>
      <c r="E69" s="128">
        <f t="shared" si="9"/>
        <v>6</v>
      </c>
      <c r="F69" s="7">
        <f t="shared" si="9"/>
        <v>0</v>
      </c>
      <c r="R69" s="11">
        <v>66</v>
      </c>
      <c r="S69" s="12"/>
      <c r="T69" s="13"/>
      <c r="U69" s="13"/>
      <c r="W69" s="11">
        <v>66</v>
      </c>
      <c r="X69" s="12"/>
      <c r="Y69" s="13"/>
      <c r="Z69" s="13"/>
      <c r="AB69" s="11">
        <v>66</v>
      </c>
      <c r="AC69" s="12"/>
      <c r="AD69" s="12"/>
      <c r="AE69" s="12"/>
      <c r="AG69" s="11">
        <v>66</v>
      </c>
      <c r="AH69" s="12"/>
      <c r="AI69" s="12"/>
      <c r="AJ69" s="12"/>
      <c r="AL69" s="11">
        <v>66</v>
      </c>
      <c r="AM69" s="12"/>
      <c r="AN69" s="12"/>
      <c r="AO69" s="12"/>
      <c r="AQ69" s="11">
        <v>66</v>
      </c>
      <c r="AR69" s="13"/>
      <c r="AS69" s="13"/>
      <c r="AT69" s="11">
        <v>66</v>
      </c>
      <c r="AU69" s="13"/>
      <c r="AW69" s="11">
        <v>66</v>
      </c>
      <c r="AX69" s="12"/>
      <c r="AY69" s="12"/>
      <c r="AZ69" s="12"/>
      <c r="BA69" s="12"/>
      <c r="BB69" s="12"/>
      <c r="BC69" s="12"/>
      <c r="BD69" s="12"/>
      <c r="BE69" s="12"/>
      <c r="BF69" s="24"/>
      <c r="BG69" s="29"/>
      <c r="BH69" s="12"/>
      <c r="BI69" s="12"/>
      <c r="BK69" s="11">
        <v>66</v>
      </c>
      <c r="BL69" s="12"/>
      <c r="BM69" s="13"/>
      <c r="BN69" s="13"/>
      <c r="BP69" s="11">
        <v>66</v>
      </c>
      <c r="BQ69" s="12"/>
      <c r="BR69" s="13"/>
      <c r="BS69" s="13"/>
      <c r="BU69" s="11">
        <v>66</v>
      </c>
      <c r="BV69" s="12"/>
      <c r="BW69" s="12"/>
      <c r="BX69" s="12"/>
    </row>
    <row r="70" spans="1:76">
      <c r="A70" s="21">
        <v>5</v>
      </c>
      <c r="B70" s="21">
        <v>3</v>
      </c>
      <c r="C70" s="23">
        <v>5</v>
      </c>
      <c r="D70" s="6">
        <f t="shared" si="10"/>
        <v>6</v>
      </c>
      <c r="E70" s="128">
        <f t="shared" si="9"/>
        <v>6</v>
      </c>
      <c r="F70" s="7">
        <f t="shared" si="9"/>
        <v>0</v>
      </c>
      <c r="R70" s="11">
        <v>67</v>
      </c>
      <c r="S70" s="12"/>
      <c r="T70" s="13"/>
      <c r="U70" s="13"/>
      <c r="W70" s="11">
        <v>67</v>
      </c>
      <c r="X70" s="12"/>
      <c r="Y70" s="13"/>
      <c r="Z70" s="13"/>
      <c r="AB70" s="11">
        <v>67</v>
      </c>
      <c r="AC70" s="12"/>
      <c r="AD70" s="12"/>
      <c r="AE70" s="12"/>
      <c r="AG70" s="11">
        <v>67</v>
      </c>
      <c r="AH70" s="12"/>
      <c r="AI70" s="12"/>
      <c r="AJ70" s="12"/>
      <c r="AL70" s="11">
        <v>67</v>
      </c>
      <c r="AM70" s="12"/>
      <c r="AN70" s="12"/>
      <c r="AO70" s="12"/>
      <c r="AQ70" s="11">
        <v>67</v>
      </c>
      <c r="AR70" s="13"/>
      <c r="AS70" s="13"/>
      <c r="AT70" s="11">
        <v>67</v>
      </c>
      <c r="AU70" s="13"/>
      <c r="AW70" s="11">
        <v>67</v>
      </c>
      <c r="AX70" s="12"/>
      <c r="AY70" s="12"/>
      <c r="AZ70" s="12"/>
      <c r="BA70" s="12"/>
      <c r="BB70" s="12"/>
      <c r="BC70" s="12"/>
      <c r="BD70" s="12"/>
      <c r="BE70" s="12"/>
      <c r="BF70" s="24"/>
      <c r="BG70" s="29"/>
      <c r="BH70" s="12"/>
      <c r="BI70" s="12"/>
      <c r="BK70" s="11">
        <v>67</v>
      </c>
      <c r="BL70" s="12"/>
      <c r="BM70" s="13"/>
      <c r="BN70" s="13"/>
      <c r="BP70" s="11">
        <v>67</v>
      </c>
      <c r="BQ70" s="12"/>
      <c r="BR70" s="13"/>
      <c r="BS70" s="13"/>
      <c r="BU70" s="11">
        <v>67</v>
      </c>
      <c r="BV70" s="12"/>
      <c r="BW70" s="12"/>
      <c r="BX70" s="12"/>
    </row>
    <row r="71" spans="1:76">
      <c r="A71" s="21">
        <v>10</v>
      </c>
      <c r="B71" s="21">
        <v>4</v>
      </c>
      <c r="C71" s="23">
        <v>10</v>
      </c>
      <c r="D71" s="6">
        <f t="shared" si="10"/>
        <v>6</v>
      </c>
      <c r="E71" s="59">
        <f t="shared" si="9"/>
        <v>0</v>
      </c>
      <c r="F71" s="38">
        <f t="shared" si="9"/>
        <v>0</v>
      </c>
      <c r="R71" s="11">
        <v>68</v>
      </c>
      <c r="S71" s="12"/>
      <c r="T71" s="13"/>
      <c r="U71" s="13"/>
      <c r="W71" s="11">
        <v>68</v>
      </c>
      <c r="X71" s="12"/>
      <c r="Y71" s="13"/>
      <c r="Z71" s="13"/>
      <c r="AB71" s="11">
        <v>68</v>
      </c>
      <c r="AC71" s="12"/>
      <c r="AD71" s="12"/>
      <c r="AE71" s="12"/>
      <c r="AG71" s="11">
        <v>68</v>
      </c>
      <c r="AH71" s="12"/>
      <c r="AI71" s="12"/>
      <c r="AJ71" s="12"/>
      <c r="AL71" s="11">
        <v>68</v>
      </c>
      <c r="AM71" s="12"/>
      <c r="AN71" s="12"/>
      <c r="AO71" s="12"/>
      <c r="AQ71" s="11">
        <v>68</v>
      </c>
      <c r="AR71" s="13"/>
      <c r="AS71" s="13"/>
      <c r="AT71" s="11">
        <v>68</v>
      </c>
      <c r="AU71" s="13"/>
      <c r="AW71" s="11">
        <v>68</v>
      </c>
      <c r="AX71" s="12"/>
      <c r="AY71" s="12"/>
      <c r="AZ71" s="12"/>
      <c r="BA71" s="12"/>
      <c r="BB71" s="12"/>
      <c r="BC71" s="12"/>
      <c r="BD71" s="12"/>
      <c r="BE71" s="12"/>
      <c r="BF71" s="24"/>
      <c r="BG71" s="29"/>
      <c r="BH71" s="12"/>
      <c r="BI71" s="12"/>
      <c r="BK71" s="11">
        <v>68</v>
      </c>
      <c r="BL71" s="12"/>
      <c r="BM71" s="13"/>
      <c r="BN71" s="13"/>
      <c r="BP71" s="11">
        <v>68</v>
      </c>
      <c r="BQ71" s="12"/>
      <c r="BR71" s="13"/>
      <c r="BS71" s="13"/>
      <c r="BU71" s="11">
        <v>68</v>
      </c>
      <c r="BV71" s="12"/>
      <c r="BW71" s="12"/>
      <c r="BX71" s="12"/>
    </row>
    <row r="72" spans="1:76">
      <c r="A72" s="20" t="s">
        <v>20</v>
      </c>
      <c r="B72" s="20">
        <v>5</v>
      </c>
      <c r="C72" s="23" t="s">
        <v>29</v>
      </c>
      <c r="D72" s="37">
        <f t="shared" si="10"/>
        <v>0</v>
      </c>
      <c r="E72" s="59">
        <f t="shared" si="9"/>
        <v>0</v>
      </c>
      <c r="F72" s="38">
        <f t="shared" si="9"/>
        <v>0</v>
      </c>
      <c r="R72" s="11">
        <v>69</v>
      </c>
      <c r="S72" s="12"/>
      <c r="T72" s="13"/>
      <c r="U72" s="13"/>
      <c r="W72" s="11">
        <v>69</v>
      </c>
      <c r="X72" s="12"/>
      <c r="Y72" s="13"/>
      <c r="Z72" s="13"/>
      <c r="AB72" s="11">
        <v>69</v>
      </c>
      <c r="AC72" s="12"/>
      <c r="AD72" s="12"/>
      <c r="AE72" s="12"/>
      <c r="AG72" s="11">
        <v>69</v>
      </c>
      <c r="AH72" s="12"/>
      <c r="AI72" s="12"/>
      <c r="AJ72" s="12"/>
      <c r="AL72" s="11">
        <v>69</v>
      </c>
      <c r="AM72" s="12"/>
      <c r="AN72" s="12"/>
      <c r="AO72" s="12"/>
      <c r="AQ72" s="11">
        <v>69</v>
      </c>
      <c r="AR72" s="13"/>
      <c r="AS72" s="13"/>
      <c r="AT72" s="11">
        <v>69</v>
      </c>
      <c r="AU72" s="13"/>
      <c r="AW72" s="11">
        <v>69</v>
      </c>
      <c r="AX72" s="12"/>
      <c r="AY72" s="12"/>
      <c r="AZ72" s="12"/>
      <c r="BA72" s="12"/>
      <c r="BB72" s="12"/>
      <c r="BC72" s="12"/>
      <c r="BD72" s="12"/>
      <c r="BE72" s="12"/>
      <c r="BF72" s="24"/>
      <c r="BG72" s="29"/>
      <c r="BH72" s="12"/>
      <c r="BI72" s="12"/>
      <c r="BK72" s="11">
        <v>69</v>
      </c>
      <c r="BL72" s="12"/>
      <c r="BM72" s="13"/>
      <c r="BN72" s="13"/>
      <c r="BP72" s="11">
        <v>69</v>
      </c>
      <c r="BQ72" s="12"/>
      <c r="BR72" s="13"/>
      <c r="BS72" s="13"/>
      <c r="BU72" s="11">
        <v>69</v>
      </c>
      <c r="BV72" s="12"/>
      <c r="BW72" s="12"/>
      <c r="BX72" s="12"/>
    </row>
    <row r="73" spans="1:76">
      <c r="A73" s="21" t="s">
        <v>21</v>
      </c>
      <c r="B73" s="21">
        <v>6</v>
      </c>
      <c r="C73" s="23" t="s">
        <v>26</v>
      </c>
      <c r="D73" s="37">
        <f t="shared" si="10"/>
        <v>0</v>
      </c>
      <c r="E73" s="59">
        <f t="shared" si="9"/>
        <v>0</v>
      </c>
      <c r="F73" s="38">
        <f t="shared" si="9"/>
        <v>0</v>
      </c>
      <c r="R73" s="11">
        <v>70</v>
      </c>
      <c r="S73" s="12"/>
      <c r="T73" s="13"/>
      <c r="U73" s="13"/>
      <c r="W73" s="11">
        <v>70</v>
      </c>
      <c r="X73" s="12"/>
      <c r="Y73" s="13"/>
      <c r="Z73" s="13"/>
      <c r="AB73" s="11">
        <v>70</v>
      </c>
      <c r="AC73" s="12"/>
      <c r="AD73" s="12"/>
      <c r="AE73" s="12"/>
      <c r="AG73" s="11">
        <v>70</v>
      </c>
      <c r="AH73" s="12"/>
      <c r="AI73" s="12"/>
      <c r="AJ73" s="12"/>
      <c r="AL73" s="11">
        <v>70</v>
      </c>
      <c r="AM73" s="12"/>
      <c r="AN73" s="12"/>
      <c r="AO73" s="12"/>
      <c r="AQ73" s="11">
        <v>70</v>
      </c>
      <c r="AR73" s="13"/>
      <c r="AS73" s="13"/>
      <c r="AT73" s="11">
        <v>70</v>
      </c>
      <c r="AU73" s="13"/>
      <c r="AW73" s="11">
        <v>70</v>
      </c>
      <c r="AX73" s="12"/>
      <c r="AY73" s="12"/>
      <c r="AZ73" s="12"/>
      <c r="BA73" s="12"/>
      <c r="BB73" s="12"/>
      <c r="BC73" s="12"/>
      <c r="BD73" s="12"/>
      <c r="BE73" s="12"/>
      <c r="BF73" s="24"/>
      <c r="BG73" s="29"/>
      <c r="BH73" s="12"/>
      <c r="BI73" s="12"/>
      <c r="BK73" s="11">
        <v>70</v>
      </c>
      <c r="BL73" s="12"/>
      <c r="BM73" s="13"/>
      <c r="BN73" s="13"/>
      <c r="BP73" s="11">
        <v>70</v>
      </c>
      <c r="BQ73" s="12"/>
      <c r="BR73" s="13"/>
      <c r="BS73" s="13"/>
      <c r="BU73" s="11">
        <v>70</v>
      </c>
      <c r="BV73" s="12"/>
      <c r="BW73" s="12"/>
      <c r="BX73" s="12"/>
    </row>
    <row r="74" spans="1:76">
      <c r="A74" s="20" t="s">
        <v>22</v>
      </c>
      <c r="B74" s="20">
        <v>7</v>
      </c>
      <c r="C74" s="5" t="s">
        <v>27</v>
      </c>
      <c r="D74" s="37">
        <f t="shared" si="10"/>
        <v>0</v>
      </c>
      <c r="E74" s="59">
        <f t="shared" si="9"/>
        <v>0</v>
      </c>
      <c r="F74" s="38">
        <f t="shared" si="9"/>
        <v>0</v>
      </c>
      <c r="R74" s="11">
        <v>71</v>
      </c>
      <c r="S74" s="12"/>
      <c r="T74" s="13"/>
      <c r="U74" s="13"/>
      <c r="W74" s="11">
        <v>71</v>
      </c>
      <c r="X74" s="12"/>
      <c r="Y74" s="13"/>
      <c r="Z74" s="13"/>
      <c r="AB74" s="11">
        <v>71</v>
      </c>
      <c r="AC74" s="12"/>
      <c r="AD74" s="12"/>
      <c r="AE74" s="12"/>
      <c r="AG74" s="11">
        <v>71</v>
      </c>
      <c r="AH74" s="12"/>
      <c r="AI74" s="12"/>
      <c r="AJ74" s="12"/>
      <c r="AL74" s="11">
        <v>71</v>
      </c>
      <c r="AM74" s="12"/>
      <c r="AN74" s="12"/>
      <c r="AO74" s="12"/>
      <c r="AQ74" s="11">
        <v>71</v>
      </c>
      <c r="AR74" s="13"/>
      <c r="AS74" s="13"/>
      <c r="AT74" s="11">
        <v>71</v>
      </c>
      <c r="AU74" s="13"/>
      <c r="AW74" s="11">
        <v>71</v>
      </c>
      <c r="AX74" s="12"/>
      <c r="AY74" s="12"/>
      <c r="AZ74" s="12"/>
      <c r="BA74" s="12"/>
      <c r="BB74" s="12"/>
      <c r="BC74" s="12"/>
      <c r="BD74" s="12"/>
      <c r="BE74" s="12"/>
      <c r="BF74" s="24"/>
      <c r="BG74" s="29"/>
      <c r="BH74" s="12"/>
      <c r="BI74" s="12"/>
      <c r="BK74" s="11">
        <v>71</v>
      </c>
      <c r="BL74" s="12"/>
      <c r="BM74" s="13"/>
      <c r="BN74" s="13"/>
      <c r="BP74" s="11">
        <v>71</v>
      </c>
      <c r="BQ74" s="12"/>
      <c r="BR74" s="13"/>
      <c r="BS74" s="13"/>
      <c r="BU74" s="11">
        <v>71</v>
      </c>
      <c r="BV74" s="12"/>
      <c r="BW74" s="12"/>
      <c r="BX74" s="12"/>
    </row>
    <row r="75" spans="1:76">
      <c r="A75" s="20" t="s">
        <v>23</v>
      </c>
      <c r="B75" s="20">
        <v>8</v>
      </c>
      <c r="C75" s="5" t="s">
        <v>28</v>
      </c>
      <c r="D75" s="37">
        <f t="shared" si="10"/>
        <v>0</v>
      </c>
      <c r="E75" s="59">
        <f t="shared" si="9"/>
        <v>0</v>
      </c>
      <c r="F75" s="38">
        <f t="shared" si="9"/>
        <v>0</v>
      </c>
      <c r="R75" s="11">
        <v>72</v>
      </c>
      <c r="S75" s="12"/>
      <c r="T75" s="13"/>
      <c r="U75" s="13"/>
      <c r="W75" s="11">
        <v>72</v>
      </c>
      <c r="X75" s="12"/>
      <c r="Y75" s="13"/>
      <c r="Z75" s="13"/>
      <c r="AB75" s="11">
        <v>72</v>
      </c>
      <c r="AC75" s="12"/>
      <c r="AD75" s="12"/>
      <c r="AE75" s="12"/>
      <c r="AG75" s="11">
        <v>72</v>
      </c>
      <c r="AH75" s="12"/>
      <c r="AI75" s="12"/>
      <c r="AJ75" s="12"/>
      <c r="AL75" s="11">
        <v>72</v>
      </c>
      <c r="AM75" s="12"/>
      <c r="AN75" s="12"/>
      <c r="AO75" s="12"/>
      <c r="AQ75" s="11">
        <v>72</v>
      </c>
      <c r="AR75" s="13"/>
      <c r="AS75" s="13"/>
      <c r="AT75" s="11">
        <v>72</v>
      </c>
      <c r="AU75" s="13"/>
      <c r="AW75" s="11">
        <v>72</v>
      </c>
      <c r="AX75" s="12"/>
      <c r="AY75" s="12"/>
      <c r="AZ75" s="12"/>
      <c r="BA75" s="12"/>
      <c r="BB75" s="12"/>
      <c r="BC75" s="12"/>
      <c r="BD75" s="12"/>
      <c r="BE75" s="12"/>
      <c r="BF75" s="24"/>
      <c r="BG75" s="29"/>
      <c r="BH75" s="12"/>
      <c r="BI75" s="12"/>
      <c r="BK75" s="11">
        <v>72</v>
      </c>
      <c r="BL75" s="12"/>
      <c r="BM75" s="13"/>
      <c r="BN75" s="13"/>
      <c r="BP75" s="11">
        <v>72</v>
      </c>
      <c r="BQ75" s="12"/>
      <c r="BR75" s="13"/>
      <c r="BS75" s="13"/>
      <c r="BU75" s="11">
        <v>72</v>
      </c>
      <c r="BV75" s="12"/>
      <c r="BW75" s="12"/>
      <c r="BX75" s="12"/>
    </row>
    <row r="76" spans="1:76">
      <c r="A76" s="20" t="s">
        <v>24</v>
      </c>
      <c r="B76" s="20">
        <v>9</v>
      </c>
      <c r="C76" s="5" t="s">
        <v>16</v>
      </c>
      <c r="D76" s="37">
        <f t="shared" si="10"/>
        <v>0</v>
      </c>
      <c r="E76" s="59">
        <f t="shared" si="9"/>
        <v>0</v>
      </c>
      <c r="F76" s="38">
        <f t="shared" si="9"/>
        <v>0</v>
      </c>
      <c r="R76" s="11">
        <v>73</v>
      </c>
      <c r="S76" s="12"/>
      <c r="T76" s="13"/>
      <c r="U76" s="13"/>
      <c r="W76" s="11">
        <v>73</v>
      </c>
      <c r="X76" s="12"/>
      <c r="Y76" s="13"/>
      <c r="Z76" s="13"/>
      <c r="AB76" s="11">
        <v>73</v>
      </c>
      <c r="AC76" s="12"/>
      <c r="AD76" s="12"/>
      <c r="AE76" s="12"/>
      <c r="AG76" s="11">
        <v>73</v>
      </c>
      <c r="AH76" s="12"/>
      <c r="AI76" s="12"/>
      <c r="AJ76" s="12"/>
      <c r="AL76" s="11">
        <v>73</v>
      </c>
      <c r="AM76" s="12"/>
      <c r="AN76" s="12"/>
      <c r="AO76" s="12"/>
      <c r="AQ76" s="11">
        <v>73</v>
      </c>
      <c r="AR76" s="13"/>
      <c r="AS76" s="13"/>
      <c r="AT76" s="11">
        <v>73</v>
      </c>
      <c r="AU76" s="13"/>
      <c r="AW76" s="11">
        <v>73</v>
      </c>
      <c r="AX76" s="12"/>
      <c r="AY76" s="12"/>
      <c r="AZ76" s="12"/>
      <c r="BA76" s="12"/>
      <c r="BB76" s="12"/>
      <c r="BC76" s="12"/>
      <c r="BD76" s="12"/>
      <c r="BE76" s="12"/>
      <c r="BF76" s="24"/>
      <c r="BG76" s="29"/>
      <c r="BH76" s="12"/>
      <c r="BI76" s="12"/>
      <c r="BK76" s="11">
        <v>73</v>
      </c>
      <c r="BL76" s="12"/>
      <c r="BM76" s="13"/>
      <c r="BN76" s="13"/>
      <c r="BP76" s="11">
        <v>73</v>
      </c>
      <c r="BQ76" s="12"/>
      <c r="BR76" s="13"/>
      <c r="BS76" s="13"/>
      <c r="BU76" s="11">
        <v>73</v>
      </c>
      <c r="BV76" s="12"/>
      <c r="BW76" s="12"/>
      <c r="BX76" s="12"/>
    </row>
    <row r="77" spans="1:76">
      <c r="A77" s="21" t="s">
        <v>35</v>
      </c>
      <c r="B77" s="21">
        <v>10</v>
      </c>
      <c r="C77" s="5" t="s">
        <v>37</v>
      </c>
      <c r="D77" s="37">
        <f t="shared" si="10"/>
        <v>0</v>
      </c>
      <c r="E77" s="59">
        <f t="shared" si="9"/>
        <v>0</v>
      </c>
      <c r="F77" s="38">
        <f t="shared" si="9"/>
        <v>0</v>
      </c>
      <c r="R77" s="11">
        <v>74</v>
      </c>
      <c r="S77" s="12"/>
      <c r="T77" s="13"/>
      <c r="U77" s="13"/>
      <c r="W77" s="11">
        <v>74</v>
      </c>
      <c r="X77" s="12"/>
      <c r="Y77" s="13"/>
      <c r="Z77" s="13"/>
      <c r="AB77" s="11">
        <v>74</v>
      </c>
      <c r="AC77" s="12"/>
      <c r="AD77" s="12"/>
      <c r="AE77" s="12"/>
      <c r="AG77" s="11">
        <v>74</v>
      </c>
      <c r="AH77" s="12"/>
      <c r="AI77" s="12"/>
      <c r="AJ77" s="12"/>
      <c r="AL77" s="11">
        <v>74</v>
      </c>
      <c r="AM77" s="12"/>
      <c r="AN77" s="12"/>
      <c r="AO77" s="12"/>
      <c r="AQ77" s="11">
        <v>74</v>
      </c>
      <c r="AR77" s="13"/>
      <c r="AS77" s="13"/>
      <c r="AT77" s="11">
        <v>74</v>
      </c>
      <c r="AU77" s="13"/>
      <c r="AW77" s="11">
        <v>74</v>
      </c>
      <c r="AX77" s="12"/>
      <c r="AY77" s="12"/>
      <c r="AZ77" s="12"/>
      <c r="BA77" s="12"/>
      <c r="BB77" s="12"/>
      <c r="BC77" s="12"/>
      <c r="BD77" s="12"/>
      <c r="BE77" s="12"/>
      <c r="BF77" s="24"/>
      <c r="BG77" s="29"/>
      <c r="BH77" s="12"/>
      <c r="BI77" s="12"/>
      <c r="BK77" s="11">
        <v>74</v>
      </c>
      <c r="BL77" s="12"/>
      <c r="BM77" s="13"/>
      <c r="BN77" s="13"/>
      <c r="BP77" s="11">
        <v>74</v>
      </c>
      <c r="BQ77" s="12"/>
      <c r="BR77" s="13"/>
      <c r="BS77" s="13"/>
      <c r="BU77" s="11">
        <v>74</v>
      </c>
      <c r="BV77" s="12"/>
      <c r="BW77" s="12"/>
      <c r="BX77" s="12"/>
    </row>
    <row r="78" spans="1:76">
      <c r="A78" s="22" t="s">
        <v>39</v>
      </c>
      <c r="B78" s="22">
        <v>11</v>
      </c>
      <c r="C78" s="17" t="s">
        <v>38</v>
      </c>
      <c r="D78" s="60">
        <f t="shared" si="10"/>
        <v>0</v>
      </c>
      <c r="E78" s="39">
        <f t="shared" si="9"/>
        <v>0</v>
      </c>
      <c r="F78" s="40">
        <f t="shared" si="9"/>
        <v>0</v>
      </c>
      <c r="R78" s="11">
        <v>75</v>
      </c>
      <c r="S78" s="12"/>
      <c r="T78" s="13"/>
      <c r="U78" s="13"/>
      <c r="W78" s="11">
        <v>75</v>
      </c>
      <c r="X78" s="12"/>
      <c r="Y78" s="13"/>
      <c r="Z78" s="13"/>
      <c r="AB78" s="11">
        <v>75</v>
      </c>
      <c r="AC78" s="12"/>
      <c r="AD78" s="12"/>
      <c r="AE78" s="12"/>
      <c r="AG78" s="11">
        <v>75</v>
      </c>
      <c r="AH78" s="12"/>
      <c r="AI78" s="12"/>
      <c r="AJ78" s="12"/>
      <c r="AL78" s="11">
        <v>75</v>
      </c>
      <c r="AM78" s="12"/>
      <c r="AN78" s="12"/>
      <c r="AO78" s="12"/>
      <c r="AQ78" s="11">
        <v>75</v>
      </c>
      <c r="AR78" s="13"/>
      <c r="AS78" s="13"/>
      <c r="AT78" s="11">
        <v>75</v>
      </c>
      <c r="AU78" s="13"/>
      <c r="AW78" s="11">
        <v>75</v>
      </c>
      <c r="AX78" s="12"/>
      <c r="AY78" s="12"/>
      <c r="AZ78" s="12"/>
      <c r="BA78" s="12"/>
      <c r="BB78" s="12"/>
      <c r="BC78" s="12"/>
      <c r="BD78" s="12"/>
      <c r="BE78" s="12"/>
      <c r="BF78" s="24"/>
      <c r="BG78" s="29"/>
      <c r="BH78" s="12"/>
      <c r="BI78" s="12"/>
      <c r="BK78" s="11">
        <v>75</v>
      </c>
      <c r="BL78" s="12"/>
      <c r="BM78" s="13"/>
      <c r="BN78" s="13"/>
      <c r="BP78" s="11">
        <v>75</v>
      </c>
      <c r="BQ78" s="12"/>
      <c r="BR78" s="13"/>
      <c r="BS78" s="13"/>
      <c r="BU78" s="11">
        <v>75</v>
      </c>
      <c r="BV78" s="12"/>
      <c r="BW78" s="12"/>
      <c r="BX78" s="12"/>
    </row>
    <row r="79" spans="1:76">
      <c r="R79" s="11">
        <v>76</v>
      </c>
      <c r="S79" s="12"/>
      <c r="T79" s="13"/>
      <c r="U79" s="13"/>
      <c r="W79" s="11">
        <v>76</v>
      </c>
      <c r="X79" s="12"/>
      <c r="Y79" s="13"/>
      <c r="Z79" s="13"/>
      <c r="AB79" s="11">
        <v>76</v>
      </c>
      <c r="AC79" s="12"/>
      <c r="AD79" s="12"/>
      <c r="AE79" s="12"/>
      <c r="AG79" s="11">
        <v>76</v>
      </c>
      <c r="AH79" s="12"/>
      <c r="AI79" s="12"/>
      <c r="AJ79" s="12"/>
      <c r="AL79" s="11">
        <v>76</v>
      </c>
      <c r="AM79" s="12"/>
      <c r="AN79" s="12"/>
      <c r="AO79" s="12"/>
      <c r="AQ79" s="11">
        <v>76</v>
      </c>
      <c r="AR79" s="13"/>
      <c r="AS79" s="13"/>
      <c r="AT79" s="11">
        <v>76</v>
      </c>
      <c r="AU79" s="13"/>
      <c r="AW79" s="11">
        <v>76</v>
      </c>
      <c r="AX79" s="12"/>
      <c r="AY79" s="12"/>
      <c r="AZ79" s="12"/>
      <c r="BA79" s="12"/>
      <c r="BB79" s="12"/>
      <c r="BC79" s="12"/>
      <c r="BD79" s="12"/>
      <c r="BE79" s="12"/>
      <c r="BF79" s="24"/>
      <c r="BG79" s="29"/>
      <c r="BH79" s="12"/>
      <c r="BI79" s="12"/>
      <c r="BK79" s="11">
        <v>76</v>
      </c>
      <c r="BL79" s="12"/>
      <c r="BM79" s="13"/>
      <c r="BN79" s="13"/>
      <c r="BP79" s="11">
        <v>76</v>
      </c>
      <c r="BQ79" s="12"/>
      <c r="BR79" s="13"/>
      <c r="BS79" s="13"/>
      <c r="BU79" s="11">
        <v>76</v>
      </c>
      <c r="BV79" s="12"/>
      <c r="BW79" s="12"/>
      <c r="BX79" s="12"/>
    </row>
    <row r="80" spans="1:76">
      <c r="R80" s="11">
        <v>77</v>
      </c>
      <c r="S80" s="12"/>
      <c r="T80" s="13"/>
      <c r="U80" s="13"/>
      <c r="W80" s="11">
        <v>77</v>
      </c>
      <c r="X80" s="12"/>
      <c r="Y80" s="13"/>
      <c r="Z80" s="13"/>
      <c r="AB80" s="11">
        <v>77</v>
      </c>
      <c r="AC80" s="12"/>
      <c r="AD80" s="12"/>
      <c r="AE80" s="12"/>
      <c r="AG80" s="11">
        <v>77</v>
      </c>
      <c r="AH80" s="12"/>
      <c r="AI80" s="12"/>
      <c r="AJ80" s="12"/>
      <c r="AL80" s="11">
        <v>77</v>
      </c>
      <c r="AM80" s="12"/>
      <c r="AN80" s="12"/>
      <c r="AO80" s="12"/>
      <c r="AQ80" s="11">
        <v>77</v>
      </c>
      <c r="AR80" s="13"/>
      <c r="AS80" s="13"/>
      <c r="AT80" s="11">
        <v>77</v>
      </c>
      <c r="AU80" s="13"/>
      <c r="AW80" s="11">
        <v>77</v>
      </c>
      <c r="AX80" s="12"/>
      <c r="AY80" s="12"/>
      <c r="AZ80" s="12"/>
      <c r="BA80" s="12"/>
      <c r="BB80" s="12"/>
      <c r="BC80" s="12"/>
      <c r="BD80" s="12"/>
      <c r="BE80" s="12"/>
      <c r="BF80" s="24"/>
      <c r="BG80" s="29"/>
      <c r="BH80" s="12"/>
      <c r="BI80" s="12"/>
      <c r="BK80" s="11">
        <v>77</v>
      </c>
      <c r="BL80" s="12"/>
      <c r="BM80" s="13"/>
      <c r="BN80" s="13"/>
      <c r="BP80" s="11">
        <v>77</v>
      </c>
      <c r="BQ80" s="12"/>
      <c r="BR80" s="13"/>
      <c r="BS80" s="13"/>
      <c r="BU80" s="11">
        <v>77</v>
      </c>
      <c r="BV80" s="12"/>
      <c r="BW80" s="12"/>
      <c r="BX80" s="12"/>
    </row>
    <row r="81" spans="18:76">
      <c r="R81" s="11">
        <v>78</v>
      </c>
      <c r="S81" s="12"/>
      <c r="T81" s="13"/>
      <c r="U81" s="13"/>
      <c r="W81" s="11">
        <v>78</v>
      </c>
      <c r="X81" s="12"/>
      <c r="Y81" s="13"/>
      <c r="Z81" s="13"/>
      <c r="AB81" s="11">
        <v>78</v>
      </c>
      <c r="AC81" s="12"/>
      <c r="AD81" s="12"/>
      <c r="AE81" s="12"/>
      <c r="AG81" s="11">
        <v>78</v>
      </c>
      <c r="AH81" s="12"/>
      <c r="AI81" s="12"/>
      <c r="AJ81" s="12"/>
      <c r="AL81" s="11">
        <v>78</v>
      </c>
      <c r="AM81" s="12"/>
      <c r="AN81" s="12"/>
      <c r="AO81" s="12"/>
      <c r="AQ81" s="11">
        <v>78</v>
      </c>
      <c r="AR81" s="13"/>
      <c r="AS81" s="13"/>
      <c r="AT81" s="11">
        <v>78</v>
      </c>
      <c r="AU81" s="13"/>
      <c r="AW81" s="11">
        <v>78</v>
      </c>
      <c r="AX81" s="12"/>
      <c r="AY81" s="12"/>
      <c r="AZ81" s="12"/>
      <c r="BA81" s="12"/>
      <c r="BB81" s="12"/>
      <c r="BC81" s="12"/>
      <c r="BD81" s="12"/>
      <c r="BE81" s="12"/>
      <c r="BF81" s="24"/>
      <c r="BG81" s="29"/>
      <c r="BH81" s="12"/>
      <c r="BI81" s="12"/>
      <c r="BK81" s="11">
        <v>78</v>
      </c>
      <c r="BL81" s="12"/>
      <c r="BM81" s="13"/>
      <c r="BN81" s="13"/>
      <c r="BP81" s="11">
        <v>78</v>
      </c>
      <c r="BQ81" s="12"/>
      <c r="BR81" s="13"/>
      <c r="BS81" s="13"/>
      <c r="BU81" s="11">
        <v>78</v>
      </c>
      <c r="BV81" s="12"/>
      <c r="BW81" s="12"/>
      <c r="BX81" s="12"/>
    </row>
    <row r="82" spans="18:76">
      <c r="R82" s="11">
        <v>79</v>
      </c>
      <c r="S82" s="12"/>
      <c r="T82" s="13"/>
      <c r="U82" s="13"/>
      <c r="W82" s="11">
        <v>79</v>
      </c>
      <c r="X82" s="12"/>
      <c r="Y82" s="13"/>
      <c r="Z82" s="13"/>
      <c r="AB82" s="11">
        <v>79</v>
      </c>
      <c r="AC82" s="12"/>
      <c r="AD82" s="12"/>
      <c r="AE82" s="12"/>
      <c r="AG82" s="11">
        <v>79</v>
      </c>
      <c r="AH82" s="12"/>
      <c r="AI82" s="12"/>
      <c r="AJ82" s="12"/>
      <c r="AL82" s="11">
        <v>79</v>
      </c>
      <c r="AM82" s="12"/>
      <c r="AN82" s="12"/>
      <c r="AO82" s="12"/>
      <c r="AQ82" s="11">
        <v>79</v>
      </c>
      <c r="AR82" s="13"/>
      <c r="AS82" s="13"/>
      <c r="AT82" s="11">
        <v>79</v>
      </c>
      <c r="AU82" s="13"/>
      <c r="AW82" s="11">
        <v>79</v>
      </c>
      <c r="AX82" s="12"/>
      <c r="AY82" s="12"/>
      <c r="AZ82" s="12"/>
      <c r="BA82" s="12"/>
      <c r="BB82" s="12"/>
      <c r="BC82" s="12"/>
      <c r="BD82" s="12"/>
      <c r="BE82" s="12"/>
      <c r="BF82" s="24"/>
      <c r="BG82" s="29"/>
      <c r="BH82" s="12"/>
      <c r="BI82" s="12"/>
      <c r="BK82" s="11">
        <v>79</v>
      </c>
      <c r="BL82" s="12"/>
      <c r="BM82" s="13"/>
      <c r="BN82" s="13"/>
      <c r="BP82" s="11">
        <v>79</v>
      </c>
      <c r="BQ82" s="12"/>
      <c r="BR82" s="13"/>
      <c r="BS82" s="13"/>
      <c r="BU82" s="11">
        <v>79</v>
      </c>
      <c r="BV82" s="12"/>
      <c r="BW82" s="12"/>
      <c r="BX82" s="12"/>
    </row>
    <row r="83" spans="18:76">
      <c r="R83" s="11">
        <v>80</v>
      </c>
      <c r="S83" s="12"/>
      <c r="T83" s="13"/>
      <c r="U83" s="13"/>
      <c r="W83" s="11">
        <v>80</v>
      </c>
      <c r="X83" s="12"/>
      <c r="Y83" s="13"/>
      <c r="Z83" s="13"/>
      <c r="AB83" s="11">
        <v>80</v>
      </c>
      <c r="AC83" s="12"/>
      <c r="AD83" s="12"/>
      <c r="AE83" s="12"/>
      <c r="AG83" s="11">
        <v>80</v>
      </c>
      <c r="AH83" s="12"/>
      <c r="AI83" s="12"/>
      <c r="AJ83" s="12"/>
      <c r="AL83" s="11">
        <v>80</v>
      </c>
      <c r="AM83" s="12"/>
      <c r="AN83" s="12"/>
      <c r="AO83" s="12"/>
      <c r="AQ83" s="11">
        <v>80</v>
      </c>
      <c r="AR83" s="13"/>
      <c r="AS83" s="13"/>
      <c r="AT83" s="11">
        <v>80</v>
      </c>
      <c r="AU83" s="13"/>
      <c r="AW83" s="11">
        <v>80</v>
      </c>
      <c r="AX83" s="12"/>
      <c r="AY83" s="12"/>
      <c r="AZ83" s="12"/>
      <c r="BA83" s="12"/>
      <c r="BB83" s="12"/>
      <c r="BC83" s="12"/>
      <c r="BD83" s="12"/>
      <c r="BE83" s="12"/>
      <c r="BF83" s="24"/>
      <c r="BG83" s="29"/>
      <c r="BH83" s="12"/>
      <c r="BI83" s="12"/>
      <c r="BK83" s="11">
        <v>80</v>
      </c>
      <c r="BL83" s="12"/>
      <c r="BM83" s="13"/>
      <c r="BN83" s="13"/>
      <c r="BP83" s="11">
        <v>80</v>
      </c>
      <c r="BQ83" s="12"/>
      <c r="BR83" s="13"/>
      <c r="BS83" s="13"/>
      <c r="BU83" s="11">
        <v>80</v>
      </c>
      <c r="BV83" s="12"/>
      <c r="BW83" s="12"/>
      <c r="BX83" s="12"/>
    </row>
    <row r="84" spans="18:76">
      <c r="R84" s="11">
        <v>81</v>
      </c>
      <c r="S84" s="12"/>
      <c r="T84" s="13"/>
      <c r="U84" s="13"/>
      <c r="W84" s="11">
        <v>81</v>
      </c>
      <c r="X84" s="12"/>
      <c r="Y84" s="13"/>
      <c r="Z84" s="13"/>
      <c r="AB84" s="11">
        <v>81</v>
      </c>
      <c r="AC84" s="12"/>
      <c r="AD84" s="12"/>
      <c r="AE84" s="12"/>
      <c r="AG84" s="11">
        <v>81</v>
      </c>
      <c r="AH84" s="12"/>
      <c r="AI84" s="12"/>
      <c r="AJ84" s="12"/>
      <c r="AL84" s="11">
        <v>81</v>
      </c>
      <c r="AM84" s="12"/>
      <c r="AN84" s="12"/>
      <c r="AO84" s="12"/>
      <c r="AQ84" s="11">
        <v>81</v>
      </c>
      <c r="AR84" s="13"/>
      <c r="AS84" s="13"/>
      <c r="AT84" s="11">
        <v>81</v>
      </c>
      <c r="AU84" s="13"/>
      <c r="AW84" s="11">
        <v>81</v>
      </c>
      <c r="AX84" s="12"/>
      <c r="AY84" s="12"/>
      <c r="AZ84" s="12"/>
      <c r="BA84" s="12"/>
      <c r="BB84" s="12"/>
      <c r="BC84" s="12"/>
      <c r="BD84" s="12"/>
      <c r="BE84" s="12"/>
      <c r="BF84" s="24"/>
      <c r="BG84" s="29"/>
      <c r="BH84" s="12"/>
      <c r="BI84" s="12"/>
      <c r="BK84" s="11">
        <v>81</v>
      </c>
      <c r="BL84" s="12"/>
      <c r="BM84" s="13"/>
      <c r="BN84" s="13"/>
      <c r="BP84" s="11">
        <v>81</v>
      </c>
      <c r="BQ84" s="12"/>
      <c r="BR84" s="13"/>
      <c r="BS84" s="13"/>
      <c r="BU84" s="11">
        <v>81</v>
      </c>
      <c r="BV84" s="12"/>
      <c r="BW84" s="12"/>
      <c r="BX84" s="12"/>
    </row>
    <row r="85" spans="18:76">
      <c r="R85" s="11">
        <v>82</v>
      </c>
      <c r="S85" s="12"/>
      <c r="T85" s="13"/>
      <c r="U85" s="13"/>
      <c r="W85" s="11">
        <v>82</v>
      </c>
      <c r="X85" s="12"/>
      <c r="Y85" s="13"/>
      <c r="Z85" s="13"/>
      <c r="AB85" s="11">
        <v>82</v>
      </c>
      <c r="AC85" s="12"/>
      <c r="AD85" s="12"/>
      <c r="AE85" s="12"/>
      <c r="AG85" s="11">
        <v>82</v>
      </c>
      <c r="AH85" s="12"/>
      <c r="AI85" s="12"/>
      <c r="AJ85" s="12"/>
      <c r="AL85" s="11">
        <v>82</v>
      </c>
      <c r="AM85" s="12"/>
      <c r="AN85" s="12"/>
      <c r="AO85" s="12"/>
      <c r="AQ85" s="11">
        <v>82</v>
      </c>
      <c r="AR85" s="13"/>
      <c r="AS85" s="13"/>
      <c r="AT85" s="11">
        <v>82</v>
      </c>
      <c r="AU85" s="13"/>
      <c r="AW85" s="11">
        <v>82</v>
      </c>
      <c r="AX85" s="12"/>
      <c r="AY85" s="12"/>
      <c r="AZ85" s="12"/>
      <c r="BA85" s="12"/>
      <c r="BB85" s="12"/>
      <c r="BC85" s="12"/>
      <c r="BD85" s="12"/>
      <c r="BE85" s="12"/>
      <c r="BF85" s="24"/>
      <c r="BG85" s="29"/>
      <c r="BH85" s="12"/>
      <c r="BI85" s="12"/>
      <c r="BK85" s="11">
        <v>82</v>
      </c>
      <c r="BL85" s="12"/>
      <c r="BM85" s="13"/>
      <c r="BN85" s="13"/>
      <c r="BP85" s="11">
        <v>82</v>
      </c>
      <c r="BQ85" s="12"/>
      <c r="BR85" s="13"/>
      <c r="BS85" s="13"/>
      <c r="BU85" s="11">
        <v>82</v>
      </c>
      <c r="BV85" s="12"/>
      <c r="BW85" s="12"/>
      <c r="BX85" s="12"/>
    </row>
    <row r="86" spans="18:76">
      <c r="R86" s="11">
        <v>83</v>
      </c>
      <c r="S86" s="12"/>
      <c r="T86" s="13"/>
      <c r="U86" s="13"/>
      <c r="W86" s="11">
        <v>83</v>
      </c>
      <c r="X86" s="12"/>
      <c r="Y86" s="13"/>
      <c r="Z86" s="13"/>
      <c r="AB86" s="11">
        <v>83</v>
      </c>
      <c r="AC86" s="12"/>
      <c r="AD86" s="12"/>
      <c r="AE86" s="12"/>
      <c r="AG86" s="11">
        <v>83</v>
      </c>
      <c r="AH86" s="12"/>
      <c r="AI86" s="12"/>
      <c r="AJ86" s="12"/>
      <c r="AL86" s="11">
        <v>83</v>
      </c>
      <c r="AM86" s="12"/>
      <c r="AN86" s="12"/>
      <c r="AO86" s="12"/>
      <c r="AQ86" s="11">
        <v>83</v>
      </c>
      <c r="AR86" s="13"/>
      <c r="AS86" s="13"/>
      <c r="AT86" s="11">
        <v>83</v>
      </c>
      <c r="AU86" s="13"/>
      <c r="AW86" s="11">
        <v>83</v>
      </c>
      <c r="AX86" s="12"/>
      <c r="AY86" s="12"/>
      <c r="AZ86" s="12"/>
      <c r="BA86" s="12"/>
      <c r="BB86" s="12"/>
      <c r="BC86" s="12"/>
      <c r="BD86" s="12"/>
      <c r="BE86" s="12"/>
      <c r="BF86" s="24"/>
      <c r="BG86" s="29"/>
      <c r="BH86" s="12"/>
      <c r="BI86" s="12"/>
      <c r="BK86" s="11">
        <v>83</v>
      </c>
      <c r="BL86" s="12"/>
      <c r="BM86" s="13"/>
      <c r="BN86" s="13"/>
      <c r="BP86" s="11">
        <v>83</v>
      </c>
      <c r="BQ86" s="12"/>
      <c r="BR86" s="13"/>
      <c r="BS86" s="13"/>
      <c r="BU86" s="11">
        <v>83</v>
      </c>
      <c r="BV86" s="12"/>
      <c r="BW86" s="12"/>
      <c r="BX86" s="12"/>
    </row>
    <row r="87" spans="18:76">
      <c r="R87" s="11">
        <v>84</v>
      </c>
      <c r="S87" s="12"/>
      <c r="T87" s="13"/>
      <c r="U87" s="13"/>
      <c r="W87" s="11">
        <v>84</v>
      </c>
      <c r="X87" s="12"/>
      <c r="Y87" s="13"/>
      <c r="Z87" s="13"/>
      <c r="AB87" s="11">
        <v>84</v>
      </c>
      <c r="AC87" s="12"/>
      <c r="AD87" s="12"/>
      <c r="AE87" s="12"/>
      <c r="AG87" s="11">
        <v>84</v>
      </c>
      <c r="AH87" s="12"/>
      <c r="AI87" s="12"/>
      <c r="AJ87" s="12"/>
      <c r="AL87" s="11">
        <v>84</v>
      </c>
      <c r="AM87" s="12"/>
      <c r="AN87" s="12"/>
      <c r="AO87" s="12"/>
      <c r="AQ87" s="11">
        <v>84</v>
      </c>
      <c r="AR87" s="13"/>
      <c r="AS87" s="13"/>
      <c r="AT87" s="11">
        <v>84</v>
      </c>
      <c r="AU87" s="13"/>
      <c r="AW87" s="11">
        <v>84</v>
      </c>
      <c r="AX87" s="12"/>
      <c r="AY87" s="12"/>
      <c r="AZ87" s="12"/>
      <c r="BA87" s="12"/>
      <c r="BB87" s="12"/>
      <c r="BC87" s="12"/>
      <c r="BD87" s="12"/>
      <c r="BE87" s="12"/>
      <c r="BF87" s="24"/>
      <c r="BG87" s="29"/>
      <c r="BH87" s="12"/>
      <c r="BI87" s="12"/>
      <c r="BK87" s="11">
        <v>84</v>
      </c>
      <c r="BL87" s="12"/>
      <c r="BM87" s="13"/>
      <c r="BN87" s="13"/>
      <c r="BP87" s="11">
        <v>84</v>
      </c>
      <c r="BQ87" s="12"/>
      <c r="BR87" s="13"/>
      <c r="BS87" s="13"/>
      <c r="BU87" s="11">
        <v>84</v>
      </c>
      <c r="BV87" s="12"/>
      <c r="BW87" s="12"/>
      <c r="BX87" s="12"/>
    </row>
    <row r="88" spans="18:76">
      <c r="R88" s="11">
        <v>85</v>
      </c>
      <c r="S88" s="12"/>
      <c r="T88" s="13"/>
      <c r="U88" s="13"/>
      <c r="W88" s="11">
        <v>85</v>
      </c>
      <c r="X88" s="12"/>
      <c r="Y88" s="13"/>
      <c r="Z88" s="13"/>
      <c r="AB88" s="11">
        <v>85</v>
      </c>
      <c r="AC88" s="12"/>
      <c r="AD88" s="12"/>
      <c r="AE88" s="12"/>
      <c r="AG88" s="11">
        <v>85</v>
      </c>
      <c r="AH88" s="12"/>
      <c r="AI88" s="12"/>
      <c r="AJ88" s="12"/>
      <c r="AL88" s="11">
        <v>85</v>
      </c>
      <c r="AM88" s="12"/>
      <c r="AN88" s="12"/>
      <c r="AO88" s="12"/>
      <c r="AQ88" s="11">
        <v>85</v>
      </c>
      <c r="AR88" s="13"/>
      <c r="AS88" s="13"/>
      <c r="AT88" s="11">
        <v>85</v>
      </c>
      <c r="AU88" s="13"/>
      <c r="AW88" s="11">
        <v>85</v>
      </c>
      <c r="AX88" s="12"/>
      <c r="AY88" s="12"/>
      <c r="AZ88" s="12"/>
      <c r="BA88" s="12"/>
      <c r="BB88" s="12"/>
      <c r="BC88" s="12"/>
      <c r="BD88" s="12"/>
      <c r="BE88" s="12"/>
      <c r="BF88" s="24"/>
      <c r="BG88" s="29"/>
      <c r="BH88" s="12"/>
      <c r="BI88" s="12"/>
      <c r="BK88" s="11">
        <v>85</v>
      </c>
      <c r="BL88" s="12"/>
      <c r="BM88" s="13"/>
      <c r="BN88" s="13"/>
      <c r="BP88" s="11">
        <v>85</v>
      </c>
      <c r="BQ88" s="12"/>
      <c r="BR88" s="13"/>
      <c r="BS88" s="13"/>
      <c r="BU88" s="11">
        <v>85</v>
      </c>
      <c r="BV88" s="12"/>
      <c r="BW88" s="12"/>
      <c r="BX88" s="12"/>
    </row>
    <row r="89" spans="18:76">
      <c r="R89" s="11">
        <v>86</v>
      </c>
      <c r="S89" s="12"/>
      <c r="T89" s="13"/>
      <c r="U89" s="13"/>
      <c r="W89" s="11">
        <v>86</v>
      </c>
      <c r="X89" s="12"/>
      <c r="Y89" s="13"/>
      <c r="Z89" s="13"/>
      <c r="AB89" s="11">
        <v>86</v>
      </c>
      <c r="AC89" s="12"/>
      <c r="AD89" s="12"/>
      <c r="AE89" s="12"/>
      <c r="AG89" s="11">
        <v>86</v>
      </c>
      <c r="AH89" s="12"/>
      <c r="AI89" s="12"/>
      <c r="AJ89" s="12"/>
      <c r="AL89" s="11">
        <v>86</v>
      </c>
      <c r="AM89" s="12"/>
      <c r="AN89" s="12"/>
      <c r="AO89" s="12"/>
      <c r="AQ89" s="11">
        <v>86</v>
      </c>
      <c r="AR89" s="13"/>
      <c r="AS89" s="13"/>
      <c r="AT89" s="11">
        <v>86</v>
      </c>
      <c r="AU89" s="13"/>
      <c r="AW89" s="11">
        <v>86</v>
      </c>
      <c r="AX89" s="12"/>
      <c r="AY89" s="12"/>
      <c r="AZ89" s="12"/>
      <c r="BA89" s="12"/>
      <c r="BB89" s="12"/>
      <c r="BC89" s="12"/>
      <c r="BD89" s="12"/>
      <c r="BE89" s="12"/>
      <c r="BF89" s="24"/>
      <c r="BG89" s="29"/>
      <c r="BH89" s="12"/>
      <c r="BI89" s="12"/>
      <c r="BK89" s="11">
        <v>86</v>
      </c>
      <c r="BL89" s="12"/>
      <c r="BM89" s="13"/>
      <c r="BN89" s="13"/>
      <c r="BP89" s="11">
        <v>86</v>
      </c>
      <c r="BQ89" s="12"/>
      <c r="BR89" s="13"/>
      <c r="BS89" s="13"/>
      <c r="BU89" s="11">
        <v>86</v>
      </c>
      <c r="BV89" s="12"/>
      <c r="BW89" s="12"/>
      <c r="BX89" s="12"/>
    </row>
    <row r="90" spans="18:76">
      <c r="R90" s="11">
        <v>87</v>
      </c>
      <c r="S90" s="12"/>
      <c r="T90" s="13"/>
      <c r="U90" s="13"/>
      <c r="W90" s="11">
        <v>87</v>
      </c>
      <c r="X90" s="12"/>
      <c r="Y90" s="13"/>
      <c r="Z90" s="13"/>
      <c r="AB90" s="11">
        <v>87</v>
      </c>
      <c r="AC90" s="12"/>
      <c r="AD90" s="12"/>
      <c r="AE90" s="12"/>
      <c r="AG90" s="11">
        <v>87</v>
      </c>
      <c r="AH90" s="12"/>
      <c r="AI90" s="12"/>
      <c r="AJ90" s="12"/>
      <c r="AL90" s="11">
        <v>87</v>
      </c>
      <c r="AM90" s="12"/>
      <c r="AN90" s="12"/>
      <c r="AO90" s="12"/>
      <c r="AQ90" s="11">
        <v>87</v>
      </c>
      <c r="AR90" s="13"/>
      <c r="AS90" s="13"/>
      <c r="AT90" s="11">
        <v>87</v>
      </c>
      <c r="AU90" s="13"/>
      <c r="AW90" s="11">
        <v>87</v>
      </c>
      <c r="AX90" s="12"/>
      <c r="AY90" s="12"/>
      <c r="AZ90" s="12"/>
      <c r="BA90" s="12"/>
      <c r="BB90" s="12"/>
      <c r="BC90" s="12"/>
      <c r="BD90" s="12"/>
      <c r="BE90" s="12"/>
      <c r="BF90" s="24"/>
      <c r="BG90" s="29"/>
      <c r="BH90" s="12"/>
      <c r="BI90" s="12"/>
      <c r="BK90" s="11">
        <v>87</v>
      </c>
      <c r="BL90" s="12"/>
      <c r="BM90" s="13"/>
      <c r="BN90" s="13"/>
      <c r="BP90" s="11">
        <v>87</v>
      </c>
      <c r="BQ90" s="12"/>
      <c r="BR90" s="13"/>
      <c r="BS90" s="13"/>
      <c r="BU90" s="11">
        <v>87</v>
      </c>
      <c r="BV90" s="12"/>
      <c r="BW90" s="12"/>
      <c r="BX90" s="12"/>
    </row>
    <row r="91" spans="18:76">
      <c r="R91" s="11">
        <v>88</v>
      </c>
      <c r="S91" s="12"/>
      <c r="T91" s="13"/>
      <c r="U91" s="13"/>
      <c r="W91" s="11">
        <v>88</v>
      </c>
      <c r="X91" s="12"/>
      <c r="Y91" s="13"/>
      <c r="Z91" s="13"/>
      <c r="AB91" s="11">
        <v>88</v>
      </c>
      <c r="AC91" s="12"/>
      <c r="AD91" s="12"/>
      <c r="AE91" s="12"/>
      <c r="AG91" s="11">
        <v>88</v>
      </c>
      <c r="AH91" s="12"/>
      <c r="AI91" s="12"/>
      <c r="AJ91" s="12"/>
      <c r="AL91" s="11">
        <v>88</v>
      </c>
      <c r="AM91" s="12"/>
      <c r="AN91" s="12"/>
      <c r="AO91" s="12"/>
      <c r="AQ91" s="11">
        <v>88</v>
      </c>
      <c r="AR91" s="13"/>
      <c r="AS91" s="13"/>
      <c r="AT91" s="11">
        <v>88</v>
      </c>
      <c r="AU91" s="13"/>
      <c r="AW91" s="11">
        <v>88</v>
      </c>
      <c r="AX91" s="12"/>
      <c r="AY91" s="12"/>
      <c r="AZ91" s="12"/>
      <c r="BA91" s="12"/>
      <c r="BB91" s="12"/>
      <c r="BC91" s="12"/>
      <c r="BD91" s="12"/>
      <c r="BE91" s="12"/>
      <c r="BF91" s="24"/>
      <c r="BG91" s="29"/>
      <c r="BH91" s="12"/>
      <c r="BI91" s="12"/>
      <c r="BK91" s="11">
        <v>88</v>
      </c>
      <c r="BL91" s="12"/>
      <c r="BM91" s="13"/>
      <c r="BN91" s="13"/>
      <c r="BP91" s="11">
        <v>88</v>
      </c>
      <c r="BQ91" s="12"/>
      <c r="BR91" s="13"/>
      <c r="BS91" s="13"/>
      <c r="BU91" s="11">
        <v>88</v>
      </c>
      <c r="BV91" s="12"/>
      <c r="BW91" s="12"/>
      <c r="BX91" s="12"/>
    </row>
    <row r="92" spans="18:76">
      <c r="R92" s="11">
        <v>89</v>
      </c>
      <c r="S92" s="12"/>
      <c r="T92" s="13"/>
      <c r="U92" s="13"/>
      <c r="W92" s="11">
        <v>89</v>
      </c>
      <c r="X92" s="12"/>
      <c r="Y92" s="13"/>
      <c r="Z92" s="13"/>
      <c r="AB92" s="11">
        <v>89</v>
      </c>
      <c r="AC92" s="12"/>
      <c r="AD92" s="12"/>
      <c r="AE92" s="12"/>
      <c r="AG92" s="11">
        <v>89</v>
      </c>
      <c r="AH92" s="12"/>
      <c r="AI92" s="12"/>
      <c r="AJ92" s="12"/>
      <c r="AL92" s="11">
        <v>89</v>
      </c>
      <c r="AM92" s="12"/>
      <c r="AN92" s="12"/>
      <c r="AO92" s="12"/>
      <c r="AQ92" s="11">
        <v>89</v>
      </c>
      <c r="AR92" s="13"/>
      <c r="AS92" s="13"/>
      <c r="AT92" s="11">
        <v>89</v>
      </c>
      <c r="AU92" s="13"/>
      <c r="AW92" s="11">
        <v>89</v>
      </c>
      <c r="AX92" s="12"/>
      <c r="AY92" s="12"/>
      <c r="AZ92" s="12"/>
      <c r="BA92" s="12"/>
      <c r="BB92" s="12"/>
      <c r="BC92" s="12"/>
      <c r="BD92" s="12"/>
      <c r="BE92" s="12"/>
      <c r="BF92" s="24"/>
      <c r="BG92" s="29"/>
      <c r="BH92" s="12"/>
      <c r="BI92" s="12"/>
      <c r="BK92" s="11">
        <v>89</v>
      </c>
      <c r="BL92" s="12"/>
      <c r="BM92" s="13"/>
      <c r="BN92" s="13"/>
      <c r="BP92" s="11">
        <v>89</v>
      </c>
      <c r="BQ92" s="12"/>
      <c r="BR92" s="13"/>
      <c r="BS92" s="13"/>
      <c r="BU92" s="11">
        <v>89</v>
      </c>
      <c r="BV92" s="12"/>
      <c r="BW92" s="12"/>
      <c r="BX92" s="12"/>
    </row>
    <row r="93" spans="18:76">
      <c r="R93" s="11">
        <v>90</v>
      </c>
      <c r="S93" s="12"/>
      <c r="T93" s="13"/>
      <c r="U93" s="13"/>
      <c r="W93" s="11">
        <v>90</v>
      </c>
      <c r="X93" s="12"/>
      <c r="Y93" s="13"/>
      <c r="Z93" s="13"/>
      <c r="AB93" s="11">
        <v>90</v>
      </c>
      <c r="AC93" s="12"/>
      <c r="AD93" s="12"/>
      <c r="AE93" s="12"/>
      <c r="AG93" s="11">
        <v>90</v>
      </c>
      <c r="AH93" s="12"/>
      <c r="AI93" s="12"/>
      <c r="AJ93" s="12"/>
      <c r="AL93" s="11">
        <v>90</v>
      </c>
      <c r="AM93" s="12"/>
      <c r="AN93" s="12"/>
      <c r="AO93" s="12"/>
      <c r="AQ93" s="11">
        <v>90</v>
      </c>
      <c r="AR93" s="13"/>
      <c r="AS93" s="13"/>
      <c r="AT93" s="11">
        <v>90</v>
      </c>
      <c r="AU93" s="13"/>
      <c r="AW93" s="11">
        <v>90</v>
      </c>
      <c r="AX93" s="12"/>
      <c r="AY93" s="12"/>
      <c r="AZ93" s="12"/>
      <c r="BA93" s="12"/>
      <c r="BB93" s="12"/>
      <c r="BC93" s="12"/>
      <c r="BD93" s="12"/>
      <c r="BE93" s="12"/>
      <c r="BF93" s="24"/>
      <c r="BG93" s="29"/>
      <c r="BH93" s="12"/>
      <c r="BI93" s="12"/>
      <c r="BK93" s="11">
        <v>90</v>
      </c>
      <c r="BL93" s="12"/>
      <c r="BM93" s="13"/>
      <c r="BN93" s="13"/>
      <c r="BP93" s="11">
        <v>90</v>
      </c>
      <c r="BQ93" s="12"/>
      <c r="BR93" s="13"/>
      <c r="BS93" s="13"/>
      <c r="BU93" s="11">
        <v>90</v>
      </c>
      <c r="BV93" s="12"/>
      <c r="BW93" s="12"/>
      <c r="BX93" s="12"/>
    </row>
    <row r="94" spans="18:76">
      <c r="R94" s="11">
        <v>91</v>
      </c>
      <c r="S94" s="12"/>
      <c r="T94" s="13"/>
      <c r="U94" s="13"/>
      <c r="W94" s="11">
        <v>91</v>
      </c>
      <c r="X94" s="12"/>
      <c r="Y94" s="13"/>
      <c r="Z94" s="13"/>
      <c r="AB94" s="11">
        <v>91</v>
      </c>
      <c r="AC94" s="12"/>
      <c r="AD94" s="12"/>
      <c r="AE94" s="12"/>
      <c r="AG94" s="11">
        <v>91</v>
      </c>
      <c r="AH94" s="12"/>
      <c r="AI94" s="12"/>
      <c r="AJ94" s="12"/>
      <c r="AL94" s="11">
        <v>91</v>
      </c>
      <c r="AM94" s="12"/>
      <c r="AN94" s="12"/>
      <c r="AO94" s="12"/>
      <c r="AQ94" s="11">
        <v>91</v>
      </c>
      <c r="AR94" s="13"/>
      <c r="AS94" s="13"/>
      <c r="AT94" s="11">
        <v>91</v>
      </c>
      <c r="AU94" s="13"/>
      <c r="AW94" s="11">
        <v>91</v>
      </c>
      <c r="AX94" s="12"/>
      <c r="AY94" s="12"/>
      <c r="AZ94" s="12"/>
      <c r="BA94" s="12"/>
      <c r="BB94" s="12"/>
      <c r="BC94" s="12"/>
      <c r="BD94" s="12"/>
      <c r="BE94" s="12"/>
      <c r="BF94" s="24"/>
      <c r="BG94" s="29"/>
      <c r="BH94" s="12"/>
      <c r="BI94" s="12"/>
      <c r="BK94" s="11">
        <v>91</v>
      </c>
      <c r="BL94" s="12"/>
      <c r="BM94" s="13"/>
      <c r="BN94" s="13"/>
      <c r="BP94" s="11">
        <v>91</v>
      </c>
      <c r="BQ94" s="12"/>
      <c r="BR94" s="13"/>
      <c r="BS94" s="13"/>
      <c r="BU94" s="11">
        <v>91</v>
      </c>
      <c r="BV94" s="12"/>
      <c r="BW94" s="12"/>
      <c r="BX94" s="12"/>
    </row>
    <row r="95" spans="18:76">
      <c r="R95" s="11">
        <v>92</v>
      </c>
      <c r="S95" s="12"/>
      <c r="T95" s="13"/>
      <c r="U95" s="13"/>
      <c r="W95" s="11">
        <v>92</v>
      </c>
      <c r="X95" s="12"/>
      <c r="Y95" s="13"/>
      <c r="Z95" s="13"/>
      <c r="AB95" s="11">
        <v>92</v>
      </c>
      <c r="AC95" s="12"/>
      <c r="AD95" s="12"/>
      <c r="AE95" s="12"/>
      <c r="AG95" s="11">
        <v>92</v>
      </c>
      <c r="AH95" s="12"/>
      <c r="AI95" s="12"/>
      <c r="AJ95" s="12"/>
      <c r="AL95" s="11">
        <v>92</v>
      </c>
      <c r="AM95" s="12"/>
      <c r="AN95" s="12"/>
      <c r="AO95" s="12"/>
      <c r="AQ95" s="11">
        <v>92</v>
      </c>
      <c r="AR95" s="13"/>
      <c r="AS95" s="13"/>
      <c r="AT95" s="11">
        <v>92</v>
      </c>
      <c r="AU95" s="13"/>
      <c r="AW95" s="11">
        <v>92</v>
      </c>
      <c r="AX95" s="12"/>
      <c r="AY95" s="12"/>
      <c r="AZ95" s="12"/>
      <c r="BA95" s="12"/>
      <c r="BB95" s="12"/>
      <c r="BC95" s="12"/>
      <c r="BD95" s="12"/>
      <c r="BE95" s="12"/>
      <c r="BF95" s="24"/>
      <c r="BG95" s="29"/>
      <c r="BH95" s="12"/>
      <c r="BI95" s="12"/>
      <c r="BK95" s="11">
        <v>92</v>
      </c>
      <c r="BL95" s="12"/>
      <c r="BM95" s="13"/>
      <c r="BN95" s="13"/>
      <c r="BP95" s="11">
        <v>92</v>
      </c>
      <c r="BQ95" s="12"/>
      <c r="BR95" s="13"/>
      <c r="BS95" s="13"/>
      <c r="BU95" s="11">
        <v>92</v>
      </c>
      <c r="BV95" s="12"/>
      <c r="BW95" s="12"/>
      <c r="BX95" s="12"/>
    </row>
    <row r="96" spans="18:76">
      <c r="R96" s="11">
        <v>93</v>
      </c>
      <c r="S96" s="12"/>
      <c r="T96" s="13"/>
      <c r="U96" s="13"/>
      <c r="W96" s="11">
        <v>93</v>
      </c>
      <c r="X96" s="12"/>
      <c r="Y96" s="13"/>
      <c r="Z96" s="13"/>
      <c r="AB96" s="11">
        <v>93</v>
      </c>
      <c r="AC96" s="12"/>
      <c r="AD96" s="12"/>
      <c r="AE96" s="12"/>
      <c r="AG96" s="11">
        <v>93</v>
      </c>
      <c r="AH96" s="12"/>
      <c r="AI96" s="12"/>
      <c r="AJ96" s="12"/>
      <c r="AL96" s="11">
        <v>93</v>
      </c>
      <c r="AM96" s="12"/>
      <c r="AN96" s="12"/>
      <c r="AO96" s="12"/>
      <c r="AQ96" s="11">
        <v>93</v>
      </c>
      <c r="AR96" s="13"/>
      <c r="AS96" s="13"/>
      <c r="AT96" s="11">
        <v>93</v>
      </c>
      <c r="AU96" s="13"/>
      <c r="AW96" s="11">
        <v>93</v>
      </c>
      <c r="AX96" s="12"/>
      <c r="AY96" s="12"/>
      <c r="AZ96" s="12"/>
      <c r="BA96" s="12"/>
      <c r="BB96" s="12"/>
      <c r="BC96" s="12"/>
      <c r="BD96" s="12"/>
      <c r="BE96" s="12"/>
      <c r="BF96" s="24"/>
      <c r="BG96" s="29"/>
      <c r="BH96" s="12"/>
      <c r="BI96" s="12"/>
      <c r="BK96" s="11">
        <v>93</v>
      </c>
      <c r="BL96" s="12"/>
      <c r="BM96" s="13"/>
      <c r="BN96" s="13"/>
      <c r="BP96" s="11">
        <v>93</v>
      </c>
      <c r="BQ96" s="12"/>
      <c r="BR96" s="13"/>
      <c r="BS96" s="13"/>
      <c r="BU96" s="11">
        <v>93</v>
      </c>
      <c r="BV96" s="12"/>
      <c r="BW96" s="12"/>
      <c r="BX96" s="12"/>
    </row>
    <row r="97" spans="18:76">
      <c r="R97" s="11">
        <v>94</v>
      </c>
      <c r="S97" s="12"/>
      <c r="T97" s="13"/>
      <c r="U97" s="13"/>
      <c r="W97" s="11">
        <v>94</v>
      </c>
      <c r="X97" s="12"/>
      <c r="Y97" s="13"/>
      <c r="Z97" s="13"/>
      <c r="AB97" s="11">
        <v>94</v>
      </c>
      <c r="AC97" s="12"/>
      <c r="AD97" s="12"/>
      <c r="AE97" s="12"/>
      <c r="AG97" s="11">
        <v>94</v>
      </c>
      <c r="AH97" s="12"/>
      <c r="AI97" s="12"/>
      <c r="AJ97" s="12"/>
      <c r="AL97" s="11">
        <v>94</v>
      </c>
      <c r="AM97" s="12"/>
      <c r="AN97" s="12"/>
      <c r="AO97" s="12"/>
      <c r="AQ97" s="11">
        <v>94</v>
      </c>
      <c r="AR97" s="13"/>
      <c r="AS97" s="13"/>
      <c r="AT97" s="11">
        <v>94</v>
      </c>
      <c r="AU97" s="13"/>
      <c r="AW97" s="11">
        <v>94</v>
      </c>
      <c r="AX97" s="12"/>
      <c r="AY97" s="12"/>
      <c r="AZ97" s="12"/>
      <c r="BA97" s="12"/>
      <c r="BB97" s="12"/>
      <c r="BC97" s="12"/>
      <c r="BD97" s="12"/>
      <c r="BE97" s="12"/>
      <c r="BF97" s="24"/>
      <c r="BG97" s="29"/>
      <c r="BH97" s="12"/>
      <c r="BI97" s="12"/>
      <c r="BK97" s="11">
        <v>94</v>
      </c>
      <c r="BL97" s="12"/>
      <c r="BM97" s="13"/>
      <c r="BN97" s="13"/>
      <c r="BP97" s="11">
        <v>94</v>
      </c>
      <c r="BQ97" s="12"/>
      <c r="BR97" s="13"/>
      <c r="BS97" s="13"/>
      <c r="BU97" s="11">
        <v>94</v>
      </c>
      <c r="BV97" s="12"/>
      <c r="BW97" s="12"/>
      <c r="BX97" s="12"/>
    </row>
    <row r="98" spans="18:76">
      <c r="R98" s="11">
        <v>95</v>
      </c>
      <c r="S98" s="12"/>
      <c r="T98" s="13"/>
      <c r="U98" s="13"/>
      <c r="W98" s="11">
        <v>95</v>
      </c>
      <c r="X98" s="12"/>
      <c r="Y98" s="13"/>
      <c r="Z98" s="13"/>
      <c r="AB98" s="11">
        <v>95</v>
      </c>
      <c r="AC98" s="12"/>
      <c r="AD98" s="12"/>
      <c r="AE98" s="12"/>
      <c r="AG98" s="11">
        <v>95</v>
      </c>
      <c r="AH98" s="12"/>
      <c r="AI98" s="12"/>
      <c r="AJ98" s="12"/>
      <c r="AL98" s="11">
        <v>95</v>
      </c>
      <c r="AM98" s="12"/>
      <c r="AN98" s="12"/>
      <c r="AO98" s="12"/>
      <c r="AQ98" s="11">
        <v>95</v>
      </c>
      <c r="AR98" s="13"/>
      <c r="AS98" s="13"/>
      <c r="AT98" s="11">
        <v>95</v>
      </c>
      <c r="AU98" s="13"/>
      <c r="AW98" s="11">
        <v>95</v>
      </c>
      <c r="AX98" s="12"/>
      <c r="AY98" s="12"/>
      <c r="AZ98" s="12"/>
      <c r="BA98" s="12"/>
      <c r="BB98" s="12"/>
      <c r="BC98" s="12"/>
      <c r="BD98" s="12"/>
      <c r="BE98" s="12"/>
      <c r="BF98" s="24"/>
      <c r="BG98" s="29"/>
      <c r="BH98" s="12"/>
      <c r="BI98" s="12"/>
      <c r="BK98" s="11">
        <v>95</v>
      </c>
      <c r="BL98" s="12"/>
      <c r="BM98" s="13"/>
      <c r="BN98" s="13"/>
      <c r="BP98" s="11">
        <v>95</v>
      </c>
      <c r="BQ98" s="12"/>
      <c r="BR98" s="13"/>
      <c r="BS98" s="13"/>
      <c r="BU98" s="11">
        <v>95</v>
      </c>
      <c r="BV98" s="12"/>
      <c r="BW98" s="12"/>
      <c r="BX98" s="12"/>
    </row>
    <row r="99" spans="18:76">
      <c r="R99" s="11">
        <v>96</v>
      </c>
      <c r="S99" s="12"/>
      <c r="T99" s="13"/>
      <c r="U99" s="13"/>
      <c r="W99" s="11">
        <v>96</v>
      </c>
      <c r="X99" s="12"/>
      <c r="Y99" s="13"/>
      <c r="Z99" s="13"/>
      <c r="AB99" s="11">
        <v>96</v>
      </c>
      <c r="AC99" s="12"/>
      <c r="AD99" s="12"/>
      <c r="AE99" s="12"/>
      <c r="AG99" s="11">
        <v>96</v>
      </c>
      <c r="AH99" s="12"/>
      <c r="AI99" s="12"/>
      <c r="AJ99" s="12"/>
      <c r="AL99" s="11">
        <v>96</v>
      </c>
      <c r="AM99" s="12"/>
      <c r="AN99" s="12"/>
      <c r="AO99" s="12"/>
      <c r="AQ99" s="11">
        <v>96</v>
      </c>
      <c r="AR99" s="13"/>
      <c r="AS99" s="13"/>
      <c r="AT99" s="11">
        <v>96</v>
      </c>
      <c r="AU99" s="13"/>
      <c r="AW99" s="11">
        <v>96</v>
      </c>
      <c r="AX99" s="12"/>
      <c r="AY99" s="12"/>
      <c r="AZ99" s="12"/>
      <c r="BA99" s="12"/>
      <c r="BB99" s="12"/>
      <c r="BC99" s="12"/>
      <c r="BD99" s="12"/>
      <c r="BE99" s="12"/>
      <c r="BF99" s="24"/>
      <c r="BG99" s="29"/>
      <c r="BH99" s="12"/>
      <c r="BI99" s="12"/>
      <c r="BK99" s="11">
        <v>96</v>
      </c>
      <c r="BL99" s="12"/>
      <c r="BM99" s="13"/>
      <c r="BN99" s="13"/>
      <c r="BP99" s="11">
        <v>96</v>
      </c>
      <c r="BQ99" s="12"/>
      <c r="BR99" s="13"/>
      <c r="BS99" s="13"/>
      <c r="BU99" s="11">
        <v>96</v>
      </c>
      <c r="BV99" s="12"/>
      <c r="BW99" s="12"/>
      <c r="BX99" s="12"/>
    </row>
    <row r="100" spans="18:76">
      <c r="R100" s="11">
        <v>97</v>
      </c>
      <c r="S100" s="12"/>
      <c r="T100" s="13"/>
      <c r="U100" s="13"/>
      <c r="W100" s="11">
        <v>97</v>
      </c>
      <c r="X100" s="12"/>
      <c r="Y100" s="13"/>
      <c r="Z100" s="13"/>
      <c r="AB100" s="11">
        <v>97</v>
      </c>
      <c r="AC100" s="12"/>
      <c r="AD100" s="12"/>
      <c r="AE100" s="12"/>
      <c r="AG100" s="11">
        <v>97</v>
      </c>
      <c r="AH100" s="12"/>
      <c r="AI100" s="12"/>
      <c r="AJ100" s="12"/>
      <c r="AL100" s="11">
        <v>97</v>
      </c>
      <c r="AM100" s="12"/>
      <c r="AN100" s="12"/>
      <c r="AO100" s="12"/>
      <c r="AQ100" s="11">
        <v>97</v>
      </c>
      <c r="AR100" s="13"/>
      <c r="AS100" s="13"/>
      <c r="AT100" s="11">
        <v>97</v>
      </c>
      <c r="AU100" s="13"/>
      <c r="AW100" s="11">
        <v>97</v>
      </c>
      <c r="AX100" s="12"/>
      <c r="AY100" s="12"/>
      <c r="AZ100" s="12"/>
      <c r="BA100" s="12"/>
      <c r="BB100" s="12"/>
      <c r="BC100" s="12"/>
      <c r="BD100" s="12"/>
      <c r="BE100" s="12"/>
      <c r="BF100" s="24"/>
      <c r="BG100" s="29"/>
      <c r="BH100" s="12"/>
      <c r="BI100" s="12"/>
      <c r="BK100" s="11">
        <v>97</v>
      </c>
      <c r="BL100" s="12"/>
      <c r="BM100" s="13"/>
      <c r="BN100" s="13"/>
      <c r="BP100" s="11">
        <v>97</v>
      </c>
      <c r="BQ100" s="12"/>
      <c r="BR100" s="13"/>
      <c r="BS100" s="13"/>
      <c r="BU100" s="11">
        <v>97</v>
      </c>
      <c r="BV100" s="12"/>
      <c r="BW100" s="12"/>
      <c r="BX100" s="12"/>
    </row>
    <row r="101" spans="18:76">
      <c r="R101" s="11">
        <v>98</v>
      </c>
      <c r="S101" s="12"/>
      <c r="T101" s="13"/>
      <c r="U101" s="13"/>
      <c r="W101" s="11">
        <v>98</v>
      </c>
      <c r="X101" s="12"/>
      <c r="Y101" s="13"/>
      <c r="Z101" s="13"/>
      <c r="AB101" s="11">
        <v>98</v>
      </c>
      <c r="AC101" s="12"/>
      <c r="AD101" s="12"/>
      <c r="AE101" s="12"/>
      <c r="AG101" s="11">
        <v>98</v>
      </c>
      <c r="AH101" s="12"/>
      <c r="AI101" s="12"/>
      <c r="AJ101" s="12"/>
      <c r="AL101" s="11">
        <v>98</v>
      </c>
      <c r="AM101" s="12"/>
      <c r="AN101" s="12"/>
      <c r="AO101" s="12"/>
      <c r="AQ101" s="11">
        <v>98</v>
      </c>
      <c r="AR101" s="13"/>
      <c r="AS101" s="13"/>
      <c r="AT101" s="11">
        <v>98</v>
      </c>
      <c r="AU101" s="13"/>
      <c r="AW101" s="11">
        <v>98</v>
      </c>
      <c r="AX101" s="12"/>
      <c r="AY101" s="12"/>
      <c r="AZ101" s="12"/>
      <c r="BA101" s="12"/>
      <c r="BB101" s="12"/>
      <c r="BC101" s="12"/>
      <c r="BD101" s="12"/>
      <c r="BE101" s="12"/>
      <c r="BF101" s="24"/>
      <c r="BG101" s="29"/>
      <c r="BH101" s="12"/>
      <c r="BI101" s="12"/>
      <c r="BK101" s="11">
        <v>98</v>
      </c>
      <c r="BL101" s="12"/>
      <c r="BM101" s="13"/>
      <c r="BN101" s="13"/>
      <c r="BP101" s="11">
        <v>98</v>
      </c>
      <c r="BQ101" s="12"/>
      <c r="BR101" s="13"/>
      <c r="BS101" s="13"/>
      <c r="BU101" s="11">
        <v>98</v>
      </c>
      <c r="BV101" s="12"/>
      <c r="BW101" s="12"/>
      <c r="BX101" s="12"/>
    </row>
    <row r="102" spans="18:76">
      <c r="R102" s="11">
        <v>99</v>
      </c>
      <c r="S102" s="12"/>
      <c r="T102" s="13"/>
      <c r="U102" s="13"/>
      <c r="W102" s="11">
        <v>99</v>
      </c>
      <c r="X102" s="12"/>
      <c r="Y102" s="13"/>
      <c r="Z102" s="13"/>
      <c r="AB102" s="11">
        <v>99</v>
      </c>
      <c r="AC102" s="12"/>
      <c r="AD102" s="12"/>
      <c r="AE102" s="12"/>
      <c r="AG102" s="11">
        <v>99</v>
      </c>
      <c r="AH102" s="12"/>
      <c r="AI102" s="12"/>
      <c r="AJ102" s="12"/>
      <c r="AL102" s="11">
        <v>99</v>
      </c>
      <c r="AM102" s="12"/>
      <c r="AN102" s="12"/>
      <c r="AO102" s="12"/>
      <c r="AQ102" s="11">
        <v>99</v>
      </c>
      <c r="AR102" s="13"/>
      <c r="AS102" s="13"/>
      <c r="AT102" s="11">
        <v>99</v>
      </c>
      <c r="AU102" s="13"/>
      <c r="AW102" s="11">
        <v>99</v>
      </c>
      <c r="AX102" s="12"/>
      <c r="AY102" s="12"/>
      <c r="AZ102" s="12"/>
      <c r="BA102" s="12"/>
      <c r="BB102" s="12"/>
      <c r="BC102" s="12"/>
      <c r="BD102" s="12"/>
      <c r="BE102" s="12"/>
      <c r="BF102" s="24"/>
      <c r="BG102" s="29"/>
      <c r="BH102" s="12"/>
      <c r="BI102" s="12"/>
      <c r="BK102" s="11">
        <v>99</v>
      </c>
      <c r="BL102" s="12"/>
      <c r="BM102" s="13"/>
      <c r="BN102" s="13"/>
      <c r="BP102" s="11">
        <v>99</v>
      </c>
      <c r="BQ102" s="12"/>
      <c r="BR102" s="13"/>
      <c r="BS102" s="13"/>
      <c r="BU102" s="11">
        <v>99</v>
      </c>
      <c r="BV102" s="12"/>
      <c r="BW102" s="12"/>
      <c r="BX102" s="12"/>
    </row>
    <row r="103" spans="18:76">
      <c r="R103" s="11">
        <v>100</v>
      </c>
      <c r="S103" s="12"/>
      <c r="T103" s="13"/>
      <c r="U103" s="13"/>
      <c r="W103" s="11">
        <v>100</v>
      </c>
      <c r="X103" s="12"/>
      <c r="Y103" s="13"/>
      <c r="Z103" s="13"/>
      <c r="AB103" s="11">
        <v>100</v>
      </c>
      <c r="AC103" s="12"/>
      <c r="AD103" s="12"/>
      <c r="AE103" s="12"/>
      <c r="AG103" s="11">
        <v>100</v>
      </c>
      <c r="AH103" s="12"/>
      <c r="AI103" s="12"/>
      <c r="AJ103" s="12"/>
      <c r="AL103" s="11">
        <v>100</v>
      </c>
      <c r="AM103" s="12"/>
      <c r="AN103" s="12"/>
      <c r="AO103" s="12"/>
      <c r="AQ103" s="11">
        <v>100</v>
      </c>
      <c r="AR103" s="13"/>
      <c r="AS103" s="13"/>
      <c r="AT103" s="11">
        <v>100</v>
      </c>
      <c r="AU103" s="13"/>
      <c r="AW103" s="11">
        <v>100</v>
      </c>
      <c r="AX103" s="12"/>
      <c r="AY103" s="12"/>
      <c r="AZ103" s="12"/>
      <c r="BA103" s="12"/>
      <c r="BB103" s="12"/>
      <c r="BC103" s="12"/>
      <c r="BD103" s="12"/>
      <c r="BE103" s="12"/>
      <c r="BF103" s="24"/>
      <c r="BG103" s="29"/>
      <c r="BH103" s="12"/>
      <c r="BI103" s="12"/>
      <c r="BK103" s="11">
        <v>100</v>
      </c>
      <c r="BL103" s="12"/>
      <c r="BM103" s="13"/>
      <c r="BN103" s="13"/>
      <c r="BP103" s="11">
        <v>100</v>
      </c>
      <c r="BQ103" s="12"/>
      <c r="BR103" s="13"/>
      <c r="BS103" s="13"/>
      <c r="BU103" s="11">
        <v>100</v>
      </c>
      <c r="BV103" s="12"/>
      <c r="BW103" s="12"/>
      <c r="BX103" s="12"/>
    </row>
    <row r="111" spans="18:76">
      <c r="U111"/>
      <c r="AC111"/>
      <c r="AD111"/>
      <c r="AE111"/>
    </row>
    <row r="112" spans="18:76">
      <c r="U112" s="15"/>
      <c r="V112" s="15"/>
      <c r="W112" s="15"/>
      <c r="X112" s="15"/>
      <c r="Y112" s="15"/>
      <c r="Z112" s="15"/>
      <c r="AA112" s="15"/>
      <c r="AB112" s="15"/>
      <c r="AC112" s="15"/>
      <c r="AD112" s="15"/>
      <c r="AE112" s="15"/>
      <c r="AF112" s="15"/>
      <c r="AP112" s="15"/>
    </row>
    <row r="113" spans="9:42">
      <c r="V113" s="16"/>
      <c r="W113" s="16"/>
      <c r="X113" s="16"/>
      <c r="Y113" s="16"/>
      <c r="Z113" s="16"/>
      <c r="AA113" s="16"/>
      <c r="AB113" s="16"/>
      <c r="AF113" s="16"/>
      <c r="AP113" s="16"/>
    </row>
    <row r="120" spans="9:42">
      <c r="I120" s="34"/>
    </row>
  </sheetData>
  <mergeCells count="2">
    <mergeCell ref="J2:N2"/>
    <mergeCell ref="L5:N5"/>
  </mergeCells>
  <phoneticPr fontId="1" type="noConversion"/>
  <conditionalFormatting sqref="BA2">
    <cfRule type="cellIs" dxfId="1819" priority="155" operator="equal">
      <formula>"E"</formula>
    </cfRule>
  </conditionalFormatting>
  <conditionalFormatting sqref="BD43:BD103">
    <cfRule type="cellIs" dxfId="1818" priority="150" operator="equal">
      <formula>"E"</formula>
    </cfRule>
  </conditionalFormatting>
  <conditionalFormatting sqref="BD2">
    <cfRule type="cellIs" dxfId="1817" priority="149" operator="equal">
      <formula>"E"</formula>
    </cfRule>
  </conditionalFormatting>
  <conditionalFormatting sqref="BE43:BE103">
    <cfRule type="cellIs" dxfId="1816" priority="148" operator="equal">
      <formula>"E"</formula>
    </cfRule>
  </conditionalFormatting>
  <conditionalFormatting sqref="BB33:BB42">
    <cfRule type="cellIs" dxfId="1815" priority="144" operator="equal">
      <formula>"E"</formula>
    </cfRule>
  </conditionalFormatting>
  <conditionalFormatting sqref="BF2">
    <cfRule type="cellIs" dxfId="1814" priority="145" operator="equal">
      <formula>"E"</formula>
    </cfRule>
  </conditionalFormatting>
  <conditionalFormatting sqref="BI33:BI42">
    <cfRule type="cellIs" dxfId="1813" priority="110" operator="equal">
      <formula>"E"</formula>
    </cfRule>
  </conditionalFormatting>
  <conditionalFormatting sqref="BC33:BC42">
    <cfRule type="cellIs" dxfId="1812" priority="143" operator="equal">
      <formula>"E"</formula>
    </cfRule>
  </conditionalFormatting>
  <conditionalFormatting sqref="BD33:BD42">
    <cfRule type="cellIs" dxfId="1811" priority="142" operator="equal">
      <formula>"E"</formula>
    </cfRule>
  </conditionalFormatting>
  <conditionalFormatting sqref="BE33:BE42">
    <cfRule type="cellIs" dxfId="1810" priority="141" operator="equal">
      <formula>"E"</formula>
    </cfRule>
  </conditionalFormatting>
  <conditionalFormatting sqref="BF33:BF42">
    <cfRule type="cellIs" dxfId="1809" priority="140" operator="equal">
      <formula>"E"</formula>
    </cfRule>
  </conditionalFormatting>
  <conditionalFormatting sqref="BG43:BG103">
    <cfRule type="cellIs" dxfId="1808" priority="139" operator="equal">
      <formula>"E"</formula>
    </cfRule>
  </conditionalFormatting>
  <conditionalFormatting sqref="BG2">
    <cfRule type="cellIs" dxfId="1807" priority="138" operator="equal">
      <formula>"E"</formula>
    </cfRule>
  </conditionalFormatting>
  <conditionalFormatting sqref="BG3:BG8">
    <cfRule type="cellIs" dxfId="1806" priority="137" operator="equal">
      <formula>"E"</formula>
    </cfRule>
  </conditionalFormatting>
  <conditionalFormatting sqref="BG33:BG42">
    <cfRule type="cellIs" dxfId="1805" priority="136" operator="equal">
      <formula>"E"</formula>
    </cfRule>
  </conditionalFormatting>
  <conditionalFormatting sqref="BH43:BH103">
    <cfRule type="cellIs" dxfId="1804" priority="135" operator="equal">
      <formula>"E"</formula>
    </cfRule>
  </conditionalFormatting>
  <conditionalFormatting sqref="BH2">
    <cfRule type="cellIs" dxfId="1803" priority="134" operator="equal">
      <formula>"E"</formula>
    </cfRule>
  </conditionalFormatting>
  <conditionalFormatting sqref="BH3:BH8">
    <cfRule type="cellIs" dxfId="1802" priority="133" operator="equal">
      <formula>"E"</formula>
    </cfRule>
  </conditionalFormatting>
  <conditionalFormatting sqref="BH33:BH42">
    <cfRule type="cellIs" dxfId="1801" priority="132" operator="equal">
      <formula>"E"</formula>
    </cfRule>
  </conditionalFormatting>
  <conditionalFormatting sqref="BV2:BX2">
    <cfRule type="cellIs" dxfId="1800" priority="123" operator="equal">
      <formula>"E"</formula>
    </cfRule>
  </conditionalFormatting>
  <conditionalFormatting sqref="BI2">
    <cfRule type="cellIs" dxfId="1799" priority="109" operator="equal">
      <formula>"E"</formula>
    </cfRule>
  </conditionalFormatting>
  <conditionalFormatting sqref="AX2">
    <cfRule type="cellIs" dxfId="1798" priority="112" operator="equal">
      <formula>"E"</formula>
    </cfRule>
  </conditionalFormatting>
  <conditionalFormatting sqref="BI43:BI103">
    <cfRule type="cellIs" dxfId="1797" priority="111" operator="equal">
      <formula>"E"</formula>
    </cfRule>
  </conditionalFormatting>
  <conditionalFormatting sqref="BG9:BG14">
    <cfRule type="cellIs" dxfId="1796" priority="80" operator="equal">
      <formula>"E"</formula>
    </cfRule>
  </conditionalFormatting>
  <conditionalFormatting sqref="BG15:BG20">
    <cfRule type="cellIs" dxfId="1795" priority="79" operator="equal">
      <formula>"E"</formula>
    </cfRule>
  </conditionalFormatting>
  <conditionalFormatting sqref="BG21:BG26">
    <cfRule type="cellIs" dxfId="1794" priority="78" operator="equal">
      <formula>"E"</formula>
    </cfRule>
  </conditionalFormatting>
  <conditionalFormatting sqref="BI27:BI32">
    <cfRule type="cellIs" dxfId="1793" priority="72" operator="equal">
      <formula>"E"</formula>
    </cfRule>
  </conditionalFormatting>
  <conditionalFormatting sqref="BG27:BG32">
    <cfRule type="cellIs" dxfId="1792" priority="77" operator="equal">
      <formula>"E"</formula>
    </cfRule>
  </conditionalFormatting>
  <conditionalFormatting sqref="BI21:BI26">
    <cfRule type="cellIs" dxfId="1791" priority="73" operator="equal">
      <formula>"E"</formula>
    </cfRule>
  </conditionalFormatting>
  <conditionalFormatting sqref="AF113">
    <cfRule type="cellIs" dxfId="1790" priority="67" operator="equal">
      <formula>"E"</formula>
    </cfRule>
  </conditionalFormatting>
  <conditionalFormatting sqref="AZ9:AZ14">
    <cfRule type="cellIs" dxfId="1789" priority="48" operator="equal">
      <formula>"E"</formula>
    </cfRule>
  </conditionalFormatting>
  <conditionalFormatting sqref="AZ15:AZ20">
    <cfRule type="cellIs" dxfId="1788" priority="47" operator="equal">
      <formula>"E"</formula>
    </cfRule>
  </conditionalFormatting>
  <conditionalFormatting sqref="BA15:BA20">
    <cfRule type="cellIs" dxfId="1787" priority="43" operator="equal">
      <formula>"E"</formula>
    </cfRule>
  </conditionalFormatting>
  <conditionalFormatting sqref="BB15:BB20">
    <cfRule type="cellIs" dxfId="1786" priority="38" operator="equal">
      <formula>"E"</formula>
    </cfRule>
  </conditionalFormatting>
  <conditionalFormatting sqref="BD9:BD14">
    <cfRule type="cellIs" dxfId="1785" priority="30" operator="equal">
      <formula>"E"</formula>
    </cfRule>
  </conditionalFormatting>
  <conditionalFormatting sqref="BD15:BD20">
    <cfRule type="cellIs" dxfId="1784" priority="29" operator="equal">
      <formula>"E"</formula>
    </cfRule>
  </conditionalFormatting>
  <conditionalFormatting sqref="BE9:BE14">
    <cfRule type="cellIs" dxfId="1783" priority="25" operator="equal">
      <formula>"E"</formula>
    </cfRule>
  </conditionalFormatting>
  <conditionalFormatting sqref="BE15:BE20">
    <cfRule type="cellIs" dxfId="1782" priority="24" operator="equal">
      <formula>"E"</formula>
    </cfRule>
  </conditionalFormatting>
  <conditionalFormatting sqref="R1:R70">
    <cfRule type="cellIs" dxfId="1781" priority="202" stopIfTrue="1" operator="equal">
      <formula>"WW"</formula>
    </cfRule>
    <cfRule type="cellIs" dxfId="1780" priority="203" stopIfTrue="1" operator="equal">
      <formula>"C2"</formula>
    </cfRule>
  </conditionalFormatting>
  <conditionalFormatting sqref="S39:U103 Y3:Z52 AU3:AU42 S3:S38">
    <cfRule type="cellIs" dxfId="1779" priority="198" operator="equal">
      <formula>"M4"</formula>
    </cfRule>
    <cfRule type="cellIs" dxfId="1778" priority="199" operator="equal">
      <formula>"M3"</formula>
    </cfRule>
    <cfRule type="cellIs" dxfId="1777" priority="200" operator="equal">
      <formula>"M2"</formula>
    </cfRule>
    <cfRule type="cellIs" dxfId="1776" priority="201" operator="equal">
      <formula>"M1"</formula>
    </cfRule>
  </conditionalFormatting>
  <conditionalFormatting sqref="AD1:AE1 AB1 AS39:AS103 S1:U2 X2:Z103 AU2:AU42 S114:U1048576 S111:T113 AR1:AR1048576 S39:U110 S3:S38">
    <cfRule type="cellIs" dxfId="1775" priority="196" operator="equal">
      <formula>"E"</formula>
    </cfRule>
  </conditionalFormatting>
  <conditionalFormatting sqref="AS39:AS103 AU3:AU42 AR3:AR103">
    <cfRule type="cellIs" dxfId="1774" priority="185" operator="equal">
      <formula>"RE"</formula>
    </cfRule>
    <cfRule type="cellIs" dxfId="1773" priority="186" operator="equal">
      <formula>"3000"</formula>
    </cfRule>
    <cfRule type="cellIs" dxfId="1772" priority="187" operator="equal">
      <formula>"300"</formula>
    </cfRule>
    <cfRule type="cellIs" dxfId="1771" priority="188" operator="equal">
      <formula>"100"</formula>
    </cfRule>
    <cfRule type="cellIs" dxfId="1770" priority="189" operator="equal">
      <formula>"50"</formula>
    </cfRule>
    <cfRule type="cellIs" dxfId="1769" priority="190" operator="equal">
      <formula>"40"</formula>
    </cfRule>
    <cfRule type="cellIs" dxfId="1768" priority="191" operator="equal">
      <formula>"20"</formula>
    </cfRule>
  </conditionalFormatting>
  <conditionalFormatting sqref="AR1 AR104:AR1048576">
    <cfRule type="cellIs" dxfId="1767" priority="192" operator="equal">
      <formula>"M4"</formula>
    </cfRule>
    <cfRule type="cellIs" dxfId="1766" priority="193" operator="equal">
      <formula>"M3"</formula>
    </cfRule>
    <cfRule type="cellIs" dxfId="1765" priority="194" operator="equal">
      <formula>"M1"</formula>
    </cfRule>
    <cfRule type="cellIs" dxfId="1764" priority="195" operator="equal">
      <formula>"M2"</formula>
    </cfRule>
    <cfRule type="cellIs" dxfId="1763" priority="197" stopIfTrue="1" operator="between">
      <formula>"C1"</formula>
      <formula>"C2"</formula>
    </cfRule>
  </conditionalFormatting>
  <conditionalFormatting sqref="AC39:AE110 AC114:AE1048576 AC3:AC38">
    <cfRule type="cellIs" dxfId="1762" priority="184" operator="equal">
      <formula>"E"</formula>
    </cfRule>
  </conditionalFormatting>
  <conditionalFormatting sqref="AC2:AE2">
    <cfRule type="cellIs" dxfId="1761" priority="183" operator="equal">
      <formula>"E"</formula>
    </cfRule>
  </conditionalFormatting>
  <conditionalFormatting sqref="AB2:AB70">
    <cfRule type="cellIs" dxfId="1760" priority="181" stopIfTrue="1" operator="equal">
      <formula>"WW"</formula>
    </cfRule>
    <cfRule type="cellIs" dxfId="1759" priority="182" stopIfTrue="1" operator="equal">
      <formula>"C2"</formula>
    </cfRule>
  </conditionalFormatting>
  <conditionalFormatting sqref="W2:W70">
    <cfRule type="cellIs" dxfId="1758" priority="179" stopIfTrue="1" operator="equal">
      <formula>"WW"</formula>
    </cfRule>
    <cfRule type="cellIs" dxfId="1757" priority="180" stopIfTrue="1" operator="equal">
      <formula>"C2"</formula>
    </cfRule>
  </conditionalFormatting>
  <conditionalFormatting sqref="X3:Z103">
    <cfRule type="cellIs" dxfId="1756" priority="175" operator="equal">
      <formula>"M4"</formula>
    </cfRule>
    <cfRule type="cellIs" dxfId="1755" priority="176" operator="equal">
      <formula>"M3"</formula>
    </cfRule>
    <cfRule type="cellIs" dxfId="1754" priority="177" operator="equal">
      <formula>"M2"</formula>
    </cfRule>
    <cfRule type="cellIs" dxfId="1753" priority="178" operator="equal">
      <formula>"M1"</formula>
    </cfRule>
  </conditionalFormatting>
  <conditionalFormatting sqref="AQ2:AQ70">
    <cfRule type="cellIs" dxfId="1752" priority="173" stopIfTrue="1" operator="equal">
      <formula>"WW"</formula>
    </cfRule>
    <cfRule type="cellIs" dxfId="1751" priority="174" stopIfTrue="1" operator="equal">
      <formula>"C2"</formula>
    </cfRule>
  </conditionalFormatting>
  <conditionalFormatting sqref="AT2:AT70">
    <cfRule type="cellIs" dxfId="1750" priority="171" stopIfTrue="1" operator="equal">
      <formula>"WW"</formula>
    </cfRule>
    <cfRule type="cellIs" dxfId="1749" priority="172" stopIfTrue="1" operator="equal">
      <formula>"C2"</formula>
    </cfRule>
  </conditionalFormatting>
  <conditionalFormatting sqref="AU43:AU103">
    <cfRule type="cellIs" dxfId="1748" priority="170" operator="equal">
      <formula>"E"</formula>
    </cfRule>
  </conditionalFormatting>
  <conditionalFormatting sqref="AU43:AU103">
    <cfRule type="cellIs" dxfId="1747" priority="166" operator="equal">
      <formula>"M4"</formula>
    </cfRule>
    <cfRule type="cellIs" dxfId="1746" priority="167" operator="equal">
      <formula>"M3"</formula>
    </cfRule>
    <cfRule type="cellIs" dxfId="1745" priority="168" operator="equal">
      <formula>"M2"</formula>
    </cfRule>
    <cfRule type="cellIs" dxfId="1744" priority="169" operator="equal">
      <formula>"M1"</formula>
    </cfRule>
  </conditionalFormatting>
  <conditionalFormatting sqref="AW1">
    <cfRule type="cellIs" dxfId="1743" priority="165" operator="equal">
      <formula>"E"</formula>
    </cfRule>
  </conditionalFormatting>
  <conditionalFormatting sqref="AY3:AY8 AY33:AY103">
    <cfRule type="cellIs" dxfId="1742" priority="164" operator="equal">
      <formula>"E"</formula>
    </cfRule>
  </conditionalFormatting>
  <conditionalFormatting sqref="AY2">
    <cfRule type="cellIs" dxfId="1741" priority="163" operator="equal">
      <formula>"E"</formula>
    </cfRule>
  </conditionalFormatting>
  <conditionalFormatting sqref="AW2:AW70">
    <cfRule type="cellIs" dxfId="1740" priority="161" stopIfTrue="1" operator="equal">
      <formula>"WW"</formula>
    </cfRule>
    <cfRule type="cellIs" dxfId="1739" priority="162" stopIfTrue="1" operator="equal">
      <formula>"C2"</formula>
    </cfRule>
  </conditionalFormatting>
  <conditionalFormatting sqref="AT1">
    <cfRule type="cellIs" dxfId="1738" priority="159" operator="equal">
      <formula>"E"</formula>
    </cfRule>
  </conditionalFormatting>
  <conditionalFormatting sqref="AQ1">
    <cfRule type="cellIs" dxfId="1737" priority="160" operator="equal">
      <formula>"E"</formula>
    </cfRule>
  </conditionalFormatting>
  <conditionalFormatting sqref="AZ3:AZ8 AZ33:AZ103">
    <cfRule type="cellIs" dxfId="1736" priority="158" operator="equal">
      <formula>"E"</formula>
    </cfRule>
  </conditionalFormatting>
  <conditionalFormatting sqref="AZ2">
    <cfRule type="cellIs" dxfId="1735" priority="157" operator="equal">
      <formula>"E"</formula>
    </cfRule>
  </conditionalFormatting>
  <conditionalFormatting sqref="BA3:BA8 BA33:BA103">
    <cfRule type="cellIs" dxfId="1734" priority="156" operator="equal">
      <formula>"E"</formula>
    </cfRule>
  </conditionalFormatting>
  <conditionalFormatting sqref="BB43:BB103">
    <cfRule type="cellIs" dxfId="1733" priority="154" operator="equal">
      <formula>"E"</formula>
    </cfRule>
  </conditionalFormatting>
  <conditionalFormatting sqref="BB2">
    <cfRule type="cellIs" dxfId="1732" priority="153" operator="equal">
      <formula>"E"</formula>
    </cfRule>
  </conditionalFormatting>
  <conditionalFormatting sqref="BC43:BC103">
    <cfRule type="cellIs" dxfId="1731" priority="152" operator="equal">
      <formula>"E"</formula>
    </cfRule>
  </conditionalFormatting>
  <conditionalFormatting sqref="BC2">
    <cfRule type="cellIs" dxfId="1730" priority="151" operator="equal">
      <formula>"E"</formula>
    </cfRule>
  </conditionalFormatting>
  <conditionalFormatting sqref="BE2">
    <cfRule type="cellIs" dxfId="1729" priority="147" operator="equal">
      <formula>"E"</formula>
    </cfRule>
  </conditionalFormatting>
  <conditionalFormatting sqref="BF43:BF103">
    <cfRule type="cellIs" dxfId="1728" priority="146" operator="equal">
      <formula>"E"</formula>
    </cfRule>
  </conditionalFormatting>
  <conditionalFormatting sqref="BP2:BP70">
    <cfRule type="cellIs" dxfId="1727" priority="119" stopIfTrue="1" operator="equal">
      <formula>"WW"</formula>
    </cfRule>
    <cfRule type="cellIs" dxfId="1726" priority="120" stopIfTrue="1" operator="equal">
      <formula>"C2"</formula>
    </cfRule>
  </conditionalFormatting>
  <conditionalFormatting sqref="BF3:BF8">
    <cfRule type="cellIs" dxfId="1725" priority="86" operator="equal">
      <formula>"E"</formula>
    </cfRule>
  </conditionalFormatting>
  <conditionalFormatting sqref="BF9:BF14">
    <cfRule type="cellIs" dxfId="1724" priority="85" operator="equal">
      <formula>"E"</formula>
    </cfRule>
  </conditionalFormatting>
  <conditionalFormatting sqref="BF15:BF20">
    <cfRule type="cellIs" dxfId="1723" priority="84" operator="equal">
      <formula>"E"</formula>
    </cfRule>
  </conditionalFormatting>
  <conditionalFormatting sqref="BF21:BF26">
    <cfRule type="cellIs" dxfId="1722" priority="83" operator="equal">
      <formula>"E"</formula>
    </cfRule>
  </conditionalFormatting>
  <conditionalFormatting sqref="BF27:BF32">
    <cfRule type="cellIs" dxfId="1721" priority="82" operator="equal">
      <formula>"E"</formula>
    </cfRule>
  </conditionalFormatting>
  <conditionalFormatting sqref="BC3:BC8">
    <cfRule type="cellIs" dxfId="1720" priority="81" operator="equal">
      <formula>"E"</formula>
    </cfRule>
  </conditionalFormatting>
  <conditionalFormatting sqref="BI3:BI8">
    <cfRule type="cellIs" dxfId="1719" priority="76" operator="equal">
      <formula>"E"</formula>
    </cfRule>
  </conditionalFormatting>
  <conditionalFormatting sqref="BI9:BI14">
    <cfRule type="cellIs" dxfId="1718" priority="75" operator="equal">
      <formula>"E"</formula>
    </cfRule>
  </conditionalFormatting>
  <conditionalFormatting sqref="BI15:BI20">
    <cfRule type="cellIs" dxfId="1717" priority="74" operator="equal">
      <formula>"E"</formula>
    </cfRule>
  </conditionalFormatting>
  <conditionalFormatting sqref="BH9:BH14">
    <cfRule type="cellIs" dxfId="1716" priority="71" operator="equal">
      <formula>"E"</formula>
    </cfRule>
  </conditionalFormatting>
  <conditionalFormatting sqref="BH15:BH20">
    <cfRule type="cellIs" dxfId="1715" priority="70" operator="equal">
      <formula>"E"</formula>
    </cfRule>
  </conditionalFormatting>
  <conditionalFormatting sqref="BH21:BH26">
    <cfRule type="cellIs" dxfId="1714" priority="69" operator="equal">
      <formula>"E"</formula>
    </cfRule>
  </conditionalFormatting>
  <conditionalFormatting sqref="BH27:BH32">
    <cfRule type="cellIs" dxfId="1713" priority="68" operator="equal">
      <formula>"E"</formula>
    </cfRule>
  </conditionalFormatting>
  <conditionalFormatting sqref="AI1:AJ1 AG1">
    <cfRule type="cellIs" dxfId="1712" priority="66" operator="equal">
      <formula>"E"</formula>
    </cfRule>
  </conditionalFormatting>
  <conditionalFormatting sqref="AH39:AJ103">
    <cfRule type="cellIs" dxfId="1711" priority="65" operator="equal">
      <formula>"E"</formula>
    </cfRule>
  </conditionalFormatting>
  <conditionalFormatting sqref="AH2:AJ2">
    <cfRule type="cellIs" dxfId="1710" priority="64" operator="equal">
      <formula>"E"</formula>
    </cfRule>
  </conditionalFormatting>
  <conditionalFormatting sqref="AN1:AO1 AL1">
    <cfRule type="cellIs" dxfId="1709" priority="61" operator="equal">
      <formula>"E"</formula>
    </cfRule>
  </conditionalFormatting>
  <conditionalFormatting sqref="AM39:AO103">
    <cfRule type="cellIs" dxfId="1708" priority="60" operator="equal">
      <formula>"E"</formula>
    </cfRule>
  </conditionalFormatting>
  <conditionalFormatting sqref="AM2:AO2">
    <cfRule type="cellIs" dxfId="1707" priority="59" operator="equal">
      <formula>"E"</formula>
    </cfRule>
  </conditionalFormatting>
  <conditionalFormatting sqref="AY27:AY32">
    <cfRule type="cellIs" dxfId="1706" priority="49" operator="equal">
      <formula>"E"</formula>
    </cfRule>
  </conditionalFormatting>
  <conditionalFormatting sqref="AY9:AY14">
    <cfRule type="cellIs" dxfId="1705" priority="52" operator="equal">
      <formula>"E"</formula>
    </cfRule>
  </conditionalFormatting>
  <conditionalFormatting sqref="AY15:AY20">
    <cfRule type="cellIs" dxfId="1704" priority="51" operator="equal">
      <formula>"E"</formula>
    </cfRule>
  </conditionalFormatting>
  <conditionalFormatting sqref="AY21:AY26">
    <cfRule type="cellIs" dxfId="1703" priority="50" operator="equal">
      <formula>"E"</formula>
    </cfRule>
  </conditionalFormatting>
  <conditionalFormatting sqref="AZ21:AZ26">
    <cfRule type="cellIs" dxfId="1702" priority="46" operator="equal">
      <formula>"E"</formula>
    </cfRule>
  </conditionalFormatting>
  <conditionalFormatting sqref="AZ27:AZ32">
    <cfRule type="cellIs" dxfId="1701" priority="45" operator="equal">
      <formula>"E"</formula>
    </cfRule>
  </conditionalFormatting>
  <conditionalFormatting sqref="BA9:BA14">
    <cfRule type="cellIs" dxfId="1700" priority="44" operator="equal">
      <formula>"E"</formula>
    </cfRule>
  </conditionalFormatting>
  <conditionalFormatting sqref="BA21:BA26">
    <cfRule type="cellIs" dxfId="1699" priority="42" operator="equal">
      <formula>"E"</formula>
    </cfRule>
  </conditionalFormatting>
  <conditionalFormatting sqref="BA27:BA32">
    <cfRule type="cellIs" dxfId="1698" priority="41" operator="equal">
      <formula>"E"</formula>
    </cfRule>
  </conditionalFormatting>
  <conditionalFormatting sqref="BB3:BB8">
    <cfRule type="cellIs" dxfId="1697" priority="40" operator="equal">
      <formula>"E"</formula>
    </cfRule>
  </conditionalFormatting>
  <conditionalFormatting sqref="BB9:BB14">
    <cfRule type="cellIs" dxfId="1696" priority="39" operator="equal">
      <formula>"E"</formula>
    </cfRule>
  </conditionalFormatting>
  <conditionalFormatting sqref="BB21:BB26">
    <cfRule type="cellIs" dxfId="1695" priority="37" operator="equal">
      <formula>"E"</formula>
    </cfRule>
  </conditionalFormatting>
  <conditionalFormatting sqref="BB27:BB32">
    <cfRule type="cellIs" dxfId="1694" priority="36" operator="equal">
      <formula>"E"</formula>
    </cfRule>
  </conditionalFormatting>
  <conditionalFormatting sqref="BC9:BC14">
    <cfRule type="cellIs" dxfId="1693" priority="35" operator="equal">
      <formula>"E"</formula>
    </cfRule>
  </conditionalFormatting>
  <conditionalFormatting sqref="BC15:BC20">
    <cfRule type="cellIs" dxfId="1692" priority="34" operator="equal">
      <formula>"E"</formula>
    </cfRule>
  </conditionalFormatting>
  <conditionalFormatting sqref="BC21:BC26">
    <cfRule type="cellIs" dxfId="1691" priority="33" operator="equal">
      <formula>"E"</formula>
    </cfRule>
  </conditionalFormatting>
  <conditionalFormatting sqref="BD21:BD26">
    <cfRule type="cellIs" dxfId="1690" priority="28" operator="equal">
      <formula>"E"</formula>
    </cfRule>
  </conditionalFormatting>
  <conditionalFormatting sqref="BE21:BE26">
    <cfRule type="cellIs" dxfId="1689" priority="23" operator="equal">
      <formula>"E"</formula>
    </cfRule>
  </conditionalFormatting>
  <conditionalFormatting sqref="BE27:BE32">
    <cfRule type="cellIs" dxfId="1688" priority="22" operator="equal">
      <formula>"E"</formula>
    </cfRule>
  </conditionalFormatting>
  <conditionalFormatting sqref="BK1:BK70">
    <cfRule type="cellIs" dxfId="1687" priority="130" stopIfTrue="1" operator="equal">
      <formula>"WW"</formula>
    </cfRule>
    <cfRule type="cellIs" dxfId="1686" priority="131" stopIfTrue="1" operator="equal">
      <formula>"C2"</formula>
    </cfRule>
  </conditionalFormatting>
  <conditionalFormatting sqref="BL39:BN103 BR3:BS52 BL3:BL38">
    <cfRule type="cellIs" dxfId="1685" priority="126" operator="equal">
      <formula>"M4"</formula>
    </cfRule>
    <cfRule type="cellIs" dxfId="1684" priority="127" operator="equal">
      <formula>"M3"</formula>
    </cfRule>
    <cfRule type="cellIs" dxfId="1683" priority="128" operator="equal">
      <formula>"M2"</formula>
    </cfRule>
    <cfRule type="cellIs" dxfId="1682" priority="129" operator="equal">
      <formula>"M1"</formula>
    </cfRule>
  </conditionalFormatting>
  <conditionalFormatting sqref="BW1:BX1 BU1 BL1:BN2 BQ2:BS103 BL39:BN1048576 BL3:BL38">
    <cfRule type="cellIs" dxfId="1681" priority="125" operator="equal">
      <formula>"E"</formula>
    </cfRule>
  </conditionalFormatting>
  <conditionalFormatting sqref="BV39:BX1048576 BV3:BW38">
    <cfRule type="cellIs" dxfId="1680" priority="124" operator="equal">
      <formula>"E"</formula>
    </cfRule>
  </conditionalFormatting>
  <conditionalFormatting sqref="BU2:BU70">
    <cfRule type="cellIs" dxfId="1679" priority="121" stopIfTrue="1" operator="equal">
      <formula>"WW"</formula>
    </cfRule>
    <cfRule type="cellIs" dxfId="1678" priority="122" stopIfTrue="1" operator="equal">
      <formula>"C2"</formula>
    </cfRule>
  </conditionalFormatting>
  <conditionalFormatting sqref="BQ3:BS103">
    <cfRule type="cellIs" dxfId="1677" priority="115" operator="equal">
      <formula>"M4"</formula>
    </cfRule>
    <cfRule type="cellIs" dxfId="1676" priority="116" operator="equal">
      <formula>"M3"</formula>
    </cfRule>
    <cfRule type="cellIs" dxfId="1675" priority="117" operator="equal">
      <formula>"M2"</formula>
    </cfRule>
    <cfRule type="cellIs" dxfId="1674" priority="118" operator="equal">
      <formula>"M1"</formula>
    </cfRule>
  </conditionalFormatting>
  <conditionalFormatting sqref="U113:AE113 AP113">
    <cfRule type="cellIs" dxfId="1673" priority="114" operator="equal">
      <formula>"E"</formula>
    </cfRule>
  </conditionalFormatting>
  <conditionalFormatting sqref="AX3:AX103">
    <cfRule type="cellIs" dxfId="1672" priority="113" operator="equal">
      <formula>"E"</formula>
    </cfRule>
  </conditionalFormatting>
  <conditionalFormatting sqref="T3:T38">
    <cfRule type="cellIs" dxfId="1671" priority="105" operator="equal">
      <formula>"M4"</formula>
    </cfRule>
    <cfRule type="cellIs" dxfId="1670" priority="106" operator="equal">
      <formula>"M3"</formula>
    </cfRule>
    <cfRule type="cellIs" dxfId="1669" priority="107" operator="equal">
      <formula>"M2"</formula>
    </cfRule>
    <cfRule type="cellIs" dxfId="1668" priority="108" operator="equal">
      <formula>"M1"</formula>
    </cfRule>
  </conditionalFormatting>
  <conditionalFormatting sqref="T3:T38">
    <cfRule type="cellIs" dxfId="1667" priority="104" operator="equal">
      <formula>"E"</formula>
    </cfRule>
  </conditionalFormatting>
  <conditionalFormatting sqref="BM3:BM38">
    <cfRule type="cellIs" dxfId="1666" priority="100" operator="equal">
      <formula>"M4"</formula>
    </cfRule>
    <cfRule type="cellIs" dxfId="1665" priority="101" operator="equal">
      <formula>"M3"</formula>
    </cfRule>
    <cfRule type="cellIs" dxfId="1664" priority="102" operator="equal">
      <formula>"M2"</formula>
    </cfRule>
    <cfRule type="cellIs" dxfId="1663" priority="103" operator="equal">
      <formula>"M1"</formula>
    </cfRule>
  </conditionalFormatting>
  <conditionalFormatting sqref="BM3:BM38">
    <cfRule type="cellIs" dxfId="1662" priority="99" operator="equal">
      <formula>"E"</formula>
    </cfRule>
  </conditionalFormatting>
  <conditionalFormatting sqref="U3:U38">
    <cfRule type="cellIs" dxfId="1661" priority="95" operator="equal">
      <formula>"M4"</formula>
    </cfRule>
    <cfRule type="cellIs" dxfId="1660" priority="96" operator="equal">
      <formula>"M3"</formula>
    </cfRule>
    <cfRule type="cellIs" dxfId="1659" priority="97" operator="equal">
      <formula>"M2"</formula>
    </cfRule>
    <cfRule type="cellIs" dxfId="1658" priority="98" operator="equal">
      <formula>"M1"</formula>
    </cfRule>
  </conditionalFormatting>
  <conditionalFormatting sqref="U3:U38">
    <cfRule type="cellIs" dxfId="1657" priority="94" operator="equal">
      <formula>"E"</formula>
    </cfRule>
  </conditionalFormatting>
  <conditionalFormatting sqref="BN3:BN38">
    <cfRule type="cellIs" dxfId="1656" priority="90" operator="equal">
      <formula>"M4"</formula>
    </cfRule>
    <cfRule type="cellIs" dxfId="1655" priority="91" operator="equal">
      <formula>"M3"</formula>
    </cfRule>
    <cfRule type="cellIs" dxfId="1654" priority="92" operator="equal">
      <formula>"M2"</formula>
    </cfRule>
    <cfRule type="cellIs" dxfId="1653" priority="93" operator="equal">
      <formula>"M1"</formula>
    </cfRule>
  </conditionalFormatting>
  <conditionalFormatting sqref="BN3:BN38">
    <cfRule type="cellIs" dxfId="1652" priority="89" operator="equal">
      <formula>"E"</formula>
    </cfRule>
  </conditionalFormatting>
  <conditionalFormatting sqref="AG2:AG70">
    <cfRule type="cellIs" dxfId="1651" priority="62" stopIfTrue="1" operator="equal">
      <formula>"WW"</formula>
    </cfRule>
    <cfRule type="cellIs" dxfId="1650" priority="63" stopIfTrue="1" operator="equal">
      <formula>"C2"</formula>
    </cfRule>
  </conditionalFormatting>
  <conditionalFormatting sqref="AL2:AL70">
    <cfRule type="cellIs" dxfId="1649" priority="57" stopIfTrue="1" operator="equal">
      <formula>"WW"</formula>
    </cfRule>
    <cfRule type="cellIs" dxfId="1648" priority="58" stopIfTrue="1" operator="equal">
      <formula>"C2"</formula>
    </cfRule>
  </conditionalFormatting>
  <conditionalFormatting sqref="BC27:BC32">
    <cfRule type="cellIs" dxfId="1647" priority="32" operator="equal">
      <formula>"E"</formula>
    </cfRule>
  </conditionalFormatting>
  <conditionalFormatting sqref="BD3:BD8">
    <cfRule type="cellIs" dxfId="1646" priority="31" operator="equal">
      <formula>"E"</formula>
    </cfRule>
  </conditionalFormatting>
  <conditionalFormatting sqref="BD27:BD32">
    <cfRule type="cellIs" dxfId="1645" priority="27" operator="equal">
      <formula>"E"</formula>
    </cfRule>
  </conditionalFormatting>
  <conditionalFormatting sqref="BE3:BE8">
    <cfRule type="cellIs" dxfId="1644" priority="26" operator="equal">
      <formula>"E"</formula>
    </cfRule>
  </conditionalFormatting>
  <conditionalFormatting sqref="J13">
    <cfRule type="dataBar" priority="2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{86929404-AC7D-4756-9CA9-7DE584EE120C}</x14:id>
        </ext>
      </extLst>
    </cfRule>
  </conditionalFormatting>
  <conditionalFormatting sqref="AH3:AH38">
    <cfRule type="cellIs" dxfId="1643" priority="12" operator="equal">
      <formula>"E"</formula>
    </cfRule>
  </conditionalFormatting>
  <conditionalFormatting sqref="AD3:AD38">
    <cfRule type="cellIs" dxfId="1642" priority="18" operator="equal">
      <formula>"E"</formula>
    </cfRule>
  </conditionalFormatting>
  <conditionalFormatting sqref="AI3:AI38">
    <cfRule type="cellIs" dxfId="1641" priority="9" operator="equal">
      <formula>"E"</formula>
    </cfRule>
  </conditionalFormatting>
  <conditionalFormatting sqref="AM3:AM38">
    <cfRule type="cellIs" dxfId="1640" priority="8" operator="equal">
      <formula>"E"</formula>
    </cfRule>
  </conditionalFormatting>
  <conditionalFormatting sqref="AN3:AN38">
    <cfRule type="cellIs" dxfId="1639" priority="5" operator="equal">
      <formula>"E"</formula>
    </cfRule>
  </conditionalFormatting>
  <conditionalFormatting sqref="AE3:AE38">
    <cfRule type="cellIs" dxfId="1638" priority="4" operator="equal">
      <formula>"E"</formula>
    </cfRule>
  </conditionalFormatting>
  <conditionalFormatting sqref="AJ3:AJ38">
    <cfRule type="cellIs" dxfId="1637" priority="3" operator="equal">
      <formula>"E"</formula>
    </cfRule>
  </conditionalFormatting>
  <conditionalFormatting sqref="AO3:AO38">
    <cfRule type="cellIs" dxfId="1636" priority="2" operator="equal">
      <formula>"E"</formula>
    </cfRule>
  </conditionalFormatting>
  <conditionalFormatting sqref="BX3:BX38">
    <cfRule type="cellIs" dxfId="1635" priority="1" operator="equal">
      <formula>"E"</formula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6929404-AC7D-4756-9CA9-7DE584EE120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J13</xm:sqref>
        </x14:conditionalFormatting>
      </x14:conditionalFormatting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6340DF-8A18-4A83-81F2-A30BB70137E6}">
  <dimension ref="A1:CD120"/>
  <sheetViews>
    <sheetView workbookViewId="0">
      <selection sqref="A1:C1"/>
    </sheetView>
  </sheetViews>
  <sheetFormatPr defaultRowHeight="16.2"/>
  <cols>
    <col min="1" max="1" width="14.44140625" customWidth="1"/>
    <col min="2" max="2" width="5.77734375" customWidth="1"/>
    <col min="3" max="3" width="20.109375" customWidth="1"/>
    <col min="4" max="4" width="8.77734375" customWidth="1"/>
    <col min="5" max="5" width="7.21875" customWidth="1"/>
    <col min="6" max="6" width="7.77734375" customWidth="1"/>
    <col min="10" max="10" width="12.88671875" customWidth="1"/>
    <col min="13" max="15" width="8.6640625" customWidth="1"/>
    <col min="18" max="18" width="10.6640625" style="15" bestFit="1" customWidth="1"/>
    <col min="19" max="21" width="9.77734375" style="16" customWidth="1"/>
    <col min="22" max="22" width="3.77734375" customWidth="1"/>
    <col min="24" max="26" width="4.44140625" customWidth="1"/>
    <col min="27" max="27" width="3.77734375" customWidth="1"/>
    <col min="28" max="28" width="9.88671875" customWidth="1"/>
    <col min="29" max="31" width="5.109375" style="16" customWidth="1"/>
    <col min="32" max="32" width="3.6640625" customWidth="1"/>
    <col min="34" max="36" width="5.33203125" customWidth="1"/>
    <col min="37" max="37" width="3.44140625" customWidth="1"/>
    <col min="39" max="41" width="5.33203125" customWidth="1"/>
    <col min="42" max="42" width="13.44140625" customWidth="1"/>
    <col min="44" max="44" width="13.44140625" style="16" customWidth="1"/>
    <col min="45" max="45" width="3.77734375" customWidth="1"/>
    <col min="48" max="48" width="3.77734375" customWidth="1"/>
    <col min="49" max="49" width="12.44140625" customWidth="1"/>
    <col min="59" max="59" width="9.44140625" style="26" customWidth="1"/>
    <col min="61" max="61" width="15.33203125" customWidth="1"/>
    <col min="63" max="63" width="10.6640625" style="15" bestFit="1" customWidth="1"/>
    <col min="64" max="66" width="9.77734375" style="16" customWidth="1"/>
    <col min="67" max="67" width="3.77734375" customWidth="1"/>
    <col min="69" max="71" width="4.44140625" customWidth="1"/>
    <col min="72" max="72" width="3.77734375" customWidth="1"/>
    <col min="73" max="73" width="9.88671875" customWidth="1"/>
    <col min="74" max="76" width="4.44140625" style="16" customWidth="1"/>
    <col min="78" max="78" width="10.6640625" style="15" bestFit="1" customWidth="1"/>
    <col min="79" max="79" width="9.77734375" style="16" customWidth="1"/>
    <col min="80" max="80" width="6.44140625" customWidth="1"/>
    <col min="81" max="81" width="9.88671875" customWidth="1"/>
    <col min="82" max="82" width="11.88671875" style="16" customWidth="1"/>
  </cols>
  <sheetData>
    <row r="1" spans="1:82">
      <c r="A1" s="30" t="s">
        <v>115</v>
      </c>
      <c r="R1" s="9" t="s">
        <v>41</v>
      </c>
      <c r="S1" s="10"/>
      <c r="T1" s="10"/>
      <c r="U1" s="10"/>
      <c r="W1" s="18" t="s">
        <v>30</v>
      </c>
      <c r="AB1" s="10" t="s">
        <v>93</v>
      </c>
      <c r="AD1" s="10"/>
      <c r="AE1" s="10"/>
      <c r="AG1" s="10" t="s">
        <v>94</v>
      </c>
      <c r="AH1" s="16"/>
      <c r="AI1" s="10"/>
      <c r="AJ1" s="10"/>
      <c r="AL1" s="10" t="s">
        <v>95</v>
      </c>
      <c r="AM1" s="16"/>
      <c r="AN1" s="10"/>
      <c r="AO1" s="10"/>
      <c r="AQ1" s="19" t="s">
        <v>31</v>
      </c>
      <c r="AR1" s="10"/>
      <c r="AT1" s="19" t="s">
        <v>32</v>
      </c>
      <c r="AW1" s="19" t="s">
        <v>33</v>
      </c>
      <c r="AX1" s="16" t="s">
        <v>60</v>
      </c>
      <c r="AY1" s="16" t="s">
        <v>48</v>
      </c>
      <c r="AZ1" s="16" t="s">
        <v>49</v>
      </c>
      <c r="BA1" s="16" t="s">
        <v>50</v>
      </c>
      <c r="BB1" s="16" t="s">
        <v>51</v>
      </c>
      <c r="BC1" s="16" t="s">
        <v>52</v>
      </c>
      <c r="BD1" s="16" t="s">
        <v>53</v>
      </c>
      <c r="BE1" s="16" t="s">
        <v>54</v>
      </c>
      <c r="BF1" s="16" t="s">
        <v>55</v>
      </c>
      <c r="BG1" s="25" t="s">
        <v>87</v>
      </c>
      <c r="BH1" s="16" t="s">
        <v>88</v>
      </c>
      <c r="BI1" s="41" t="s">
        <v>89</v>
      </c>
      <c r="BK1" s="9" t="s">
        <v>43</v>
      </c>
      <c r="BL1" s="10"/>
      <c r="BM1" s="10"/>
      <c r="BN1" s="10"/>
      <c r="BP1" s="18" t="s">
        <v>45</v>
      </c>
      <c r="BU1" s="19" t="s">
        <v>44</v>
      </c>
      <c r="BW1" s="10"/>
      <c r="BX1" s="10"/>
      <c r="BZ1" s="9" t="s">
        <v>70</v>
      </c>
      <c r="CA1" s="10"/>
      <c r="CC1" s="19" t="s">
        <v>71</v>
      </c>
    </row>
    <row r="2" spans="1:82" ht="18" customHeight="1">
      <c r="A2" s="30" t="s">
        <v>46</v>
      </c>
      <c r="B2" s="1" t="s">
        <v>86</v>
      </c>
      <c r="C2" s="2" t="s">
        <v>114</v>
      </c>
      <c r="D2" s="3" t="s">
        <v>0</v>
      </c>
      <c r="E2" s="116" t="s">
        <v>1</v>
      </c>
      <c r="F2" s="4" t="s">
        <v>2</v>
      </c>
      <c r="J2" s="301" t="s">
        <v>112</v>
      </c>
      <c r="K2" s="318"/>
      <c r="L2" s="318"/>
      <c r="M2" s="318"/>
      <c r="N2" s="319"/>
      <c r="R2" s="11" t="s">
        <v>17</v>
      </c>
      <c r="S2" s="12" t="s">
        <v>0</v>
      </c>
      <c r="T2" s="13" t="s">
        <v>1</v>
      </c>
      <c r="U2" s="12" t="s">
        <v>2</v>
      </c>
      <c r="W2" s="11" t="s">
        <v>17</v>
      </c>
      <c r="X2" s="12" t="s">
        <v>0</v>
      </c>
      <c r="Y2" s="13" t="s">
        <v>1</v>
      </c>
      <c r="Z2" s="12" t="s">
        <v>2</v>
      </c>
      <c r="AB2" s="11" t="s">
        <v>17</v>
      </c>
      <c r="AC2" s="12" t="s">
        <v>0</v>
      </c>
      <c r="AD2" s="13" t="s">
        <v>1</v>
      </c>
      <c r="AE2" s="12" t="s">
        <v>2</v>
      </c>
      <c r="AG2" s="11" t="s">
        <v>17</v>
      </c>
      <c r="AH2" s="12" t="s">
        <v>0</v>
      </c>
      <c r="AI2" s="13" t="s">
        <v>1</v>
      </c>
      <c r="AJ2" s="12" t="s">
        <v>2</v>
      </c>
      <c r="AL2" s="11" t="s">
        <v>17</v>
      </c>
      <c r="AM2" s="12" t="s">
        <v>0</v>
      </c>
      <c r="AN2" s="13" t="s">
        <v>1</v>
      </c>
      <c r="AO2" s="12" t="s">
        <v>2</v>
      </c>
      <c r="AQ2" s="11" t="s">
        <v>17</v>
      </c>
      <c r="AR2" s="13" t="s">
        <v>3</v>
      </c>
      <c r="AT2" s="11" t="s">
        <v>17</v>
      </c>
      <c r="AU2" s="13" t="s">
        <v>4</v>
      </c>
      <c r="AW2" s="11" t="s">
        <v>17</v>
      </c>
      <c r="AX2" s="12" t="s">
        <v>4</v>
      </c>
      <c r="AY2" s="12" t="s">
        <v>4</v>
      </c>
      <c r="AZ2" s="12" t="s">
        <v>4</v>
      </c>
      <c r="BA2" s="12" t="s">
        <v>4</v>
      </c>
      <c r="BB2" s="12" t="s">
        <v>4</v>
      </c>
      <c r="BC2" s="12" t="s">
        <v>4</v>
      </c>
      <c r="BD2" s="12" t="s">
        <v>4</v>
      </c>
      <c r="BE2" s="12" t="s">
        <v>4</v>
      </c>
      <c r="BF2" s="24" t="s">
        <v>4</v>
      </c>
      <c r="BG2" s="29" t="s">
        <v>4</v>
      </c>
      <c r="BH2" s="12" t="s">
        <v>4</v>
      </c>
      <c r="BI2" s="12" t="s">
        <v>4</v>
      </c>
      <c r="BK2" s="11" t="s">
        <v>17</v>
      </c>
      <c r="BL2" s="12" t="s">
        <v>0</v>
      </c>
      <c r="BM2" s="13" t="s">
        <v>1</v>
      </c>
      <c r="BN2" s="12" t="s">
        <v>2</v>
      </c>
      <c r="BP2" s="11" t="s">
        <v>17</v>
      </c>
      <c r="BQ2" s="12" t="s">
        <v>0</v>
      </c>
      <c r="BR2" s="13" t="s">
        <v>1</v>
      </c>
      <c r="BS2" s="12" t="s">
        <v>2</v>
      </c>
      <c r="BU2" s="11" t="s">
        <v>17</v>
      </c>
      <c r="BV2" s="12" t="s">
        <v>0</v>
      </c>
      <c r="BW2" s="13" t="s">
        <v>1</v>
      </c>
      <c r="BX2" s="12" t="s">
        <v>2</v>
      </c>
      <c r="BZ2" s="11" t="s">
        <v>17</v>
      </c>
      <c r="CA2" s="12" t="s">
        <v>69</v>
      </c>
      <c r="CC2" s="11" t="s">
        <v>17</v>
      </c>
      <c r="CD2" s="12" t="s">
        <v>58</v>
      </c>
    </row>
    <row r="3" spans="1:82" ht="16.8">
      <c r="A3" s="1" t="s">
        <v>19</v>
      </c>
      <c r="B3" s="1">
        <v>0</v>
      </c>
      <c r="C3" s="3" t="s">
        <v>25</v>
      </c>
      <c r="D3" s="3">
        <f>SUMIF(S$3:S$38,$A3,AC$3:AC$38)</f>
        <v>0</v>
      </c>
      <c r="E3" s="129">
        <f t="shared" ref="E3:F14" si="0">SUMIF(T$3:T$38,$A3,AD$3:AD$38)</f>
        <v>9286</v>
      </c>
      <c r="F3" s="4">
        <f t="shared" si="0"/>
        <v>8810</v>
      </c>
      <c r="H3" s="27"/>
      <c r="I3" s="27"/>
      <c r="J3" s="64" t="s">
        <v>79</v>
      </c>
      <c r="K3" s="64" t="s">
        <v>78</v>
      </c>
      <c r="L3" s="2" t="s">
        <v>80</v>
      </c>
      <c r="M3" s="2" t="s">
        <v>72</v>
      </c>
      <c r="N3" s="2" t="s">
        <v>73</v>
      </c>
      <c r="R3" s="11">
        <v>0</v>
      </c>
      <c r="S3" s="12">
        <v>1</v>
      </c>
      <c r="T3" s="12" t="s">
        <v>15</v>
      </c>
      <c r="U3" s="12" t="s">
        <v>15</v>
      </c>
      <c r="W3" s="11">
        <v>0</v>
      </c>
      <c r="X3" s="12">
        <v>2</v>
      </c>
      <c r="Y3" s="12">
        <v>0</v>
      </c>
      <c r="Z3" s="12">
        <v>0</v>
      </c>
      <c r="AB3" s="11">
        <v>0</v>
      </c>
      <c r="AC3" s="12">
        <v>0</v>
      </c>
      <c r="AD3" s="12">
        <v>516</v>
      </c>
      <c r="AE3" s="12">
        <v>490</v>
      </c>
      <c r="AG3" s="11">
        <v>0</v>
      </c>
      <c r="AH3" s="12">
        <v>256</v>
      </c>
      <c r="AI3" s="12">
        <v>297</v>
      </c>
      <c r="AJ3" s="12">
        <v>435</v>
      </c>
      <c r="AL3" s="11">
        <v>0</v>
      </c>
      <c r="AM3" s="12">
        <v>3</v>
      </c>
      <c r="AN3" s="12">
        <v>228</v>
      </c>
      <c r="AO3" s="12">
        <v>219</v>
      </c>
      <c r="AQ3" s="11">
        <v>0</v>
      </c>
      <c r="AR3" s="14" t="s">
        <v>5</v>
      </c>
      <c r="AT3" s="11">
        <v>0</v>
      </c>
      <c r="AU3" s="12">
        <v>6</v>
      </c>
      <c r="AW3" s="11">
        <v>0</v>
      </c>
      <c r="AX3" s="12">
        <v>44</v>
      </c>
      <c r="AY3" s="12">
        <v>1</v>
      </c>
      <c r="AZ3" s="12">
        <v>17</v>
      </c>
      <c r="BA3" s="12">
        <v>6</v>
      </c>
      <c r="BB3" s="12">
        <v>6</v>
      </c>
      <c r="BC3" s="12">
        <v>5</v>
      </c>
      <c r="BD3" s="12">
        <v>438</v>
      </c>
      <c r="BE3" s="12">
        <v>10</v>
      </c>
      <c r="BF3" s="24">
        <v>247</v>
      </c>
      <c r="BG3" s="29">
        <v>6</v>
      </c>
      <c r="BH3" s="12">
        <v>37</v>
      </c>
      <c r="BI3" s="12">
        <v>37</v>
      </c>
      <c r="BK3" s="11">
        <v>0</v>
      </c>
      <c r="BL3" s="12">
        <v>1</v>
      </c>
      <c r="BM3" s="12" t="s">
        <v>15</v>
      </c>
      <c r="BN3" s="12" t="s">
        <v>15</v>
      </c>
      <c r="BP3" s="11">
        <v>0</v>
      </c>
      <c r="BQ3" s="12">
        <v>2</v>
      </c>
      <c r="BR3" s="12">
        <v>0</v>
      </c>
      <c r="BS3" s="12">
        <v>0</v>
      </c>
      <c r="BU3" s="11">
        <v>0</v>
      </c>
      <c r="BV3" s="12">
        <v>929</v>
      </c>
      <c r="BW3" s="12">
        <v>104</v>
      </c>
      <c r="BX3" s="12">
        <v>72</v>
      </c>
      <c r="BZ3" s="11">
        <v>0</v>
      </c>
      <c r="CA3" s="12">
        <v>30</v>
      </c>
      <c r="CC3" s="11">
        <v>0</v>
      </c>
      <c r="CD3" s="12">
        <v>640</v>
      </c>
    </row>
    <row r="4" spans="1:82" ht="16.8">
      <c r="A4" s="20">
        <v>0</v>
      </c>
      <c r="B4" s="20">
        <v>1</v>
      </c>
      <c r="C4" s="5">
        <v>0</v>
      </c>
      <c r="D4" s="37">
        <f t="shared" ref="D4:D14" si="1">SUMIF(S$3:S$38,$A4,AC$3:AC$38)</f>
        <v>0</v>
      </c>
      <c r="E4" s="128">
        <f t="shared" si="0"/>
        <v>238</v>
      </c>
      <c r="F4" s="7">
        <f t="shared" si="0"/>
        <v>857</v>
      </c>
      <c r="H4" s="27"/>
      <c r="J4" s="61" t="s">
        <v>77</v>
      </c>
      <c r="K4" s="61" t="s">
        <v>7</v>
      </c>
      <c r="L4" s="2">
        <v>2</v>
      </c>
      <c r="M4" s="2">
        <v>2</v>
      </c>
      <c r="N4" s="2">
        <v>1</v>
      </c>
      <c r="O4" s="6"/>
      <c r="R4" s="11">
        <v>1</v>
      </c>
      <c r="S4" s="12" t="s">
        <v>15</v>
      </c>
      <c r="T4" s="12">
        <v>0</v>
      </c>
      <c r="U4" s="12">
        <v>0</v>
      </c>
      <c r="W4" s="11">
        <v>1</v>
      </c>
      <c r="X4" s="12">
        <v>0</v>
      </c>
      <c r="Y4" s="12">
        <v>1</v>
      </c>
      <c r="Z4" s="12">
        <v>1</v>
      </c>
      <c r="AB4" s="11">
        <v>1</v>
      </c>
      <c r="AC4" s="12">
        <v>0</v>
      </c>
      <c r="AD4" s="12">
        <v>40</v>
      </c>
      <c r="AE4" s="12">
        <v>143</v>
      </c>
      <c r="AG4" s="11">
        <v>1</v>
      </c>
      <c r="AH4" s="12">
        <v>464</v>
      </c>
      <c r="AI4" s="12">
        <v>141</v>
      </c>
      <c r="AJ4" s="12">
        <v>99</v>
      </c>
      <c r="AL4" s="11">
        <v>1</v>
      </c>
      <c r="AM4" s="12">
        <v>555</v>
      </c>
      <c r="AN4" s="12">
        <v>975</v>
      </c>
      <c r="AO4" s="12">
        <v>939</v>
      </c>
      <c r="AQ4" s="11">
        <v>1</v>
      </c>
      <c r="AR4" s="12" t="s">
        <v>15</v>
      </c>
      <c r="AT4" s="11">
        <v>1</v>
      </c>
      <c r="AU4" s="12">
        <v>0</v>
      </c>
      <c r="AW4" s="11">
        <v>1</v>
      </c>
      <c r="AX4" s="12">
        <v>397</v>
      </c>
      <c r="AY4" s="12">
        <v>28</v>
      </c>
      <c r="AZ4" s="12">
        <v>294</v>
      </c>
      <c r="BA4" s="12">
        <v>154</v>
      </c>
      <c r="BB4" s="12">
        <v>305</v>
      </c>
      <c r="BC4" s="12">
        <v>235</v>
      </c>
      <c r="BD4" s="12">
        <v>133</v>
      </c>
      <c r="BE4" s="12">
        <v>209</v>
      </c>
      <c r="BF4" s="24">
        <v>182</v>
      </c>
      <c r="BG4" s="29">
        <v>299</v>
      </c>
      <c r="BH4" s="12">
        <v>211</v>
      </c>
      <c r="BI4" s="12">
        <v>211</v>
      </c>
      <c r="BK4" s="11">
        <v>1</v>
      </c>
      <c r="BL4" s="12" t="s">
        <v>15</v>
      </c>
      <c r="BM4" s="12">
        <v>0</v>
      </c>
      <c r="BN4" s="12">
        <v>0</v>
      </c>
      <c r="BP4" s="11">
        <v>1</v>
      </c>
      <c r="BQ4" s="12">
        <v>0</v>
      </c>
      <c r="BR4" s="12">
        <v>1</v>
      </c>
      <c r="BS4" s="12">
        <v>1</v>
      </c>
      <c r="BU4" s="11">
        <v>1</v>
      </c>
      <c r="BV4" s="12">
        <v>72</v>
      </c>
      <c r="BW4" s="12">
        <v>191</v>
      </c>
      <c r="BX4" s="12">
        <v>524</v>
      </c>
      <c r="BZ4" s="11">
        <v>1</v>
      </c>
      <c r="CA4" s="12">
        <v>15</v>
      </c>
      <c r="CC4" s="11">
        <v>1</v>
      </c>
      <c r="CD4" s="12">
        <v>654</v>
      </c>
    </row>
    <row r="5" spans="1:82" ht="16.8">
      <c r="A5" s="20">
        <v>1</v>
      </c>
      <c r="B5" s="20">
        <v>2</v>
      </c>
      <c r="C5" s="5">
        <v>1</v>
      </c>
      <c r="D5" s="6">
        <f t="shared" si="1"/>
        <v>0</v>
      </c>
      <c r="E5" s="128">
        <f t="shared" si="0"/>
        <v>190</v>
      </c>
      <c r="F5" s="7">
        <f t="shared" si="0"/>
        <v>190</v>
      </c>
      <c r="H5" s="27"/>
      <c r="I5" s="27"/>
      <c r="J5" s="91"/>
      <c r="K5" s="91"/>
      <c r="L5" s="320" t="s">
        <v>84</v>
      </c>
      <c r="M5" s="320"/>
      <c r="N5" s="320"/>
      <c r="R5" s="11">
        <v>2</v>
      </c>
      <c r="S5" s="12">
        <v>5</v>
      </c>
      <c r="T5" s="12" t="s">
        <v>15</v>
      </c>
      <c r="U5" s="12" t="s">
        <v>15</v>
      </c>
      <c r="W5" s="11">
        <v>2</v>
      </c>
      <c r="X5" s="12">
        <v>3</v>
      </c>
      <c r="Y5" s="12">
        <v>0</v>
      </c>
      <c r="Z5" s="12">
        <v>0</v>
      </c>
      <c r="AB5" s="11">
        <v>2</v>
      </c>
      <c r="AC5" s="12">
        <v>1667</v>
      </c>
      <c r="AD5" s="12">
        <v>516</v>
      </c>
      <c r="AE5" s="12">
        <v>490</v>
      </c>
      <c r="AG5" s="11">
        <v>2</v>
      </c>
      <c r="AH5" s="12">
        <v>0</v>
      </c>
      <c r="AI5" s="12">
        <v>297</v>
      </c>
      <c r="AJ5" s="12">
        <v>435</v>
      </c>
      <c r="AL5" s="11">
        <v>2</v>
      </c>
      <c r="AM5" s="12">
        <v>0</v>
      </c>
      <c r="AN5" s="12">
        <v>228</v>
      </c>
      <c r="AO5" s="12">
        <v>219</v>
      </c>
      <c r="AQ5" s="11">
        <v>2</v>
      </c>
      <c r="AR5" s="14" t="s">
        <v>7</v>
      </c>
      <c r="AT5" s="11">
        <v>2</v>
      </c>
      <c r="AU5" s="12">
        <v>9</v>
      </c>
      <c r="AW5" s="11">
        <v>2</v>
      </c>
      <c r="AX5" s="12">
        <v>9</v>
      </c>
      <c r="AY5" s="12">
        <v>13</v>
      </c>
      <c r="AZ5" s="12">
        <v>22</v>
      </c>
      <c r="BA5" s="12">
        <v>388</v>
      </c>
      <c r="BB5" s="12">
        <v>10</v>
      </c>
      <c r="BC5" s="12">
        <v>675</v>
      </c>
      <c r="BD5" s="12">
        <v>46</v>
      </c>
      <c r="BE5" s="12">
        <v>20</v>
      </c>
      <c r="BF5" s="24">
        <v>19</v>
      </c>
      <c r="BG5" s="29">
        <v>375</v>
      </c>
      <c r="BH5" s="12">
        <v>70</v>
      </c>
      <c r="BI5" s="12">
        <v>70</v>
      </c>
      <c r="BK5" s="11">
        <v>2</v>
      </c>
      <c r="BL5" s="12">
        <v>5</v>
      </c>
      <c r="BM5" s="12" t="s">
        <v>15</v>
      </c>
      <c r="BN5" s="12" t="s">
        <v>15</v>
      </c>
      <c r="BP5" s="11">
        <v>2</v>
      </c>
      <c r="BQ5" s="12">
        <v>3</v>
      </c>
      <c r="BR5" s="12">
        <v>0</v>
      </c>
      <c r="BS5" s="12">
        <v>0</v>
      </c>
      <c r="BU5" s="11">
        <v>2</v>
      </c>
      <c r="BV5" s="12">
        <v>381</v>
      </c>
      <c r="BW5" s="12">
        <v>104</v>
      </c>
      <c r="BX5" s="12">
        <v>72</v>
      </c>
      <c r="BZ5" s="11">
        <v>2</v>
      </c>
      <c r="CA5" s="12">
        <v>100</v>
      </c>
      <c r="CC5" s="11">
        <v>2</v>
      </c>
      <c r="CD5" s="12">
        <v>1</v>
      </c>
    </row>
    <row r="6" spans="1:82">
      <c r="A6" s="21">
        <v>5</v>
      </c>
      <c r="B6" s="21">
        <v>3</v>
      </c>
      <c r="C6" s="23">
        <v>5</v>
      </c>
      <c r="D6" s="6">
        <f t="shared" si="1"/>
        <v>10000</v>
      </c>
      <c r="E6" s="128">
        <f t="shared" si="0"/>
        <v>286</v>
      </c>
      <c r="F6" s="7">
        <f t="shared" si="0"/>
        <v>143</v>
      </c>
      <c r="H6" s="27"/>
      <c r="I6" s="27"/>
      <c r="J6" s="27"/>
      <c r="R6" s="11">
        <v>3</v>
      </c>
      <c r="S6" s="12" t="s">
        <v>15</v>
      </c>
      <c r="T6" s="12">
        <v>1</v>
      </c>
      <c r="U6" s="12">
        <v>1</v>
      </c>
      <c r="W6" s="11">
        <v>3</v>
      </c>
      <c r="X6" s="12">
        <v>0</v>
      </c>
      <c r="Y6" s="12">
        <v>2</v>
      </c>
      <c r="Z6" s="12">
        <v>2</v>
      </c>
      <c r="AB6" s="11">
        <v>3</v>
      </c>
      <c r="AC6" s="12">
        <v>0</v>
      </c>
      <c r="AD6" s="12">
        <v>32</v>
      </c>
      <c r="AE6" s="12">
        <v>32</v>
      </c>
      <c r="AG6" s="11">
        <v>3</v>
      </c>
      <c r="AH6" s="12">
        <v>464</v>
      </c>
      <c r="AI6" s="12">
        <v>200</v>
      </c>
      <c r="AJ6" s="12">
        <v>123</v>
      </c>
      <c r="AL6" s="11">
        <v>3</v>
      </c>
      <c r="AM6" s="12">
        <v>555</v>
      </c>
      <c r="AN6" s="12">
        <v>3</v>
      </c>
      <c r="AO6" s="12">
        <v>11</v>
      </c>
      <c r="AQ6" s="11">
        <v>3</v>
      </c>
      <c r="AR6" s="12" t="s">
        <v>15</v>
      </c>
      <c r="AT6" s="11">
        <v>3</v>
      </c>
      <c r="AU6" s="12">
        <v>0</v>
      </c>
      <c r="AW6" s="11">
        <v>3</v>
      </c>
      <c r="AX6" s="12">
        <v>397</v>
      </c>
      <c r="AY6" s="12">
        <v>24</v>
      </c>
      <c r="AZ6" s="12">
        <v>289</v>
      </c>
      <c r="BA6" s="12">
        <v>155</v>
      </c>
      <c r="BB6" s="12">
        <v>300</v>
      </c>
      <c r="BC6" s="12">
        <v>243</v>
      </c>
      <c r="BD6" s="12">
        <v>133</v>
      </c>
      <c r="BE6" s="12">
        <v>199</v>
      </c>
      <c r="BF6" s="24">
        <v>182</v>
      </c>
      <c r="BG6" s="29">
        <v>304</v>
      </c>
      <c r="BH6" s="12">
        <v>216</v>
      </c>
      <c r="BI6" s="12">
        <v>216</v>
      </c>
      <c r="BK6" s="11">
        <v>3</v>
      </c>
      <c r="BL6" s="12" t="s">
        <v>15</v>
      </c>
      <c r="BM6" s="12">
        <v>1</v>
      </c>
      <c r="BN6" s="12">
        <v>1</v>
      </c>
      <c r="BP6" s="11">
        <v>3</v>
      </c>
      <c r="BQ6" s="12">
        <v>0</v>
      </c>
      <c r="BR6" s="12">
        <v>2</v>
      </c>
      <c r="BS6" s="12">
        <v>2</v>
      </c>
      <c r="BU6" s="11">
        <v>3</v>
      </c>
      <c r="BV6" s="12">
        <v>72</v>
      </c>
      <c r="BW6" s="12">
        <v>500</v>
      </c>
      <c r="BX6" s="12">
        <v>262</v>
      </c>
      <c r="BZ6" s="11">
        <v>3</v>
      </c>
      <c r="CA6" s="12">
        <v>5</v>
      </c>
      <c r="CC6" s="11">
        <v>3</v>
      </c>
      <c r="CD6" s="12">
        <v>3419</v>
      </c>
    </row>
    <row r="7" spans="1:82" ht="16.8">
      <c r="A7" s="21">
        <v>10</v>
      </c>
      <c r="B7" s="21">
        <v>4</v>
      </c>
      <c r="C7" s="23">
        <v>10</v>
      </c>
      <c r="D7" s="6">
        <f t="shared" si="1"/>
        <v>0</v>
      </c>
      <c r="E7" s="59">
        <f t="shared" si="0"/>
        <v>0</v>
      </c>
      <c r="F7" s="38">
        <f t="shared" si="0"/>
        <v>0</v>
      </c>
      <c r="H7" s="27"/>
      <c r="J7" s="64" t="s">
        <v>81</v>
      </c>
      <c r="K7" s="64" t="s">
        <v>82</v>
      </c>
      <c r="L7" s="64" t="s">
        <v>83</v>
      </c>
      <c r="M7" s="64" t="s">
        <v>113</v>
      </c>
      <c r="R7" s="11">
        <v>4</v>
      </c>
      <c r="S7" s="12">
        <v>10</v>
      </c>
      <c r="T7" s="12" t="s">
        <v>15</v>
      </c>
      <c r="U7" s="12" t="s">
        <v>15</v>
      </c>
      <c r="W7" s="11">
        <v>4</v>
      </c>
      <c r="X7" s="12">
        <v>4</v>
      </c>
      <c r="Y7" s="12">
        <v>0</v>
      </c>
      <c r="Z7" s="12">
        <v>0</v>
      </c>
      <c r="AB7" s="11">
        <v>4</v>
      </c>
      <c r="AC7" s="12">
        <v>0</v>
      </c>
      <c r="AD7" s="12">
        <v>516</v>
      </c>
      <c r="AE7" s="12">
        <v>490</v>
      </c>
      <c r="AG7" s="11">
        <v>4</v>
      </c>
      <c r="AH7" s="12">
        <v>19</v>
      </c>
      <c r="AI7" s="12">
        <v>297</v>
      </c>
      <c r="AJ7" s="12">
        <v>435</v>
      </c>
      <c r="AL7" s="11">
        <v>4</v>
      </c>
      <c r="AM7" s="12">
        <v>1</v>
      </c>
      <c r="AN7" s="12">
        <v>228</v>
      </c>
      <c r="AO7" s="12">
        <v>219</v>
      </c>
      <c r="AQ7" s="11">
        <v>4</v>
      </c>
      <c r="AR7" s="14" t="s">
        <v>6</v>
      </c>
      <c r="AT7" s="11">
        <v>4</v>
      </c>
      <c r="AU7" s="12">
        <v>7</v>
      </c>
      <c r="AW7" s="11">
        <v>4</v>
      </c>
      <c r="AX7" s="12">
        <v>319</v>
      </c>
      <c r="AY7" s="12">
        <v>1760</v>
      </c>
      <c r="AZ7" s="12">
        <v>742</v>
      </c>
      <c r="BA7" s="12">
        <v>918</v>
      </c>
      <c r="BB7" s="12">
        <v>712</v>
      </c>
      <c r="BC7" s="12">
        <v>253</v>
      </c>
      <c r="BD7" s="12">
        <v>784</v>
      </c>
      <c r="BE7" s="12">
        <v>255</v>
      </c>
      <c r="BF7" s="24">
        <v>242</v>
      </c>
      <c r="BG7" s="29">
        <v>208</v>
      </c>
      <c r="BH7" s="12">
        <v>916</v>
      </c>
      <c r="BI7" s="12">
        <v>916</v>
      </c>
      <c r="BK7" s="11">
        <v>4</v>
      </c>
      <c r="BL7" s="12">
        <v>10</v>
      </c>
      <c r="BM7" s="12" t="s">
        <v>15</v>
      </c>
      <c r="BN7" s="12" t="s">
        <v>15</v>
      </c>
      <c r="BP7" s="11">
        <v>4</v>
      </c>
      <c r="BQ7" s="12">
        <v>4</v>
      </c>
      <c r="BR7" s="12">
        <v>0</v>
      </c>
      <c r="BS7" s="12">
        <v>0</v>
      </c>
      <c r="BU7" s="11">
        <v>4</v>
      </c>
      <c r="BV7" s="12">
        <v>143</v>
      </c>
      <c r="BW7" s="12">
        <v>104</v>
      </c>
      <c r="BX7" s="12">
        <v>72</v>
      </c>
      <c r="BZ7" s="11">
        <v>4</v>
      </c>
      <c r="CA7" s="12">
        <v>20</v>
      </c>
      <c r="CC7" s="11">
        <v>4</v>
      </c>
      <c r="CD7" s="12">
        <v>1219</v>
      </c>
    </row>
    <row r="8" spans="1:82" ht="16.8">
      <c r="A8" s="20" t="s">
        <v>20</v>
      </c>
      <c r="B8" s="20">
        <v>5</v>
      </c>
      <c r="C8" s="23" t="s">
        <v>29</v>
      </c>
      <c r="D8" s="37">
        <f t="shared" si="1"/>
        <v>0</v>
      </c>
      <c r="E8" s="59">
        <f t="shared" si="0"/>
        <v>0</v>
      </c>
      <c r="F8" s="38">
        <f t="shared" si="0"/>
        <v>0</v>
      </c>
      <c r="H8" s="27"/>
      <c r="J8" s="64" t="s">
        <v>80</v>
      </c>
      <c r="K8" s="64">
        <v>4</v>
      </c>
      <c r="L8" s="64">
        <v>4</v>
      </c>
      <c r="M8" s="64">
        <v>92</v>
      </c>
      <c r="R8" s="11">
        <v>5</v>
      </c>
      <c r="S8" s="12" t="s">
        <v>15</v>
      </c>
      <c r="T8" s="12">
        <v>5</v>
      </c>
      <c r="U8" s="12">
        <v>5</v>
      </c>
      <c r="W8" s="11">
        <v>5</v>
      </c>
      <c r="X8" s="12">
        <v>0</v>
      </c>
      <c r="Y8" s="12">
        <v>3</v>
      </c>
      <c r="Z8" s="12">
        <v>3</v>
      </c>
      <c r="AB8" s="11">
        <v>5</v>
      </c>
      <c r="AC8" s="12">
        <v>0</v>
      </c>
      <c r="AD8" s="12">
        <v>48</v>
      </c>
      <c r="AE8" s="12">
        <v>24</v>
      </c>
      <c r="AG8" s="11">
        <v>5</v>
      </c>
      <c r="AH8" s="12">
        <v>464</v>
      </c>
      <c r="AI8" s="12">
        <v>436</v>
      </c>
      <c r="AJ8" s="12">
        <v>142</v>
      </c>
      <c r="AL8" s="11">
        <v>5</v>
      </c>
      <c r="AM8" s="12">
        <v>555</v>
      </c>
      <c r="AN8" s="12">
        <v>8</v>
      </c>
      <c r="AO8" s="12">
        <v>61</v>
      </c>
      <c r="AQ8" s="11">
        <v>5</v>
      </c>
      <c r="AR8" s="12" t="s">
        <v>15</v>
      </c>
      <c r="AT8" s="11">
        <v>5</v>
      </c>
      <c r="AU8" s="12">
        <v>0</v>
      </c>
      <c r="AW8" s="11">
        <v>5</v>
      </c>
      <c r="AX8" s="12">
        <v>404</v>
      </c>
      <c r="AY8" s="12">
        <v>24</v>
      </c>
      <c r="AZ8" s="12">
        <v>289</v>
      </c>
      <c r="BA8" s="12">
        <v>155</v>
      </c>
      <c r="BB8" s="12">
        <v>300</v>
      </c>
      <c r="BC8" s="12">
        <v>243</v>
      </c>
      <c r="BD8" s="12">
        <v>133</v>
      </c>
      <c r="BE8" s="12">
        <v>199</v>
      </c>
      <c r="BF8" s="24">
        <v>182</v>
      </c>
      <c r="BG8" s="29">
        <v>304</v>
      </c>
      <c r="BH8" s="12">
        <v>216</v>
      </c>
      <c r="BI8" s="12">
        <v>216</v>
      </c>
      <c r="BK8" s="11">
        <v>5</v>
      </c>
      <c r="BL8" s="12" t="s">
        <v>15</v>
      </c>
      <c r="BM8" s="12">
        <v>5</v>
      </c>
      <c r="BN8" s="12">
        <v>5</v>
      </c>
      <c r="BP8" s="11">
        <v>5</v>
      </c>
      <c r="BQ8" s="12">
        <v>0</v>
      </c>
      <c r="BR8" s="12">
        <v>3</v>
      </c>
      <c r="BS8" s="12">
        <v>3</v>
      </c>
      <c r="BU8" s="11">
        <v>5</v>
      </c>
      <c r="BV8" s="12">
        <v>72</v>
      </c>
      <c r="BW8" s="12">
        <v>667</v>
      </c>
      <c r="BX8" s="12">
        <v>667</v>
      </c>
      <c r="BZ8" s="11">
        <v>5</v>
      </c>
      <c r="CA8" s="12">
        <v>200</v>
      </c>
      <c r="CC8" s="11">
        <v>5</v>
      </c>
      <c r="CD8" s="12">
        <v>15</v>
      </c>
    </row>
    <row r="9" spans="1:82" ht="15.6" customHeight="1">
      <c r="A9" s="21" t="s">
        <v>21</v>
      </c>
      <c r="B9" s="21">
        <v>6</v>
      </c>
      <c r="C9" s="23" t="s">
        <v>26</v>
      </c>
      <c r="D9" s="37">
        <f t="shared" si="1"/>
        <v>0</v>
      </c>
      <c r="E9" s="59">
        <f t="shared" si="0"/>
        <v>0</v>
      </c>
      <c r="F9" s="38">
        <f t="shared" si="0"/>
        <v>0</v>
      </c>
      <c r="H9" s="27"/>
      <c r="J9" s="64" t="s">
        <v>72</v>
      </c>
      <c r="K9" s="64">
        <v>0</v>
      </c>
      <c r="L9" s="64">
        <v>0</v>
      </c>
      <c r="M9" s="64">
        <v>0</v>
      </c>
      <c r="N9" s="92"/>
      <c r="O9" s="92"/>
      <c r="R9" s="11">
        <v>6</v>
      </c>
      <c r="S9" s="12">
        <v>1</v>
      </c>
      <c r="T9" s="12" t="s">
        <v>15</v>
      </c>
      <c r="U9" s="12" t="s">
        <v>15</v>
      </c>
      <c r="W9" s="11">
        <v>6</v>
      </c>
      <c r="X9" s="12">
        <v>2</v>
      </c>
      <c r="Y9" s="12">
        <v>0</v>
      </c>
      <c r="Z9" s="12">
        <v>0</v>
      </c>
      <c r="AB9" s="11">
        <v>6</v>
      </c>
      <c r="AC9" s="12">
        <v>0</v>
      </c>
      <c r="AD9" s="12">
        <v>516</v>
      </c>
      <c r="AE9" s="12">
        <v>490</v>
      </c>
      <c r="AG9" s="11">
        <v>6</v>
      </c>
      <c r="AH9" s="12">
        <v>256</v>
      </c>
      <c r="AI9" s="12">
        <v>297</v>
      </c>
      <c r="AJ9" s="12">
        <v>435</v>
      </c>
      <c r="AL9" s="11">
        <v>6</v>
      </c>
      <c r="AM9" s="12">
        <v>3</v>
      </c>
      <c r="AN9" s="12">
        <v>228</v>
      </c>
      <c r="AO9" s="12">
        <v>219</v>
      </c>
      <c r="AQ9" s="11">
        <v>6</v>
      </c>
      <c r="AR9" s="14" t="s">
        <v>36</v>
      </c>
      <c r="AT9" s="11">
        <v>6</v>
      </c>
      <c r="AU9" s="12">
        <v>10</v>
      </c>
      <c r="AW9" s="11">
        <v>6</v>
      </c>
      <c r="AX9" s="12">
        <v>21</v>
      </c>
      <c r="AY9" s="12">
        <v>135</v>
      </c>
      <c r="AZ9" s="12">
        <v>66</v>
      </c>
      <c r="BA9" s="12">
        <v>70</v>
      </c>
      <c r="BB9" s="12">
        <v>74</v>
      </c>
      <c r="BC9" s="12">
        <v>102</v>
      </c>
      <c r="BD9" s="12">
        <v>204</v>
      </c>
      <c r="BE9" s="12">
        <v>921</v>
      </c>
      <c r="BF9" s="24">
        <v>768</v>
      </c>
      <c r="BG9" s="29">
        <v>200</v>
      </c>
      <c r="BH9" s="12">
        <v>116</v>
      </c>
      <c r="BI9" s="12">
        <v>116</v>
      </c>
      <c r="BK9" s="11">
        <v>6</v>
      </c>
      <c r="BL9" s="12">
        <v>1</v>
      </c>
      <c r="BM9" s="12" t="s">
        <v>15</v>
      </c>
      <c r="BN9" s="12" t="s">
        <v>15</v>
      </c>
      <c r="BP9" s="11">
        <v>6</v>
      </c>
      <c r="BQ9" s="12">
        <v>2</v>
      </c>
      <c r="BR9" s="12">
        <v>0</v>
      </c>
      <c r="BS9" s="12">
        <v>0</v>
      </c>
      <c r="BU9" s="11">
        <v>6</v>
      </c>
      <c r="BV9" s="12">
        <v>929</v>
      </c>
      <c r="BW9" s="12">
        <v>103</v>
      </c>
      <c r="BX9" s="12">
        <v>72</v>
      </c>
      <c r="BZ9" s="11">
        <v>6</v>
      </c>
      <c r="CA9" s="12">
        <v>50</v>
      </c>
      <c r="CC9" s="11">
        <v>6</v>
      </c>
      <c r="CD9" s="12">
        <v>1708</v>
      </c>
    </row>
    <row r="10" spans="1:82" ht="16.8">
      <c r="A10" s="20" t="s">
        <v>22</v>
      </c>
      <c r="B10" s="20">
        <v>7</v>
      </c>
      <c r="C10" s="5" t="s">
        <v>27</v>
      </c>
      <c r="D10" s="37">
        <f t="shared" si="1"/>
        <v>0</v>
      </c>
      <c r="E10" s="59">
        <f t="shared" si="0"/>
        <v>0</v>
      </c>
      <c r="F10" s="38">
        <f t="shared" si="0"/>
        <v>0</v>
      </c>
      <c r="H10" s="27"/>
      <c r="J10" s="64" t="s">
        <v>73</v>
      </c>
      <c r="K10" s="64">
        <v>0</v>
      </c>
      <c r="L10" s="64">
        <v>0</v>
      </c>
      <c r="M10" s="64">
        <v>0</v>
      </c>
      <c r="N10" s="93"/>
      <c r="O10" s="93"/>
      <c r="R10" s="11">
        <v>7</v>
      </c>
      <c r="S10" s="12" t="s">
        <v>15</v>
      </c>
      <c r="T10" s="12">
        <v>0</v>
      </c>
      <c r="U10" s="12">
        <v>0</v>
      </c>
      <c r="W10" s="11">
        <v>7</v>
      </c>
      <c r="X10" s="12">
        <v>0</v>
      </c>
      <c r="Y10" s="12">
        <v>1</v>
      </c>
      <c r="Z10" s="12">
        <v>1</v>
      </c>
      <c r="AB10" s="11">
        <v>7</v>
      </c>
      <c r="AC10" s="12">
        <v>0</v>
      </c>
      <c r="AD10" s="12">
        <v>40</v>
      </c>
      <c r="AE10" s="12">
        <v>143</v>
      </c>
      <c r="AG10" s="11">
        <v>7</v>
      </c>
      <c r="AH10" s="12">
        <v>464</v>
      </c>
      <c r="AI10" s="12">
        <v>141</v>
      </c>
      <c r="AJ10" s="12">
        <v>98</v>
      </c>
      <c r="AL10" s="11">
        <v>7</v>
      </c>
      <c r="AM10" s="12">
        <v>555</v>
      </c>
      <c r="AN10" s="12">
        <v>975</v>
      </c>
      <c r="AO10" s="12">
        <v>939</v>
      </c>
      <c r="AQ10" s="11">
        <v>7</v>
      </c>
      <c r="AR10" s="12" t="s">
        <v>15</v>
      </c>
      <c r="AT10" s="11">
        <v>7</v>
      </c>
      <c r="AU10" s="12">
        <v>0</v>
      </c>
      <c r="AW10" s="11">
        <v>7</v>
      </c>
      <c r="AX10" s="12">
        <v>403</v>
      </c>
      <c r="AY10" s="12">
        <v>24</v>
      </c>
      <c r="AZ10" s="12">
        <v>289</v>
      </c>
      <c r="BA10" s="12">
        <v>155</v>
      </c>
      <c r="BB10" s="12">
        <v>300</v>
      </c>
      <c r="BC10" s="12">
        <v>243</v>
      </c>
      <c r="BD10" s="12">
        <v>133</v>
      </c>
      <c r="BE10" s="12">
        <v>199</v>
      </c>
      <c r="BF10" s="24">
        <v>182</v>
      </c>
      <c r="BG10" s="29">
        <v>304</v>
      </c>
      <c r="BH10" s="12">
        <v>216</v>
      </c>
      <c r="BI10" s="12">
        <v>216</v>
      </c>
      <c r="BK10" s="11">
        <v>7</v>
      </c>
      <c r="BL10" s="12" t="s">
        <v>15</v>
      </c>
      <c r="BM10" s="12">
        <v>0</v>
      </c>
      <c r="BN10" s="12">
        <v>0</v>
      </c>
      <c r="BP10" s="11">
        <v>7</v>
      </c>
      <c r="BQ10" s="12">
        <v>0</v>
      </c>
      <c r="BR10" s="12">
        <v>1</v>
      </c>
      <c r="BS10" s="12">
        <v>1</v>
      </c>
      <c r="BU10" s="11">
        <v>7</v>
      </c>
      <c r="BV10" s="12">
        <v>72</v>
      </c>
      <c r="BW10" s="12">
        <v>191</v>
      </c>
      <c r="BX10" s="12">
        <v>524</v>
      </c>
      <c r="BZ10" s="11">
        <v>7</v>
      </c>
      <c r="CA10" s="12">
        <v>10</v>
      </c>
      <c r="CC10" s="11">
        <v>7</v>
      </c>
      <c r="CD10" s="12">
        <v>2358</v>
      </c>
    </row>
    <row r="11" spans="1:82" ht="16.8">
      <c r="A11" s="20" t="s">
        <v>23</v>
      </c>
      <c r="B11" s="20">
        <v>8</v>
      </c>
      <c r="C11" s="5" t="s">
        <v>28</v>
      </c>
      <c r="D11" s="37">
        <f t="shared" si="1"/>
        <v>0</v>
      </c>
      <c r="E11" s="59">
        <f t="shared" si="0"/>
        <v>0</v>
      </c>
      <c r="F11" s="38">
        <f t="shared" si="0"/>
        <v>0</v>
      </c>
      <c r="H11" s="27"/>
      <c r="J11" s="64" t="s">
        <v>4</v>
      </c>
      <c r="K11" s="64">
        <v>7</v>
      </c>
      <c r="L11" s="64">
        <v>7</v>
      </c>
      <c r="M11" s="64">
        <v>86</v>
      </c>
      <c r="N11" s="93"/>
      <c r="O11" s="93"/>
      <c r="R11" s="11">
        <v>8</v>
      </c>
      <c r="S11" s="12">
        <v>5</v>
      </c>
      <c r="T11" s="12" t="s">
        <v>15</v>
      </c>
      <c r="U11" s="12" t="s">
        <v>15</v>
      </c>
      <c r="W11" s="11">
        <v>8</v>
      </c>
      <c r="X11" s="12">
        <v>3</v>
      </c>
      <c r="Y11" s="12">
        <v>0</v>
      </c>
      <c r="Z11" s="12">
        <v>0</v>
      </c>
      <c r="AB11" s="11">
        <v>8</v>
      </c>
      <c r="AC11" s="12">
        <v>1667</v>
      </c>
      <c r="AD11" s="12">
        <v>516</v>
      </c>
      <c r="AE11" s="12">
        <v>490</v>
      </c>
      <c r="AG11" s="11">
        <v>8</v>
      </c>
      <c r="AH11" s="12">
        <v>0</v>
      </c>
      <c r="AI11" s="12">
        <v>297</v>
      </c>
      <c r="AJ11" s="12">
        <v>435</v>
      </c>
      <c r="AL11" s="11">
        <v>8</v>
      </c>
      <c r="AM11" s="12">
        <v>0</v>
      </c>
      <c r="AN11" s="12">
        <v>227</v>
      </c>
      <c r="AO11" s="12">
        <v>219</v>
      </c>
      <c r="AQ11" s="11">
        <v>8</v>
      </c>
      <c r="AR11" s="14" t="s">
        <v>5</v>
      </c>
      <c r="AT11" s="11">
        <v>8</v>
      </c>
      <c r="AU11" s="12">
        <v>6</v>
      </c>
      <c r="AW11" s="11">
        <v>8</v>
      </c>
      <c r="AX11" s="12">
        <v>44</v>
      </c>
      <c r="AY11" s="12">
        <v>1</v>
      </c>
      <c r="AZ11" s="12">
        <v>17</v>
      </c>
      <c r="BA11" s="12">
        <v>6</v>
      </c>
      <c r="BB11" s="12">
        <v>6</v>
      </c>
      <c r="BC11" s="12">
        <v>5</v>
      </c>
      <c r="BD11" s="12">
        <v>438</v>
      </c>
      <c r="BE11" s="12">
        <v>10</v>
      </c>
      <c r="BF11" s="24">
        <v>247</v>
      </c>
      <c r="BG11" s="29">
        <v>6</v>
      </c>
      <c r="BH11" s="12">
        <v>36</v>
      </c>
      <c r="BI11" s="12">
        <v>36</v>
      </c>
      <c r="BK11" s="11">
        <v>8</v>
      </c>
      <c r="BL11" s="12">
        <v>5</v>
      </c>
      <c r="BM11" s="12" t="s">
        <v>15</v>
      </c>
      <c r="BN11" s="12" t="s">
        <v>15</v>
      </c>
      <c r="BP11" s="11">
        <v>8</v>
      </c>
      <c r="BQ11" s="12">
        <v>3</v>
      </c>
      <c r="BR11" s="12">
        <v>0</v>
      </c>
      <c r="BS11" s="12">
        <v>0</v>
      </c>
      <c r="BU11" s="11">
        <v>8</v>
      </c>
      <c r="BV11" s="12">
        <v>381</v>
      </c>
      <c r="BW11" s="12">
        <v>103</v>
      </c>
      <c r="BX11" s="12">
        <v>72</v>
      </c>
      <c r="BZ11" s="11">
        <v>8</v>
      </c>
      <c r="CA11" s="12"/>
      <c r="CC11" s="11">
        <v>8</v>
      </c>
      <c r="CD11" s="12"/>
    </row>
    <row r="12" spans="1:82">
      <c r="A12" s="20" t="s">
        <v>24</v>
      </c>
      <c r="B12" s="20">
        <v>9</v>
      </c>
      <c r="C12" s="5" t="s">
        <v>16</v>
      </c>
      <c r="D12" s="37">
        <f t="shared" si="1"/>
        <v>0</v>
      </c>
      <c r="E12" s="59">
        <f t="shared" si="0"/>
        <v>0</v>
      </c>
      <c r="F12" s="38">
        <f t="shared" si="0"/>
        <v>0</v>
      </c>
      <c r="H12" s="27"/>
      <c r="J12" s="27"/>
      <c r="K12" s="27"/>
      <c r="R12" s="11">
        <v>9</v>
      </c>
      <c r="S12" s="12" t="s">
        <v>15</v>
      </c>
      <c r="T12" s="12">
        <v>1</v>
      </c>
      <c r="U12" s="12">
        <v>1</v>
      </c>
      <c r="W12" s="11">
        <v>9</v>
      </c>
      <c r="X12" s="12">
        <v>0</v>
      </c>
      <c r="Y12" s="12">
        <v>2</v>
      </c>
      <c r="Z12" s="12">
        <v>2</v>
      </c>
      <c r="AB12" s="11">
        <v>9</v>
      </c>
      <c r="AC12" s="12">
        <v>0</v>
      </c>
      <c r="AD12" s="12">
        <v>32</v>
      </c>
      <c r="AE12" s="12">
        <v>32</v>
      </c>
      <c r="AG12" s="11">
        <v>9</v>
      </c>
      <c r="AH12" s="12">
        <v>464</v>
      </c>
      <c r="AI12" s="12">
        <v>200</v>
      </c>
      <c r="AJ12" s="12">
        <v>123</v>
      </c>
      <c r="AL12" s="11">
        <v>9</v>
      </c>
      <c r="AM12" s="12">
        <v>555</v>
      </c>
      <c r="AN12" s="12">
        <v>3</v>
      </c>
      <c r="AO12" s="12">
        <v>11</v>
      </c>
      <c r="AQ12" s="11">
        <v>9</v>
      </c>
      <c r="AR12" s="12" t="s">
        <v>15</v>
      </c>
      <c r="AT12" s="11">
        <v>9</v>
      </c>
      <c r="AU12" s="12">
        <v>0</v>
      </c>
      <c r="AW12" s="11">
        <v>9</v>
      </c>
      <c r="AX12" s="12">
        <v>403</v>
      </c>
      <c r="AY12" s="12">
        <v>24</v>
      </c>
      <c r="AZ12" s="12">
        <v>289</v>
      </c>
      <c r="BA12" s="12">
        <v>155</v>
      </c>
      <c r="BB12" s="12">
        <v>300</v>
      </c>
      <c r="BC12" s="12">
        <v>242</v>
      </c>
      <c r="BD12" s="12">
        <v>133</v>
      </c>
      <c r="BE12" s="12">
        <v>199</v>
      </c>
      <c r="BF12" s="24">
        <v>182</v>
      </c>
      <c r="BG12" s="29">
        <v>304</v>
      </c>
      <c r="BH12" s="12">
        <v>216</v>
      </c>
      <c r="BI12" s="12">
        <v>216</v>
      </c>
      <c r="BK12" s="11">
        <v>9</v>
      </c>
      <c r="BL12" s="12" t="s">
        <v>15</v>
      </c>
      <c r="BM12" s="12">
        <v>1</v>
      </c>
      <c r="BN12" s="12">
        <v>1</v>
      </c>
      <c r="BP12" s="11">
        <v>9</v>
      </c>
      <c r="BQ12" s="12">
        <v>0</v>
      </c>
      <c r="BR12" s="12">
        <v>2</v>
      </c>
      <c r="BS12" s="12">
        <v>2</v>
      </c>
      <c r="BU12" s="11">
        <v>9</v>
      </c>
      <c r="BV12" s="12">
        <v>72</v>
      </c>
      <c r="BW12" s="12">
        <v>500</v>
      </c>
      <c r="BX12" s="12">
        <v>262</v>
      </c>
      <c r="BZ12" s="11">
        <v>9</v>
      </c>
      <c r="CA12" s="12"/>
      <c r="CC12" s="11">
        <v>9</v>
      </c>
      <c r="CD12" s="12"/>
    </row>
    <row r="13" spans="1:82" ht="18" customHeight="1">
      <c r="A13" s="21" t="s">
        <v>35</v>
      </c>
      <c r="B13" s="21">
        <v>10</v>
      </c>
      <c r="C13" s="5" t="s">
        <v>37</v>
      </c>
      <c r="D13" s="37">
        <f t="shared" si="1"/>
        <v>0</v>
      </c>
      <c r="E13" s="59">
        <f t="shared" si="0"/>
        <v>0</v>
      </c>
      <c r="F13" s="38">
        <f t="shared" si="0"/>
        <v>0</v>
      </c>
      <c r="H13" s="27"/>
      <c r="J13" s="66"/>
      <c r="K13" s="64" t="s">
        <v>90</v>
      </c>
      <c r="L13" s="64" t="s">
        <v>91</v>
      </c>
      <c r="M13" s="64" t="s">
        <v>92</v>
      </c>
      <c r="R13" s="11">
        <v>10</v>
      </c>
      <c r="S13" s="12">
        <v>10</v>
      </c>
      <c r="T13" s="12" t="s">
        <v>15</v>
      </c>
      <c r="U13" s="12" t="s">
        <v>15</v>
      </c>
      <c r="W13" s="11">
        <v>10</v>
      </c>
      <c r="X13" s="12">
        <v>4</v>
      </c>
      <c r="Y13" s="12">
        <v>0</v>
      </c>
      <c r="Z13" s="12">
        <v>0</v>
      </c>
      <c r="AB13" s="11">
        <v>10</v>
      </c>
      <c r="AC13" s="12">
        <v>0</v>
      </c>
      <c r="AD13" s="12">
        <v>516</v>
      </c>
      <c r="AE13" s="12">
        <v>490</v>
      </c>
      <c r="AG13" s="11">
        <v>10</v>
      </c>
      <c r="AH13" s="12">
        <v>19</v>
      </c>
      <c r="AI13" s="12">
        <v>297</v>
      </c>
      <c r="AJ13" s="12">
        <v>435</v>
      </c>
      <c r="AL13" s="11">
        <v>10</v>
      </c>
      <c r="AM13" s="12">
        <v>1</v>
      </c>
      <c r="AN13" s="12">
        <v>227</v>
      </c>
      <c r="AO13" s="12">
        <v>219</v>
      </c>
      <c r="AQ13" s="11">
        <v>10</v>
      </c>
      <c r="AR13" s="14" t="s">
        <v>7</v>
      </c>
      <c r="AT13" s="11">
        <v>10</v>
      </c>
      <c r="AU13" s="12">
        <v>9</v>
      </c>
      <c r="AW13" s="11">
        <v>10</v>
      </c>
      <c r="AX13" s="12">
        <v>9</v>
      </c>
      <c r="AY13" s="12">
        <v>13</v>
      </c>
      <c r="AZ13" s="12">
        <v>21</v>
      </c>
      <c r="BA13" s="12">
        <v>388</v>
      </c>
      <c r="BB13" s="12">
        <v>10</v>
      </c>
      <c r="BC13" s="12">
        <v>675</v>
      </c>
      <c r="BD13" s="12">
        <v>45</v>
      </c>
      <c r="BE13" s="12">
        <v>20</v>
      </c>
      <c r="BF13" s="24">
        <v>19</v>
      </c>
      <c r="BG13" s="29">
        <v>374</v>
      </c>
      <c r="BH13" s="12">
        <v>70</v>
      </c>
      <c r="BI13" s="12">
        <v>70</v>
      </c>
      <c r="BK13" s="11">
        <v>10</v>
      </c>
      <c r="BL13" s="12">
        <v>10</v>
      </c>
      <c r="BM13" s="12" t="s">
        <v>15</v>
      </c>
      <c r="BN13" s="12" t="s">
        <v>15</v>
      </c>
      <c r="BP13" s="11">
        <v>10</v>
      </c>
      <c r="BQ13" s="12">
        <v>4</v>
      </c>
      <c r="BR13" s="12">
        <v>0</v>
      </c>
      <c r="BS13" s="12">
        <v>0</v>
      </c>
      <c r="BU13" s="11">
        <v>10</v>
      </c>
      <c r="BV13" s="12">
        <v>143</v>
      </c>
      <c r="BW13" s="12">
        <v>103</v>
      </c>
      <c r="BX13" s="12">
        <v>72</v>
      </c>
      <c r="BZ13" s="11">
        <v>10</v>
      </c>
      <c r="CA13" s="12"/>
      <c r="CC13" s="11">
        <v>10</v>
      </c>
      <c r="CD13" s="12"/>
    </row>
    <row r="14" spans="1:82" ht="16.8">
      <c r="A14" s="22" t="s">
        <v>39</v>
      </c>
      <c r="B14" s="22">
        <v>11</v>
      </c>
      <c r="C14" s="17" t="s">
        <v>38</v>
      </c>
      <c r="D14" s="60">
        <f t="shared" si="1"/>
        <v>0</v>
      </c>
      <c r="E14" s="39">
        <f t="shared" si="0"/>
        <v>0</v>
      </c>
      <c r="F14" s="40">
        <f t="shared" si="0"/>
        <v>0</v>
      </c>
      <c r="H14" s="27"/>
      <c r="J14" s="64" t="s">
        <v>96</v>
      </c>
      <c r="K14" s="64">
        <v>24</v>
      </c>
      <c r="L14" s="64">
        <v>89</v>
      </c>
      <c r="M14" s="64">
        <v>888</v>
      </c>
      <c r="R14" s="11">
        <v>11</v>
      </c>
      <c r="S14" s="12" t="s">
        <v>15</v>
      </c>
      <c r="T14" s="12">
        <v>5</v>
      </c>
      <c r="U14" s="12">
        <v>5</v>
      </c>
      <c r="W14" s="11">
        <v>11</v>
      </c>
      <c r="X14" s="12">
        <v>0</v>
      </c>
      <c r="Y14" s="12">
        <v>3</v>
      </c>
      <c r="Z14" s="12">
        <v>3</v>
      </c>
      <c r="AB14" s="11">
        <v>11</v>
      </c>
      <c r="AC14" s="12">
        <v>0</v>
      </c>
      <c r="AD14" s="12">
        <v>48</v>
      </c>
      <c r="AE14" s="12">
        <v>24</v>
      </c>
      <c r="AG14" s="11">
        <v>11</v>
      </c>
      <c r="AH14" s="12">
        <v>464</v>
      </c>
      <c r="AI14" s="12">
        <v>436</v>
      </c>
      <c r="AJ14" s="12">
        <v>142</v>
      </c>
      <c r="AL14" s="11">
        <v>11</v>
      </c>
      <c r="AM14" s="12">
        <v>555</v>
      </c>
      <c r="AN14" s="12">
        <v>8</v>
      </c>
      <c r="AO14" s="12">
        <v>61</v>
      </c>
      <c r="AQ14" s="11">
        <v>11</v>
      </c>
      <c r="AR14" s="12" t="s">
        <v>15</v>
      </c>
      <c r="AT14" s="11">
        <v>11</v>
      </c>
      <c r="AU14" s="12">
        <v>0</v>
      </c>
      <c r="AW14" s="11">
        <v>11</v>
      </c>
      <c r="AX14" s="12">
        <v>403</v>
      </c>
      <c r="AY14" s="12">
        <v>24</v>
      </c>
      <c r="AZ14" s="12">
        <v>289</v>
      </c>
      <c r="BA14" s="12">
        <v>155</v>
      </c>
      <c r="BB14" s="12">
        <v>300</v>
      </c>
      <c r="BC14" s="12">
        <v>242</v>
      </c>
      <c r="BD14" s="12">
        <v>133</v>
      </c>
      <c r="BE14" s="12">
        <v>199</v>
      </c>
      <c r="BF14" s="24">
        <v>182</v>
      </c>
      <c r="BG14" s="29">
        <v>304</v>
      </c>
      <c r="BH14" s="12">
        <v>216</v>
      </c>
      <c r="BI14" s="12">
        <v>216</v>
      </c>
      <c r="BK14" s="11">
        <v>11</v>
      </c>
      <c r="BL14" s="12" t="s">
        <v>15</v>
      </c>
      <c r="BM14" s="12">
        <v>5</v>
      </c>
      <c r="BN14" s="12">
        <v>5</v>
      </c>
      <c r="BP14" s="11">
        <v>11</v>
      </c>
      <c r="BQ14" s="12">
        <v>0</v>
      </c>
      <c r="BR14" s="12">
        <v>3</v>
      </c>
      <c r="BS14" s="12">
        <v>3</v>
      </c>
      <c r="BU14" s="11">
        <v>11</v>
      </c>
      <c r="BV14" s="12">
        <v>72</v>
      </c>
      <c r="BW14" s="12">
        <v>667</v>
      </c>
      <c r="BX14" s="12">
        <v>667</v>
      </c>
      <c r="BZ14" s="11">
        <v>11</v>
      </c>
      <c r="CA14" s="12"/>
      <c r="CC14" s="11">
        <v>11</v>
      </c>
      <c r="CD14" s="12"/>
    </row>
    <row r="15" spans="1:82">
      <c r="D15" s="128">
        <f>SUM(D3:D14)</f>
        <v>10000</v>
      </c>
      <c r="E15" s="128">
        <f>SUM(E3:E14)</f>
        <v>10000</v>
      </c>
      <c r="F15" s="128">
        <f>SUM(F3:F14)</f>
        <v>10000</v>
      </c>
      <c r="R15" s="11">
        <v>12</v>
      </c>
      <c r="S15" s="12">
        <v>1</v>
      </c>
      <c r="T15" s="12" t="s">
        <v>15</v>
      </c>
      <c r="U15" s="12" t="s">
        <v>15</v>
      </c>
      <c r="W15" s="11">
        <v>12</v>
      </c>
      <c r="X15" s="12">
        <v>2</v>
      </c>
      <c r="Y15" s="12">
        <v>0</v>
      </c>
      <c r="Z15" s="12">
        <v>0</v>
      </c>
      <c r="AB15" s="11">
        <v>12</v>
      </c>
      <c r="AC15" s="12">
        <v>0</v>
      </c>
      <c r="AD15" s="12">
        <v>516</v>
      </c>
      <c r="AE15" s="12">
        <v>490</v>
      </c>
      <c r="AG15" s="11">
        <v>12</v>
      </c>
      <c r="AH15" s="12">
        <v>256</v>
      </c>
      <c r="AI15" s="12">
        <v>297</v>
      </c>
      <c r="AJ15" s="12">
        <v>435</v>
      </c>
      <c r="AL15" s="11">
        <v>12</v>
      </c>
      <c r="AM15" s="12">
        <v>3</v>
      </c>
      <c r="AN15" s="12">
        <v>227</v>
      </c>
      <c r="AO15" s="12">
        <v>219</v>
      </c>
      <c r="AQ15" s="11">
        <v>12</v>
      </c>
      <c r="AR15" s="14" t="s">
        <v>6</v>
      </c>
      <c r="AT15" s="11">
        <v>12</v>
      </c>
      <c r="AU15" s="12">
        <v>7</v>
      </c>
      <c r="AW15" s="11">
        <v>12</v>
      </c>
      <c r="AX15" s="12">
        <v>319</v>
      </c>
      <c r="AY15" s="12">
        <v>1760</v>
      </c>
      <c r="AZ15" s="12">
        <v>742</v>
      </c>
      <c r="BA15" s="12">
        <v>917</v>
      </c>
      <c r="BB15" s="12">
        <v>712</v>
      </c>
      <c r="BC15" s="12">
        <v>253</v>
      </c>
      <c r="BD15" s="12">
        <v>784</v>
      </c>
      <c r="BE15" s="12">
        <v>254</v>
      </c>
      <c r="BF15" s="24">
        <v>242</v>
      </c>
      <c r="BG15" s="29">
        <v>208</v>
      </c>
      <c r="BH15" s="12">
        <v>916</v>
      </c>
      <c r="BI15" s="12">
        <v>916</v>
      </c>
      <c r="BK15" s="11">
        <v>12</v>
      </c>
      <c r="BL15" s="12">
        <v>1</v>
      </c>
      <c r="BM15" s="12" t="s">
        <v>15</v>
      </c>
      <c r="BN15" s="12" t="s">
        <v>15</v>
      </c>
      <c r="BP15" s="11">
        <v>12</v>
      </c>
      <c r="BQ15" s="12">
        <v>2</v>
      </c>
      <c r="BR15" s="12">
        <v>0</v>
      </c>
      <c r="BS15" s="12">
        <v>0</v>
      </c>
      <c r="BU15" s="11">
        <v>12</v>
      </c>
      <c r="BV15" s="12">
        <v>929</v>
      </c>
      <c r="BW15" s="12">
        <v>103</v>
      </c>
      <c r="BX15" s="12">
        <v>72</v>
      </c>
      <c r="BZ15" s="11">
        <v>12</v>
      </c>
      <c r="CA15" s="12"/>
      <c r="CC15" s="11">
        <v>12</v>
      </c>
      <c r="CD15" s="12"/>
    </row>
    <row r="16" spans="1:82" ht="16.8">
      <c r="C16" s="8"/>
      <c r="J16" s="2"/>
      <c r="K16" s="2" t="s">
        <v>119</v>
      </c>
      <c r="L16" s="2" t="s">
        <v>120</v>
      </c>
      <c r="R16" s="11">
        <v>13</v>
      </c>
      <c r="S16" s="12" t="s">
        <v>15</v>
      </c>
      <c r="T16" s="12">
        <v>0</v>
      </c>
      <c r="U16" s="12">
        <v>0</v>
      </c>
      <c r="W16" s="11">
        <v>13</v>
      </c>
      <c r="X16" s="12">
        <v>0</v>
      </c>
      <c r="Y16" s="12">
        <v>1</v>
      </c>
      <c r="Z16" s="12">
        <v>1</v>
      </c>
      <c r="AB16" s="11">
        <v>13</v>
      </c>
      <c r="AC16" s="12">
        <v>0</v>
      </c>
      <c r="AD16" s="12">
        <v>40</v>
      </c>
      <c r="AE16" s="12">
        <v>143</v>
      </c>
      <c r="AG16" s="11">
        <v>13</v>
      </c>
      <c r="AH16" s="12">
        <v>464</v>
      </c>
      <c r="AI16" s="12">
        <v>141</v>
      </c>
      <c r="AJ16" s="12">
        <v>98</v>
      </c>
      <c r="AL16" s="11">
        <v>13</v>
      </c>
      <c r="AM16" s="12">
        <v>555</v>
      </c>
      <c r="AN16" s="12">
        <v>975</v>
      </c>
      <c r="AO16" s="12">
        <v>939</v>
      </c>
      <c r="AQ16" s="11">
        <v>13</v>
      </c>
      <c r="AR16" s="12" t="s">
        <v>15</v>
      </c>
      <c r="AT16" s="11">
        <v>13</v>
      </c>
      <c r="AU16" s="12">
        <v>0</v>
      </c>
      <c r="AW16" s="11">
        <v>13</v>
      </c>
      <c r="AX16" s="12">
        <v>403</v>
      </c>
      <c r="AY16" s="12">
        <v>24</v>
      </c>
      <c r="AZ16" s="12">
        <v>289</v>
      </c>
      <c r="BA16" s="12">
        <v>155</v>
      </c>
      <c r="BB16" s="12">
        <v>300</v>
      </c>
      <c r="BC16" s="12">
        <v>242</v>
      </c>
      <c r="BD16" s="12">
        <v>133</v>
      </c>
      <c r="BE16" s="12">
        <v>199</v>
      </c>
      <c r="BF16" s="24">
        <v>182</v>
      </c>
      <c r="BG16" s="29">
        <v>304</v>
      </c>
      <c r="BH16" s="12">
        <v>216</v>
      </c>
      <c r="BI16" s="12">
        <v>216</v>
      </c>
      <c r="BK16" s="11">
        <v>13</v>
      </c>
      <c r="BL16" s="12" t="s">
        <v>15</v>
      </c>
      <c r="BM16" s="12">
        <v>0</v>
      </c>
      <c r="BN16" s="12">
        <v>0</v>
      </c>
      <c r="BP16" s="11">
        <v>13</v>
      </c>
      <c r="BQ16" s="12">
        <v>0</v>
      </c>
      <c r="BR16" s="12">
        <v>1</v>
      </c>
      <c r="BS16" s="12">
        <v>1</v>
      </c>
      <c r="BU16" s="11">
        <v>13</v>
      </c>
      <c r="BV16" s="12">
        <v>72</v>
      </c>
      <c r="BW16" s="12">
        <v>191</v>
      </c>
      <c r="BX16" s="12">
        <v>524</v>
      </c>
      <c r="BZ16" s="11">
        <v>13</v>
      </c>
      <c r="CA16" s="12"/>
      <c r="CC16" s="11">
        <v>13</v>
      </c>
      <c r="CD16" s="12"/>
    </row>
    <row r="17" spans="1:82" ht="16.8">
      <c r="A17" s="30" t="s">
        <v>116</v>
      </c>
      <c r="J17" s="2" t="s">
        <v>118</v>
      </c>
      <c r="K17" s="33">
        <v>100</v>
      </c>
      <c r="L17" s="33">
        <v>0</v>
      </c>
      <c r="R17" s="11">
        <v>14</v>
      </c>
      <c r="S17" s="12">
        <v>5</v>
      </c>
      <c r="T17" s="12" t="s">
        <v>15</v>
      </c>
      <c r="U17" s="12" t="s">
        <v>15</v>
      </c>
      <c r="W17" s="11">
        <v>14</v>
      </c>
      <c r="X17" s="12">
        <v>3</v>
      </c>
      <c r="Y17" s="12">
        <v>0</v>
      </c>
      <c r="Z17" s="12">
        <v>0</v>
      </c>
      <c r="AB17" s="11">
        <v>14</v>
      </c>
      <c r="AC17" s="12">
        <v>1667</v>
      </c>
      <c r="AD17" s="12">
        <v>516</v>
      </c>
      <c r="AE17" s="12">
        <v>490</v>
      </c>
      <c r="AG17" s="11">
        <v>14</v>
      </c>
      <c r="AH17" s="12">
        <v>0</v>
      </c>
      <c r="AI17" s="12">
        <v>297</v>
      </c>
      <c r="AJ17" s="12">
        <v>435</v>
      </c>
      <c r="AL17" s="11">
        <v>14</v>
      </c>
      <c r="AM17" s="12">
        <v>0</v>
      </c>
      <c r="AN17" s="12">
        <v>227</v>
      </c>
      <c r="AO17" s="12">
        <v>219</v>
      </c>
      <c r="AQ17" s="11">
        <v>14</v>
      </c>
      <c r="AR17" s="14" t="s">
        <v>36</v>
      </c>
      <c r="AT17" s="11">
        <v>14</v>
      </c>
      <c r="AU17" s="12">
        <v>10</v>
      </c>
      <c r="AW17" s="11">
        <v>14</v>
      </c>
      <c r="AX17" s="12">
        <v>21</v>
      </c>
      <c r="AY17" s="12">
        <v>135</v>
      </c>
      <c r="AZ17" s="12">
        <v>66</v>
      </c>
      <c r="BA17" s="12">
        <v>70</v>
      </c>
      <c r="BB17" s="12">
        <v>74</v>
      </c>
      <c r="BC17" s="12">
        <v>102</v>
      </c>
      <c r="BD17" s="12">
        <v>204</v>
      </c>
      <c r="BE17" s="12">
        <v>921</v>
      </c>
      <c r="BF17" s="24">
        <v>767</v>
      </c>
      <c r="BG17" s="29">
        <v>200</v>
      </c>
      <c r="BH17" s="12">
        <v>116</v>
      </c>
      <c r="BI17" s="12">
        <v>116</v>
      </c>
      <c r="BK17" s="11">
        <v>14</v>
      </c>
      <c r="BL17" s="12">
        <v>5</v>
      </c>
      <c r="BM17" s="12" t="s">
        <v>15</v>
      </c>
      <c r="BN17" s="12" t="s">
        <v>15</v>
      </c>
      <c r="BP17" s="11">
        <v>14</v>
      </c>
      <c r="BQ17" s="12">
        <v>3</v>
      </c>
      <c r="BR17" s="12">
        <v>0</v>
      </c>
      <c r="BS17" s="12">
        <v>0</v>
      </c>
      <c r="BU17" s="11">
        <v>14</v>
      </c>
      <c r="BV17" s="12">
        <v>381</v>
      </c>
      <c r="BW17" s="12">
        <v>103</v>
      </c>
      <c r="BX17" s="12">
        <v>72</v>
      </c>
      <c r="BZ17" s="11">
        <v>14</v>
      </c>
      <c r="CA17" s="12"/>
      <c r="CC17" s="11">
        <v>14</v>
      </c>
      <c r="CD17" s="12"/>
    </row>
    <row r="18" spans="1:82">
      <c r="A18" s="30" t="s">
        <v>46</v>
      </c>
      <c r="B18" s="1" t="s">
        <v>10</v>
      </c>
      <c r="C18" s="2" t="s">
        <v>11</v>
      </c>
      <c r="D18" s="3" t="s">
        <v>0</v>
      </c>
      <c r="E18" s="116" t="s">
        <v>1</v>
      </c>
      <c r="F18" s="4" t="s">
        <v>2</v>
      </c>
      <c r="R18" s="11">
        <v>15</v>
      </c>
      <c r="S18" s="12" t="s">
        <v>15</v>
      </c>
      <c r="T18" s="12">
        <v>1</v>
      </c>
      <c r="U18" s="12">
        <v>1</v>
      </c>
      <c r="W18" s="11">
        <v>15</v>
      </c>
      <c r="X18" s="12">
        <v>0</v>
      </c>
      <c r="Y18" s="12">
        <v>2</v>
      </c>
      <c r="Z18" s="12">
        <v>2</v>
      </c>
      <c r="AB18" s="11">
        <v>15</v>
      </c>
      <c r="AC18" s="12">
        <v>0</v>
      </c>
      <c r="AD18" s="12">
        <v>32</v>
      </c>
      <c r="AE18" s="12">
        <v>32</v>
      </c>
      <c r="AG18" s="11">
        <v>15</v>
      </c>
      <c r="AH18" s="12">
        <v>464</v>
      </c>
      <c r="AI18" s="12">
        <v>199</v>
      </c>
      <c r="AJ18" s="12">
        <v>123</v>
      </c>
      <c r="AL18" s="11">
        <v>15</v>
      </c>
      <c r="AM18" s="12">
        <v>555</v>
      </c>
      <c r="AN18" s="12">
        <v>3</v>
      </c>
      <c r="AO18" s="12">
        <v>11</v>
      </c>
      <c r="AQ18" s="11">
        <v>15</v>
      </c>
      <c r="AR18" s="12" t="s">
        <v>15</v>
      </c>
      <c r="AT18" s="11">
        <v>15</v>
      </c>
      <c r="AU18" s="12">
        <v>0</v>
      </c>
      <c r="AW18" s="11">
        <v>15</v>
      </c>
      <c r="AX18" s="12">
        <v>403</v>
      </c>
      <c r="AY18" s="12">
        <v>24</v>
      </c>
      <c r="AZ18" s="12">
        <v>288</v>
      </c>
      <c r="BA18" s="12">
        <v>155</v>
      </c>
      <c r="BB18" s="12">
        <v>300</v>
      </c>
      <c r="BC18" s="12">
        <v>242</v>
      </c>
      <c r="BD18" s="12">
        <v>133</v>
      </c>
      <c r="BE18" s="12">
        <v>198</v>
      </c>
      <c r="BF18" s="24">
        <v>182</v>
      </c>
      <c r="BG18" s="29">
        <v>304</v>
      </c>
      <c r="BH18" s="12">
        <v>216</v>
      </c>
      <c r="BI18" s="12">
        <v>216</v>
      </c>
      <c r="BK18" s="11">
        <v>15</v>
      </c>
      <c r="BL18" s="12" t="s">
        <v>15</v>
      </c>
      <c r="BM18" s="12">
        <v>1</v>
      </c>
      <c r="BN18" s="12">
        <v>1</v>
      </c>
      <c r="BP18" s="11">
        <v>15</v>
      </c>
      <c r="BQ18" s="12">
        <v>0</v>
      </c>
      <c r="BR18" s="12">
        <v>2</v>
      </c>
      <c r="BS18" s="12">
        <v>2</v>
      </c>
      <c r="BU18" s="11">
        <v>15</v>
      </c>
      <c r="BV18" s="12">
        <v>72</v>
      </c>
      <c r="BW18" s="12">
        <v>500</v>
      </c>
      <c r="BX18" s="12">
        <v>262</v>
      </c>
      <c r="BZ18" s="11">
        <v>15</v>
      </c>
      <c r="CA18" s="12"/>
      <c r="CC18" s="11">
        <v>15</v>
      </c>
      <c r="CD18" s="12"/>
    </row>
    <row r="19" spans="1:82">
      <c r="A19" s="1" t="s">
        <v>19</v>
      </c>
      <c r="B19" s="1">
        <v>0</v>
      </c>
      <c r="C19" s="3" t="s">
        <v>25</v>
      </c>
      <c r="D19" s="3">
        <f>SUMIF(S$3:S$38,$A19,AH$3:AH$38)</f>
        <v>8351</v>
      </c>
      <c r="E19" s="116">
        <f t="shared" ref="E19:F30" si="2">SUMIF(T$3:T$38,$A19,AI$3:AI$38)</f>
        <v>5341</v>
      </c>
      <c r="F19" s="4">
        <f t="shared" si="2"/>
        <v>7823</v>
      </c>
      <c r="J19" s="94" t="s">
        <v>125</v>
      </c>
      <c r="K19" s="115"/>
      <c r="R19" s="11">
        <v>16</v>
      </c>
      <c r="S19" s="12">
        <v>10</v>
      </c>
      <c r="T19" s="12" t="s">
        <v>15</v>
      </c>
      <c r="U19" s="12" t="s">
        <v>15</v>
      </c>
      <c r="W19" s="11">
        <v>16</v>
      </c>
      <c r="X19" s="12">
        <v>4</v>
      </c>
      <c r="Y19" s="12">
        <v>0</v>
      </c>
      <c r="Z19" s="12">
        <v>0</v>
      </c>
      <c r="AB19" s="11">
        <v>16</v>
      </c>
      <c r="AC19" s="12">
        <v>0</v>
      </c>
      <c r="AD19" s="12">
        <v>516</v>
      </c>
      <c r="AE19" s="12">
        <v>489</v>
      </c>
      <c r="AG19" s="11">
        <v>16</v>
      </c>
      <c r="AH19" s="12">
        <v>19</v>
      </c>
      <c r="AI19" s="12">
        <v>297</v>
      </c>
      <c r="AJ19" s="12">
        <v>435</v>
      </c>
      <c r="AL19" s="11">
        <v>16</v>
      </c>
      <c r="AM19" s="12">
        <v>1</v>
      </c>
      <c r="AN19" s="12">
        <v>227</v>
      </c>
      <c r="AO19" s="12">
        <v>219</v>
      </c>
      <c r="AQ19" s="11">
        <v>16</v>
      </c>
      <c r="AR19" s="14" t="s">
        <v>5</v>
      </c>
      <c r="AT19" s="11">
        <v>16</v>
      </c>
      <c r="AU19" s="12">
        <v>6</v>
      </c>
      <c r="AW19" s="11">
        <v>16</v>
      </c>
      <c r="AX19" s="12">
        <v>44</v>
      </c>
      <c r="AY19" s="12">
        <v>1</v>
      </c>
      <c r="AZ19" s="12">
        <v>17</v>
      </c>
      <c r="BA19" s="12">
        <v>5</v>
      </c>
      <c r="BB19" s="12">
        <v>6</v>
      </c>
      <c r="BC19" s="12">
        <v>5</v>
      </c>
      <c r="BD19" s="12">
        <v>438</v>
      </c>
      <c r="BE19" s="12">
        <v>10</v>
      </c>
      <c r="BF19" s="24">
        <v>247</v>
      </c>
      <c r="BG19" s="29">
        <v>6</v>
      </c>
      <c r="BH19" s="12">
        <v>36</v>
      </c>
      <c r="BI19" s="12">
        <v>36</v>
      </c>
      <c r="BK19" s="11">
        <v>16</v>
      </c>
      <c r="BL19" s="12">
        <v>10</v>
      </c>
      <c r="BM19" s="12" t="s">
        <v>15</v>
      </c>
      <c r="BN19" s="12" t="s">
        <v>15</v>
      </c>
      <c r="BP19" s="11">
        <v>16</v>
      </c>
      <c r="BQ19" s="12">
        <v>4</v>
      </c>
      <c r="BR19" s="12">
        <v>0</v>
      </c>
      <c r="BS19" s="12">
        <v>0</v>
      </c>
      <c r="BU19" s="11">
        <v>16</v>
      </c>
      <c r="BV19" s="12">
        <v>143</v>
      </c>
      <c r="BW19" s="12">
        <v>103</v>
      </c>
      <c r="BX19" s="12">
        <v>71</v>
      </c>
      <c r="BZ19" s="11">
        <v>16</v>
      </c>
      <c r="CA19" s="12"/>
      <c r="CC19" s="11">
        <v>16</v>
      </c>
      <c r="CD19" s="12"/>
    </row>
    <row r="20" spans="1:82">
      <c r="A20" s="20">
        <v>0</v>
      </c>
      <c r="B20" s="20">
        <v>1</v>
      </c>
      <c r="C20" s="5">
        <v>0</v>
      </c>
      <c r="D20" s="37">
        <f t="shared" ref="D20:D30" si="3">SUMIF(S$3:S$38,$A20,AH$3:AH$38)</f>
        <v>0</v>
      </c>
      <c r="E20" s="115">
        <f t="shared" si="2"/>
        <v>846</v>
      </c>
      <c r="F20" s="7">
        <f t="shared" si="2"/>
        <v>589</v>
      </c>
      <c r="J20" s="2" t="s">
        <v>66</v>
      </c>
      <c r="K20" s="2" t="s">
        <v>67</v>
      </c>
      <c r="R20" s="11">
        <v>17</v>
      </c>
      <c r="S20" s="12" t="s">
        <v>15</v>
      </c>
      <c r="T20" s="12">
        <v>5</v>
      </c>
      <c r="U20" s="12">
        <v>5</v>
      </c>
      <c r="W20" s="11">
        <v>17</v>
      </c>
      <c r="X20" s="12">
        <v>0</v>
      </c>
      <c r="Y20" s="12">
        <v>3</v>
      </c>
      <c r="Z20" s="12">
        <v>3</v>
      </c>
      <c r="AB20" s="11">
        <v>17</v>
      </c>
      <c r="AC20" s="12">
        <v>0</v>
      </c>
      <c r="AD20" s="12">
        <v>48</v>
      </c>
      <c r="AE20" s="12">
        <v>24</v>
      </c>
      <c r="AG20" s="11">
        <v>17</v>
      </c>
      <c r="AH20" s="12">
        <v>464</v>
      </c>
      <c r="AI20" s="12">
        <v>436</v>
      </c>
      <c r="AJ20" s="12">
        <v>142</v>
      </c>
      <c r="AL20" s="11">
        <v>17</v>
      </c>
      <c r="AM20" s="12">
        <v>554</v>
      </c>
      <c r="AN20" s="12">
        <v>8</v>
      </c>
      <c r="AO20" s="12">
        <v>61</v>
      </c>
      <c r="AQ20" s="11">
        <v>17</v>
      </c>
      <c r="AR20" s="12" t="s">
        <v>15</v>
      </c>
      <c r="AT20" s="11">
        <v>17</v>
      </c>
      <c r="AU20" s="12">
        <v>0</v>
      </c>
      <c r="AW20" s="11">
        <v>17</v>
      </c>
      <c r="AX20" s="12">
        <v>403</v>
      </c>
      <c r="AY20" s="12">
        <v>24</v>
      </c>
      <c r="AZ20" s="12">
        <v>288</v>
      </c>
      <c r="BA20" s="12">
        <v>155</v>
      </c>
      <c r="BB20" s="12">
        <v>299</v>
      </c>
      <c r="BC20" s="12">
        <v>242</v>
      </c>
      <c r="BD20" s="12">
        <v>133</v>
      </c>
      <c r="BE20" s="12">
        <v>198</v>
      </c>
      <c r="BF20" s="24">
        <v>182</v>
      </c>
      <c r="BG20" s="29">
        <v>304</v>
      </c>
      <c r="BH20" s="12">
        <v>216</v>
      </c>
      <c r="BI20" s="12">
        <v>216</v>
      </c>
      <c r="BK20" s="11">
        <v>17</v>
      </c>
      <c r="BL20" s="12" t="s">
        <v>15</v>
      </c>
      <c r="BM20" s="12">
        <v>5</v>
      </c>
      <c r="BN20" s="12">
        <v>5</v>
      </c>
      <c r="BP20" s="11">
        <v>17</v>
      </c>
      <c r="BQ20" s="12">
        <v>0</v>
      </c>
      <c r="BR20" s="12">
        <v>3</v>
      </c>
      <c r="BS20" s="12">
        <v>3</v>
      </c>
      <c r="BU20" s="11">
        <v>17</v>
      </c>
      <c r="BV20" s="12">
        <v>71</v>
      </c>
      <c r="BW20" s="12">
        <v>667</v>
      </c>
      <c r="BX20" s="12">
        <v>667</v>
      </c>
      <c r="BZ20" s="11">
        <v>17</v>
      </c>
      <c r="CA20" s="12"/>
      <c r="CC20" s="11">
        <v>17</v>
      </c>
      <c r="CD20" s="12"/>
    </row>
    <row r="21" spans="1:82">
      <c r="A21" s="20">
        <v>1</v>
      </c>
      <c r="B21" s="20">
        <v>2</v>
      </c>
      <c r="C21" s="5">
        <v>1</v>
      </c>
      <c r="D21" s="6">
        <f t="shared" si="3"/>
        <v>1536</v>
      </c>
      <c r="E21" s="115">
        <f t="shared" si="2"/>
        <v>1196</v>
      </c>
      <c r="F21" s="7">
        <f t="shared" si="2"/>
        <v>738</v>
      </c>
      <c r="J21" s="2">
        <v>0</v>
      </c>
      <c r="K21" s="2">
        <v>1</v>
      </c>
      <c r="R21" s="11">
        <v>18</v>
      </c>
      <c r="S21" s="12">
        <v>1</v>
      </c>
      <c r="T21" s="12" t="s">
        <v>15</v>
      </c>
      <c r="U21" s="12" t="s">
        <v>15</v>
      </c>
      <c r="W21" s="11">
        <v>18</v>
      </c>
      <c r="X21" s="12">
        <v>2</v>
      </c>
      <c r="Y21" s="12">
        <v>0</v>
      </c>
      <c r="Z21" s="12">
        <v>0</v>
      </c>
      <c r="AB21" s="11">
        <v>18</v>
      </c>
      <c r="AC21" s="12">
        <v>0</v>
      </c>
      <c r="AD21" s="12">
        <v>516</v>
      </c>
      <c r="AE21" s="12">
        <v>489</v>
      </c>
      <c r="AG21" s="11">
        <v>18</v>
      </c>
      <c r="AH21" s="12">
        <v>256</v>
      </c>
      <c r="AI21" s="12">
        <v>297</v>
      </c>
      <c r="AJ21" s="12">
        <v>435</v>
      </c>
      <c r="AL21" s="11">
        <v>18</v>
      </c>
      <c r="AM21" s="12">
        <v>3</v>
      </c>
      <c r="AN21" s="12">
        <v>227</v>
      </c>
      <c r="AO21" s="12">
        <v>219</v>
      </c>
      <c r="AQ21" s="11">
        <v>18</v>
      </c>
      <c r="AR21" s="14" t="s">
        <v>7</v>
      </c>
      <c r="AT21" s="11">
        <v>18</v>
      </c>
      <c r="AU21" s="12">
        <v>9</v>
      </c>
      <c r="AW21" s="11">
        <v>18</v>
      </c>
      <c r="AX21" s="12">
        <v>8</v>
      </c>
      <c r="AY21" s="12">
        <v>13</v>
      </c>
      <c r="AZ21" s="12">
        <v>21</v>
      </c>
      <c r="BA21" s="12">
        <v>388</v>
      </c>
      <c r="BB21" s="12">
        <v>10</v>
      </c>
      <c r="BC21" s="12">
        <v>674</v>
      </c>
      <c r="BD21" s="12">
        <v>45</v>
      </c>
      <c r="BE21" s="12">
        <v>19</v>
      </c>
      <c r="BF21" s="24">
        <v>18</v>
      </c>
      <c r="BG21" s="29">
        <v>374</v>
      </c>
      <c r="BH21" s="12">
        <v>70</v>
      </c>
      <c r="BI21" s="12">
        <v>70</v>
      </c>
      <c r="BK21" s="11">
        <v>18</v>
      </c>
      <c r="BL21" s="12">
        <v>1</v>
      </c>
      <c r="BM21" s="12" t="s">
        <v>15</v>
      </c>
      <c r="BN21" s="12" t="s">
        <v>15</v>
      </c>
      <c r="BP21" s="11">
        <v>18</v>
      </c>
      <c r="BQ21" s="12">
        <v>2</v>
      </c>
      <c r="BR21" s="12">
        <v>0</v>
      </c>
      <c r="BS21" s="12">
        <v>0</v>
      </c>
      <c r="BU21" s="11">
        <v>18</v>
      </c>
      <c r="BV21" s="12">
        <v>928</v>
      </c>
      <c r="BW21" s="12">
        <v>103</v>
      </c>
      <c r="BX21" s="12">
        <v>71</v>
      </c>
      <c r="BZ21" s="11">
        <v>18</v>
      </c>
      <c r="CA21" s="12"/>
      <c r="CC21" s="11">
        <v>18</v>
      </c>
      <c r="CD21" s="12"/>
    </row>
    <row r="22" spans="1:82">
      <c r="A22" s="21">
        <v>5</v>
      </c>
      <c r="B22" s="21">
        <v>3</v>
      </c>
      <c r="C22" s="23">
        <v>5</v>
      </c>
      <c r="D22" s="6">
        <f t="shared" si="3"/>
        <v>0</v>
      </c>
      <c r="E22" s="115">
        <f t="shared" si="2"/>
        <v>2616</v>
      </c>
      <c r="F22" s="7">
        <f t="shared" si="2"/>
        <v>849</v>
      </c>
      <c r="R22" s="11">
        <v>19</v>
      </c>
      <c r="S22" s="12" t="s">
        <v>15</v>
      </c>
      <c r="T22" s="12">
        <v>0</v>
      </c>
      <c r="U22" s="12">
        <v>0</v>
      </c>
      <c r="W22" s="11">
        <v>19</v>
      </c>
      <c r="X22" s="12">
        <v>0</v>
      </c>
      <c r="Y22" s="12">
        <v>1</v>
      </c>
      <c r="Z22" s="12">
        <v>1</v>
      </c>
      <c r="AB22" s="11">
        <v>19</v>
      </c>
      <c r="AC22" s="12">
        <v>0</v>
      </c>
      <c r="AD22" s="12">
        <v>40</v>
      </c>
      <c r="AE22" s="12">
        <v>143</v>
      </c>
      <c r="AG22" s="11">
        <v>19</v>
      </c>
      <c r="AH22" s="12">
        <v>464</v>
      </c>
      <c r="AI22" s="12">
        <v>141</v>
      </c>
      <c r="AJ22" s="12">
        <v>98</v>
      </c>
      <c r="AL22" s="11">
        <v>19</v>
      </c>
      <c r="AM22" s="12">
        <v>554</v>
      </c>
      <c r="AN22" s="12">
        <v>974</v>
      </c>
      <c r="AO22" s="12">
        <v>938</v>
      </c>
      <c r="AQ22" s="11">
        <v>19</v>
      </c>
      <c r="AR22" s="12" t="s">
        <v>15</v>
      </c>
      <c r="AT22" s="11">
        <v>19</v>
      </c>
      <c r="AU22" s="12">
        <v>0</v>
      </c>
      <c r="AW22" s="11">
        <v>19</v>
      </c>
      <c r="AX22" s="12">
        <v>403</v>
      </c>
      <c r="AY22" s="12">
        <v>24</v>
      </c>
      <c r="AZ22" s="12">
        <v>288</v>
      </c>
      <c r="BA22" s="12">
        <v>155</v>
      </c>
      <c r="BB22" s="12">
        <v>299</v>
      </c>
      <c r="BC22" s="12">
        <v>242</v>
      </c>
      <c r="BD22" s="12">
        <v>133</v>
      </c>
      <c r="BE22" s="12">
        <v>198</v>
      </c>
      <c r="BF22" s="24">
        <v>182</v>
      </c>
      <c r="BG22" s="29">
        <v>304</v>
      </c>
      <c r="BH22" s="12">
        <v>216</v>
      </c>
      <c r="BI22" s="12">
        <v>216</v>
      </c>
      <c r="BK22" s="11">
        <v>19</v>
      </c>
      <c r="BL22" s="12" t="s">
        <v>15</v>
      </c>
      <c r="BM22" s="12">
        <v>0</v>
      </c>
      <c r="BN22" s="12">
        <v>0</v>
      </c>
      <c r="BP22" s="11">
        <v>19</v>
      </c>
      <c r="BQ22" s="12">
        <v>0</v>
      </c>
      <c r="BR22" s="12">
        <v>1</v>
      </c>
      <c r="BS22" s="12">
        <v>1</v>
      </c>
      <c r="BU22" s="11">
        <v>19</v>
      </c>
      <c r="BV22" s="12">
        <v>71</v>
      </c>
      <c r="BW22" s="12">
        <v>190</v>
      </c>
      <c r="BX22" s="12">
        <v>524</v>
      </c>
      <c r="BZ22" s="11">
        <v>19</v>
      </c>
      <c r="CA22" s="12"/>
      <c r="CC22" s="11">
        <v>19</v>
      </c>
      <c r="CD22" s="12"/>
    </row>
    <row r="23" spans="1:82">
      <c r="A23" s="21">
        <v>10</v>
      </c>
      <c r="B23" s="21">
        <v>4</v>
      </c>
      <c r="C23" s="23">
        <v>10</v>
      </c>
      <c r="D23" s="6">
        <f t="shared" si="3"/>
        <v>113</v>
      </c>
      <c r="E23" s="59">
        <f t="shared" si="2"/>
        <v>0</v>
      </c>
      <c r="F23" s="38">
        <f t="shared" si="2"/>
        <v>0</v>
      </c>
      <c r="R23" s="11">
        <v>20</v>
      </c>
      <c r="S23" s="12">
        <v>5</v>
      </c>
      <c r="T23" s="12" t="s">
        <v>15</v>
      </c>
      <c r="U23" s="12" t="s">
        <v>15</v>
      </c>
      <c r="W23" s="11">
        <v>20</v>
      </c>
      <c r="X23" s="12">
        <v>3</v>
      </c>
      <c r="Y23" s="12">
        <v>0</v>
      </c>
      <c r="Z23" s="12">
        <v>0</v>
      </c>
      <c r="AB23" s="11">
        <v>20</v>
      </c>
      <c r="AC23" s="12">
        <v>1667</v>
      </c>
      <c r="AD23" s="12">
        <v>516</v>
      </c>
      <c r="AE23" s="12">
        <v>489</v>
      </c>
      <c r="AG23" s="11">
        <v>20</v>
      </c>
      <c r="AH23" s="12">
        <v>0</v>
      </c>
      <c r="AI23" s="12">
        <v>297</v>
      </c>
      <c r="AJ23" s="12">
        <v>435</v>
      </c>
      <c r="AL23" s="11">
        <v>20</v>
      </c>
      <c r="AM23" s="12">
        <v>0</v>
      </c>
      <c r="AN23" s="12">
        <v>227</v>
      </c>
      <c r="AO23" s="12">
        <v>219</v>
      </c>
      <c r="AQ23" s="11">
        <v>20</v>
      </c>
      <c r="AR23" s="14" t="s">
        <v>6</v>
      </c>
      <c r="AT23" s="11">
        <v>20</v>
      </c>
      <c r="AU23" s="12">
        <v>7</v>
      </c>
      <c r="AW23" s="11">
        <v>20</v>
      </c>
      <c r="AX23" s="12">
        <v>319</v>
      </c>
      <c r="AY23" s="12">
        <v>1759</v>
      </c>
      <c r="AZ23" s="12">
        <v>742</v>
      </c>
      <c r="BA23" s="12">
        <v>917</v>
      </c>
      <c r="BB23" s="12">
        <v>712</v>
      </c>
      <c r="BC23" s="12">
        <v>252</v>
      </c>
      <c r="BD23" s="12">
        <v>783</v>
      </c>
      <c r="BE23" s="12">
        <v>254</v>
      </c>
      <c r="BF23" s="24">
        <v>241</v>
      </c>
      <c r="BG23" s="29">
        <v>207</v>
      </c>
      <c r="BH23" s="12">
        <v>916</v>
      </c>
      <c r="BI23" s="12">
        <v>916</v>
      </c>
      <c r="BK23" s="11">
        <v>20</v>
      </c>
      <c r="BL23" s="12">
        <v>5</v>
      </c>
      <c r="BM23" s="12" t="s">
        <v>15</v>
      </c>
      <c r="BN23" s="12" t="s">
        <v>15</v>
      </c>
      <c r="BP23" s="11">
        <v>20</v>
      </c>
      <c r="BQ23" s="12">
        <v>3</v>
      </c>
      <c r="BR23" s="12">
        <v>0</v>
      </c>
      <c r="BS23" s="12">
        <v>0</v>
      </c>
      <c r="BU23" s="11">
        <v>20</v>
      </c>
      <c r="BV23" s="12">
        <v>381</v>
      </c>
      <c r="BW23" s="12">
        <v>103</v>
      </c>
      <c r="BX23" s="12">
        <v>71</v>
      </c>
      <c r="BZ23" s="11">
        <v>20</v>
      </c>
      <c r="CA23" s="12"/>
      <c r="CC23" s="11">
        <v>20</v>
      </c>
      <c r="CD23" s="12"/>
    </row>
    <row r="24" spans="1:82">
      <c r="A24" s="20" t="s">
        <v>20</v>
      </c>
      <c r="B24" s="20">
        <v>5</v>
      </c>
      <c r="C24" s="23" t="s">
        <v>29</v>
      </c>
      <c r="D24" s="37">
        <f t="shared" si="3"/>
        <v>0</v>
      </c>
      <c r="E24" s="59">
        <f t="shared" si="2"/>
        <v>0</v>
      </c>
      <c r="F24" s="38">
        <f t="shared" si="2"/>
        <v>0</v>
      </c>
      <c r="R24" s="11">
        <v>21</v>
      </c>
      <c r="S24" s="12" t="s">
        <v>15</v>
      </c>
      <c r="T24" s="12">
        <v>1</v>
      </c>
      <c r="U24" s="12">
        <v>1</v>
      </c>
      <c r="W24" s="11">
        <v>21</v>
      </c>
      <c r="X24" s="12">
        <v>0</v>
      </c>
      <c r="Y24" s="12">
        <v>2</v>
      </c>
      <c r="Z24" s="12">
        <v>2</v>
      </c>
      <c r="AB24" s="11">
        <v>21</v>
      </c>
      <c r="AC24" s="12">
        <v>0</v>
      </c>
      <c r="AD24" s="12">
        <v>32</v>
      </c>
      <c r="AE24" s="12">
        <v>32</v>
      </c>
      <c r="AG24" s="11">
        <v>21</v>
      </c>
      <c r="AH24" s="12">
        <v>464</v>
      </c>
      <c r="AI24" s="12">
        <v>199</v>
      </c>
      <c r="AJ24" s="12">
        <v>123</v>
      </c>
      <c r="AL24" s="11">
        <v>21</v>
      </c>
      <c r="AM24" s="12">
        <v>554</v>
      </c>
      <c r="AN24" s="12">
        <v>3</v>
      </c>
      <c r="AO24" s="12">
        <v>11</v>
      </c>
      <c r="AQ24" s="11">
        <v>21</v>
      </c>
      <c r="AR24" s="12" t="s">
        <v>15</v>
      </c>
      <c r="AT24" s="11">
        <v>21</v>
      </c>
      <c r="AU24" s="12">
        <v>0</v>
      </c>
      <c r="AW24" s="11">
        <v>21</v>
      </c>
      <c r="AX24" s="12">
        <v>403</v>
      </c>
      <c r="AY24" s="12">
        <v>24</v>
      </c>
      <c r="AZ24" s="12">
        <v>288</v>
      </c>
      <c r="BA24" s="12">
        <v>155</v>
      </c>
      <c r="BB24" s="12">
        <v>299</v>
      </c>
      <c r="BC24" s="12">
        <v>242</v>
      </c>
      <c r="BD24" s="12">
        <v>133</v>
      </c>
      <c r="BE24" s="12">
        <v>198</v>
      </c>
      <c r="BF24" s="24">
        <v>181</v>
      </c>
      <c r="BG24" s="29">
        <v>304</v>
      </c>
      <c r="BH24" s="12">
        <v>216</v>
      </c>
      <c r="BI24" s="12">
        <v>216</v>
      </c>
      <c r="BK24" s="11">
        <v>21</v>
      </c>
      <c r="BL24" s="12" t="s">
        <v>15</v>
      </c>
      <c r="BM24" s="12">
        <v>1</v>
      </c>
      <c r="BN24" s="12">
        <v>1</v>
      </c>
      <c r="BP24" s="11">
        <v>21</v>
      </c>
      <c r="BQ24" s="12">
        <v>0</v>
      </c>
      <c r="BR24" s="12">
        <v>2</v>
      </c>
      <c r="BS24" s="12">
        <v>2</v>
      </c>
      <c r="BU24" s="11">
        <v>21</v>
      </c>
      <c r="BV24" s="12">
        <v>71</v>
      </c>
      <c r="BW24" s="12">
        <v>500</v>
      </c>
      <c r="BX24" s="12">
        <v>262</v>
      </c>
      <c r="BZ24" s="11">
        <v>21</v>
      </c>
      <c r="CA24" s="12"/>
      <c r="CC24" s="11">
        <v>21</v>
      </c>
      <c r="CD24" s="12"/>
    </row>
    <row r="25" spans="1:82">
      <c r="A25" s="21" t="s">
        <v>21</v>
      </c>
      <c r="B25" s="21">
        <v>6</v>
      </c>
      <c r="C25" s="23" t="s">
        <v>26</v>
      </c>
      <c r="D25" s="37">
        <f t="shared" si="3"/>
        <v>0</v>
      </c>
      <c r="E25" s="59">
        <f t="shared" si="2"/>
        <v>0</v>
      </c>
      <c r="F25" s="38">
        <f t="shared" si="2"/>
        <v>0</v>
      </c>
      <c r="R25" s="11">
        <v>22</v>
      </c>
      <c r="S25" s="12">
        <v>10</v>
      </c>
      <c r="T25" s="12" t="s">
        <v>15</v>
      </c>
      <c r="U25" s="12" t="s">
        <v>15</v>
      </c>
      <c r="W25" s="11">
        <v>22</v>
      </c>
      <c r="X25" s="12">
        <v>4</v>
      </c>
      <c r="Y25" s="12">
        <v>0</v>
      </c>
      <c r="Z25" s="12">
        <v>0</v>
      </c>
      <c r="AB25" s="11">
        <v>22</v>
      </c>
      <c r="AC25" s="12">
        <v>0</v>
      </c>
      <c r="AD25" s="12">
        <v>516</v>
      </c>
      <c r="AE25" s="12">
        <v>489</v>
      </c>
      <c r="AG25" s="11">
        <v>22</v>
      </c>
      <c r="AH25" s="12">
        <v>19</v>
      </c>
      <c r="AI25" s="12">
        <v>297</v>
      </c>
      <c r="AJ25" s="12">
        <v>434</v>
      </c>
      <c r="AL25" s="11">
        <v>22</v>
      </c>
      <c r="AM25" s="12">
        <v>0</v>
      </c>
      <c r="AN25" s="12">
        <v>227</v>
      </c>
      <c r="AO25" s="12">
        <v>219</v>
      </c>
      <c r="AQ25" s="11">
        <v>22</v>
      </c>
      <c r="AR25" s="14" t="s">
        <v>36</v>
      </c>
      <c r="AT25" s="11">
        <v>22</v>
      </c>
      <c r="AU25" s="12">
        <v>10</v>
      </c>
      <c r="AW25" s="11">
        <v>22</v>
      </c>
      <c r="AX25" s="12">
        <v>20</v>
      </c>
      <c r="AY25" s="12">
        <v>134</v>
      </c>
      <c r="AZ25" s="12">
        <v>66</v>
      </c>
      <c r="BA25" s="12">
        <v>70</v>
      </c>
      <c r="BB25" s="12">
        <v>74</v>
      </c>
      <c r="BC25" s="12">
        <v>102</v>
      </c>
      <c r="BD25" s="12">
        <v>203</v>
      </c>
      <c r="BE25" s="12">
        <v>921</v>
      </c>
      <c r="BF25" s="24">
        <v>767</v>
      </c>
      <c r="BG25" s="29">
        <v>199</v>
      </c>
      <c r="BH25" s="12">
        <v>116</v>
      </c>
      <c r="BI25" s="12">
        <v>116</v>
      </c>
      <c r="BK25" s="11">
        <v>22</v>
      </c>
      <c r="BL25" s="12">
        <v>10</v>
      </c>
      <c r="BM25" s="12" t="s">
        <v>15</v>
      </c>
      <c r="BN25" s="12" t="s">
        <v>15</v>
      </c>
      <c r="BP25" s="11">
        <v>22</v>
      </c>
      <c r="BQ25" s="12">
        <v>4</v>
      </c>
      <c r="BR25" s="12">
        <v>0</v>
      </c>
      <c r="BS25" s="12">
        <v>0</v>
      </c>
      <c r="BU25" s="11">
        <v>22</v>
      </c>
      <c r="BV25" s="12">
        <v>143</v>
      </c>
      <c r="BW25" s="12">
        <v>103</v>
      </c>
      <c r="BX25" s="12">
        <v>71</v>
      </c>
      <c r="BZ25" s="11">
        <v>22</v>
      </c>
      <c r="CA25" s="12"/>
      <c r="CC25" s="11">
        <v>22</v>
      </c>
      <c r="CD25" s="12"/>
    </row>
    <row r="26" spans="1:82">
      <c r="A26" s="20" t="s">
        <v>22</v>
      </c>
      <c r="B26" s="20">
        <v>7</v>
      </c>
      <c r="C26" s="5" t="s">
        <v>27</v>
      </c>
      <c r="D26" s="37">
        <f t="shared" si="3"/>
        <v>0</v>
      </c>
      <c r="E26" s="59">
        <f t="shared" si="2"/>
        <v>0</v>
      </c>
      <c r="F26" s="38">
        <f t="shared" si="2"/>
        <v>0</v>
      </c>
      <c r="R26" s="11">
        <v>23</v>
      </c>
      <c r="S26" s="12" t="s">
        <v>15</v>
      </c>
      <c r="T26" s="12">
        <v>5</v>
      </c>
      <c r="U26" s="12">
        <v>5</v>
      </c>
      <c r="W26" s="11">
        <v>23</v>
      </c>
      <c r="X26" s="12">
        <v>0</v>
      </c>
      <c r="Y26" s="12">
        <v>3</v>
      </c>
      <c r="Z26" s="12">
        <v>3</v>
      </c>
      <c r="AB26" s="11">
        <v>23</v>
      </c>
      <c r="AC26" s="12">
        <v>0</v>
      </c>
      <c r="AD26" s="12">
        <v>48</v>
      </c>
      <c r="AE26" s="12">
        <v>24</v>
      </c>
      <c r="AG26" s="11">
        <v>23</v>
      </c>
      <c r="AH26" s="12">
        <v>464</v>
      </c>
      <c r="AI26" s="12">
        <v>436</v>
      </c>
      <c r="AJ26" s="12">
        <v>141</v>
      </c>
      <c r="AL26" s="11">
        <v>23</v>
      </c>
      <c r="AM26" s="12">
        <v>554</v>
      </c>
      <c r="AN26" s="12">
        <v>8</v>
      </c>
      <c r="AO26" s="12">
        <v>61</v>
      </c>
      <c r="AQ26" s="11">
        <v>23</v>
      </c>
      <c r="AR26" s="12" t="s">
        <v>15</v>
      </c>
      <c r="AT26" s="11">
        <v>23</v>
      </c>
      <c r="AU26" s="12">
        <v>0</v>
      </c>
      <c r="AW26" s="11">
        <v>23</v>
      </c>
      <c r="AX26" s="12">
        <v>403</v>
      </c>
      <c r="AY26" s="12">
        <v>24</v>
      </c>
      <c r="AZ26" s="12">
        <v>288</v>
      </c>
      <c r="BA26" s="12">
        <v>155</v>
      </c>
      <c r="BB26" s="12">
        <v>299</v>
      </c>
      <c r="BC26" s="12">
        <v>242</v>
      </c>
      <c r="BD26" s="12">
        <v>133</v>
      </c>
      <c r="BE26" s="12">
        <v>198</v>
      </c>
      <c r="BF26" s="24">
        <v>181</v>
      </c>
      <c r="BG26" s="29">
        <v>303</v>
      </c>
      <c r="BH26" s="12">
        <v>216</v>
      </c>
      <c r="BI26" s="12">
        <v>216</v>
      </c>
      <c r="BK26" s="11">
        <v>23</v>
      </c>
      <c r="BL26" s="12" t="s">
        <v>15</v>
      </c>
      <c r="BM26" s="12">
        <v>5</v>
      </c>
      <c r="BN26" s="12">
        <v>5</v>
      </c>
      <c r="BP26" s="11">
        <v>23</v>
      </c>
      <c r="BQ26" s="12">
        <v>0</v>
      </c>
      <c r="BR26" s="12">
        <v>3</v>
      </c>
      <c r="BS26" s="12">
        <v>3</v>
      </c>
      <c r="BU26" s="11">
        <v>23</v>
      </c>
      <c r="BV26" s="12">
        <v>71</v>
      </c>
      <c r="BW26" s="12">
        <v>667</v>
      </c>
      <c r="BX26" s="12">
        <v>667</v>
      </c>
      <c r="BZ26" s="11">
        <v>23</v>
      </c>
      <c r="CA26" s="12"/>
      <c r="CC26" s="11">
        <v>23</v>
      </c>
      <c r="CD26" s="12"/>
    </row>
    <row r="27" spans="1:82">
      <c r="A27" s="20" t="s">
        <v>23</v>
      </c>
      <c r="B27" s="20">
        <v>8</v>
      </c>
      <c r="C27" s="5" t="s">
        <v>28</v>
      </c>
      <c r="D27" s="37">
        <f t="shared" si="3"/>
        <v>0</v>
      </c>
      <c r="E27" s="59">
        <f t="shared" si="2"/>
        <v>0</v>
      </c>
      <c r="F27" s="38">
        <f t="shared" si="2"/>
        <v>0</v>
      </c>
      <c r="R27" s="11">
        <v>24</v>
      </c>
      <c r="S27" s="12">
        <v>1</v>
      </c>
      <c r="T27" s="12" t="s">
        <v>15</v>
      </c>
      <c r="U27" s="12" t="s">
        <v>15</v>
      </c>
      <c r="W27" s="11">
        <v>24</v>
      </c>
      <c r="X27" s="12">
        <v>2</v>
      </c>
      <c r="Y27" s="12">
        <v>0</v>
      </c>
      <c r="Z27" s="12">
        <v>0</v>
      </c>
      <c r="AB27" s="11">
        <v>24</v>
      </c>
      <c r="AC27" s="12">
        <v>0</v>
      </c>
      <c r="AD27" s="12">
        <v>516</v>
      </c>
      <c r="AE27" s="12">
        <v>489</v>
      </c>
      <c r="AG27" s="11">
        <v>24</v>
      </c>
      <c r="AH27" s="12">
        <v>256</v>
      </c>
      <c r="AI27" s="12">
        <v>297</v>
      </c>
      <c r="AJ27" s="12">
        <v>434</v>
      </c>
      <c r="AL27" s="11">
        <v>24</v>
      </c>
      <c r="AM27" s="12">
        <v>3</v>
      </c>
      <c r="AN27" s="12">
        <v>227</v>
      </c>
      <c r="AO27" s="12">
        <v>219</v>
      </c>
      <c r="AQ27" s="11">
        <v>24</v>
      </c>
      <c r="AR27" s="14" t="s">
        <v>5</v>
      </c>
      <c r="AT27" s="11">
        <v>24</v>
      </c>
      <c r="AU27" s="12">
        <v>6</v>
      </c>
      <c r="AW27" s="11">
        <v>24</v>
      </c>
      <c r="AX27" s="12">
        <v>44</v>
      </c>
      <c r="AY27" s="12">
        <v>1</v>
      </c>
      <c r="AZ27" s="12">
        <v>17</v>
      </c>
      <c r="BA27" s="12">
        <v>5</v>
      </c>
      <c r="BB27" s="12">
        <v>5</v>
      </c>
      <c r="BC27" s="12">
        <v>3</v>
      </c>
      <c r="BD27" s="12">
        <v>438</v>
      </c>
      <c r="BE27" s="12">
        <v>10</v>
      </c>
      <c r="BF27" s="24">
        <v>247</v>
      </c>
      <c r="BG27" s="29">
        <v>6</v>
      </c>
      <c r="BH27" s="12">
        <v>36</v>
      </c>
      <c r="BI27" s="12">
        <v>36</v>
      </c>
      <c r="BK27" s="11">
        <v>24</v>
      </c>
      <c r="BL27" s="12">
        <v>1</v>
      </c>
      <c r="BM27" s="12" t="s">
        <v>15</v>
      </c>
      <c r="BN27" s="12" t="s">
        <v>15</v>
      </c>
      <c r="BP27" s="11">
        <v>24</v>
      </c>
      <c r="BQ27" s="12">
        <v>2</v>
      </c>
      <c r="BR27" s="12">
        <v>0</v>
      </c>
      <c r="BS27" s="12">
        <v>0</v>
      </c>
      <c r="BU27" s="11">
        <v>24</v>
      </c>
      <c r="BV27" s="12">
        <v>928</v>
      </c>
      <c r="BW27" s="12">
        <v>103</v>
      </c>
      <c r="BX27" s="12">
        <v>71</v>
      </c>
      <c r="BZ27" s="11">
        <v>24</v>
      </c>
      <c r="CA27" s="12"/>
      <c r="CC27" s="11">
        <v>24</v>
      </c>
      <c r="CD27" s="12"/>
    </row>
    <row r="28" spans="1:82">
      <c r="A28" s="20" t="s">
        <v>24</v>
      </c>
      <c r="B28" s="20">
        <v>9</v>
      </c>
      <c r="C28" s="5" t="s">
        <v>16</v>
      </c>
      <c r="D28" s="37">
        <f t="shared" si="3"/>
        <v>0</v>
      </c>
      <c r="E28" s="59">
        <f t="shared" si="2"/>
        <v>0</v>
      </c>
      <c r="F28" s="38">
        <f t="shared" si="2"/>
        <v>0</v>
      </c>
      <c r="R28" s="11">
        <v>25</v>
      </c>
      <c r="S28" s="12" t="s">
        <v>15</v>
      </c>
      <c r="T28" s="12">
        <v>0</v>
      </c>
      <c r="U28" s="12">
        <v>0</v>
      </c>
      <c r="W28" s="11">
        <v>25</v>
      </c>
      <c r="X28" s="12">
        <v>0</v>
      </c>
      <c r="Y28" s="12">
        <v>1</v>
      </c>
      <c r="Z28" s="12">
        <v>1</v>
      </c>
      <c r="AB28" s="11">
        <v>25</v>
      </c>
      <c r="AC28" s="12">
        <v>0</v>
      </c>
      <c r="AD28" s="12">
        <v>39</v>
      </c>
      <c r="AE28" s="12">
        <v>143</v>
      </c>
      <c r="AG28" s="11">
        <v>25</v>
      </c>
      <c r="AH28" s="12">
        <v>464</v>
      </c>
      <c r="AI28" s="12">
        <v>141</v>
      </c>
      <c r="AJ28" s="12">
        <v>98</v>
      </c>
      <c r="AL28" s="11">
        <v>25</v>
      </c>
      <c r="AM28" s="12">
        <v>554</v>
      </c>
      <c r="AN28" s="12">
        <v>974</v>
      </c>
      <c r="AO28" s="12">
        <v>938</v>
      </c>
      <c r="AQ28" s="11">
        <v>25</v>
      </c>
      <c r="AR28" s="12" t="s">
        <v>15</v>
      </c>
      <c r="AT28" s="11">
        <v>25</v>
      </c>
      <c r="AU28" s="12">
        <v>0</v>
      </c>
      <c r="AW28" s="11">
        <v>25</v>
      </c>
      <c r="AX28" s="12">
        <v>402</v>
      </c>
      <c r="AY28" s="12">
        <v>24</v>
      </c>
      <c r="AZ28" s="12">
        <v>288</v>
      </c>
      <c r="BA28" s="12">
        <v>155</v>
      </c>
      <c r="BB28" s="12">
        <v>299</v>
      </c>
      <c r="BC28" s="12">
        <v>242</v>
      </c>
      <c r="BD28" s="12">
        <v>132</v>
      </c>
      <c r="BE28" s="12">
        <v>198</v>
      </c>
      <c r="BF28" s="24">
        <v>181</v>
      </c>
      <c r="BG28" s="29">
        <v>303</v>
      </c>
      <c r="BH28" s="12">
        <v>216</v>
      </c>
      <c r="BI28" s="12">
        <v>216</v>
      </c>
      <c r="BK28" s="11">
        <v>25</v>
      </c>
      <c r="BL28" s="12" t="s">
        <v>15</v>
      </c>
      <c r="BM28" s="12">
        <v>0</v>
      </c>
      <c r="BN28" s="12">
        <v>0</v>
      </c>
      <c r="BP28" s="11">
        <v>25</v>
      </c>
      <c r="BQ28" s="12">
        <v>0</v>
      </c>
      <c r="BR28" s="12">
        <v>1</v>
      </c>
      <c r="BS28" s="12">
        <v>1</v>
      </c>
      <c r="BU28" s="11">
        <v>25</v>
      </c>
      <c r="BV28" s="12">
        <v>71</v>
      </c>
      <c r="BW28" s="12">
        <v>190</v>
      </c>
      <c r="BX28" s="12">
        <v>524</v>
      </c>
      <c r="BZ28" s="11">
        <v>25</v>
      </c>
      <c r="CA28" s="12"/>
      <c r="CC28" s="11">
        <v>25</v>
      </c>
      <c r="CD28" s="12"/>
    </row>
    <row r="29" spans="1:82">
      <c r="A29" s="21" t="s">
        <v>35</v>
      </c>
      <c r="B29" s="21">
        <v>10</v>
      </c>
      <c r="C29" s="5" t="s">
        <v>37</v>
      </c>
      <c r="D29" s="37">
        <f t="shared" si="3"/>
        <v>0</v>
      </c>
      <c r="E29" s="59">
        <f t="shared" si="2"/>
        <v>0</v>
      </c>
      <c r="F29" s="38">
        <f t="shared" si="2"/>
        <v>0</v>
      </c>
      <c r="R29" s="11">
        <v>26</v>
      </c>
      <c r="S29" s="12">
        <v>5</v>
      </c>
      <c r="T29" s="12" t="s">
        <v>15</v>
      </c>
      <c r="U29" s="12" t="s">
        <v>15</v>
      </c>
      <c r="W29" s="11">
        <v>26</v>
      </c>
      <c r="X29" s="12">
        <v>3</v>
      </c>
      <c r="Y29" s="12">
        <v>0</v>
      </c>
      <c r="Z29" s="12">
        <v>0</v>
      </c>
      <c r="AB29" s="11">
        <v>26</v>
      </c>
      <c r="AC29" s="12">
        <v>1666</v>
      </c>
      <c r="AD29" s="12">
        <v>516</v>
      </c>
      <c r="AE29" s="12">
        <v>489</v>
      </c>
      <c r="AG29" s="11">
        <v>26</v>
      </c>
      <c r="AH29" s="12">
        <v>0</v>
      </c>
      <c r="AI29" s="12">
        <v>296</v>
      </c>
      <c r="AJ29" s="12">
        <v>434</v>
      </c>
      <c r="AL29" s="11">
        <v>26</v>
      </c>
      <c r="AM29" s="12">
        <v>0</v>
      </c>
      <c r="AN29" s="12">
        <v>227</v>
      </c>
      <c r="AO29" s="12">
        <v>218</v>
      </c>
      <c r="AQ29" s="11">
        <v>26</v>
      </c>
      <c r="AR29" s="14" t="s">
        <v>7</v>
      </c>
      <c r="AT29" s="11">
        <v>26</v>
      </c>
      <c r="AU29" s="12">
        <v>9</v>
      </c>
      <c r="AW29" s="11">
        <v>26</v>
      </c>
      <c r="AX29" s="12">
        <v>8</v>
      </c>
      <c r="AY29" s="12">
        <v>13</v>
      </c>
      <c r="AZ29" s="12">
        <v>21</v>
      </c>
      <c r="BA29" s="12">
        <v>388</v>
      </c>
      <c r="BB29" s="12">
        <v>10</v>
      </c>
      <c r="BC29" s="12">
        <v>674</v>
      </c>
      <c r="BD29" s="12">
        <v>45</v>
      </c>
      <c r="BE29" s="12">
        <v>19</v>
      </c>
      <c r="BF29" s="24">
        <v>18</v>
      </c>
      <c r="BG29" s="29">
        <v>374</v>
      </c>
      <c r="BH29" s="12">
        <v>70</v>
      </c>
      <c r="BI29" s="12">
        <v>70</v>
      </c>
      <c r="BK29" s="11">
        <v>26</v>
      </c>
      <c r="BL29" s="12">
        <v>5</v>
      </c>
      <c r="BM29" s="12" t="s">
        <v>15</v>
      </c>
      <c r="BN29" s="12" t="s">
        <v>15</v>
      </c>
      <c r="BP29" s="11">
        <v>26</v>
      </c>
      <c r="BQ29" s="12">
        <v>3</v>
      </c>
      <c r="BR29" s="12">
        <v>0</v>
      </c>
      <c r="BS29" s="12">
        <v>0</v>
      </c>
      <c r="BU29" s="11">
        <v>26</v>
      </c>
      <c r="BV29" s="12">
        <v>381</v>
      </c>
      <c r="BW29" s="12">
        <v>103</v>
      </c>
      <c r="BX29" s="12">
        <v>71</v>
      </c>
      <c r="BZ29" s="11">
        <v>26</v>
      </c>
      <c r="CA29" s="12"/>
      <c r="CC29" s="11">
        <v>26</v>
      </c>
      <c r="CD29" s="12"/>
    </row>
    <row r="30" spans="1:82">
      <c r="A30" s="22" t="s">
        <v>39</v>
      </c>
      <c r="B30" s="22">
        <v>11</v>
      </c>
      <c r="C30" s="17" t="s">
        <v>38</v>
      </c>
      <c r="D30" s="60">
        <f t="shared" si="3"/>
        <v>0</v>
      </c>
      <c r="E30" s="39">
        <f t="shared" si="2"/>
        <v>0</v>
      </c>
      <c r="F30" s="40">
        <f t="shared" si="2"/>
        <v>0</v>
      </c>
      <c r="R30" s="11">
        <v>27</v>
      </c>
      <c r="S30" s="12" t="s">
        <v>15</v>
      </c>
      <c r="T30" s="12">
        <v>1</v>
      </c>
      <c r="U30" s="12">
        <v>1</v>
      </c>
      <c r="W30" s="11">
        <v>27</v>
      </c>
      <c r="X30" s="12">
        <v>0</v>
      </c>
      <c r="Y30" s="12">
        <v>2</v>
      </c>
      <c r="Z30" s="12">
        <v>2</v>
      </c>
      <c r="AB30" s="11">
        <v>27</v>
      </c>
      <c r="AC30" s="12">
        <v>0</v>
      </c>
      <c r="AD30" s="12">
        <v>31</v>
      </c>
      <c r="AE30" s="12">
        <v>31</v>
      </c>
      <c r="AG30" s="11">
        <v>27</v>
      </c>
      <c r="AH30" s="12">
        <v>464</v>
      </c>
      <c r="AI30" s="12">
        <v>199</v>
      </c>
      <c r="AJ30" s="12">
        <v>123</v>
      </c>
      <c r="AL30" s="11">
        <v>27</v>
      </c>
      <c r="AM30" s="12">
        <v>554</v>
      </c>
      <c r="AN30" s="12">
        <v>2</v>
      </c>
      <c r="AO30" s="12">
        <v>11</v>
      </c>
      <c r="AQ30" s="11">
        <v>27</v>
      </c>
      <c r="AR30" s="12" t="s">
        <v>15</v>
      </c>
      <c r="AT30" s="11">
        <v>27</v>
      </c>
      <c r="AU30" s="12">
        <v>0</v>
      </c>
      <c r="AW30" s="11">
        <v>27</v>
      </c>
      <c r="AX30" s="12">
        <v>402</v>
      </c>
      <c r="AY30" s="12">
        <v>21</v>
      </c>
      <c r="AZ30" s="12">
        <v>288</v>
      </c>
      <c r="BA30" s="12">
        <v>155</v>
      </c>
      <c r="BB30" s="12">
        <v>299</v>
      </c>
      <c r="BC30" s="12">
        <v>242</v>
      </c>
      <c r="BD30" s="12">
        <v>132</v>
      </c>
      <c r="BE30" s="12">
        <v>198</v>
      </c>
      <c r="BF30" s="24">
        <v>181</v>
      </c>
      <c r="BG30" s="29">
        <v>303</v>
      </c>
      <c r="BH30" s="12">
        <v>216</v>
      </c>
      <c r="BI30" s="12">
        <v>216</v>
      </c>
      <c r="BK30" s="11">
        <v>27</v>
      </c>
      <c r="BL30" s="12" t="s">
        <v>15</v>
      </c>
      <c r="BM30" s="12">
        <v>1</v>
      </c>
      <c r="BN30" s="12">
        <v>1</v>
      </c>
      <c r="BP30" s="11">
        <v>27</v>
      </c>
      <c r="BQ30" s="12">
        <v>0</v>
      </c>
      <c r="BR30" s="12">
        <v>2</v>
      </c>
      <c r="BS30" s="12">
        <v>2</v>
      </c>
      <c r="BU30" s="11">
        <v>27</v>
      </c>
      <c r="BV30" s="12">
        <v>71</v>
      </c>
      <c r="BW30" s="12">
        <v>500</v>
      </c>
      <c r="BX30" s="12">
        <v>262</v>
      </c>
      <c r="BZ30" s="11">
        <v>27</v>
      </c>
      <c r="CA30" s="12"/>
      <c r="CC30" s="11">
        <v>27</v>
      </c>
      <c r="CD30" s="12"/>
    </row>
    <row r="31" spans="1:82">
      <c r="D31" s="115">
        <v>3101</v>
      </c>
      <c r="E31" s="115">
        <v>2700</v>
      </c>
      <c r="F31" s="115">
        <v>2930</v>
      </c>
      <c r="R31" s="11">
        <v>28</v>
      </c>
      <c r="S31" s="12">
        <v>10</v>
      </c>
      <c r="T31" s="12" t="s">
        <v>15</v>
      </c>
      <c r="U31" s="12" t="s">
        <v>15</v>
      </c>
      <c r="W31" s="11">
        <v>28</v>
      </c>
      <c r="X31" s="12">
        <v>4</v>
      </c>
      <c r="Y31" s="12">
        <v>0</v>
      </c>
      <c r="Z31" s="12">
        <v>0</v>
      </c>
      <c r="AB31" s="11">
        <v>28</v>
      </c>
      <c r="AC31" s="12">
        <v>0</v>
      </c>
      <c r="AD31" s="12">
        <v>516</v>
      </c>
      <c r="AE31" s="12">
        <v>489</v>
      </c>
      <c r="AG31" s="11">
        <v>28</v>
      </c>
      <c r="AH31" s="12">
        <v>19</v>
      </c>
      <c r="AI31" s="12">
        <v>296</v>
      </c>
      <c r="AJ31" s="12">
        <v>434</v>
      </c>
      <c r="AL31" s="11">
        <v>28</v>
      </c>
      <c r="AM31" s="12">
        <v>0</v>
      </c>
      <c r="AN31" s="12">
        <v>227</v>
      </c>
      <c r="AO31" s="12">
        <v>218</v>
      </c>
      <c r="AQ31" s="11">
        <v>28</v>
      </c>
      <c r="AR31" s="14" t="s">
        <v>6</v>
      </c>
      <c r="AT31" s="11">
        <v>28</v>
      </c>
      <c r="AU31" s="12">
        <v>7</v>
      </c>
      <c r="AW31" s="11">
        <v>28</v>
      </c>
      <c r="AX31" s="12">
        <v>319</v>
      </c>
      <c r="AY31" s="12">
        <v>1759</v>
      </c>
      <c r="AZ31" s="12">
        <v>742</v>
      </c>
      <c r="BA31" s="12">
        <v>917</v>
      </c>
      <c r="BB31" s="12">
        <v>712</v>
      </c>
      <c r="BC31" s="12">
        <v>252</v>
      </c>
      <c r="BD31" s="12">
        <v>783</v>
      </c>
      <c r="BE31" s="12">
        <v>254</v>
      </c>
      <c r="BF31" s="24">
        <v>241</v>
      </c>
      <c r="BG31" s="29">
        <v>207</v>
      </c>
      <c r="BH31" s="12">
        <v>915</v>
      </c>
      <c r="BI31" s="12">
        <v>915</v>
      </c>
      <c r="BK31" s="11">
        <v>28</v>
      </c>
      <c r="BL31" s="12">
        <v>10</v>
      </c>
      <c r="BM31" s="12" t="s">
        <v>15</v>
      </c>
      <c r="BN31" s="12" t="s">
        <v>15</v>
      </c>
      <c r="BP31" s="11">
        <v>28</v>
      </c>
      <c r="BQ31" s="12">
        <v>4</v>
      </c>
      <c r="BR31" s="12">
        <v>0</v>
      </c>
      <c r="BS31" s="12">
        <v>0</v>
      </c>
      <c r="BU31" s="11">
        <v>28</v>
      </c>
      <c r="BV31" s="12">
        <v>143</v>
      </c>
      <c r="BW31" s="12">
        <v>103</v>
      </c>
      <c r="BX31" s="12">
        <v>71</v>
      </c>
      <c r="BZ31" s="11">
        <v>28</v>
      </c>
      <c r="CA31" s="12"/>
      <c r="CC31" s="11">
        <v>28</v>
      </c>
      <c r="CD31" s="12"/>
    </row>
    <row r="32" spans="1:82">
      <c r="R32" s="11">
        <v>29</v>
      </c>
      <c r="S32" s="12" t="s">
        <v>15</v>
      </c>
      <c r="T32" s="12">
        <v>5</v>
      </c>
      <c r="U32" s="12">
        <v>5</v>
      </c>
      <c r="W32" s="11">
        <v>29</v>
      </c>
      <c r="X32" s="12">
        <v>0</v>
      </c>
      <c r="Y32" s="12">
        <v>3</v>
      </c>
      <c r="Z32" s="12">
        <v>3</v>
      </c>
      <c r="AB32" s="11">
        <v>29</v>
      </c>
      <c r="AC32" s="12">
        <v>0</v>
      </c>
      <c r="AD32" s="12">
        <v>47</v>
      </c>
      <c r="AE32" s="12">
        <v>24</v>
      </c>
      <c r="AG32" s="11">
        <v>29</v>
      </c>
      <c r="AH32" s="12">
        <v>464</v>
      </c>
      <c r="AI32" s="12">
        <v>436</v>
      </c>
      <c r="AJ32" s="12">
        <v>141</v>
      </c>
      <c r="AL32" s="11">
        <v>29</v>
      </c>
      <c r="AM32" s="12">
        <v>554</v>
      </c>
      <c r="AN32" s="12">
        <v>8</v>
      </c>
      <c r="AO32" s="12">
        <v>61</v>
      </c>
      <c r="AQ32" s="11">
        <v>29</v>
      </c>
      <c r="AR32" s="12" t="s">
        <v>15</v>
      </c>
      <c r="AT32" s="11">
        <v>29</v>
      </c>
      <c r="AU32" s="12">
        <v>0</v>
      </c>
      <c r="AW32" s="11">
        <v>29</v>
      </c>
      <c r="AX32" s="12">
        <v>402</v>
      </c>
      <c r="AY32" s="12">
        <v>21</v>
      </c>
      <c r="AZ32" s="12">
        <v>288</v>
      </c>
      <c r="BA32" s="12">
        <v>155</v>
      </c>
      <c r="BB32" s="12">
        <v>299</v>
      </c>
      <c r="BC32" s="12">
        <v>242</v>
      </c>
      <c r="BD32" s="12">
        <v>132</v>
      </c>
      <c r="BE32" s="12">
        <v>198</v>
      </c>
      <c r="BF32" s="24">
        <v>181</v>
      </c>
      <c r="BG32" s="29">
        <v>303</v>
      </c>
      <c r="BH32" s="12">
        <v>216</v>
      </c>
      <c r="BI32" s="12">
        <v>216</v>
      </c>
      <c r="BK32" s="11">
        <v>29</v>
      </c>
      <c r="BL32" s="12" t="s">
        <v>15</v>
      </c>
      <c r="BM32" s="12">
        <v>5</v>
      </c>
      <c r="BN32" s="12">
        <v>5</v>
      </c>
      <c r="BP32" s="11">
        <v>29</v>
      </c>
      <c r="BQ32" s="12">
        <v>0</v>
      </c>
      <c r="BR32" s="12">
        <v>3</v>
      </c>
      <c r="BS32" s="12">
        <v>3</v>
      </c>
      <c r="BU32" s="11">
        <v>29</v>
      </c>
      <c r="BV32" s="12">
        <v>71</v>
      </c>
      <c r="BW32" s="12">
        <v>666</v>
      </c>
      <c r="BX32" s="12">
        <v>666</v>
      </c>
      <c r="BZ32" s="11">
        <v>29</v>
      </c>
      <c r="CA32" s="12"/>
      <c r="CC32" s="11">
        <v>29</v>
      </c>
      <c r="CD32" s="12"/>
    </row>
    <row r="33" spans="1:82">
      <c r="A33" s="30" t="s">
        <v>117</v>
      </c>
      <c r="G33" s="115"/>
      <c r="H33" s="94" t="s">
        <v>34</v>
      </c>
      <c r="J33" s="115"/>
      <c r="R33" s="11">
        <v>30</v>
      </c>
      <c r="S33" s="12">
        <v>1</v>
      </c>
      <c r="T33" s="12" t="s">
        <v>15</v>
      </c>
      <c r="U33" s="12" t="s">
        <v>15</v>
      </c>
      <c r="W33" s="11">
        <v>30</v>
      </c>
      <c r="X33" s="12">
        <v>2</v>
      </c>
      <c r="Y33" s="12">
        <v>0</v>
      </c>
      <c r="Z33" s="12">
        <v>0</v>
      </c>
      <c r="AB33" s="11">
        <v>30</v>
      </c>
      <c r="AC33" s="12">
        <v>0</v>
      </c>
      <c r="AD33" s="12">
        <v>516</v>
      </c>
      <c r="AE33" s="12">
        <v>489</v>
      </c>
      <c r="AG33" s="11">
        <v>30</v>
      </c>
      <c r="AH33" s="12">
        <v>256</v>
      </c>
      <c r="AI33" s="12">
        <v>296</v>
      </c>
      <c r="AJ33" s="12">
        <v>434</v>
      </c>
      <c r="AL33" s="11">
        <v>30</v>
      </c>
      <c r="AM33" s="12">
        <v>2</v>
      </c>
      <c r="AN33" s="12">
        <v>227</v>
      </c>
      <c r="AO33" s="12">
        <v>218</v>
      </c>
      <c r="AQ33" s="11">
        <v>30</v>
      </c>
      <c r="AR33" s="14" t="s">
        <v>36</v>
      </c>
      <c r="AT33" s="11">
        <v>30</v>
      </c>
      <c r="AU33" s="12">
        <v>10</v>
      </c>
      <c r="AW33" s="11">
        <v>30</v>
      </c>
      <c r="AX33" s="12">
        <v>20</v>
      </c>
      <c r="AY33" s="12">
        <v>134</v>
      </c>
      <c r="AZ33" s="12">
        <v>65</v>
      </c>
      <c r="BA33" s="12">
        <v>69</v>
      </c>
      <c r="BB33" s="12">
        <v>73</v>
      </c>
      <c r="BC33" s="12">
        <v>102</v>
      </c>
      <c r="BD33" s="12">
        <v>203</v>
      </c>
      <c r="BE33" s="12">
        <v>921</v>
      </c>
      <c r="BF33" s="24">
        <v>767</v>
      </c>
      <c r="BG33" s="29">
        <v>199</v>
      </c>
      <c r="BH33" s="12">
        <v>115</v>
      </c>
      <c r="BI33" s="12">
        <v>115</v>
      </c>
      <c r="BK33" s="11">
        <v>30</v>
      </c>
      <c r="BL33" s="12">
        <v>1</v>
      </c>
      <c r="BM33" s="12" t="s">
        <v>15</v>
      </c>
      <c r="BN33" s="12" t="s">
        <v>15</v>
      </c>
      <c r="BP33" s="11">
        <v>30</v>
      </c>
      <c r="BQ33" s="12">
        <v>2</v>
      </c>
      <c r="BR33" s="12">
        <v>0</v>
      </c>
      <c r="BS33" s="12">
        <v>0</v>
      </c>
      <c r="BU33" s="11">
        <v>30</v>
      </c>
      <c r="BV33" s="12">
        <v>928</v>
      </c>
      <c r="BW33" s="12">
        <v>103</v>
      </c>
      <c r="BX33" s="12">
        <v>71</v>
      </c>
      <c r="BZ33" s="11">
        <v>30</v>
      </c>
      <c r="CA33" s="12"/>
      <c r="CC33" s="11">
        <v>30</v>
      </c>
      <c r="CD33" s="12"/>
    </row>
    <row r="34" spans="1:82">
      <c r="A34" s="30" t="s">
        <v>46</v>
      </c>
      <c r="B34" s="1" t="s">
        <v>10</v>
      </c>
      <c r="C34" s="2" t="s">
        <v>11</v>
      </c>
      <c r="D34" s="3" t="s">
        <v>12</v>
      </c>
      <c r="E34" s="116" t="s">
        <v>13</v>
      </c>
      <c r="F34" s="4" t="s">
        <v>14</v>
      </c>
      <c r="G34" s="115"/>
      <c r="H34" s="95" t="s">
        <v>57</v>
      </c>
      <c r="I34" s="58" t="s">
        <v>58</v>
      </c>
      <c r="R34" s="11">
        <v>31</v>
      </c>
      <c r="S34" s="12" t="s">
        <v>15</v>
      </c>
      <c r="T34" s="12">
        <v>0</v>
      </c>
      <c r="U34" s="12">
        <v>0</v>
      </c>
      <c r="W34" s="11">
        <v>31</v>
      </c>
      <c r="X34" s="12">
        <v>0</v>
      </c>
      <c r="Y34" s="12">
        <v>1</v>
      </c>
      <c r="Z34" s="12">
        <v>1</v>
      </c>
      <c r="AB34" s="11">
        <v>31</v>
      </c>
      <c r="AC34" s="12">
        <v>0</v>
      </c>
      <c r="AD34" s="12">
        <v>39</v>
      </c>
      <c r="AE34" s="12">
        <v>142</v>
      </c>
      <c r="AG34" s="11">
        <v>31</v>
      </c>
      <c r="AH34" s="12">
        <v>464</v>
      </c>
      <c r="AI34" s="12">
        <v>141</v>
      </c>
      <c r="AJ34" s="12">
        <v>98</v>
      </c>
      <c r="AL34" s="11">
        <v>31</v>
      </c>
      <c r="AM34" s="12">
        <v>554</v>
      </c>
      <c r="AN34" s="12">
        <v>974</v>
      </c>
      <c r="AO34" s="12">
        <v>938</v>
      </c>
      <c r="AQ34" s="11">
        <v>31</v>
      </c>
      <c r="AR34" s="12" t="s">
        <v>15</v>
      </c>
      <c r="AT34" s="11">
        <v>31</v>
      </c>
      <c r="AU34" s="12">
        <v>0</v>
      </c>
      <c r="AW34" s="11">
        <v>31</v>
      </c>
      <c r="AX34" s="12">
        <v>402</v>
      </c>
      <c r="AY34" s="12">
        <v>21</v>
      </c>
      <c r="AZ34" s="12">
        <v>288</v>
      </c>
      <c r="BA34" s="12">
        <v>155</v>
      </c>
      <c r="BB34" s="12">
        <v>299</v>
      </c>
      <c r="BC34" s="12">
        <v>242</v>
      </c>
      <c r="BD34" s="12">
        <v>132</v>
      </c>
      <c r="BE34" s="12">
        <v>198</v>
      </c>
      <c r="BF34" s="24">
        <v>181</v>
      </c>
      <c r="BG34" s="29">
        <v>303</v>
      </c>
      <c r="BH34" s="12">
        <v>216</v>
      </c>
      <c r="BI34" s="12">
        <v>216</v>
      </c>
      <c r="BK34" s="11">
        <v>31</v>
      </c>
      <c r="BL34" s="12" t="s">
        <v>15</v>
      </c>
      <c r="BM34" s="12">
        <v>0</v>
      </c>
      <c r="BN34" s="12">
        <v>0</v>
      </c>
      <c r="BP34" s="11">
        <v>31</v>
      </c>
      <c r="BQ34" s="12">
        <v>0</v>
      </c>
      <c r="BR34" s="12">
        <v>1</v>
      </c>
      <c r="BS34" s="12">
        <v>1</v>
      </c>
      <c r="BU34" s="11">
        <v>31</v>
      </c>
      <c r="BV34" s="12">
        <v>71</v>
      </c>
      <c r="BW34" s="12">
        <v>190</v>
      </c>
      <c r="BX34" s="12">
        <v>523</v>
      </c>
      <c r="BZ34" s="11">
        <v>31</v>
      </c>
      <c r="CA34" s="12"/>
      <c r="CC34" s="11">
        <v>31</v>
      </c>
      <c r="CD34" s="12"/>
    </row>
    <row r="35" spans="1:82">
      <c r="A35" s="1" t="s">
        <v>19</v>
      </c>
      <c r="B35" s="1">
        <v>0</v>
      </c>
      <c r="C35" s="3" t="s">
        <v>25</v>
      </c>
      <c r="D35" s="3">
        <f>SUMIF(S$3:S$38,$A35,AM$3:AM$38)</f>
        <v>9980</v>
      </c>
      <c r="E35" s="116">
        <f t="shared" ref="E35:F46" si="4">SUMIF(T$3:T$38,$A35,AN$3:AN$38)</f>
        <v>4090</v>
      </c>
      <c r="F35" s="4">
        <f t="shared" si="4"/>
        <v>3937</v>
      </c>
      <c r="G35" s="115"/>
      <c r="H35" s="21">
        <v>5</v>
      </c>
      <c r="I35" s="7">
        <f>SUMIF(CA$3:CA$38,$H35,$CD$3:$CD$38)</f>
        <v>3419</v>
      </c>
      <c r="R35" s="11">
        <v>32</v>
      </c>
      <c r="S35" s="12">
        <v>5</v>
      </c>
      <c r="T35" s="12" t="s">
        <v>15</v>
      </c>
      <c r="U35" s="12" t="s">
        <v>15</v>
      </c>
      <c r="W35" s="11">
        <v>32</v>
      </c>
      <c r="X35" s="12">
        <v>3</v>
      </c>
      <c r="Y35" s="12">
        <v>0</v>
      </c>
      <c r="Z35" s="12">
        <v>0</v>
      </c>
      <c r="AB35" s="11">
        <v>32</v>
      </c>
      <c r="AC35" s="12">
        <v>1666</v>
      </c>
      <c r="AD35" s="12">
        <v>515</v>
      </c>
      <c r="AE35" s="12">
        <v>489</v>
      </c>
      <c r="AG35" s="11">
        <v>32</v>
      </c>
      <c r="AH35" s="12">
        <v>0</v>
      </c>
      <c r="AI35" s="12">
        <v>296</v>
      </c>
      <c r="AJ35" s="12">
        <v>434</v>
      </c>
      <c r="AL35" s="11">
        <v>32</v>
      </c>
      <c r="AM35" s="12">
        <v>0</v>
      </c>
      <c r="AN35" s="12">
        <v>227</v>
      </c>
      <c r="AO35" s="12">
        <v>218</v>
      </c>
      <c r="AQ35" s="11">
        <v>32</v>
      </c>
      <c r="AR35" s="14" t="s">
        <v>5</v>
      </c>
      <c r="AT35" s="11">
        <v>32</v>
      </c>
      <c r="AU35" s="12">
        <v>6</v>
      </c>
      <c r="AW35" s="11">
        <v>32</v>
      </c>
      <c r="AX35" s="12">
        <v>44</v>
      </c>
      <c r="AY35" s="12">
        <v>0</v>
      </c>
      <c r="AZ35" s="12">
        <v>17</v>
      </c>
      <c r="BA35" s="12">
        <v>5</v>
      </c>
      <c r="BB35" s="12">
        <v>5</v>
      </c>
      <c r="BC35" s="12">
        <v>3</v>
      </c>
      <c r="BD35" s="12">
        <v>437</v>
      </c>
      <c r="BE35" s="12">
        <v>10</v>
      </c>
      <c r="BF35" s="24">
        <v>247</v>
      </c>
      <c r="BG35" s="29">
        <v>5</v>
      </c>
      <c r="BH35" s="12">
        <v>36</v>
      </c>
      <c r="BI35" s="12">
        <v>36</v>
      </c>
      <c r="BK35" s="11">
        <v>32</v>
      </c>
      <c r="BL35" s="12">
        <v>5</v>
      </c>
      <c r="BM35" s="12" t="s">
        <v>15</v>
      </c>
      <c r="BN35" s="12" t="s">
        <v>15</v>
      </c>
      <c r="BP35" s="11">
        <v>32</v>
      </c>
      <c r="BQ35" s="12">
        <v>3</v>
      </c>
      <c r="BR35" s="12">
        <v>0</v>
      </c>
      <c r="BS35" s="12">
        <v>0</v>
      </c>
      <c r="BU35" s="11">
        <v>32</v>
      </c>
      <c r="BV35" s="12">
        <v>381</v>
      </c>
      <c r="BW35" s="12">
        <v>103</v>
      </c>
      <c r="BX35" s="12">
        <v>71</v>
      </c>
      <c r="BZ35" s="11">
        <v>32</v>
      </c>
      <c r="CA35" s="12"/>
      <c r="CC35" s="11">
        <v>32</v>
      </c>
      <c r="CD35" s="12"/>
    </row>
    <row r="36" spans="1:82">
      <c r="A36" s="20">
        <v>0</v>
      </c>
      <c r="B36" s="20">
        <v>1</v>
      </c>
      <c r="C36" s="5">
        <v>0</v>
      </c>
      <c r="D36" s="37">
        <f t="shared" ref="D36:D46" si="5">SUMIF(S$3:S$38,$A36,AM$3:AM$38)</f>
        <v>0</v>
      </c>
      <c r="E36" s="115">
        <f t="shared" si="4"/>
        <v>5847</v>
      </c>
      <c r="F36" s="7">
        <f t="shared" si="4"/>
        <v>5631</v>
      </c>
      <c r="G36" s="115"/>
      <c r="H36" s="21">
        <v>10</v>
      </c>
      <c r="I36" s="7">
        <f t="shared" ref="I36:I42" si="6">SUMIF(CA$3:CA$38,$H36,$CD$3:$CD$38)</f>
        <v>2358</v>
      </c>
      <c r="K36" s="115"/>
      <c r="L36" s="115"/>
      <c r="M36" s="115"/>
      <c r="N36" s="115"/>
      <c r="O36" s="115"/>
      <c r="R36" s="11">
        <v>33</v>
      </c>
      <c r="S36" s="12" t="s">
        <v>15</v>
      </c>
      <c r="T36" s="12">
        <v>1</v>
      </c>
      <c r="U36" s="12">
        <v>1</v>
      </c>
      <c r="W36" s="11">
        <v>33</v>
      </c>
      <c r="X36" s="12">
        <v>0</v>
      </c>
      <c r="Y36" s="12">
        <v>2</v>
      </c>
      <c r="Z36" s="12">
        <v>2</v>
      </c>
      <c r="AB36" s="11">
        <v>33</v>
      </c>
      <c r="AC36" s="12">
        <v>0</v>
      </c>
      <c r="AD36" s="12">
        <v>31</v>
      </c>
      <c r="AE36" s="12">
        <v>31</v>
      </c>
      <c r="AG36" s="11">
        <v>33</v>
      </c>
      <c r="AH36" s="12">
        <v>464</v>
      </c>
      <c r="AI36" s="12">
        <v>199</v>
      </c>
      <c r="AJ36" s="12">
        <v>123</v>
      </c>
      <c r="AL36" s="11">
        <v>33</v>
      </c>
      <c r="AM36" s="12">
        <v>554</v>
      </c>
      <c r="AN36" s="12">
        <v>2</v>
      </c>
      <c r="AO36" s="12">
        <v>11</v>
      </c>
      <c r="AQ36" s="11">
        <v>33</v>
      </c>
      <c r="AR36" s="12" t="s">
        <v>15</v>
      </c>
      <c r="AT36" s="11">
        <v>33</v>
      </c>
      <c r="AU36" s="12">
        <v>0</v>
      </c>
      <c r="AW36" s="11">
        <v>33</v>
      </c>
      <c r="AX36" s="12">
        <v>402</v>
      </c>
      <c r="AY36" s="12">
        <v>21</v>
      </c>
      <c r="AZ36" s="12">
        <v>288</v>
      </c>
      <c r="BA36" s="12">
        <v>155</v>
      </c>
      <c r="BB36" s="12">
        <v>299</v>
      </c>
      <c r="BC36" s="12">
        <v>242</v>
      </c>
      <c r="BD36" s="12">
        <v>132</v>
      </c>
      <c r="BE36" s="12">
        <v>198</v>
      </c>
      <c r="BF36" s="24">
        <v>181</v>
      </c>
      <c r="BG36" s="29">
        <v>303</v>
      </c>
      <c r="BH36" s="12">
        <v>216</v>
      </c>
      <c r="BI36" s="12">
        <v>216</v>
      </c>
      <c r="BK36" s="11">
        <v>33</v>
      </c>
      <c r="BL36" s="12" t="s">
        <v>15</v>
      </c>
      <c r="BM36" s="12">
        <v>1</v>
      </c>
      <c r="BN36" s="12">
        <v>1</v>
      </c>
      <c r="BP36" s="11">
        <v>33</v>
      </c>
      <c r="BQ36" s="12">
        <v>0</v>
      </c>
      <c r="BR36" s="12">
        <v>2</v>
      </c>
      <c r="BS36" s="12">
        <v>2</v>
      </c>
      <c r="BU36" s="11">
        <v>33</v>
      </c>
      <c r="BV36" s="12">
        <v>71</v>
      </c>
      <c r="BW36" s="12">
        <v>500</v>
      </c>
      <c r="BX36" s="12">
        <v>261</v>
      </c>
      <c r="BZ36" s="11">
        <v>33</v>
      </c>
      <c r="CA36" s="12"/>
      <c r="CC36" s="11">
        <v>33</v>
      </c>
      <c r="CD36" s="12"/>
    </row>
    <row r="37" spans="1:82">
      <c r="A37" s="20">
        <v>1</v>
      </c>
      <c r="B37" s="20">
        <v>2</v>
      </c>
      <c r="C37" s="5">
        <v>1</v>
      </c>
      <c r="D37" s="6">
        <f t="shared" si="5"/>
        <v>17</v>
      </c>
      <c r="E37" s="115">
        <f t="shared" si="4"/>
        <v>16</v>
      </c>
      <c r="F37" s="7">
        <f t="shared" si="4"/>
        <v>66</v>
      </c>
      <c r="G37" s="115"/>
      <c r="H37" s="21">
        <v>15</v>
      </c>
      <c r="I37" s="7">
        <f t="shared" si="6"/>
        <v>654</v>
      </c>
      <c r="K37" s="115"/>
      <c r="L37" s="115"/>
      <c r="M37" s="115"/>
      <c r="N37" s="115"/>
      <c r="O37" s="115"/>
      <c r="R37" s="11">
        <v>34</v>
      </c>
      <c r="S37" s="12">
        <v>10</v>
      </c>
      <c r="T37" s="12" t="s">
        <v>15</v>
      </c>
      <c r="U37" s="12" t="s">
        <v>15</v>
      </c>
      <c r="W37" s="11">
        <v>34</v>
      </c>
      <c r="X37" s="12">
        <v>4</v>
      </c>
      <c r="Y37" s="12">
        <v>0</v>
      </c>
      <c r="Z37" s="12">
        <v>0</v>
      </c>
      <c r="AB37" s="11">
        <v>34</v>
      </c>
      <c r="AC37" s="12">
        <v>0</v>
      </c>
      <c r="AD37" s="12">
        <v>515</v>
      </c>
      <c r="AE37" s="12">
        <v>489</v>
      </c>
      <c r="AG37" s="11">
        <v>34</v>
      </c>
      <c r="AH37" s="12">
        <v>18</v>
      </c>
      <c r="AI37" s="12">
        <v>296</v>
      </c>
      <c r="AJ37" s="12">
        <v>434</v>
      </c>
      <c r="AL37" s="11">
        <v>34</v>
      </c>
      <c r="AM37" s="12">
        <v>0</v>
      </c>
      <c r="AN37" s="12">
        <v>227</v>
      </c>
      <c r="AO37" s="12">
        <v>218</v>
      </c>
      <c r="AQ37" s="11">
        <v>34</v>
      </c>
      <c r="AR37" s="14" t="s">
        <v>7</v>
      </c>
      <c r="AT37" s="11">
        <v>34</v>
      </c>
      <c r="AU37" s="12">
        <v>9</v>
      </c>
      <c r="AW37" s="11">
        <v>34</v>
      </c>
      <c r="AX37" s="12">
        <v>8</v>
      </c>
      <c r="AY37" s="12">
        <v>12</v>
      </c>
      <c r="AZ37" s="12">
        <v>21</v>
      </c>
      <c r="BA37" s="12">
        <v>387</v>
      </c>
      <c r="BB37" s="12">
        <v>10</v>
      </c>
      <c r="BC37" s="12">
        <v>674</v>
      </c>
      <c r="BD37" s="12">
        <v>45</v>
      </c>
      <c r="BE37" s="12">
        <v>19</v>
      </c>
      <c r="BF37" s="24">
        <v>18</v>
      </c>
      <c r="BG37" s="29">
        <v>374</v>
      </c>
      <c r="BH37" s="12">
        <v>70</v>
      </c>
      <c r="BI37" s="12">
        <v>70</v>
      </c>
      <c r="BK37" s="11">
        <v>34</v>
      </c>
      <c r="BL37" s="12">
        <v>10</v>
      </c>
      <c r="BM37" s="12" t="s">
        <v>15</v>
      </c>
      <c r="BN37" s="12" t="s">
        <v>15</v>
      </c>
      <c r="BP37" s="11">
        <v>34</v>
      </c>
      <c r="BQ37" s="12">
        <v>4</v>
      </c>
      <c r="BR37" s="12">
        <v>0</v>
      </c>
      <c r="BS37" s="12">
        <v>0</v>
      </c>
      <c r="BU37" s="11">
        <v>34</v>
      </c>
      <c r="BV37" s="12">
        <v>142</v>
      </c>
      <c r="BW37" s="12">
        <v>103</v>
      </c>
      <c r="BX37" s="12">
        <v>71</v>
      </c>
      <c r="BZ37" s="11">
        <v>34</v>
      </c>
      <c r="CA37" s="12"/>
      <c r="CC37" s="11">
        <v>34</v>
      </c>
      <c r="CD37" s="12"/>
    </row>
    <row r="38" spans="1:82">
      <c r="A38" s="21">
        <v>5</v>
      </c>
      <c r="B38" s="21">
        <v>3</v>
      </c>
      <c r="C38" s="23">
        <v>5</v>
      </c>
      <c r="D38" s="6">
        <f t="shared" si="5"/>
        <v>0</v>
      </c>
      <c r="E38" s="115">
        <f t="shared" si="4"/>
        <v>47</v>
      </c>
      <c r="F38" s="7">
        <f t="shared" si="4"/>
        <v>366</v>
      </c>
      <c r="G38" s="115"/>
      <c r="H38" s="21">
        <v>20</v>
      </c>
      <c r="I38" s="7">
        <f t="shared" si="6"/>
        <v>1219</v>
      </c>
      <c r="K38" s="115"/>
      <c r="L38" s="115"/>
      <c r="M38" s="115"/>
      <c r="N38" s="115"/>
      <c r="O38" s="115"/>
      <c r="R38" s="11">
        <v>35</v>
      </c>
      <c r="S38" s="12" t="s">
        <v>8</v>
      </c>
      <c r="T38" s="12">
        <v>5</v>
      </c>
      <c r="U38" s="12">
        <v>5</v>
      </c>
      <c r="W38" s="11">
        <v>35</v>
      </c>
      <c r="X38" s="12">
        <v>0</v>
      </c>
      <c r="Y38" s="12">
        <v>3</v>
      </c>
      <c r="Z38" s="12">
        <v>3</v>
      </c>
      <c r="AB38" s="11">
        <v>35</v>
      </c>
      <c r="AC38" s="12">
        <v>0</v>
      </c>
      <c r="AD38" s="12">
        <v>47</v>
      </c>
      <c r="AE38" s="12">
        <v>23</v>
      </c>
      <c r="AG38" s="11">
        <v>35</v>
      </c>
      <c r="AH38" s="12">
        <v>463</v>
      </c>
      <c r="AI38" s="12">
        <v>436</v>
      </c>
      <c r="AJ38" s="12">
        <v>141</v>
      </c>
      <c r="AL38" s="11">
        <v>35</v>
      </c>
      <c r="AM38" s="12">
        <v>554</v>
      </c>
      <c r="AN38" s="12">
        <v>7</v>
      </c>
      <c r="AO38" s="12">
        <v>61</v>
      </c>
      <c r="AQ38" s="11">
        <v>35</v>
      </c>
      <c r="AR38" s="12" t="s">
        <v>15</v>
      </c>
      <c r="AT38" s="11">
        <v>35</v>
      </c>
      <c r="AU38" s="12">
        <v>0</v>
      </c>
      <c r="AW38" s="11">
        <v>35</v>
      </c>
      <c r="AX38" s="12">
        <v>402</v>
      </c>
      <c r="AY38" s="12">
        <v>21</v>
      </c>
      <c r="AZ38" s="12">
        <v>288</v>
      </c>
      <c r="BA38" s="12">
        <v>155</v>
      </c>
      <c r="BB38" s="12">
        <v>299</v>
      </c>
      <c r="BC38" s="12">
        <v>242</v>
      </c>
      <c r="BD38" s="12">
        <v>132</v>
      </c>
      <c r="BE38" s="12">
        <v>198</v>
      </c>
      <c r="BF38" s="24">
        <v>181</v>
      </c>
      <c r="BG38" s="29">
        <v>303</v>
      </c>
      <c r="BH38" s="12">
        <v>216</v>
      </c>
      <c r="BI38" s="12">
        <v>216</v>
      </c>
      <c r="BK38" s="11">
        <v>35</v>
      </c>
      <c r="BL38" s="12" t="s">
        <v>8</v>
      </c>
      <c r="BM38" s="12">
        <v>5</v>
      </c>
      <c r="BN38" s="12">
        <v>5</v>
      </c>
      <c r="BP38" s="11">
        <v>35</v>
      </c>
      <c r="BQ38" s="12">
        <v>0</v>
      </c>
      <c r="BR38" s="12">
        <v>3</v>
      </c>
      <c r="BS38" s="12">
        <v>3</v>
      </c>
      <c r="BU38" s="11">
        <v>35</v>
      </c>
      <c r="BV38" s="12">
        <v>71</v>
      </c>
      <c r="BW38" s="12">
        <v>666</v>
      </c>
      <c r="BX38" s="12">
        <v>666</v>
      </c>
      <c r="BZ38" s="11">
        <v>35</v>
      </c>
      <c r="CA38" s="12"/>
      <c r="CC38" s="11">
        <v>35</v>
      </c>
      <c r="CD38" s="12"/>
    </row>
    <row r="39" spans="1:82">
      <c r="A39" s="21">
        <v>10</v>
      </c>
      <c r="B39" s="21">
        <v>4</v>
      </c>
      <c r="C39" s="23">
        <v>10</v>
      </c>
      <c r="D39" s="6">
        <f t="shared" si="5"/>
        <v>3</v>
      </c>
      <c r="E39" s="59">
        <f t="shared" si="4"/>
        <v>0</v>
      </c>
      <c r="F39" s="38">
        <f t="shared" si="4"/>
        <v>0</v>
      </c>
      <c r="G39" s="115"/>
      <c r="H39" s="21">
        <v>30</v>
      </c>
      <c r="I39" s="7">
        <f t="shared" si="6"/>
        <v>640</v>
      </c>
      <c r="K39" s="115"/>
      <c r="L39" s="115"/>
      <c r="M39" s="115"/>
      <c r="N39" s="115"/>
      <c r="O39" s="115"/>
      <c r="R39" s="11">
        <v>36</v>
      </c>
      <c r="S39" s="12"/>
      <c r="T39" s="12"/>
      <c r="U39" s="12"/>
      <c r="W39" s="11">
        <v>36</v>
      </c>
      <c r="X39" s="12"/>
      <c r="Y39" s="12"/>
      <c r="Z39" s="12"/>
      <c r="AB39" s="11">
        <v>36</v>
      </c>
      <c r="AC39" s="12"/>
      <c r="AD39" s="12"/>
      <c r="AE39" s="12"/>
      <c r="AG39" s="11">
        <v>36</v>
      </c>
      <c r="AH39" s="12"/>
      <c r="AI39" s="12"/>
      <c r="AJ39" s="12"/>
      <c r="AL39" s="11">
        <v>36</v>
      </c>
      <c r="AM39" s="12"/>
      <c r="AN39" s="12"/>
      <c r="AO39" s="12"/>
      <c r="AQ39" s="11">
        <v>36</v>
      </c>
      <c r="AR39" s="14" t="s">
        <v>6</v>
      </c>
      <c r="AS39" s="14"/>
      <c r="AT39" s="11">
        <v>36</v>
      </c>
      <c r="AU39" s="12">
        <v>7</v>
      </c>
      <c r="AW39" s="11">
        <v>36</v>
      </c>
      <c r="AX39" s="12">
        <v>319</v>
      </c>
      <c r="AY39" s="12">
        <v>1759</v>
      </c>
      <c r="AZ39" s="12">
        <v>742</v>
      </c>
      <c r="BA39" s="12">
        <v>917</v>
      </c>
      <c r="BB39" s="12">
        <v>712</v>
      </c>
      <c r="BC39" s="12">
        <v>252</v>
      </c>
      <c r="BD39" s="12">
        <v>783</v>
      </c>
      <c r="BE39" s="12">
        <v>254</v>
      </c>
      <c r="BF39" s="24">
        <v>241</v>
      </c>
      <c r="BG39" s="29">
        <v>207</v>
      </c>
      <c r="BH39" s="12">
        <v>915</v>
      </c>
      <c r="BI39" s="12">
        <v>915</v>
      </c>
      <c r="BK39" s="11">
        <v>36</v>
      </c>
      <c r="BL39" s="12"/>
      <c r="BM39" s="12"/>
      <c r="BN39" s="12"/>
      <c r="BP39" s="11">
        <v>36</v>
      </c>
      <c r="BQ39" s="12"/>
      <c r="BR39" s="12"/>
      <c r="BS39" s="12"/>
      <c r="BU39" s="11">
        <v>36</v>
      </c>
      <c r="BV39" s="12"/>
      <c r="BW39" s="12"/>
      <c r="BX39" s="12"/>
      <c r="BZ39" s="11">
        <v>36</v>
      </c>
      <c r="CA39" s="12"/>
      <c r="CC39" s="11">
        <v>36</v>
      </c>
      <c r="CD39" s="12"/>
    </row>
    <row r="40" spans="1:82">
      <c r="A40" s="20" t="s">
        <v>20</v>
      </c>
      <c r="B40" s="20">
        <v>5</v>
      </c>
      <c r="C40" s="23" t="s">
        <v>29</v>
      </c>
      <c r="D40" s="37">
        <f t="shared" si="5"/>
        <v>0</v>
      </c>
      <c r="E40" s="59">
        <f t="shared" si="4"/>
        <v>0</v>
      </c>
      <c r="F40" s="38">
        <f t="shared" si="4"/>
        <v>0</v>
      </c>
      <c r="G40" s="115"/>
      <c r="H40" s="21">
        <v>50</v>
      </c>
      <c r="I40" s="7">
        <f t="shared" si="6"/>
        <v>1708</v>
      </c>
      <c r="K40" s="115"/>
      <c r="L40" s="115"/>
      <c r="M40" s="115"/>
      <c r="N40" s="115"/>
      <c r="O40" s="115"/>
      <c r="R40" s="11">
        <v>37</v>
      </c>
      <c r="S40" s="12"/>
      <c r="T40" s="12"/>
      <c r="U40" s="12"/>
      <c r="W40" s="11">
        <v>37</v>
      </c>
      <c r="X40" s="12"/>
      <c r="Y40" s="12"/>
      <c r="Z40" s="12"/>
      <c r="AB40" s="11">
        <v>37</v>
      </c>
      <c r="AC40" s="12"/>
      <c r="AD40" s="12"/>
      <c r="AE40" s="12"/>
      <c r="AG40" s="11">
        <v>37</v>
      </c>
      <c r="AH40" s="12"/>
      <c r="AI40" s="12"/>
      <c r="AJ40" s="12"/>
      <c r="AL40" s="11">
        <v>37</v>
      </c>
      <c r="AM40" s="12"/>
      <c r="AN40" s="12"/>
      <c r="AO40" s="12"/>
      <c r="AQ40" s="11">
        <v>37</v>
      </c>
      <c r="AR40" s="12" t="s">
        <v>15</v>
      </c>
      <c r="AS40" s="12"/>
      <c r="AT40" s="11">
        <v>37</v>
      </c>
      <c r="AU40" s="12">
        <v>0</v>
      </c>
      <c r="AW40" s="11">
        <v>37</v>
      </c>
      <c r="AX40" s="12">
        <v>402</v>
      </c>
      <c r="AY40" s="12">
        <v>21</v>
      </c>
      <c r="AZ40" s="12">
        <v>288</v>
      </c>
      <c r="BA40" s="12">
        <v>155</v>
      </c>
      <c r="BB40" s="12">
        <v>299</v>
      </c>
      <c r="BC40" s="12">
        <v>242</v>
      </c>
      <c r="BD40" s="12">
        <v>132</v>
      </c>
      <c r="BE40" s="12">
        <v>198</v>
      </c>
      <c r="BF40" s="24">
        <v>181</v>
      </c>
      <c r="BG40" s="29">
        <v>303</v>
      </c>
      <c r="BH40" s="12">
        <v>215</v>
      </c>
      <c r="BI40" s="12">
        <v>215</v>
      </c>
      <c r="BK40" s="11">
        <v>37</v>
      </c>
      <c r="BL40" s="12"/>
      <c r="BM40" s="12"/>
      <c r="BN40" s="12"/>
      <c r="BP40" s="11">
        <v>37</v>
      </c>
      <c r="BQ40" s="12"/>
      <c r="BR40" s="12"/>
      <c r="BS40" s="12"/>
      <c r="BU40" s="11">
        <v>37</v>
      </c>
      <c r="BV40" s="12"/>
      <c r="BW40" s="12"/>
      <c r="BX40" s="12"/>
      <c r="BZ40" s="11">
        <v>37</v>
      </c>
      <c r="CA40" s="12"/>
      <c r="CC40" s="11">
        <v>37</v>
      </c>
      <c r="CD40" s="12"/>
    </row>
    <row r="41" spans="1:82">
      <c r="A41" s="21" t="s">
        <v>21</v>
      </c>
      <c r="B41" s="21">
        <v>6</v>
      </c>
      <c r="C41" s="23" t="s">
        <v>26</v>
      </c>
      <c r="D41" s="37">
        <f t="shared" si="5"/>
        <v>0</v>
      </c>
      <c r="E41" s="59">
        <f t="shared" si="4"/>
        <v>0</v>
      </c>
      <c r="F41" s="38">
        <f t="shared" si="4"/>
        <v>0</v>
      </c>
      <c r="G41" s="115"/>
      <c r="H41" s="21">
        <v>100</v>
      </c>
      <c r="I41" s="7">
        <f t="shared" si="6"/>
        <v>1</v>
      </c>
      <c r="K41" s="115"/>
      <c r="L41" s="115"/>
      <c r="M41" s="115"/>
      <c r="N41" s="115"/>
      <c r="O41" s="115"/>
      <c r="R41" s="11">
        <v>38</v>
      </c>
      <c r="S41" s="12"/>
      <c r="T41" s="12"/>
      <c r="U41" s="12"/>
      <c r="W41" s="11">
        <v>38</v>
      </c>
      <c r="X41" s="12"/>
      <c r="Y41" s="12"/>
      <c r="Z41" s="12"/>
      <c r="AB41" s="11">
        <v>38</v>
      </c>
      <c r="AC41" s="12"/>
      <c r="AD41" s="12"/>
      <c r="AE41" s="12"/>
      <c r="AG41" s="11">
        <v>38</v>
      </c>
      <c r="AH41" s="12"/>
      <c r="AI41" s="12"/>
      <c r="AJ41" s="12"/>
      <c r="AL41" s="11">
        <v>38</v>
      </c>
      <c r="AM41" s="12"/>
      <c r="AN41" s="12"/>
      <c r="AO41" s="12"/>
      <c r="AQ41" s="11">
        <v>38</v>
      </c>
      <c r="AR41" s="14" t="s">
        <v>36</v>
      </c>
      <c r="AS41" s="14"/>
      <c r="AT41" s="11">
        <v>38</v>
      </c>
      <c r="AU41" s="12">
        <v>10</v>
      </c>
      <c r="AW41" s="11">
        <v>38</v>
      </c>
      <c r="AX41" s="12">
        <v>20</v>
      </c>
      <c r="AY41" s="12">
        <v>134</v>
      </c>
      <c r="AZ41" s="12">
        <v>65</v>
      </c>
      <c r="BA41" s="12">
        <v>69</v>
      </c>
      <c r="BB41" s="12">
        <v>73</v>
      </c>
      <c r="BC41" s="12">
        <v>101</v>
      </c>
      <c r="BD41" s="12">
        <v>203</v>
      </c>
      <c r="BE41" s="12">
        <v>921</v>
      </c>
      <c r="BF41" s="24">
        <v>767</v>
      </c>
      <c r="BG41" s="29">
        <v>199</v>
      </c>
      <c r="BH41" s="12">
        <v>115</v>
      </c>
      <c r="BI41" s="12">
        <v>115</v>
      </c>
      <c r="BK41" s="11">
        <v>38</v>
      </c>
      <c r="BL41" s="12"/>
      <c r="BM41" s="12"/>
      <c r="BN41" s="12"/>
      <c r="BP41" s="11">
        <v>38</v>
      </c>
      <c r="BQ41" s="12"/>
      <c r="BR41" s="12"/>
      <c r="BS41" s="12"/>
      <c r="BU41" s="11">
        <v>38</v>
      </c>
      <c r="BV41" s="12"/>
      <c r="BW41" s="12"/>
      <c r="BX41" s="12"/>
      <c r="BZ41" s="11">
        <v>38</v>
      </c>
      <c r="CA41" s="12"/>
      <c r="CC41" s="11">
        <v>38</v>
      </c>
      <c r="CD41" s="12"/>
    </row>
    <row r="42" spans="1:82">
      <c r="A42" s="20" t="s">
        <v>22</v>
      </c>
      <c r="B42" s="20">
        <v>7</v>
      </c>
      <c r="C42" s="5" t="s">
        <v>27</v>
      </c>
      <c r="D42" s="37">
        <f t="shared" si="5"/>
        <v>0</v>
      </c>
      <c r="E42" s="59">
        <f t="shared" si="4"/>
        <v>0</v>
      </c>
      <c r="F42" s="38">
        <f t="shared" si="4"/>
        <v>0</v>
      </c>
      <c r="H42" s="22">
        <v>200</v>
      </c>
      <c r="I42" s="96">
        <f t="shared" si="6"/>
        <v>15</v>
      </c>
      <c r="R42" s="11">
        <v>39</v>
      </c>
      <c r="S42" s="12"/>
      <c r="T42" s="12"/>
      <c r="U42" s="12"/>
      <c r="W42" s="11">
        <v>39</v>
      </c>
      <c r="X42" s="12"/>
      <c r="Y42" s="12"/>
      <c r="Z42" s="12"/>
      <c r="AB42" s="11">
        <v>39</v>
      </c>
      <c r="AC42" s="12"/>
      <c r="AD42" s="12"/>
      <c r="AE42" s="12"/>
      <c r="AG42" s="11">
        <v>39</v>
      </c>
      <c r="AH42" s="12"/>
      <c r="AI42" s="12"/>
      <c r="AJ42" s="12"/>
      <c r="AL42" s="11">
        <v>39</v>
      </c>
      <c r="AM42" s="12"/>
      <c r="AN42" s="12"/>
      <c r="AO42" s="12"/>
      <c r="AQ42" s="11">
        <v>39</v>
      </c>
      <c r="AR42" s="12" t="s">
        <v>15</v>
      </c>
      <c r="AS42" s="12"/>
      <c r="AT42" s="11">
        <v>39</v>
      </c>
      <c r="AU42" s="12">
        <v>0</v>
      </c>
      <c r="AW42" s="11">
        <v>39</v>
      </c>
      <c r="AX42" s="12">
        <v>402</v>
      </c>
      <c r="AY42" s="12">
        <v>21</v>
      </c>
      <c r="AZ42" s="12">
        <v>288</v>
      </c>
      <c r="BA42" s="12">
        <v>155</v>
      </c>
      <c r="BB42" s="12">
        <v>299</v>
      </c>
      <c r="BC42" s="12">
        <v>242</v>
      </c>
      <c r="BD42" s="12">
        <v>132</v>
      </c>
      <c r="BE42" s="12">
        <v>198</v>
      </c>
      <c r="BF42" s="24">
        <v>181</v>
      </c>
      <c r="BG42" s="29">
        <v>303</v>
      </c>
      <c r="BH42" s="12">
        <v>215</v>
      </c>
      <c r="BI42" s="12">
        <v>215</v>
      </c>
      <c r="BK42" s="11">
        <v>39</v>
      </c>
      <c r="BL42" s="12"/>
      <c r="BM42" s="12"/>
      <c r="BN42" s="12"/>
      <c r="BP42" s="11">
        <v>39</v>
      </c>
      <c r="BQ42" s="12"/>
      <c r="BR42" s="12"/>
      <c r="BS42" s="12"/>
      <c r="BU42" s="11">
        <v>39</v>
      </c>
      <c r="BV42" s="12"/>
      <c r="BW42" s="12"/>
      <c r="BX42" s="12"/>
      <c r="BZ42" s="11">
        <v>39</v>
      </c>
      <c r="CA42" s="12"/>
      <c r="CC42" s="11">
        <v>39</v>
      </c>
      <c r="CD42" s="12"/>
    </row>
    <row r="43" spans="1:82">
      <c r="A43" s="20" t="s">
        <v>23</v>
      </c>
      <c r="B43" s="20">
        <v>8</v>
      </c>
      <c r="C43" s="5" t="s">
        <v>28</v>
      </c>
      <c r="D43" s="37">
        <f t="shared" si="5"/>
        <v>0</v>
      </c>
      <c r="E43" s="59">
        <f t="shared" si="4"/>
        <v>0</v>
      </c>
      <c r="F43" s="38">
        <f t="shared" si="4"/>
        <v>0</v>
      </c>
      <c r="R43" s="11">
        <v>40</v>
      </c>
      <c r="S43" s="12"/>
      <c r="T43" s="12"/>
      <c r="U43" s="12"/>
      <c r="W43" s="11">
        <v>40</v>
      </c>
      <c r="X43" s="12"/>
      <c r="Y43" s="12"/>
      <c r="Z43" s="12"/>
      <c r="AB43" s="11">
        <v>40</v>
      </c>
      <c r="AC43" s="12"/>
      <c r="AD43" s="12"/>
      <c r="AE43" s="12"/>
      <c r="AG43" s="11">
        <v>40</v>
      </c>
      <c r="AH43" s="12"/>
      <c r="AI43" s="12"/>
      <c r="AJ43" s="12"/>
      <c r="AL43" s="11">
        <v>40</v>
      </c>
      <c r="AM43" s="12"/>
      <c r="AN43" s="12"/>
      <c r="AO43" s="12"/>
      <c r="AQ43" s="11">
        <v>40</v>
      </c>
      <c r="AR43" s="14"/>
      <c r="AS43" s="14"/>
      <c r="AT43" s="11">
        <v>40</v>
      </c>
      <c r="AU43" s="12"/>
      <c r="AW43" s="11">
        <v>40</v>
      </c>
      <c r="AX43" s="12"/>
      <c r="AY43" s="12"/>
      <c r="AZ43" s="12"/>
      <c r="BA43" s="12"/>
      <c r="BB43" s="12"/>
      <c r="BC43" s="12"/>
      <c r="BD43" s="12"/>
      <c r="BE43" s="12"/>
      <c r="BF43" s="24"/>
      <c r="BG43" s="29"/>
      <c r="BH43" s="12"/>
      <c r="BI43" s="12"/>
      <c r="BK43" s="11">
        <v>40</v>
      </c>
      <c r="BL43" s="12"/>
      <c r="BM43" s="12"/>
      <c r="BN43" s="12"/>
      <c r="BP43" s="11">
        <v>40</v>
      </c>
      <c r="BQ43" s="12"/>
      <c r="BR43" s="12"/>
      <c r="BS43" s="12"/>
      <c r="BU43" s="11">
        <v>40</v>
      </c>
      <c r="BV43" s="12"/>
      <c r="BW43" s="12"/>
      <c r="BX43" s="12"/>
      <c r="BZ43" s="11">
        <v>40</v>
      </c>
      <c r="CA43" s="12"/>
      <c r="CC43" s="11">
        <v>40</v>
      </c>
      <c r="CD43" s="12"/>
    </row>
    <row r="44" spans="1:82">
      <c r="A44" s="20" t="s">
        <v>24</v>
      </c>
      <c r="B44" s="20">
        <v>9</v>
      </c>
      <c r="C44" s="5" t="s">
        <v>16</v>
      </c>
      <c r="D44" s="37">
        <f t="shared" si="5"/>
        <v>0</v>
      </c>
      <c r="E44" s="59">
        <f t="shared" si="4"/>
        <v>0</v>
      </c>
      <c r="F44" s="38">
        <f t="shared" si="4"/>
        <v>0</v>
      </c>
      <c r="R44" s="11">
        <v>41</v>
      </c>
      <c r="S44" s="12"/>
      <c r="T44" s="12"/>
      <c r="U44" s="12"/>
      <c r="W44" s="11">
        <v>41</v>
      </c>
      <c r="X44" s="12"/>
      <c r="Y44" s="12"/>
      <c r="Z44" s="12"/>
      <c r="AB44" s="11">
        <v>41</v>
      </c>
      <c r="AC44" s="12"/>
      <c r="AD44" s="12"/>
      <c r="AE44" s="12"/>
      <c r="AG44" s="11">
        <v>41</v>
      </c>
      <c r="AH44" s="12"/>
      <c r="AI44" s="12"/>
      <c r="AJ44" s="12"/>
      <c r="AL44" s="11">
        <v>41</v>
      </c>
      <c r="AM44" s="12"/>
      <c r="AN44" s="12"/>
      <c r="AO44" s="12"/>
      <c r="AQ44" s="11">
        <v>41</v>
      </c>
      <c r="AR44" s="12"/>
      <c r="AS44" s="12"/>
      <c r="AT44" s="11">
        <v>41</v>
      </c>
      <c r="AU44" s="12"/>
      <c r="AW44" s="11">
        <v>41</v>
      </c>
      <c r="AX44" s="12"/>
      <c r="AY44" s="12"/>
      <c r="AZ44" s="12"/>
      <c r="BA44" s="12"/>
      <c r="BB44" s="12"/>
      <c r="BC44" s="12"/>
      <c r="BD44" s="12"/>
      <c r="BE44" s="12"/>
      <c r="BF44" s="24"/>
      <c r="BG44" s="29"/>
      <c r="BH44" s="12"/>
      <c r="BI44" s="12"/>
      <c r="BK44" s="11">
        <v>41</v>
      </c>
      <c r="BL44" s="12"/>
      <c r="BM44" s="12"/>
      <c r="BN44" s="12"/>
      <c r="BP44" s="11">
        <v>41</v>
      </c>
      <c r="BQ44" s="12"/>
      <c r="BR44" s="12"/>
      <c r="BS44" s="12"/>
      <c r="BU44" s="11">
        <v>41</v>
      </c>
      <c r="BV44" s="12"/>
      <c r="BW44" s="12"/>
      <c r="BX44" s="12"/>
      <c r="BZ44" s="11">
        <v>41</v>
      </c>
      <c r="CA44" s="12"/>
      <c r="CC44" s="11">
        <v>41</v>
      </c>
      <c r="CD44" s="12"/>
    </row>
    <row r="45" spans="1:82">
      <c r="A45" s="21" t="s">
        <v>35</v>
      </c>
      <c r="B45" s="21">
        <v>10</v>
      </c>
      <c r="C45" s="5" t="s">
        <v>37</v>
      </c>
      <c r="D45" s="37">
        <f t="shared" si="5"/>
        <v>0</v>
      </c>
      <c r="E45" s="59">
        <f t="shared" si="4"/>
        <v>0</v>
      </c>
      <c r="F45" s="38">
        <f t="shared" si="4"/>
        <v>0</v>
      </c>
      <c r="R45" s="11">
        <v>42</v>
      </c>
      <c r="S45" s="12"/>
      <c r="T45" s="12"/>
      <c r="U45" s="12"/>
      <c r="W45" s="11">
        <v>42</v>
      </c>
      <c r="X45" s="12"/>
      <c r="Y45" s="12"/>
      <c r="Z45" s="12"/>
      <c r="AB45" s="11">
        <v>42</v>
      </c>
      <c r="AC45" s="12"/>
      <c r="AD45" s="12"/>
      <c r="AE45" s="12"/>
      <c r="AG45" s="11">
        <v>42</v>
      </c>
      <c r="AH45" s="12"/>
      <c r="AI45" s="12"/>
      <c r="AJ45" s="12"/>
      <c r="AL45" s="11">
        <v>42</v>
      </c>
      <c r="AM45" s="12"/>
      <c r="AN45" s="12"/>
      <c r="AO45" s="12"/>
      <c r="AQ45" s="11">
        <v>42</v>
      </c>
      <c r="AR45" s="14"/>
      <c r="AS45" s="14"/>
      <c r="AT45" s="11">
        <v>42</v>
      </c>
      <c r="AU45" s="12"/>
      <c r="AW45" s="11">
        <v>42</v>
      </c>
      <c r="AX45" s="12"/>
      <c r="AY45" s="12"/>
      <c r="AZ45" s="12"/>
      <c r="BA45" s="12"/>
      <c r="BB45" s="12"/>
      <c r="BC45" s="12"/>
      <c r="BD45" s="12"/>
      <c r="BE45" s="12"/>
      <c r="BF45" s="24"/>
      <c r="BG45" s="29"/>
      <c r="BH45" s="12"/>
      <c r="BI45" s="12"/>
      <c r="BK45" s="11">
        <v>42</v>
      </c>
      <c r="BL45" s="12"/>
      <c r="BM45" s="12"/>
      <c r="BN45" s="12"/>
      <c r="BP45" s="11">
        <v>42</v>
      </c>
      <c r="BQ45" s="12"/>
      <c r="BR45" s="12"/>
      <c r="BS45" s="12"/>
      <c r="BU45" s="11">
        <v>42</v>
      </c>
      <c r="BV45" s="12"/>
      <c r="BW45" s="12"/>
      <c r="BX45" s="12"/>
      <c r="BZ45" s="11">
        <v>42</v>
      </c>
      <c r="CA45" s="12"/>
      <c r="CC45" s="11">
        <v>42</v>
      </c>
      <c r="CD45" s="12"/>
    </row>
    <row r="46" spans="1:82">
      <c r="A46" s="22" t="s">
        <v>39</v>
      </c>
      <c r="B46" s="22">
        <v>11</v>
      </c>
      <c r="C46" s="17" t="s">
        <v>38</v>
      </c>
      <c r="D46" s="60">
        <f t="shared" si="5"/>
        <v>0</v>
      </c>
      <c r="E46" s="39">
        <f t="shared" si="4"/>
        <v>0</v>
      </c>
      <c r="F46" s="40">
        <f t="shared" si="4"/>
        <v>0</v>
      </c>
      <c r="R46" s="11">
        <v>43</v>
      </c>
      <c r="S46" s="12"/>
      <c r="T46" s="12"/>
      <c r="U46" s="12"/>
      <c r="W46" s="11">
        <v>43</v>
      </c>
      <c r="X46" s="12"/>
      <c r="Y46" s="12"/>
      <c r="Z46" s="12"/>
      <c r="AB46" s="11">
        <v>43</v>
      </c>
      <c r="AC46" s="12"/>
      <c r="AD46" s="12"/>
      <c r="AE46" s="12"/>
      <c r="AG46" s="11">
        <v>43</v>
      </c>
      <c r="AH46" s="12"/>
      <c r="AI46" s="12"/>
      <c r="AJ46" s="12"/>
      <c r="AL46" s="11">
        <v>43</v>
      </c>
      <c r="AM46" s="12"/>
      <c r="AN46" s="12"/>
      <c r="AO46" s="12"/>
      <c r="AQ46" s="11">
        <v>43</v>
      </c>
      <c r="AR46" s="12"/>
      <c r="AS46" s="12"/>
      <c r="AT46" s="11">
        <v>43</v>
      </c>
      <c r="AU46" s="12"/>
      <c r="AW46" s="11">
        <v>43</v>
      </c>
      <c r="AX46" s="12"/>
      <c r="AY46" s="12"/>
      <c r="AZ46" s="12"/>
      <c r="BA46" s="12"/>
      <c r="BB46" s="12"/>
      <c r="BC46" s="12"/>
      <c r="BD46" s="12"/>
      <c r="BE46" s="12"/>
      <c r="BF46" s="24"/>
      <c r="BG46" s="29"/>
      <c r="BH46" s="12"/>
      <c r="BI46" s="12"/>
      <c r="BK46" s="11">
        <v>43</v>
      </c>
      <c r="BL46" s="12"/>
      <c r="BM46" s="12"/>
      <c r="BN46" s="12"/>
      <c r="BP46" s="11">
        <v>43</v>
      </c>
      <c r="BQ46" s="12"/>
      <c r="BR46" s="12"/>
      <c r="BS46" s="12"/>
      <c r="BU46" s="11">
        <v>43</v>
      </c>
      <c r="BV46" s="12"/>
      <c r="BW46" s="12"/>
      <c r="BX46" s="12"/>
      <c r="BZ46" s="11">
        <v>43</v>
      </c>
      <c r="CA46" s="12"/>
      <c r="CC46" s="11">
        <v>43</v>
      </c>
      <c r="CD46" s="12"/>
    </row>
    <row r="47" spans="1:82">
      <c r="D47" s="115">
        <v>3096</v>
      </c>
      <c r="E47" s="115">
        <v>2941</v>
      </c>
      <c r="F47" s="115">
        <v>2700</v>
      </c>
      <c r="R47" s="11">
        <v>44</v>
      </c>
      <c r="S47" s="12"/>
      <c r="T47" s="12"/>
      <c r="U47" s="12"/>
      <c r="W47" s="11">
        <v>44</v>
      </c>
      <c r="X47" s="12"/>
      <c r="Y47" s="12"/>
      <c r="Z47" s="12"/>
      <c r="AB47" s="11">
        <v>44</v>
      </c>
      <c r="AC47" s="12"/>
      <c r="AD47" s="12"/>
      <c r="AE47" s="12"/>
      <c r="AG47" s="11">
        <v>44</v>
      </c>
      <c r="AH47" s="12"/>
      <c r="AI47" s="12"/>
      <c r="AJ47" s="12"/>
      <c r="AL47" s="11">
        <v>44</v>
      </c>
      <c r="AM47" s="12"/>
      <c r="AN47" s="12"/>
      <c r="AO47" s="12"/>
      <c r="AQ47" s="11">
        <v>44</v>
      </c>
      <c r="AR47" s="14"/>
      <c r="AS47" s="14"/>
      <c r="AT47" s="11">
        <v>44</v>
      </c>
      <c r="AU47" s="12"/>
      <c r="AW47" s="11">
        <v>44</v>
      </c>
      <c r="AX47" s="12"/>
      <c r="AY47" s="12"/>
      <c r="AZ47" s="12"/>
      <c r="BA47" s="12"/>
      <c r="BB47" s="12"/>
      <c r="BC47" s="12"/>
      <c r="BD47" s="12"/>
      <c r="BE47" s="12"/>
      <c r="BF47" s="24"/>
      <c r="BG47" s="29"/>
      <c r="BH47" s="12"/>
      <c r="BI47" s="12"/>
      <c r="BK47" s="11">
        <v>44</v>
      </c>
      <c r="BL47" s="12"/>
      <c r="BM47" s="12"/>
      <c r="BN47" s="12"/>
      <c r="BP47" s="11">
        <v>44</v>
      </c>
      <c r="BQ47" s="12"/>
      <c r="BR47" s="12"/>
      <c r="BS47" s="12"/>
      <c r="BU47" s="11">
        <v>44</v>
      </c>
      <c r="BV47" s="12"/>
      <c r="BW47" s="12"/>
      <c r="BX47" s="12"/>
      <c r="BZ47" s="11">
        <v>44</v>
      </c>
      <c r="CA47" s="12"/>
      <c r="CC47" s="11">
        <v>44</v>
      </c>
      <c r="CD47" s="12"/>
    </row>
    <row r="48" spans="1:82">
      <c r="R48" s="11">
        <v>45</v>
      </c>
      <c r="S48" s="12"/>
      <c r="T48" s="12"/>
      <c r="U48" s="12"/>
      <c r="W48" s="11">
        <v>45</v>
      </c>
      <c r="X48" s="12"/>
      <c r="Y48" s="12"/>
      <c r="Z48" s="12"/>
      <c r="AB48" s="11">
        <v>45</v>
      </c>
      <c r="AC48" s="12"/>
      <c r="AD48" s="12"/>
      <c r="AE48" s="12"/>
      <c r="AG48" s="11">
        <v>45</v>
      </c>
      <c r="AH48" s="12"/>
      <c r="AI48" s="12"/>
      <c r="AJ48" s="12"/>
      <c r="AL48" s="11">
        <v>45</v>
      </c>
      <c r="AM48" s="12"/>
      <c r="AN48" s="12"/>
      <c r="AO48" s="12"/>
      <c r="AQ48" s="11">
        <v>45</v>
      </c>
      <c r="AR48" s="12"/>
      <c r="AS48" s="12"/>
      <c r="AT48" s="11">
        <v>45</v>
      </c>
      <c r="AU48" s="12"/>
      <c r="AW48" s="11">
        <v>45</v>
      </c>
      <c r="AX48" s="12"/>
      <c r="AY48" s="12"/>
      <c r="AZ48" s="12"/>
      <c r="BA48" s="12"/>
      <c r="BB48" s="12"/>
      <c r="BC48" s="12"/>
      <c r="BD48" s="12"/>
      <c r="BE48" s="12"/>
      <c r="BF48" s="24"/>
      <c r="BG48" s="29"/>
      <c r="BH48" s="12"/>
      <c r="BI48" s="12"/>
      <c r="BK48" s="11">
        <v>45</v>
      </c>
      <c r="BL48" s="12"/>
      <c r="BM48" s="12"/>
      <c r="BN48" s="12"/>
      <c r="BP48" s="11">
        <v>45</v>
      </c>
      <c r="BQ48" s="12"/>
      <c r="BR48" s="12"/>
      <c r="BS48" s="12"/>
      <c r="BU48" s="11">
        <v>45</v>
      </c>
      <c r="BV48" s="12"/>
      <c r="BW48" s="12"/>
      <c r="BX48" s="12"/>
      <c r="BZ48" s="11">
        <v>45</v>
      </c>
      <c r="CA48" s="12"/>
      <c r="CC48" s="11">
        <v>45</v>
      </c>
      <c r="CD48" s="12"/>
    </row>
    <row r="49" spans="1:82" ht="16.8" thickBot="1">
      <c r="A49" s="31" t="s">
        <v>47</v>
      </c>
      <c r="R49" s="11">
        <v>46</v>
      </c>
      <c r="S49" s="12"/>
      <c r="T49" s="12"/>
      <c r="U49" s="12"/>
      <c r="W49" s="11">
        <v>46</v>
      </c>
      <c r="X49" s="12"/>
      <c r="Y49" s="12"/>
      <c r="Z49" s="12"/>
      <c r="AB49" s="11">
        <v>46</v>
      </c>
      <c r="AC49" s="12"/>
      <c r="AD49" s="12"/>
      <c r="AE49" s="12"/>
      <c r="AG49" s="11">
        <v>46</v>
      </c>
      <c r="AH49" s="12"/>
      <c r="AI49" s="12"/>
      <c r="AJ49" s="12"/>
      <c r="AL49" s="11">
        <v>46</v>
      </c>
      <c r="AM49" s="12"/>
      <c r="AN49" s="12"/>
      <c r="AO49" s="12"/>
      <c r="AQ49" s="11">
        <v>46</v>
      </c>
      <c r="AR49" s="14"/>
      <c r="AS49" s="14"/>
      <c r="AT49" s="11">
        <v>46</v>
      </c>
      <c r="AU49" s="12"/>
      <c r="AW49" s="11">
        <v>46</v>
      </c>
      <c r="AX49" s="12"/>
      <c r="AY49" s="12"/>
      <c r="AZ49" s="12"/>
      <c r="BA49" s="12"/>
      <c r="BB49" s="12"/>
      <c r="BC49" s="12"/>
      <c r="BD49" s="12"/>
      <c r="BE49" s="12"/>
      <c r="BF49" s="24"/>
      <c r="BG49" s="29"/>
      <c r="BH49" s="12"/>
      <c r="BI49" s="12"/>
      <c r="BK49" s="11">
        <v>46</v>
      </c>
      <c r="BL49" s="12"/>
      <c r="BM49" s="12"/>
      <c r="BN49" s="12"/>
      <c r="BP49" s="11">
        <v>46</v>
      </c>
      <c r="BQ49" s="12"/>
      <c r="BR49" s="12"/>
      <c r="BS49" s="12"/>
      <c r="BU49" s="11">
        <v>46</v>
      </c>
      <c r="BV49" s="12"/>
      <c r="BW49" s="12"/>
      <c r="BX49" s="12"/>
      <c r="BZ49" s="11">
        <v>46</v>
      </c>
      <c r="CA49" s="12"/>
      <c r="CC49" s="11">
        <v>46</v>
      </c>
      <c r="CD49" s="12"/>
    </row>
    <row r="50" spans="1:82">
      <c r="A50" s="30" t="s">
        <v>42</v>
      </c>
      <c r="B50" s="1" t="s">
        <v>10</v>
      </c>
      <c r="C50" s="42" t="s">
        <v>11</v>
      </c>
      <c r="D50" s="67" t="s">
        <v>56</v>
      </c>
      <c r="E50" s="52" t="s">
        <v>48</v>
      </c>
      <c r="F50" s="43" t="s">
        <v>49</v>
      </c>
      <c r="G50" s="44" t="s">
        <v>50</v>
      </c>
      <c r="H50" s="44" t="s">
        <v>51</v>
      </c>
      <c r="I50" s="44" t="s">
        <v>52</v>
      </c>
      <c r="J50" s="44" t="s">
        <v>53</v>
      </c>
      <c r="K50" s="44" t="s">
        <v>54</v>
      </c>
      <c r="L50" s="44" t="s">
        <v>55</v>
      </c>
      <c r="M50" s="45" t="s">
        <v>74</v>
      </c>
      <c r="N50" s="35" t="s">
        <v>75</v>
      </c>
      <c r="O50" s="36" t="s">
        <v>76</v>
      </c>
      <c r="R50" s="11">
        <v>47</v>
      </c>
      <c r="S50" s="12"/>
      <c r="T50" s="12"/>
      <c r="U50" s="12"/>
      <c r="W50" s="11">
        <v>47</v>
      </c>
      <c r="X50" s="12"/>
      <c r="Y50" s="12"/>
      <c r="Z50" s="12"/>
      <c r="AB50" s="11">
        <v>47</v>
      </c>
      <c r="AC50" s="12"/>
      <c r="AD50" s="12"/>
      <c r="AE50" s="12"/>
      <c r="AG50" s="11">
        <v>47</v>
      </c>
      <c r="AH50" s="12"/>
      <c r="AI50" s="12"/>
      <c r="AJ50" s="12"/>
      <c r="AL50" s="11">
        <v>47</v>
      </c>
      <c r="AM50" s="12"/>
      <c r="AN50" s="12"/>
      <c r="AO50" s="12"/>
      <c r="AQ50" s="11">
        <v>47</v>
      </c>
      <c r="AR50" s="12"/>
      <c r="AS50" s="12"/>
      <c r="AT50" s="11">
        <v>47</v>
      </c>
      <c r="AU50" s="12"/>
      <c r="AW50" s="11">
        <v>47</v>
      </c>
      <c r="AX50" s="12"/>
      <c r="AY50" s="12"/>
      <c r="AZ50" s="12"/>
      <c r="BA50" s="12"/>
      <c r="BB50" s="12"/>
      <c r="BC50" s="12"/>
      <c r="BD50" s="12"/>
      <c r="BE50" s="12"/>
      <c r="BF50" s="24"/>
      <c r="BG50" s="29"/>
      <c r="BH50" s="12"/>
      <c r="BI50" s="12"/>
      <c r="BK50" s="11">
        <v>47</v>
      </c>
      <c r="BL50" s="12"/>
      <c r="BM50" s="12"/>
      <c r="BN50" s="12"/>
      <c r="BP50" s="11">
        <v>47</v>
      </c>
      <c r="BQ50" s="12"/>
      <c r="BR50" s="12"/>
      <c r="BS50" s="12"/>
      <c r="BU50" s="11">
        <v>47</v>
      </c>
      <c r="BV50" s="12"/>
      <c r="BW50" s="12"/>
      <c r="BX50" s="12"/>
      <c r="BZ50" s="11">
        <v>47</v>
      </c>
      <c r="CA50" s="12"/>
      <c r="CC50" s="11">
        <v>47</v>
      </c>
      <c r="CD50" s="12"/>
    </row>
    <row r="51" spans="1:82">
      <c r="A51" s="1" t="s">
        <v>19</v>
      </c>
      <c r="B51" s="1">
        <v>0</v>
      </c>
      <c r="C51" s="3" t="s">
        <v>25</v>
      </c>
      <c r="D51" s="53">
        <f>SUMIF($AR$3:$AR$42,$A51,AX$3:AX$42)</f>
        <v>8041</v>
      </c>
      <c r="E51" s="116">
        <f t="shared" ref="E51:O62" si="7">SUMIF($AR$3:$AR$42,$A51,AY$3:AY$42)</f>
        <v>463</v>
      </c>
      <c r="F51" s="4">
        <f t="shared" si="7"/>
        <v>5772</v>
      </c>
      <c r="G51" s="3">
        <f t="shared" si="7"/>
        <v>3099</v>
      </c>
      <c r="H51" s="116">
        <f t="shared" si="7"/>
        <v>5993</v>
      </c>
      <c r="I51" s="116">
        <f t="shared" si="7"/>
        <v>4836</v>
      </c>
      <c r="J51" s="116">
        <f t="shared" si="7"/>
        <v>2652</v>
      </c>
      <c r="K51" s="116">
        <f t="shared" si="7"/>
        <v>3977</v>
      </c>
      <c r="L51" s="116">
        <f t="shared" si="7"/>
        <v>3630</v>
      </c>
      <c r="M51" s="46">
        <f t="shared" si="7"/>
        <v>6066</v>
      </c>
      <c r="N51" s="116">
        <f t="shared" si="7"/>
        <v>4313</v>
      </c>
      <c r="O51" s="4">
        <f t="shared" si="7"/>
        <v>4313</v>
      </c>
      <c r="R51" s="11">
        <v>48</v>
      </c>
      <c r="S51" s="12"/>
      <c r="T51" s="12"/>
      <c r="U51" s="12"/>
      <c r="W51" s="11">
        <v>48</v>
      </c>
      <c r="X51" s="12"/>
      <c r="Y51" s="12"/>
      <c r="Z51" s="12"/>
      <c r="AB51" s="11">
        <v>48</v>
      </c>
      <c r="AC51" s="12"/>
      <c r="AD51" s="12"/>
      <c r="AE51" s="12"/>
      <c r="AG51" s="11">
        <v>48</v>
      </c>
      <c r="AH51" s="12"/>
      <c r="AI51" s="12"/>
      <c r="AJ51" s="12"/>
      <c r="AL51" s="11">
        <v>48</v>
      </c>
      <c r="AM51" s="12"/>
      <c r="AN51" s="12"/>
      <c r="AO51" s="12"/>
      <c r="AQ51" s="11">
        <v>48</v>
      </c>
      <c r="AR51" s="12"/>
      <c r="AS51" s="12"/>
      <c r="AT51" s="11">
        <v>48</v>
      </c>
      <c r="AU51" s="12"/>
      <c r="AW51" s="11">
        <v>48</v>
      </c>
      <c r="AX51" s="12"/>
      <c r="AY51" s="12"/>
      <c r="AZ51" s="12"/>
      <c r="BA51" s="12"/>
      <c r="BB51" s="12"/>
      <c r="BC51" s="12"/>
      <c r="BD51" s="12"/>
      <c r="BE51" s="12"/>
      <c r="BF51" s="24"/>
      <c r="BG51" s="29"/>
      <c r="BH51" s="12"/>
      <c r="BI51" s="12"/>
      <c r="BK51" s="11">
        <v>48</v>
      </c>
      <c r="BL51" s="12"/>
      <c r="BM51" s="12"/>
      <c r="BN51" s="12"/>
      <c r="BP51" s="11">
        <v>48</v>
      </c>
      <c r="BQ51" s="12"/>
      <c r="BR51" s="12"/>
      <c r="BS51" s="12"/>
      <c r="BU51" s="11">
        <v>48</v>
      </c>
      <c r="BV51" s="12"/>
      <c r="BW51" s="12"/>
      <c r="BX51" s="12"/>
      <c r="BZ51" s="11">
        <v>48</v>
      </c>
      <c r="CA51" s="12"/>
      <c r="CC51" s="11">
        <v>48</v>
      </c>
      <c r="CD51" s="12"/>
    </row>
    <row r="52" spans="1:82">
      <c r="A52" s="20">
        <v>0</v>
      </c>
      <c r="B52" s="20">
        <v>1</v>
      </c>
      <c r="C52" s="5">
        <v>0</v>
      </c>
      <c r="D52" s="54">
        <f t="shared" ref="D52:D62" si="8">SUMIF($AR$3:$AR$42,$A52,AX$3:AX$42)</f>
        <v>0</v>
      </c>
      <c r="E52" s="59">
        <f t="shared" si="7"/>
        <v>0</v>
      </c>
      <c r="F52" s="38">
        <f t="shared" si="7"/>
        <v>0</v>
      </c>
      <c r="G52" s="37">
        <f t="shared" si="7"/>
        <v>0</v>
      </c>
      <c r="H52" s="59">
        <f t="shared" si="7"/>
        <v>0</v>
      </c>
      <c r="I52" s="59">
        <f t="shared" si="7"/>
        <v>0</v>
      </c>
      <c r="J52" s="59">
        <f t="shared" si="7"/>
        <v>0</v>
      </c>
      <c r="K52" s="59">
        <f t="shared" si="7"/>
        <v>0</v>
      </c>
      <c r="L52" s="59">
        <f t="shared" si="7"/>
        <v>0</v>
      </c>
      <c r="M52" s="47">
        <f t="shared" si="7"/>
        <v>0</v>
      </c>
      <c r="N52" s="59">
        <f t="shared" si="7"/>
        <v>0</v>
      </c>
      <c r="O52" s="38">
        <f t="shared" si="7"/>
        <v>0</v>
      </c>
      <c r="R52" s="11">
        <v>49</v>
      </c>
      <c r="S52" s="12"/>
      <c r="T52" s="12"/>
      <c r="U52" s="12"/>
      <c r="W52" s="11">
        <v>49</v>
      </c>
      <c r="X52" s="12"/>
      <c r="Y52" s="12"/>
      <c r="Z52" s="12"/>
      <c r="AB52" s="11">
        <v>49</v>
      </c>
      <c r="AC52" s="12"/>
      <c r="AD52" s="12"/>
      <c r="AE52" s="12"/>
      <c r="AG52" s="11">
        <v>49</v>
      </c>
      <c r="AH52" s="12"/>
      <c r="AI52" s="12"/>
      <c r="AJ52" s="12"/>
      <c r="AL52" s="11">
        <v>49</v>
      </c>
      <c r="AM52" s="12"/>
      <c r="AN52" s="12"/>
      <c r="AO52" s="12"/>
      <c r="AQ52" s="11">
        <v>49</v>
      </c>
      <c r="AR52" s="12"/>
      <c r="AS52" s="12"/>
      <c r="AT52" s="11">
        <v>49</v>
      </c>
      <c r="AU52" s="12"/>
      <c r="AW52" s="11">
        <v>49</v>
      </c>
      <c r="AX52" s="12"/>
      <c r="AY52" s="12"/>
      <c r="AZ52" s="12"/>
      <c r="BA52" s="12"/>
      <c r="BB52" s="12"/>
      <c r="BC52" s="12"/>
      <c r="BD52" s="12"/>
      <c r="BE52" s="12"/>
      <c r="BF52" s="24"/>
      <c r="BG52" s="29"/>
      <c r="BH52" s="12"/>
      <c r="BI52" s="12"/>
      <c r="BK52" s="11">
        <v>49</v>
      </c>
      <c r="BL52" s="12"/>
      <c r="BM52" s="12"/>
      <c r="BN52" s="12"/>
      <c r="BP52" s="11">
        <v>49</v>
      </c>
      <c r="BQ52" s="12"/>
      <c r="BR52" s="12"/>
      <c r="BS52" s="12"/>
      <c r="BU52" s="11">
        <v>49</v>
      </c>
      <c r="BV52" s="12"/>
      <c r="BW52" s="12"/>
      <c r="BX52" s="12"/>
      <c r="BZ52" s="11">
        <v>49</v>
      </c>
      <c r="CA52" s="12"/>
      <c r="CC52" s="11">
        <v>49</v>
      </c>
      <c r="CD52" s="12"/>
    </row>
    <row r="53" spans="1:82">
      <c r="A53" s="20">
        <v>1</v>
      </c>
      <c r="B53" s="20">
        <v>2</v>
      </c>
      <c r="C53" s="5">
        <v>1</v>
      </c>
      <c r="D53" s="54">
        <f t="shared" si="8"/>
        <v>0</v>
      </c>
      <c r="E53" s="59">
        <f t="shared" si="7"/>
        <v>0</v>
      </c>
      <c r="F53" s="38">
        <f t="shared" si="7"/>
        <v>0</v>
      </c>
      <c r="G53" s="37">
        <f t="shared" si="7"/>
        <v>0</v>
      </c>
      <c r="H53" s="59">
        <f t="shared" si="7"/>
        <v>0</v>
      </c>
      <c r="I53" s="59">
        <f t="shared" si="7"/>
        <v>0</v>
      </c>
      <c r="J53" s="59">
        <f t="shared" si="7"/>
        <v>0</v>
      </c>
      <c r="K53" s="59">
        <f t="shared" si="7"/>
        <v>0</v>
      </c>
      <c r="L53" s="59">
        <f t="shared" si="7"/>
        <v>0</v>
      </c>
      <c r="M53" s="47">
        <f t="shared" si="7"/>
        <v>0</v>
      </c>
      <c r="N53" s="59">
        <f t="shared" si="7"/>
        <v>0</v>
      </c>
      <c r="O53" s="38">
        <f t="shared" si="7"/>
        <v>0</v>
      </c>
      <c r="R53" s="11">
        <v>50</v>
      </c>
      <c r="S53" s="12"/>
      <c r="T53" s="12"/>
      <c r="U53" s="12"/>
      <c r="W53" s="11">
        <v>50</v>
      </c>
      <c r="X53" s="12"/>
      <c r="Y53" s="12"/>
      <c r="Z53" s="12"/>
      <c r="AB53" s="11">
        <v>50</v>
      </c>
      <c r="AC53" s="12"/>
      <c r="AD53" s="12"/>
      <c r="AE53" s="12"/>
      <c r="AG53" s="11">
        <v>50</v>
      </c>
      <c r="AH53" s="12"/>
      <c r="AI53" s="12"/>
      <c r="AJ53" s="12"/>
      <c r="AL53" s="11">
        <v>50</v>
      </c>
      <c r="AM53" s="12"/>
      <c r="AN53" s="12"/>
      <c r="AO53" s="12"/>
      <c r="AQ53" s="11">
        <v>50</v>
      </c>
      <c r="AR53" s="12"/>
      <c r="AS53" s="12"/>
      <c r="AT53" s="11">
        <v>50</v>
      </c>
      <c r="AU53" s="12"/>
      <c r="AW53" s="11">
        <v>50</v>
      </c>
      <c r="AX53" s="12"/>
      <c r="AY53" s="12"/>
      <c r="AZ53" s="12"/>
      <c r="BA53" s="12"/>
      <c r="BB53" s="12"/>
      <c r="BC53" s="12"/>
      <c r="BD53" s="12"/>
      <c r="BE53" s="12"/>
      <c r="BF53" s="24"/>
      <c r="BG53" s="29"/>
      <c r="BH53" s="12"/>
      <c r="BI53" s="12"/>
      <c r="BK53" s="11">
        <v>50</v>
      </c>
      <c r="BL53" s="12"/>
      <c r="BM53" s="12"/>
      <c r="BN53" s="12"/>
      <c r="BP53" s="11">
        <v>50</v>
      </c>
      <c r="BQ53" s="12"/>
      <c r="BR53" s="12"/>
      <c r="BS53" s="12"/>
      <c r="BU53" s="11">
        <v>50</v>
      </c>
      <c r="BV53" s="12"/>
      <c r="BW53" s="12"/>
      <c r="BX53" s="12"/>
      <c r="BZ53" s="11">
        <v>50</v>
      </c>
      <c r="CA53" s="12"/>
      <c r="CC53" s="11">
        <v>50</v>
      </c>
      <c r="CD53" s="12"/>
    </row>
    <row r="54" spans="1:82">
      <c r="A54" s="21">
        <v>5</v>
      </c>
      <c r="B54" s="21">
        <v>3</v>
      </c>
      <c r="C54" s="23">
        <v>5</v>
      </c>
      <c r="D54" s="54">
        <f t="shared" si="8"/>
        <v>0</v>
      </c>
      <c r="E54" s="59">
        <f t="shared" si="7"/>
        <v>0</v>
      </c>
      <c r="F54" s="38">
        <f t="shared" si="7"/>
        <v>0</v>
      </c>
      <c r="G54" s="37">
        <f t="shared" si="7"/>
        <v>0</v>
      </c>
      <c r="H54" s="59">
        <f t="shared" si="7"/>
        <v>0</v>
      </c>
      <c r="I54" s="59">
        <f t="shared" si="7"/>
        <v>0</v>
      </c>
      <c r="J54" s="59">
        <f t="shared" si="7"/>
        <v>0</v>
      </c>
      <c r="K54" s="59">
        <f t="shared" si="7"/>
        <v>0</v>
      </c>
      <c r="L54" s="59">
        <f t="shared" si="7"/>
        <v>0</v>
      </c>
      <c r="M54" s="47">
        <f t="shared" si="7"/>
        <v>0</v>
      </c>
      <c r="N54" s="59">
        <f t="shared" si="7"/>
        <v>0</v>
      </c>
      <c r="O54" s="38">
        <f t="shared" si="7"/>
        <v>0</v>
      </c>
      <c r="R54" s="11">
        <v>51</v>
      </c>
      <c r="S54" s="12"/>
      <c r="T54" s="12"/>
      <c r="U54" s="12"/>
      <c r="W54" s="11">
        <v>51</v>
      </c>
      <c r="X54" s="12"/>
      <c r="Y54" s="12"/>
      <c r="Z54" s="12"/>
      <c r="AB54" s="11">
        <v>51</v>
      </c>
      <c r="AC54" s="12"/>
      <c r="AD54" s="12"/>
      <c r="AE54" s="12"/>
      <c r="AG54" s="11">
        <v>51</v>
      </c>
      <c r="AH54" s="12"/>
      <c r="AI54" s="12"/>
      <c r="AJ54" s="12"/>
      <c r="AL54" s="11">
        <v>51</v>
      </c>
      <c r="AM54" s="12"/>
      <c r="AN54" s="12"/>
      <c r="AO54" s="12"/>
      <c r="AQ54" s="11">
        <v>51</v>
      </c>
      <c r="AR54" s="12"/>
      <c r="AS54" s="12"/>
      <c r="AT54" s="11">
        <v>51</v>
      </c>
      <c r="AU54" s="12"/>
      <c r="AW54" s="11">
        <v>51</v>
      </c>
      <c r="AX54" s="12"/>
      <c r="AY54" s="12"/>
      <c r="AZ54" s="12"/>
      <c r="BA54" s="12"/>
      <c r="BB54" s="12"/>
      <c r="BC54" s="12"/>
      <c r="BD54" s="12"/>
      <c r="BE54" s="12"/>
      <c r="BF54" s="24"/>
      <c r="BG54" s="29"/>
      <c r="BH54" s="12"/>
      <c r="BI54" s="12"/>
      <c r="BK54" s="11">
        <v>51</v>
      </c>
      <c r="BL54" s="12"/>
      <c r="BM54" s="12"/>
      <c r="BN54" s="12"/>
      <c r="BP54" s="11">
        <v>51</v>
      </c>
      <c r="BQ54" s="12"/>
      <c r="BR54" s="12"/>
      <c r="BS54" s="12"/>
      <c r="BU54" s="11">
        <v>51</v>
      </c>
      <c r="BV54" s="12"/>
      <c r="BW54" s="12"/>
      <c r="BX54" s="12"/>
      <c r="BZ54" s="11">
        <v>51</v>
      </c>
      <c r="CA54" s="12"/>
      <c r="CC54" s="11">
        <v>51</v>
      </c>
      <c r="CD54" s="12"/>
    </row>
    <row r="55" spans="1:82">
      <c r="A55" s="21">
        <v>10</v>
      </c>
      <c r="B55" s="21">
        <v>4</v>
      </c>
      <c r="C55" s="23">
        <v>10</v>
      </c>
      <c r="D55" s="54">
        <f t="shared" si="8"/>
        <v>0</v>
      </c>
      <c r="E55" s="59">
        <f t="shared" si="7"/>
        <v>0</v>
      </c>
      <c r="F55" s="38">
        <f t="shared" si="7"/>
        <v>0</v>
      </c>
      <c r="G55" s="37">
        <f t="shared" si="7"/>
        <v>0</v>
      </c>
      <c r="H55" s="59">
        <f t="shared" si="7"/>
        <v>0</v>
      </c>
      <c r="I55" s="59">
        <f t="shared" si="7"/>
        <v>0</v>
      </c>
      <c r="J55" s="59">
        <f t="shared" si="7"/>
        <v>0</v>
      </c>
      <c r="K55" s="59">
        <f t="shared" si="7"/>
        <v>0</v>
      </c>
      <c r="L55" s="59">
        <f t="shared" si="7"/>
        <v>0</v>
      </c>
      <c r="M55" s="47">
        <f t="shared" si="7"/>
        <v>0</v>
      </c>
      <c r="N55" s="59">
        <f t="shared" si="7"/>
        <v>0</v>
      </c>
      <c r="O55" s="38">
        <f t="shared" si="7"/>
        <v>0</v>
      </c>
      <c r="R55" s="11">
        <v>52</v>
      </c>
      <c r="S55" s="12"/>
      <c r="T55" s="12"/>
      <c r="U55" s="12"/>
      <c r="W55" s="11">
        <v>52</v>
      </c>
      <c r="X55" s="12"/>
      <c r="Y55" s="12"/>
      <c r="Z55" s="12"/>
      <c r="AB55" s="11">
        <v>52</v>
      </c>
      <c r="AC55" s="12"/>
      <c r="AD55" s="12"/>
      <c r="AE55" s="12"/>
      <c r="AG55" s="11">
        <v>52</v>
      </c>
      <c r="AH55" s="12"/>
      <c r="AI55" s="12"/>
      <c r="AJ55" s="12"/>
      <c r="AL55" s="11">
        <v>52</v>
      </c>
      <c r="AM55" s="12"/>
      <c r="AN55" s="12"/>
      <c r="AO55" s="12"/>
      <c r="AQ55" s="11">
        <v>52</v>
      </c>
      <c r="AR55" s="12"/>
      <c r="AS55" s="12"/>
      <c r="AT55" s="11">
        <v>52</v>
      </c>
      <c r="AU55" s="12"/>
      <c r="AW55" s="11">
        <v>52</v>
      </c>
      <c r="AX55" s="12"/>
      <c r="AY55" s="12"/>
      <c r="AZ55" s="12"/>
      <c r="BA55" s="12"/>
      <c r="BB55" s="12"/>
      <c r="BC55" s="12"/>
      <c r="BD55" s="12"/>
      <c r="BE55" s="12"/>
      <c r="BF55" s="24"/>
      <c r="BG55" s="29"/>
      <c r="BH55" s="12"/>
      <c r="BI55" s="12"/>
      <c r="BK55" s="11">
        <v>52</v>
      </c>
      <c r="BL55" s="12"/>
      <c r="BM55" s="12"/>
      <c r="BN55" s="12"/>
      <c r="BP55" s="11">
        <v>52</v>
      </c>
      <c r="BQ55" s="12"/>
      <c r="BR55" s="12"/>
      <c r="BS55" s="12"/>
      <c r="BU55" s="11">
        <v>52</v>
      </c>
      <c r="BV55" s="12"/>
      <c r="BW55" s="12"/>
      <c r="BX55" s="12"/>
      <c r="BZ55" s="11">
        <v>52</v>
      </c>
      <c r="CA55" s="12"/>
      <c r="CC55" s="11">
        <v>52</v>
      </c>
      <c r="CD55" s="12"/>
    </row>
    <row r="56" spans="1:82">
      <c r="A56" s="20" t="s">
        <v>20</v>
      </c>
      <c r="B56" s="20">
        <v>5</v>
      </c>
      <c r="C56" s="23" t="s">
        <v>29</v>
      </c>
      <c r="D56" s="54">
        <f t="shared" si="8"/>
        <v>0</v>
      </c>
      <c r="E56" s="59">
        <f t="shared" si="7"/>
        <v>0</v>
      </c>
      <c r="F56" s="38">
        <f t="shared" si="7"/>
        <v>0</v>
      </c>
      <c r="G56" s="37">
        <f t="shared" si="7"/>
        <v>0</v>
      </c>
      <c r="H56" s="59">
        <f t="shared" si="7"/>
        <v>0</v>
      </c>
      <c r="I56" s="59">
        <f t="shared" si="7"/>
        <v>0</v>
      </c>
      <c r="J56" s="59">
        <f t="shared" si="7"/>
        <v>0</v>
      </c>
      <c r="K56" s="59">
        <f t="shared" si="7"/>
        <v>0</v>
      </c>
      <c r="L56" s="59">
        <f t="shared" si="7"/>
        <v>0</v>
      </c>
      <c r="M56" s="47">
        <f t="shared" si="7"/>
        <v>0</v>
      </c>
      <c r="N56" s="59">
        <f t="shared" si="7"/>
        <v>0</v>
      </c>
      <c r="O56" s="38">
        <f t="shared" si="7"/>
        <v>0</v>
      </c>
      <c r="R56" s="11">
        <v>53</v>
      </c>
      <c r="S56" s="12"/>
      <c r="T56" s="12"/>
      <c r="U56" s="12"/>
      <c r="W56" s="11">
        <v>53</v>
      </c>
      <c r="X56" s="12"/>
      <c r="Y56" s="12"/>
      <c r="Z56" s="12"/>
      <c r="AB56" s="11">
        <v>53</v>
      </c>
      <c r="AC56" s="12"/>
      <c r="AD56" s="12"/>
      <c r="AE56" s="12"/>
      <c r="AG56" s="11">
        <v>53</v>
      </c>
      <c r="AH56" s="12"/>
      <c r="AI56" s="12"/>
      <c r="AJ56" s="12"/>
      <c r="AL56" s="11">
        <v>53</v>
      </c>
      <c r="AM56" s="12"/>
      <c r="AN56" s="12"/>
      <c r="AO56" s="12"/>
      <c r="AQ56" s="11">
        <v>53</v>
      </c>
      <c r="AR56" s="12"/>
      <c r="AS56" s="12"/>
      <c r="AT56" s="11">
        <v>53</v>
      </c>
      <c r="AU56" s="12"/>
      <c r="AW56" s="11">
        <v>53</v>
      </c>
      <c r="AX56" s="12"/>
      <c r="AY56" s="12"/>
      <c r="AZ56" s="12"/>
      <c r="BA56" s="12"/>
      <c r="BB56" s="12"/>
      <c r="BC56" s="12"/>
      <c r="BD56" s="12"/>
      <c r="BE56" s="12"/>
      <c r="BF56" s="24"/>
      <c r="BG56" s="29"/>
      <c r="BH56" s="12"/>
      <c r="BI56" s="12"/>
      <c r="BK56" s="11">
        <v>53</v>
      </c>
      <c r="BL56" s="12"/>
      <c r="BM56" s="12"/>
      <c r="BN56" s="12"/>
      <c r="BP56" s="11">
        <v>53</v>
      </c>
      <c r="BQ56" s="12"/>
      <c r="BR56" s="12"/>
      <c r="BS56" s="12"/>
      <c r="BU56" s="11">
        <v>53</v>
      </c>
      <c r="BV56" s="12"/>
      <c r="BW56" s="12"/>
      <c r="BX56" s="12"/>
      <c r="BZ56" s="11">
        <v>53</v>
      </c>
      <c r="CA56" s="12"/>
      <c r="CC56" s="11">
        <v>53</v>
      </c>
      <c r="CD56" s="12"/>
    </row>
    <row r="57" spans="1:82">
      <c r="A57" s="21" t="s">
        <v>21</v>
      </c>
      <c r="B57" s="21">
        <v>6</v>
      </c>
      <c r="C57" s="23" t="s">
        <v>26</v>
      </c>
      <c r="D57" s="55">
        <f t="shared" si="8"/>
        <v>220</v>
      </c>
      <c r="E57" s="115">
        <f t="shared" si="7"/>
        <v>4</v>
      </c>
      <c r="F57" s="7">
        <f t="shared" si="7"/>
        <v>85</v>
      </c>
      <c r="G57" s="6">
        <f t="shared" si="7"/>
        <v>27</v>
      </c>
      <c r="H57" s="115">
        <f t="shared" si="7"/>
        <v>28</v>
      </c>
      <c r="I57" s="115">
        <f t="shared" si="7"/>
        <v>21</v>
      </c>
      <c r="J57" s="115">
        <f t="shared" si="7"/>
        <v>2189</v>
      </c>
      <c r="K57" s="115">
        <f t="shared" si="7"/>
        <v>50</v>
      </c>
      <c r="L57" s="115">
        <f t="shared" si="7"/>
        <v>1235</v>
      </c>
      <c r="M57" s="48">
        <f t="shared" si="7"/>
        <v>29</v>
      </c>
      <c r="N57" s="115">
        <f t="shared" si="7"/>
        <v>181</v>
      </c>
      <c r="O57" s="7">
        <f t="shared" si="7"/>
        <v>181</v>
      </c>
      <c r="R57" s="11">
        <v>54</v>
      </c>
      <c r="S57" s="12"/>
      <c r="T57" s="12"/>
      <c r="U57" s="12"/>
      <c r="W57" s="11">
        <v>54</v>
      </c>
      <c r="X57" s="12"/>
      <c r="Y57" s="12"/>
      <c r="Z57" s="12"/>
      <c r="AB57" s="11">
        <v>54</v>
      </c>
      <c r="AC57" s="12"/>
      <c r="AD57" s="12"/>
      <c r="AE57" s="12"/>
      <c r="AG57" s="11">
        <v>54</v>
      </c>
      <c r="AH57" s="12"/>
      <c r="AI57" s="12"/>
      <c r="AJ57" s="12"/>
      <c r="AL57" s="11">
        <v>54</v>
      </c>
      <c r="AM57" s="12"/>
      <c r="AN57" s="12"/>
      <c r="AO57" s="12"/>
      <c r="AQ57" s="11">
        <v>54</v>
      </c>
      <c r="AR57" s="12"/>
      <c r="AS57" s="12"/>
      <c r="AT57" s="11">
        <v>54</v>
      </c>
      <c r="AU57" s="12"/>
      <c r="AW57" s="11">
        <v>54</v>
      </c>
      <c r="AX57" s="12"/>
      <c r="AY57" s="12"/>
      <c r="AZ57" s="12"/>
      <c r="BA57" s="12"/>
      <c r="BB57" s="12"/>
      <c r="BC57" s="12"/>
      <c r="BD57" s="12"/>
      <c r="BE57" s="12"/>
      <c r="BF57" s="24"/>
      <c r="BG57" s="29"/>
      <c r="BH57" s="12"/>
      <c r="BI57" s="12"/>
      <c r="BK57" s="11">
        <v>54</v>
      </c>
      <c r="BL57" s="12"/>
      <c r="BM57" s="12"/>
      <c r="BN57" s="12"/>
      <c r="BP57" s="11">
        <v>54</v>
      </c>
      <c r="BQ57" s="12"/>
      <c r="BR57" s="12"/>
      <c r="BS57" s="12"/>
      <c r="BU57" s="11">
        <v>54</v>
      </c>
      <c r="BV57" s="12"/>
      <c r="BW57" s="12"/>
      <c r="BX57" s="12"/>
      <c r="BZ57" s="11">
        <v>54</v>
      </c>
      <c r="CA57" s="12"/>
      <c r="CC57" s="11">
        <v>54</v>
      </c>
      <c r="CD57" s="12"/>
    </row>
    <row r="58" spans="1:82">
      <c r="A58" s="20" t="s">
        <v>22</v>
      </c>
      <c r="B58" s="20">
        <v>7</v>
      </c>
      <c r="C58" s="5" t="s">
        <v>27</v>
      </c>
      <c r="D58" s="55">
        <f t="shared" si="8"/>
        <v>1595</v>
      </c>
      <c r="E58" s="115">
        <f t="shared" si="7"/>
        <v>8797</v>
      </c>
      <c r="F58" s="7">
        <f t="shared" si="7"/>
        <v>3710</v>
      </c>
      <c r="G58" s="6">
        <f t="shared" si="7"/>
        <v>4586</v>
      </c>
      <c r="H58" s="115">
        <f t="shared" si="7"/>
        <v>3560</v>
      </c>
      <c r="I58" s="115">
        <f t="shared" si="7"/>
        <v>1262</v>
      </c>
      <c r="J58" s="115">
        <f t="shared" si="7"/>
        <v>3917</v>
      </c>
      <c r="K58" s="115">
        <f t="shared" si="7"/>
        <v>1271</v>
      </c>
      <c r="L58" s="115">
        <f t="shared" si="7"/>
        <v>1207</v>
      </c>
      <c r="M58" s="48">
        <f t="shared" si="7"/>
        <v>1037</v>
      </c>
      <c r="N58" s="115">
        <f t="shared" si="7"/>
        <v>4578</v>
      </c>
      <c r="O58" s="7">
        <f t="shared" si="7"/>
        <v>4578</v>
      </c>
      <c r="R58" s="11">
        <v>55</v>
      </c>
      <c r="S58" s="12"/>
      <c r="T58" s="12"/>
      <c r="U58" s="12"/>
      <c r="W58" s="11">
        <v>55</v>
      </c>
      <c r="X58" s="12"/>
      <c r="Y58" s="12"/>
      <c r="Z58" s="12"/>
      <c r="AB58" s="11">
        <v>55</v>
      </c>
      <c r="AC58" s="12"/>
      <c r="AD58" s="12"/>
      <c r="AE58" s="12"/>
      <c r="AG58" s="11">
        <v>55</v>
      </c>
      <c r="AH58" s="12"/>
      <c r="AI58" s="12"/>
      <c r="AJ58" s="12"/>
      <c r="AL58" s="11">
        <v>55</v>
      </c>
      <c r="AM58" s="12"/>
      <c r="AN58" s="12"/>
      <c r="AO58" s="12"/>
      <c r="AQ58" s="11">
        <v>55</v>
      </c>
      <c r="AR58" s="12"/>
      <c r="AS58" s="12"/>
      <c r="AT58" s="11">
        <v>55</v>
      </c>
      <c r="AU58" s="12"/>
      <c r="AW58" s="11">
        <v>55</v>
      </c>
      <c r="AX58" s="12"/>
      <c r="AY58" s="12"/>
      <c r="AZ58" s="12"/>
      <c r="BA58" s="12"/>
      <c r="BB58" s="12"/>
      <c r="BC58" s="12"/>
      <c r="BD58" s="12"/>
      <c r="BE58" s="12"/>
      <c r="BF58" s="24"/>
      <c r="BG58" s="29"/>
      <c r="BH58" s="12"/>
      <c r="BI58" s="12"/>
      <c r="BK58" s="11">
        <v>55</v>
      </c>
      <c r="BL58" s="12"/>
      <c r="BM58" s="12"/>
      <c r="BN58" s="12"/>
      <c r="BP58" s="11">
        <v>55</v>
      </c>
      <c r="BQ58" s="12"/>
      <c r="BR58" s="12"/>
      <c r="BS58" s="12"/>
      <c r="BU58" s="11">
        <v>55</v>
      </c>
      <c r="BV58" s="12"/>
      <c r="BW58" s="12"/>
      <c r="BX58" s="12"/>
      <c r="BZ58" s="11">
        <v>55</v>
      </c>
      <c r="CA58" s="12"/>
      <c r="CC58" s="11">
        <v>55</v>
      </c>
      <c r="CD58" s="12"/>
    </row>
    <row r="59" spans="1:82">
      <c r="A59" s="20" t="s">
        <v>23</v>
      </c>
      <c r="B59" s="20">
        <v>8</v>
      </c>
      <c r="C59" s="5" t="s">
        <v>28</v>
      </c>
      <c r="D59" s="55">
        <f t="shared" si="8"/>
        <v>0</v>
      </c>
      <c r="E59" s="115">
        <f t="shared" si="7"/>
        <v>0</v>
      </c>
      <c r="F59" s="7">
        <f t="shared" si="7"/>
        <v>0</v>
      </c>
      <c r="G59" s="6">
        <f t="shared" si="7"/>
        <v>0</v>
      </c>
      <c r="H59" s="115">
        <f t="shared" si="7"/>
        <v>0</v>
      </c>
      <c r="I59" s="115">
        <f t="shared" si="7"/>
        <v>0</v>
      </c>
      <c r="J59" s="115">
        <f t="shared" si="7"/>
        <v>0</v>
      </c>
      <c r="K59" s="115">
        <f t="shared" si="7"/>
        <v>0</v>
      </c>
      <c r="L59" s="115">
        <f t="shared" si="7"/>
        <v>0</v>
      </c>
      <c r="M59" s="48">
        <f t="shared" si="7"/>
        <v>0</v>
      </c>
      <c r="N59" s="115">
        <f t="shared" si="7"/>
        <v>0</v>
      </c>
      <c r="O59" s="7">
        <f t="shared" si="7"/>
        <v>0</v>
      </c>
      <c r="R59" s="11">
        <v>56</v>
      </c>
      <c r="S59" s="12"/>
      <c r="T59" s="12"/>
      <c r="U59" s="12"/>
      <c r="W59" s="11">
        <v>56</v>
      </c>
      <c r="X59" s="12"/>
      <c r="Y59" s="12"/>
      <c r="Z59" s="12"/>
      <c r="AB59" s="11">
        <v>56</v>
      </c>
      <c r="AC59" s="12"/>
      <c r="AD59" s="12"/>
      <c r="AE59" s="12"/>
      <c r="AG59" s="11">
        <v>56</v>
      </c>
      <c r="AH59" s="12"/>
      <c r="AI59" s="12"/>
      <c r="AJ59" s="12"/>
      <c r="AL59" s="11">
        <v>56</v>
      </c>
      <c r="AM59" s="12"/>
      <c r="AN59" s="12"/>
      <c r="AO59" s="12"/>
      <c r="AQ59" s="11">
        <v>56</v>
      </c>
      <c r="AR59" s="12"/>
      <c r="AS59" s="12"/>
      <c r="AT59" s="11">
        <v>56</v>
      </c>
      <c r="AU59" s="12"/>
      <c r="AW59" s="11">
        <v>56</v>
      </c>
      <c r="AX59" s="12"/>
      <c r="AY59" s="12"/>
      <c r="AZ59" s="12"/>
      <c r="BA59" s="12"/>
      <c r="BB59" s="12"/>
      <c r="BC59" s="12"/>
      <c r="BD59" s="12"/>
      <c r="BE59" s="12"/>
      <c r="BF59" s="24"/>
      <c r="BG59" s="29"/>
      <c r="BH59" s="12"/>
      <c r="BI59" s="12"/>
      <c r="BK59" s="11">
        <v>56</v>
      </c>
      <c r="BL59" s="12"/>
      <c r="BM59" s="12"/>
      <c r="BN59" s="12"/>
      <c r="BP59" s="11">
        <v>56</v>
      </c>
      <c r="BQ59" s="12"/>
      <c r="BR59" s="12"/>
      <c r="BS59" s="12"/>
      <c r="BU59" s="11">
        <v>56</v>
      </c>
      <c r="BV59" s="12"/>
      <c r="BW59" s="12"/>
      <c r="BX59" s="12"/>
      <c r="BZ59" s="11">
        <v>56</v>
      </c>
      <c r="CA59" s="12"/>
      <c r="CC59" s="11">
        <v>56</v>
      </c>
      <c r="CD59" s="12"/>
    </row>
    <row r="60" spans="1:82">
      <c r="A60" s="20" t="s">
        <v>24</v>
      </c>
      <c r="B60" s="20">
        <v>9</v>
      </c>
      <c r="C60" s="5" t="s">
        <v>16</v>
      </c>
      <c r="D60" s="55">
        <f t="shared" si="8"/>
        <v>42</v>
      </c>
      <c r="E60" s="115">
        <f t="shared" si="7"/>
        <v>64</v>
      </c>
      <c r="F60" s="7">
        <f t="shared" si="7"/>
        <v>106</v>
      </c>
      <c r="G60" s="6">
        <f t="shared" si="7"/>
        <v>1939</v>
      </c>
      <c r="H60" s="115">
        <f t="shared" si="7"/>
        <v>50</v>
      </c>
      <c r="I60" s="115">
        <f t="shared" si="7"/>
        <v>3372</v>
      </c>
      <c r="J60" s="115">
        <f t="shared" si="7"/>
        <v>226</v>
      </c>
      <c r="K60" s="115">
        <f t="shared" si="7"/>
        <v>97</v>
      </c>
      <c r="L60" s="115">
        <f t="shared" si="7"/>
        <v>92</v>
      </c>
      <c r="M60" s="48">
        <f t="shared" si="7"/>
        <v>1871</v>
      </c>
      <c r="N60" s="115">
        <f t="shared" si="7"/>
        <v>350</v>
      </c>
      <c r="O60" s="7">
        <f t="shared" si="7"/>
        <v>350</v>
      </c>
      <c r="R60" s="11">
        <v>57</v>
      </c>
      <c r="S60" s="12"/>
      <c r="T60" s="12"/>
      <c r="U60" s="12"/>
      <c r="W60" s="11">
        <v>57</v>
      </c>
      <c r="X60" s="12"/>
      <c r="Y60" s="12"/>
      <c r="Z60" s="12"/>
      <c r="AB60" s="11">
        <v>57</v>
      </c>
      <c r="AC60" s="12"/>
      <c r="AD60" s="12"/>
      <c r="AE60" s="12"/>
      <c r="AG60" s="11">
        <v>57</v>
      </c>
      <c r="AH60" s="12"/>
      <c r="AI60" s="12"/>
      <c r="AJ60" s="12"/>
      <c r="AL60" s="11">
        <v>57</v>
      </c>
      <c r="AM60" s="12"/>
      <c r="AN60" s="12"/>
      <c r="AO60" s="12"/>
      <c r="AQ60" s="11">
        <v>57</v>
      </c>
      <c r="AR60" s="12"/>
      <c r="AS60" s="12"/>
      <c r="AT60" s="11">
        <v>57</v>
      </c>
      <c r="AU60" s="12"/>
      <c r="AW60" s="11">
        <v>57</v>
      </c>
      <c r="AX60" s="12"/>
      <c r="AY60" s="12"/>
      <c r="AZ60" s="12"/>
      <c r="BA60" s="12"/>
      <c r="BB60" s="12"/>
      <c r="BC60" s="12"/>
      <c r="BD60" s="12"/>
      <c r="BE60" s="12"/>
      <c r="BF60" s="24"/>
      <c r="BG60" s="29"/>
      <c r="BH60" s="12"/>
      <c r="BI60" s="12"/>
      <c r="BK60" s="11">
        <v>57</v>
      </c>
      <c r="BL60" s="12"/>
      <c r="BM60" s="12"/>
      <c r="BN60" s="12"/>
      <c r="BP60" s="11">
        <v>57</v>
      </c>
      <c r="BQ60" s="12"/>
      <c r="BR60" s="12"/>
      <c r="BS60" s="12"/>
      <c r="BU60" s="11">
        <v>57</v>
      </c>
      <c r="BV60" s="12"/>
      <c r="BW60" s="12"/>
      <c r="BX60" s="12"/>
      <c r="BZ60" s="11">
        <v>57</v>
      </c>
      <c r="CA60" s="12"/>
      <c r="CC60" s="11">
        <v>57</v>
      </c>
      <c r="CD60" s="12"/>
    </row>
    <row r="61" spans="1:82">
      <c r="A61" s="21" t="s">
        <v>35</v>
      </c>
      <c r="B61" s="21">
        <v>10</v>
      </c>
      <c r="C61" s="5" t="s">
        <v>37</v>
      </c>
      <c r="D61" s="55">
        <f t="shared" si="8"/>
        <v>102</v>
      </c>
      <c r="E61" s="115">
        <f t="shared" si="7"/>
        <v>672</v>
      </c>
      <c r="F61" s="7">
        <f t="shared" si="7"/>
        <v>328</v>
      </c>
      <c r="G61" s="6">
        <f t="shared" si="7"/>
        <v>348</v>
      </c>
      <c r="H61" s="115">
        <f t="shared" si="7"/>
        <v>368</v>
      </c>
      <c r="I61" s="115">
        <f t="shared" si="7"/>
        <v>509</v>
      </c>
      <c r="J61" s="115">
        <f t="shared" si="7"/>
        <v>1017</v>
      </c>
      <c r="K61" s="115">
        <f t="shared" si="7"/>
        <v>4605</v>
      </c>
      <c r="L61" s="115">
        <f t="shared" si="7"/>
        <v>3836</v>
      </c>
      <c r="M61" s="48">
        <f t="shared" si="7"/>
        <v>997</v>
      </c>
      <c r="N61" s="115">
        <f t="shared" si="7"/>
        <v>578</v>
      </c>
      <c r="O61" s="7">
        <f t="shared" si="7"/>
        <v>578</v>
      </c>
      <c r="R61" s="11">
        <v>58</v>
      </c>
      <c r="S61" s="12"/>
      <c r="T61" s="12"/>
      <c r="U61" s="12"/>
      <c r="W61" s="11">
        <v>58</v>
      </c>
      <c r="X61" s="12"/>
      <c r="Y61" s="12"/>
      <c r="Z61" s="12"/>
      <c r="AB61" s="11">
        <v>58</v>
      </c>
      <c r="AC61" s="12"/>
      <c r="AD61" s="12"/>
      <c r="AE61" s="12"/>
      <c r="AG61" s="11">
        <v>58</v>
      </c>
      <c r="AH61" s="12"/>
      <c r="AI61" s="12"/>
      <c r="AJ61" s="12"/>
      <c r="AL61" s="11">
        <v>58</v>
      </c>
      <c r="AM61" s="12"/>
      <c r="AN61" s="12"/>
      <c r="AO61" s="12"/>
      <c r="AQ61" s="11">
        <v>58</v>
      </c>
      <c r="AR61" s="12"/>
      <c r="AS61" s="12"/>
      <c r="AT61" s="11">
        <v>58</v>
      </c>
      <c r="AU61" s="12"/>
      <c r="AW61" s="11">
        <v>58</v>
      </c>
      <c r="AX61" s="12"/>
      <c r="AY61" s="12"/>
      <c r="AZ61" s="12"/>
      <c r="BA61" s="12"/>
      <c r="BB61" s="12"/>
      <c r="BC61" s="12"/>
      <c r="BD61" s="12"/>
      <c r="BE61" s="12"/>
      <c r="BF61" s="24"/>
      <c r="BG61" s="29"/>
      <c r="BH61" s="12"/>
      <c r="BI61" s="12"/>
      <c r="BK61" s="11">
        <v>58</v>
      </c>
      <c r="BL61" s="12"/>
      <c r="BM61" s="12"/>
      <c r="BN61" s="12"/>
      <c r="BP61" s="11">
        <v>58</v>
      </c>
      <c r="BQ61" s="12"/>
      <c r="BR61" s="12"/>
      <c r="BS61" s="12"/>
      <c r="BU61" s="11">
        <v>58</v>
      </c>
      <c r="BV61" s="12"/>
      <c r="BW61" s="12"/>
      <c r="BX61" s="12"/>
      <c r="BZ61" s="11">
        <v>58</v>
      </c>
      <c r="CA61" s="12"/>
      <c r="CC61" s="11">
        <v>58</v>
      </c>
      <c r="CD61" s="12"/>
    </row>
    <row r="62" spans="1:82" ht="16.8" thickBot="1">
      <c r="A62" s="22" t="s">
        <v>39</v>
      </c>
      <c r="B62" s="22">
        <v>11</v>
      </c>
      <c r="C62" s="17" t="s">
        <v>38</v>
      </c>
      <c r="D62" s="56">
        <f t="shared" si="8"/>
        <v>0</v>
      </c>
      <c r="E62" s="50">
        <f t="shared" si="7"/>
        <v>0</v>
      </c>
      <c r="F62" s="57">
        <f t="shared" si="7"/>
        <v>0</v>
      </c>
      <c r="G62" s="49">
        <f t="shared" si="7"/>
        <v>0</v>
      </c>
      <c r="H62" s="50">
        <f t="shared" si="7"/>
        <v>0</v>
      </c>
      <c r="I62" s="50">
        <f t="shared" si="7"/>
        <v>0</v>
      </c>
      <c r="J62" s="50">
        <f t="shared" si="7"/>
        <v>0</v>
      </c>
      <c r="K62" s="50">
        <f t="shared" si="7"/>
        <v>0</v>
      </c>
      <c r="L62" s="50">
        <f t="shared" si="7"/>
        <v>0</v>
      </c>
      <c r="M62" s="51">
        <f t="shared" si="7"/>
        <v>0</v>
      </c>
      <c r="N62" s="39">
        <f t="shared" si="7"/>
        <v>0</v>
      </c>
      <c r="O62" s="40">
        <f t="shared" si="7"/>
        <v>0</v>
      </c>
      <c r="R62" s="11">
        <v>59</v>
      </c>
      <c r="S62" s="12"/>
      <c r="T62" s="12"/>
      <c r="U62" s="12"/>
      <c r="W62" s="11">
        <v>59</v>
      </c>
      <c r="X62" s="12"/>
      <c r="Y62" s="12"/>
      <c r="Z62" s="12"/>
      <c r="AB62" s="11">
        <v>59</v>
      </c>
      <c r="AC62" s="12"/>
      <c r="AD62" s="12"/>
      <c r="AE62" s="12"/>
      <c r="AG62" s="11">
        <v>59</v>
      </c>
      <c r="AH62" s="12"/>
      <c r="AI62" s="12"/>
      <c r="AJ62" s="12"/>
      <c r="AL62" s="11">
        <v>59</v>
      </c>
      <c r="AM62" s="12"/>
      <c r="AN62" s="12"/>
      <c r="AO62" s="12"/>
      <c r="AQ62" s="11">
        <v>59</v>
      </c>
      <c r="AR62" s="12"/>
      <c r="AS62" s="12"/>
      <c r="AT62" s="11">
        <v>59</v>
      </c>
      <c r="AU62" s="12"/>
      <c r="AW62" s="11">
        <v>59</v>
      </c>
      <c r="AX62" s="12"/>
      <c r="AY62" s="12"/>
      <c r="AZ62" s="12"/>
      <c r="BA62" s="12"/>
      <c r="BB62" s="12"/>
      <c r="BC62" s="12"/>
      <c r="BD62" s="12"/>
      <c r="BE62" s="12"/>
      <c r="BF62" s="24"/>
      <c r="BG62" s="29"/>
      <c r="BH62" s="12"/>
      <c r="BI62" s="12"/>
      <c r="BK62" s="11">
        <v>59</v>
      </c>
      <c r="BL62" s="12"/>
      <c r="BM62" s="12"/>
      <c r="BN62" s="12"/>
      <c r="BP62" s="11">
        <v>59</v>
      </c>
      <c r="BQ62" s="12"/>
      <c r="BR62" s="12"/>
      <c r="BS62" s="12"/>
      <c r="BU62" s="11">
        <v>59</v>
      </c>
      <c r="BV62" s="12"/>
      <c r="BW62" s="12"/>
      <c r="BX62" s="12"/>
      <c r="BZ62" s="11">
        <v>59</v>
      </c>
      <c r="CA62" s="12"/>
      <c r="CC62" s="11">
        <v>59</v>
      </c>
      <c r="CD62" s="12"/>
    </row>
    <row r="63" spans="1:82">
      <c r="D63" s="117">
        <f>SUM(D51:D62)</f>
        <v>10000</v>
      </c>
      <c r="E63" s="117">
        <f t="shared" ref="E63:O63" si="9">SUM(E51:E62)</f>
        <v>10000</v>
      </c>
      <c r="F63" s="117">
        <f t="shared" si="9"/>
        <v>10001</v>
      </c>
      <c r="G63" s="117">
        <f t="shared" si="9"/>
        <v>9999</v>
      </c>
      <c r="H63" s="117">
        <f t="shared" si="9"/>
        <v>9999</v>
      </c>
      <c r="I63" s="117">
        <f t="shared" si="9"/>
        <v>10000</v>
      </c>
      <c r="J63" s="117">
        <f t="shared" si="9"/>
        <v>10001</v>
      </c>
      <c r="K63" s="117">
        <f t="shared" si="9"/>
        <v>10000</v>
      </c>
      <c r="L63" s="117">
        <f t="shared" si="9"/>
        <v>10000</v>
      </c>
      <c r="M63" s="117">
        <f t="shared" si="9"/>
        <v>10000</v>
      </c>
      <c r="N63" s="117">
        <f t="shared" si="9"/>
        <v>10000</v>
      </c>
      <c r="O63" s="117">
        <f t="shared" si="9"/>
        <v>10000</v>
      </c>
      <c r="R63" s="11">
        <v>60</v>
      </c>
      <c r="S63" s="12"/>
      <c r="T63" s="12"/>
      <c r="U63" s="12"/>
      <c r="W63" s="11">
        <v>60</v>
      </c>
      <c r="X63" s="12"/>
      <c r="Y63" s="12"/>
      <c r="Z63" s="12"/>
      <c r="AB63" s="11">
        <v>60</v>
      </c>
      <c r="AC63" s="12"/>
      <c r="AD63" s="12"/>
      <c r="AE63" s="12"/>
      <c r="AG63" s="11">
        <v>60</v>
      </c>
      <c r="AH63" s="12"/>
      <c r="AI63" s="12"/>
      <c r="AJ63" s="12"/>
      <c r="AL63" s="11">
        <v>60</v>
      </c>
      <c r="AM63" s="12"/>
      <c r="AN63" s="12"/>
      <c r="AO63" s="12"/>
      <c r="AQ63" s="11">
        <v>60</v>
      </c>
      <c r="AR63" s="13"/>
      <c r="AS63" s="13"/>
      <c r="AT63" s="11">
        <v>60</v>
      </c>
      <c r="AU63" s="12"/>
      <c r="AW63" s="11">
        <v>60</v>
      </c>
      <c r="AX63" s="12"/>
      <c r="AY63" s="12"/>
      <c r="AZ63" s="12"/>
      <c r="BA63" s="12"/>
      <c r="BB63" s="12"/>
      <c r="BC63" s="12"/>
      <c r="BD63" s="12"/>
      <c r="BE63" s="12"/>
      <c r="BF63" s="24"/>
      <c r="BG63" s="29"/>
      <c r="BH63" s="12"/>
      <c r="BI63" s="12"/>
      <c r="BK63" s="11">
        <v>60</v>
      </c>
      <c r="BL63" s="12"/>
      <c r="BM63" s="12"/>
      <c r="BN63" s="12"/>
      <c r="BP63" s="11">
        <v>60</v>
      </c>
      <c r="BQ63" s="12"/>
      <c r="BR63" s="12"/>
      <c r="BS63" s="12"/>
      <c r="BU63" s="11">
        <v>60</v>
      </c>
      <c r="BV63" s="12"/>
      <c r="BW63" s="12"/>
      <c r="BX63" s="12"/>
      <c r="BZ63" s="11">
        <v>60</v>
      </c>
      <c r="CA63" s="12"/>
      <c r="CC63" s="11">
        <v>60</v>
      </c>
      <c r="CD63" s="12"/>
    </row>
    <row r="64" spans="1:82">
      <c r="D64" s="186">
        <f>D61/D63</f>
        <v>1.0200000000000001E-2</v>
      </c>
      <c r="E64" s="186">
        <f t="shared" ref="E64:O64" si="10">E61/E63</f>
        <v>6.7199999999999996E-2</v>
      </c>
      <c r="F64" s="186">
        <f t="shared" si="10"/>
        <v>3.2796720327967203E-2</v>
      </c>
      <c r="G64" s="186">
        <f t="shared" si="10"/>
        <v>3.48034803480348E-2</v>
      </c>
      <c r="H64" s="186">
        <f t="shared" si="10"/>
        <v>3.6803680368036801E-2</v>
      </c>
      <c r="I64" s="186">
        <f t="shared" si="10"/>
        <v>5.0900000000000001E-2</v>
      </c>
      <c r="J64" s="186">
        <f t="shared" si="10"/>
        <v>0.10168983101689831</v>
      </c>
      <c r="K64" s="186">
        <f t="shared" si="10"/>
        <v>0.46050000000000002</v>
      </c>
      <c r="L64" s="186">
        <f t="shared" si="10"/>
        <v>0.3836</v>
      </c>
      <c r="M64" s="186">
        <f t="shared" si="10"/>
        <v>9.9699999999999997E-2</v>
      </c>
      <c r="N64" s="186">
        <f t="shared" si="10"/>
        <v>5.7799999999999997E-2</v>
      </c>
      <c r="O64" s="186">
        <f t="shared" si="10"/>
        <v>5.7799999999999997E-2</v>
      </c>
      <c r="R64" s="11">
        <v>61</v>
      </c>
      <c r="S64" s="12"/>
      <c r="T64" s="13"/>
      <c r="U64" s="12"/>
      <c r="W64" s="11">
        <v>61</v>
      </c>
      <c r="X64" s="12"/>
      <c r="Y64" s="13"/>
      <c r="Z64" s="12"/>
      <c r="AB64" s="11">
        <v>61</v>
      </c>
      <c r="AC64" s="12"/>
      <c r="AD64" s="12"/>
      <c r="AE64" s="12"/>
      <c r="AG64" s="11">
        <v>61</v>
      </c>
      <c r="AH64" s="12"/>
      <c r="AI64" s="12"/>
      <c r="AJ64" s="12"/>
      <c r="AL64" s="11">
        <v>61</v>
      </c>
      <c r="AM64" s="12"/>
      <c r="AN64" s="12"/>
      <c r="AO64" s="12"/>
      <c r="AQ64" s="11">
        <v>61</v>
      </c>
      <c r="AR64" s="13"/>
      <c r="AS64" s="13"/>
      <c r="AT64" s="11">
        <v>61</v>
      </c>
      <c r="AU64" s="12"/>
      <c r="AW64" s="11">
        <v>61</v>
      </c>
      <c r="AX64" s="12"/>
      <c r="AY64" s="12"/>
      <c r="AZ64" s="12"/>
      <c r="BA64" s="12"/>
      <c r="BB64" s="12"/>
      <c r="BC64" s="12"/>
      <c r="BD64" s="12"/>
      <c r="BE64" s="12"/>
      <c r="BF64" s="24"/>
      <c r="BG64" s="29"/>
      <c r="BH64" s="12"/>
      <c r="BI64" s="12"/>
      <c r="BK64" s="11">
        <v>61</v>
      </c>
      <c r="BL64" s="12"/>
      <c r="BM64" s="13"/>
      <c r="BN64" s="12"/>
      <c r="BP64" s="11">
        <v>61</v>
      </c>
      <c r="BQ64" s="12"/>
      <c r="BR64" s="13"/>
      <c r="BS64" s="12"/>
      <c r="BU64" s="11">
        <v>61</v>
      </c>
      <c r="BV64" s="12"/>
      <c r="BW64" s="12"/>
      <c r="BX64" s="12"/>
      <c r="BZ64" s="11">
        <v>61</v>
      </c>
      <c r="CA64" s="12"/>
      <c r="CC64" s="11">
        <v>61</v>
      </c>
      <c r="CD64" s="12"/>
    </row>
    <row r="65" spans="1:82">
      <c r="A65" s="31" t="s">
        <v>42</v>
      </c>
      <c r="R65" s="11">
        <v>62</v>
      </c>
      <c r="S65" s="12"/>
      <c r="T65" s="13"/>
      <c r="U65" s="12"/>
      <c r="W65" s="11">
        <v>62</v>
      </c>
      <c r="X65" s="12"/>
      <c r="Y65" s="13"/>
      <c r="Z65" s="12"/>
      <c r="AB65" s="11">
        <v>62</v>
      </c>
      <c r="AC65" s="12"/>
      <c r="AD65" s="12"/>
      <c r="AE65" s="12"/>
      <c r="AG65" s="11">
        <v>62</v>
      </c>
      <c r="AH65" s="12"/>
      <c r="AI65" s="12"/>
      <c r="AJ65" s="12"/>
      <c r="AL65" s="11">
        <v>62</v>
      </c>
      <c r="AM65" s="12"/>
      <c r="AN65" s="12"/>
      <c r="AO65" s="12"/>
      <c r="AQ65" s="11">
        <v>62</v>
      </c>
      <c r="AR65" s="13"/>
      <c r="AS65" s="13"/>
      <c r="AT65" s="11">
        <v>62</v>
      </c>
      <c r="AU65" s="12"/>
      <c r="AW65" s="11">
        <v>62</v>
      </c>
      <c r="AX65" s="12"/>
      <c r="AY65" s="12"/>
      <c r="AZ65" s="12"/>
      <c r="BA65" s="12"/>
      <c r="BB65" s="12"/>
      <c r="BC65" s="12"/>
      <c r="BD65" s="12"/>
      <c r="BE65" s="12"/>
      <c r="BF65" s="24"/>
      <c r="BG65" s="29"/>
      <c r="BH65" s="12"/>
      <c r="BI65" s="12"/>
      <c r="BK65" s="11">
        <v>62</v>
      </c>
      <c r="BL65" s="12"/>
      <c r="BM65" s="13"/>
      <c r="BN65" s="12"/>
      <c r="BP65" s="11">
        <v>62</v>
      </c>
      <c r="BQ65" s="12"/>
      <c r="BR65" s="13"/>
      <c r="BS65" s="12"/>
      <c r="BU65" s="11">
        <v>62</v>
      </c>
      <c r="BV65" s="12"/>
      <c r="BW65" s="12"/>
      <c r="BX65" s="12"/>
      <c r="BZ65" s="11">
        <v>62</v>
      </c>
      <c r="CA65" s="12"/>
      <c r="CC65" s="11">
        <v>62</v>
      </c>
      <c r="CD65" s="12"/>
    </row>
    <row r="66" spans="1:82">
      <c r="A66" s="30" t="s">
        <v>42</v>
      </c>
      <c r="B66" s="1" t="s">
        <v>86</v>
      </c>
      <c r="C66" s="2" t="s">
        <v>114</v>
      </c>
      <c r="D66" s="3" t="s">
        <v>0</v>
      </c>
      <c r="E66" s="116" t="s">
        <v>1</v>
      </c>
      <c r="F66" s="4" t="s">
        <v>2</v>
      </c>
      <c r="R66" s="11">
        <v>63</v>
      </c>
      <c r="S66" s="12"/>
      <c r="T66" s="13"/>
      <c r="U66" s="13"/>
      <c r="W66" s="11">
        <v>63</v>
      </c>
      <c r="X66" s="12"/>
      <c r="Y66" s="13"/>
      <c r="Z66" s="13"/>
      <c r="AB66" s="11">
        <v>63</v>
      </c>
      <c r="AC66" s="12"/>
      <c r="AD66" s="12"/>
      <c r="AE66" s="12"/>
      <c r="AG66" s="11">
        <v>63</v>
      </c>
      <c r="AH66" s="12"/>
      <c r="AI66" s="12"/>
      <c r="AJ66" s="12"/>
      <c r="AL66" s="11">
        <v>63</v>
      </c>
      <c r="AM66" s="12"/>
      <c r="AN66" s="12"/>
      <c r="AO66" s="12"/>
      <c r="AQ66" s="11">
        <v>63</v>
      </c>
      <c r="AR66" s="13"/>
      <c r="AS66" s="13"/>
      <c r="AT66" s="11">
        <v>63</v>
      </c>
      <c r="AU66" s="13"/>
      <c r="AW66" s="11">
        <v>63</v>
      </c>
      <c r="AX66" s="12"/>
      <c r="AY66" s="12"/>
      <c r="AZ66" s="12"/>
      <c r="BA66" s="12"/>
      <c r="BB66" s="12"/>
      <c r="BC66" s="12"/>
      <c r="BD66" s="12"/>
      <c r="BE66" s="12"/>
      <c r="BF66" s="24"/>
      <c r="BG66" s="29"/>
      <c r="BH66" s="12"/>
      <c r="BI66" s="12"/>
      <c r="BK66" s="11">
        <v>63</v>
      </c>
      <c r="BL66" s="12"/>
      <c r="BM66" s="13"/>
      <c r="BN66" s="13"/>
      <c r="BP66" s="11">
        <v>63</v>
      </c>
      <c r="BQ66" s="12"/>
      <c r="BR66" s="13"/>
      <c r="BS66" s="13"/>
      <c r="BU66" s="11">
        <v>63</v>
      </c>
      <c r="BV66" s="12"/>
      <c r="BW66" s="12"/>
      <c r="BX66" s="12"/>
      <c r="BZ66" s="11">
        <v>63</v>
      </c>
      <c r="CA66" s="12"/>
      <c r="CC66" s="11">
        <v>63</v>
      </c>
      <c r="CD66" s="12"/>
    </row>
    <row r="67" spans="1:82">
      <c r="A67" s="1" t="s">
        <v>19</v>
      </c>
      <c r="B67" s="1">
        <v>0</v>
      </c>
      <c r="C67" s="3" t="s">
        <v>25</v>
      </c>
      <c r="D67" s="3">
        <f>SUMIF(BL$3:BL$38,$A67,BV$3:BV$38)</f>
        <v>1286</v>
      </c>
      <c r="E67" s="129">
        <f t="shared" ref="E67:F78" si="11">SUMIF(BM$3:BM$38,$A67,BW$3:BW$38)</f>
        <v>1857</v>
      </c>
      <c r="F67" s="4">
        <f t="shared" si="11"/>
        <v>1286</v>
      </c>
      <c r="R67" s="11">
        <v>64</v>
      </c>
      <c r="S67" s="12"/>
      <c r="T67" s="13"/>
      <c r="U67" s="13"/>
      <c r="W67" s="11">
        <v>64</v>
      </c>
      <c r="X67" s="12"/>
      <c r="Y67" s="13"/>
      <c r="Z67" s="13"/>
      <c r="AB67" s="11">
        <v>64</v>
      </c>
      <c r="AC67" s="12"/>
      <c r="AD67" s="12"/>
      <c r="AE67" s="12"/>
      <c r="AG67" s="11">
        <v>64</v>
      </c>
      <c r="AH67" s="12"/>
      <c r="AI67" s="12"/>
      <c r="AJ67" s="12"/>
      <c r="AL67" s="11">
        <v>64</v>
      </c>
      <c r="AM67" s="12"/>
      <c r="AN67" s="12"/>
      <c r="AO67" s="12"/>
      <c r="AQ67" s="11">
        <v>64</v>
      </c>
      <c r="AR67" s="13"/>
      <c r="AS67" s="13"/>
      <c r="AT67" s="11">
        <v>64</v>
      </c>
      <c r="AU67" s="13"/>
      <c r="AW67" s="11">
        <v>64</v>
      </c>
      <c r="AX67" s="12"/>
      <c r="AY67" s="12"/>
      <c r="AZ67" s="12"/>
      <c r="BA67" s="12"/>
      <c r="BB67" s="12"/>
      <c r="BC67" s="12"/>
      <c r="BD67" s="12"/>
      <c r="BE67" s="12"/>
      <c r="BF67" s="24"/>
      <c r="BG67" s="29"/>
      <c r="BH67" s="12"/>
      <c r="BI67" s="12"/>
      <c r="BK67" s="11">
        <v>64</v>
      </c>
      <c r="BL67" s="12"/>
      <c r="BM67" s="13"/>
      <c r="BN67" s="13"/>
      <c r="BP67" s="11">
        <v>64</v>
      </c>
      <c r="BQ67" s="12"/>
      <c r="BR67" s="13"/>
      <c r="BS67" s="13"/>
      <c r="BU67" s="11">
        <v>64</v>
      </c>
      <c r="BV67" s="12"/>
      <c r="BW67" s="12"/>
      <c r="BX67" s="12"/>
      <c r="BZ67" s="11">
        <v>64</v>
      </c>
      <c r="CA67" s="12"/>
      <c r="CC67" s="11">
        <v>64</v>
      </c>
      <c r="CD67" s="12"/>
    </row>
    <row r="68" spans="1:82">
      <c r="A68" s="20">
        <v>0</v>
      </c>
      <c r="B68" s="20">
        <v>1</v>
      </c>
      <c r="C68" s="5">
        <v>0</v>
      </c>
      <c r="D68" s="37">
        <f t="shared" ref="D68:D78" si="12">SUMIF(BL$3:BL$38,$A68,BV$3:BV$38)</f>
        <v>0</v>
      </c>
      <c r="E68" s="128">
        <f t="shared" si="11"/>
        <v>1143</v>
      </c>
      <c r="F68" s="7">
        <f t="shared" si="11"/>
        <v>3143</v>
      </c>
      <c r="R68" s="11">
        <v>65</v>
      </c>
      <c r="S68" s="12"/>
      <c r="T68" s="13"/>
      <c r="U68" s="13"/>
      <c r="W68" s="11">
        <v>65</v>
      </c>
      <c r="X68" s="12"/>
      <c r="Y68" s="13"/>
      <c r="Z68" s="13"/>
      <c r="AB68" s="11">
        <v>65</v>
      </c>
      <c r="AC68" s="12"/>
      <c r="AD68" s="12"/>
      <c r="AE68" s="12"/>
      <c r="AG68" s="11">
        <v>65</v>
      </c>
      <c r="AH68" s="12"/>
      <c r="AI68" s="12"/>
      <c r="AJ68" s="12"/>
      <c r="AL68" s="11">
        <v>65</v>
      </c>
      <c r="AM68" s="12"/>
      <c r="AN68" s="12"/>
      <c r="AO68" s="12"/>
      <c r="AQ68" s="11">
        <v>65</v>
      </c>
      <c r="AR68" s="13"/>
      <c r="AS68" s="13"/>
      <c r="AT68" s="11">
        <v>65</v>
      </c>
      <c r="AU68" s="13"/>
      <c r="AW68" s="11">
        <v>65</v>
      </c>
      <c r="AX68" s="12"/>
      <c r="AY68" s="12"/>
      <c r="AZ68" s="12"/>
      <c r="BA68" s="12"/>
      <c r="BB68" s="12"/>
      <c r="BC68" s="12"/>
      <c r="BD68" s="12"/>
      <c r="BE68" s="12"/>
      <c r="BF68" s="24"/>
      <c r="BG68" s="29"/>
      <c r="BH68" s="12"/>
      <c r="BI68" s="12"/>
      <c r="BK68" s="11">
        <v>65</v>
      </c>
      <c r="BL68" s="12"/>
      <c r="BM68" s="13"/>
      <c r="BN68" s="13"/>
      <c r="BP68" s="11">
        <v>65</v>
      </c>
      <c r="BQ68" s="12"/>
      <c r="BR68" s="13"/>
      <c r="BS68" s="13"/>
      <c r="BU68" s="11">
        <v>65</v>
      </c>
      <c r="BV68" s="12"/>
      <c r="BW68" s="12"/>
      <c r="BX68" s="12"/>
      <c r="BZ68" s="11">
        <v>65</v>
      </c>
      <c r="CA68" s="12"/>
      <c r="CC68" s="11">
        <v>65</v>
      </c>
      <c r="CD68" s="12"/>
    </row>
    <row r="69" spans="1:82">
      <c r="A69" s="20">
        <v>1</v>
      </c>
      <c r="B69" s="20">
        <v>2</v>
      </c>
      <c r="C69" s="5">
        <v>1</v>
      </c>
      <c r="D69" s="6">
        <f t="shared" si="12"/>
        <v>5571</v>
      </c>
      <c r="E69" s="128">
        <f t="shared" si="11"/>
        <v>3000</v>
      </c>
      <c r="F69" s="7">
        <f t="shared" si="11"/>
        <v>1571</v>
      </c>
      <c r="R69" s="11">
        <v>66</v>
      </c>
      <c r="S69" s="12"/>
      <c r="T69" s="13"/>
      <c r="U69" s="13"/>
      <c r="W69" s="11">
        <v>66</v>
      </c>
      <c r="X69" s="12"/>
      <c r="Y69" s="13"/>
      <c r="Z69" s="13"/>
      <c r="AB69" s="11">
        <v>66</v>
      </c>
      <c r="AC69" s="12"/>
      <c r="AD69" s="12"/>
      <c r="AE69" s="12"/>
      <c r="AG69" s="11">
        <v>66</v>
      </c>
      <c r="AH69" s="12"/>
      <c r="AI69" s="12"/>
      <c r="AJ69" s="12"/>
      <c r="AL69" s="11">
        <v>66</v>
      </c>
      <c r="AM69" s="12"/>
      <c r="AN69" s="12"/>
      <c r="AO69" s="12"/>
      <c r="AQ69" s="11">
        <v>66</v>
      </c>
      <c r="AR69" s="13"/>
      <c r="AS69" s="13"/>
      <c r="AT69" s="11">
        <v>66</v>
      </c>
      <c r="AU69" s="13"/>
      <c r="AW69" s="11">
        <v>66</v>
      </c>
      <c r="AX69" s="12"/>
      <c r="AY69" s="12"/>
      <c r="AZ69" s="12"/>
      <c r="BA69" s="12"/>
      <c r="BB69" s="12"/>
      <c r="BC69" s="12"/>
      <c r="BD69" s="12"/>
      <c r="BE69" s="12"/>
      <c r="BF69" s="24"/>
      <c r="BG69" s="29"/>
      <c r="BH69" s="12"/>
      <c r="BI69" s="12"/>
      <c r="BK69" s="11">
        <v>66</v>
      </c>
      <c r="BL69" s="12"/>
      <c r="BM69" s="13"/>
      <c r="BN69" s="13"/>
      <c r="BP69" s="11">
        <v>66</v>
      </c>
      <c r="BQ69" s="12"/>
      <c r="BR69" s="13"/>
      <c r="BS69" s="13"/>
      <c r="BU69" s="11">
        <v>66</v>
      </c>
      <c r="BV69" s="12"/>
      <c r="BW69" s="12"/>
      <c r="BX69" s="12"/>
      <c r="BZ69" s="11">
        <v>66</v>
      </c>
      <c r="CA69" s="12"/>
      <c r="CC69" s="11">
        <v>66</v>
      </c>
      <c r="CD69" s="12"/>
    </row>
    <row r="70" spans="1:82">
      <c r="A70" s="21">
        <v>5</v>
      </c>
      <c r="B70" s="21">
        <v>3</v>
      </c>
      <c r="C70" s="23">
        <v>5</v>
      </c>
      <c r="D70" s="6">
        <f t="shared" si="12"/>
        <v>2286</v>
      </c>
      <c r="E70" s="128">
        <f t="shared" si="11"/>
        <v>4000</v>
      </c>
      <c r="F70" s="7">
        <f t="shared" si="11"/>
        <v>4000</v>
      </c>
      <c r="R70" s="11">
        <v>67</v>
      </c>
      <c r="S70" s="12"/>
      <c r="T70" s="13"/>
      <c r="U70" s="13"/>
      <c r="W70" s="11">
        <v>67</v>
      </c>
      <c r="X70" s="12"/>
      <c r="Y70" s="13"/>
      <c r="Z70" s="13"/>
      <c r="AB70" s="11">
        <v>67</v>
      </c>
      <c r="AC70" s="12"/>
      <c r="AD70" s="12"/>
      <c r="AE70" s="12"/>
      <c r="AG70" s="11">
        <v>67</v>
      </c>
      <c r="AH70" s="12"/>
      <c r="AI70" s="12"/>
      <c r="AJ70" s="12"/>
      <c r="AL70" s="11">
        <v>67</v>
      </c>
      <c r="AM70" s="12"/>
      <c r="AN70" s="12"/>
      <c r="AO70" s="12"/>
      <c r="AQ70" s="11">
        <v>67</v>
      </c>
      <c r="AR70" s="13"/>
      <c r="AS70" s="13"/>
      <c r="AT70" s="11">
        <v>67</v>
      </c>
      <c r="AU70" s="13"/>
      <c r="AW70" s="11">
        <v>67</v>
      </c>
      <c r="AX70" s="12"/>
      <c r="AY70" s="12"/>
      <c r="AZ70" s="12"/>
      <c r="BA70" s="12"/>
      <c r="BB70" s="12"/>
      <c r="BC70" s="12"/>
      <c r="BD70" s="12"/>
      <c r="BE70" s="12"/>
      <c r="BF70" s="24"/>
      <c r="BG70" s="29"/>
      <c r="BH70" s="12"/>
      <c r="BI70" s="12"/>
      <c r="BK70" s="11">
        <v>67</v>
      </c>
      <c r="BL70" s="12"/>
      <c r="BM70" s="13"/>
      <c r="BN70" s="13"/>
      <c r="BP70" s="11">
        <v>67</v>
      </c>
      <c r="BQ70" s="12"/>
      <c r="BR70" s="13"/>
      <c r="BS70" s="13"/>
      <c r="BU70" s="11">
        <v>67</v>
      </c>
      <c r="BV70" s="12"/>
      <c r="BW70" s="12"/>
      <c r="BX70" s="12"/>
      <c r="BZ70" s="11">
        <v>67</v>
      </c>
      <c r="CA70" s="12"/>
      <c r="CC70" s="11">
        <v>67</v>
      </c>
      <c r="CD70" s="12"/>
    </row>
    <row r="71" spans="1:82">
      <c r="A71" s="21">
        <v>10</v>
      </c>
      <c r="B71" s="21">
        <v>4</v>
      </c>
      <c r="C71" s="23">
        <v>10</v>
      </c>
      <c r="D71" s="6">
        <f t="shared" si="12"/>
        <v>857</v>
      </c>
      <c r="E71" s="59">
        <f t="shared" si="11"/>
        <v>0</v>
      </c>
      <c r="F71" s="38">
        <f t="shared" si="11"/>
        <v>0</v>
      </c>
      <c r="R71" s="11">
        <v>68</v>
      </c>
      <c r="S71" s="12"/>
      <c r="T71" s="13"/>
      <c r="U71" s="13"/>
      <c r="W71" s="11">
        <v>68</v>
      </c>
      <c r="X71" s="12"/>
      <c r="Y71" s="13"/>
      <c r="Z71" s="13"/>
      <c r="AB71" s="11">
        <v>68</v>
      </c>
      <c r="AC71" s="12"/>
      <c r="AD71" s="12"/>
      <c r="AE71" s="12"/>
      <c r="AG71" s="11">
        <v>68</v>
      </c>
      <c r="AH71" s="12"/>
      <c r="AI71" s="12"/>
      <c r="AJ71" s="12"/>
      <c r="AL71" s="11">
        <v>68</v>
      </c>
      <c r="AM71" s="12"/>
      <c r="AN71" s="12"/>
      <c r="AO71" s="12"/>
      <c r="AQ71" s="11">
        <v>68</v>
      </c>
      <c r="AR71" s="13"/>
      <c r="AS71" s="13"/>
      <c r="AT71" s="11">
        <v>68</v>
      </c>
      <c r="AU71" s="13"/>
      <c r="AW71" s="11">
        <v>68</v>
      </c>
      <c r="AX71" s="12"/>
      <c r="AY71" s="12"/>
      <c r="AZ71" s="12"/>
      <c r="BA71" s="12"/>
      <c r="BB71" s="12"/>
      <c r="BC71" s="12"/>
      <c r="BD71" s="12"/>
      <c r="BE71" s="12"/>
      <c r="BF71" s="24"/>
      <c r="BG71" s="29"/>
      <c r="BH71" s="12"/>
      <c r="BI71" s="12"/>
      <c r="BK71" s="11">
        <v>68</v>
      </c>
      <c r="BL71" s="12"/>
      <c r="BM71" s="13"/>
      <c r="BN71" s="13"/>
      <c r="BP71" s="11">
        <v>68</v>
      </c>
      <c r="BQ71" s="12"/>
      <c r="BR71" s="13"/>
      <c r="BS71" s="13"/>
      <c r="BU71" s="11">
        <v>68</v>
      </c>
      <c r="BV71" s="12"/>
      <c r="BW71" s="12"/>
      <c r="BX71" s="12"/>
      <c r="BZ71" s="11">
        <v>68</v>
      </c>
      <c r="CA71" s="12"/>
      <c r="CC71" s="11">
        <v>68</v>
      </c>
      <c r="CD71" s="12"/>
    </row>
    <row r="72" spans="1:82">
      <c r="A72" s="20" t="s">
        <v>20</v>
      </c>
      <c r="B72" s="20">
        <v>5</v>
      </c>
      <c r="C72" s="23" t="s">
        <v>29</v>
      </c>
      <c r="D72" s="37">
        <f t="shared" si="12"/>
        <v>0</v>
      </c>
      <c r="E72" s="59">
        <f t="shared" si="11"/>
        <v>0</v>
      </c>
      <c r="F72" s="38">
        <f t="shared" si="11"/>
        <v>0</v>
      </c>
      <c r="R72" s="11">
        <v>69</v>
      </c>
      <c r="S72" s="12"/>
      <c r="T72" s="13"/>
      <c r="U72" s="13"/>
      <c r="W72" s="11">
        <v>69</v>
      </c>
      <c r="X72" s="12"/>
      <c r="Y72" s="13"/>
      <c r="Z72" s="13"/>
      <c r="AB72" s="11">
        <v>69</v>
      </c>
      <c r="AC72" s="12"/>
      <c r="AD72" s="12"/>
      <c r="AE72" s="12"/>
      <c r="AG72" s="11">
        <v>69</v>
      </c>
      <c r="AH72" s="12"/>
      <c r="AI72" s="12"/>
      <c r="AJ72" s="12"/>
      <c r="AL72" s="11">
        <v>69</v>
      </c>
      <c r="AM72" s="12"/>
      <c r="AN72" s="12"/>
      <c r="AO72" s="12"/>
      <c r="AQ72" s="11">
        <v>69</v>
      </c>
      <c r="AR72" s="13"/>
      <c r="AS72" s="13"/>
      <c r="AT72" s="11">
        <v>69</v>
      </c>
      <c r="AU72" s="13"/>
      <c r="AW72" s="11">
        <v>69</v>
      </c>
      <c r="AX72" s="12"/>
      <c r="AY72" s="12"/>
      <c r="AZ72" s="12"/>
      <c r="BA72" s="12"/>
      <c r="BB72" s="12"/>
      <c r="BC72" s="12"/>
      <c r="BD72" s="12"/>
      <c r="BE72" s="12"/>
      <c r="BF72" s="24"/>
      <c r="BG72" s="29"/>
      <c r="BH72" s="12"/>
      <c r="BI72" s="12"/>
      <c r="BK72" s="11">
        <v>69</v>
      </c>
      <c r="BL72" s="12"/>
      <c r="BM72" s="13"/>
      <c r="BN72" s="13"/>
      <c r="BP72" s="11">
        <v>69</v>
      </c>
      <c r="BQ72" s="12"/>
      <c r="BR72" s="13"/>
      <c r="BS72" s="13"/>
      <c r="BU72" s="11">
        <v>69</v>
      </c>
      <c r="BV72" s="12"/>
      <c r="BW72" s="12"/>
      <c r="BX72" s="12"/>
      <c r="BZ72" s="11">
        <v>69</v>
      </c>
      <c r="CA72" s="12"/>
      <c r="CC72" s="11">
        <v>69</v>
      </c>
      <c r="CD72" s="12"/>
    </row>
    <row r="73" spans="1:82">
      <c r="A73" s="21" t="s">
        <v>21</v>
      </c>
      <c r="B73" s="21">
        <v>6</v>
      </c>
      <c r="C73" s="23" t="s">
        <v>26</v>
      </c>
      <c r="D73" s="37">
        <f t="shared" si="12"/>
        <v>0</v>
      </c>
      <c r="E73" s="59">
        <f t="shared" si="11"/>
        <v>0</v>
      </c>
      <c r="F73" s="38">
        <f t="shared" si="11"/>
        <v>0</v>
      </c>
      <c r="R73" s="11">
        <v>70</v>
      </c>
      <c r="S73" s="12"/>
      <c r="T73" s="13"/>
      <c r="U73" s="13"/>
      <c r="W73" s="11">
        <v>70</v>
      </c>
      <c r="X73" s="12"/>
      <c r="Y73" s="13"/>
      <c r="Z73" s="13"/>
      <c r="AB73" s="11">
        <v>70</v>
      </c>
      <c r="AC73" s="12"/>
      <c r="AD73" s="12"/>
      <c r="AE73" s="12"/>
      <c r="AG73" s="11">
        <v>70</v>
      </c>
      <c r="AH73" s="12"/>
      <c r="AI73" s="12"/>
      <c r="AJ73" s="12"/>
      <c r="AL73" s="11">
        <v>70</v>
      </c>
      <c r="AM73" s="12"/>
      <c r="AN73" s="12"/>
      <c r="AO73" s="12"/>
      <c r="AQ73" s="11">
        <v>70</v>
      </c>
      <c r="AR73" s="13"/>
      <c r="AS73" s="13"/>
      <c r="AT73" s="11">
        <v>70</v>
      </c>
      <c r="AU73" s="13"/>
      <c r="AW73" s="11">
        <v>70</v>
      </c>
      <c r="AX73" s="12"/>
      <c r="AY73" s="12"/>
      <c r="AZ73" s="12"/>
      <c r="BA73" s="12"/>
      <c r="BB73" s="12"/>
      <c r="BC73" s="12"/>
      <c r="BD73" s="12"/>
      <c r="BE73" s="12"/>
      <c r="BF73" s="24"/>
      <c r="BG73" s="29"/>
      <c r="BH73" s="12"/>
      <c r="BI73" s="12"/>
      <c r="BK73" s="11">
        <v>70</v>
      </c>
      <c r="BL73" s="12"/>
      <c r="BM73" s="13"/>
      <c r="BN73" s="13"/>
      <c r="BP73" s="11">
        <v>70</v>
      </c>
      <c r="BQ73" s="12"/>
      <c r="BR73" s="13"/>
      <c r="BS73" s="13"/>
      <c r="BU73" s="11">
        <v>70</v>
      </c>
      <c r="BV73" s="12"/>
      <c r="BW73" s="12"/>
      <c r="BX73" s="12"/>
      <c r="BZ73" s="11">
        <v>70</v>
      </c>
      <c r="CA73" s="12"/>
      <c r="CC73" s="11">
        <v>70</v>
      </c>
      <c r="CD73" s="12"/>
    </row>
    <row r="74" spans="1:82">
      <c r="A74" s="20" t="s">
        <v>22</v>
      </c>
      <c r="B74" s="20">
        <v>7</v>
      </c>
      <c r="C74" s="5" t="s">
        <v>27</v>
      </c>
      <c r="D74" s="37">
        <f t="shared" si="12"/>
        <v>0</v>
      </c>
      <c r="E74" s="59">
        <f t="shared" si="11"/>
        <v>0</v>
      </c>
      <c r="F74" s="38">
        <f t="shared" si="11"/>
        <v>0</v>
      </c>
      <c r="R74" s="11">
        <v>71</v>
      </c>
      <c r="S74" s="12"/>
      <c r="T74" s="13"/>
      <c r="U74" s="13"/>
      <c r="W74" s="11">
        <v>71</v>
      </c>
      <c r="X74" s="12"/>
      <c r="Y74" s="13"/>
      <c r="Z74" s="13"/>
      <c r="AB74" s="11">
        <v>71</v>
      </c>
      <c r="AC74" s="12"/>
      <c r="AD74" s="12"/>
      <c r="AE74" s="12"/>
      <c r="AG74" s="11">
        <v>71</v>
      </c>
      <c r="AH74" s="12"/>
      <c r="AI74" s="12"/>
      <c r="AJ74" s="12"/>
      <c r="AL74" s="11">
        <v>71</v>
      </c>
      <c r="AM74" s="12"/>
      <c r="AN74" s="12"/>
      <c r="AO74" s="12"/>
      <c r="AQ74" s="11">
        <v>71</v>
      </c>
      <c r="AR74" s="13"/>
      <c r="AS74" s="13"/>
      <c r="AT74" s="11">
        <v>71</v>
      </c>
      <c r="AU74" s="13"/>
      <c r="AW74" s="11">
        <v>71</v>
      </c>
      <c r="AX74" s="12"/>
      <c r="AY74" s="12"/>
      <c r="AZ74" s="12"/>
      <c r="BA74" s="12"/>
      <c r="BB74" s="12"/>
      <c r="BC74" s="12"/>
      <c r="BD74" s="12"/>
      <c r="BE74" s="12"/>
      <c r="BF74" s="24"/>
      <c r="BG74" s="29"/>
      <c r="BH74" s="12"/>
      <c r="BI74" s="12"/>
      <c r="BK74" s="11">
        <v>71</v>
      </c>
      <c r="BL74" s="12"/>
      <c r="BM74" s="13"/>
      <c r="BN74" s="13"/>
      <c r="BP74" s="11">
        <v>71</v>
      </c>
      <c r="BQ74" s="12"/>
      <c r="BR74" s="13"/>
      <c r="BS74" s="13"/>
      <c r="BU74" s="11">
        <v>71</v>
      </c>
      <c r="BV74" s="12"/>
      <c r="BW74" s="12"/>
      <c r="BX74" s="12"/>
      <c r="BZ74" s="11">
        <v>71</v>
      </c>
      <c r="CA74" s="12"/>
      <c r="CC74" s="11">
        <v>71</v>
      </c>
      <c r="CD74" s="12"/>
    </row>
    <row r="75" spans="1:82">
      <c r="A75" s="20" t="s">
        <v>23</v>
      </c>
      <c r="B75" s="20">
        <v>8</v>
      </c>
      <c r="C75" s="5" t="s">
        <v>28</v>
      </c>
      <c r="D75" s="37">
        <f t="shared" si="12"/>
        <v>0</v>
      </c>
      <c r="E75" s="59">
        <f t="shared" si="11"/>
        <v>0</v>
      </c>
      <c r="F75" s="38">
        <f t="shared" si="11"/>
        <v>0</v>
      </c>
      <c r="R75" s="11">
        <v>72</v>
      </c>
      <c r="S75" s="12"/>
      <c r="T75" s="13"/>
      <c r="U75" s="13"/>
      <c r="W75" s="11">
        <v>72</v>
      </c>
      <c r="X75" s="12"/>
      <c r="Y75" s="13"/>
      <c r="Z75" s="13"/>
      <c r="AB75" s="11">
        <v>72</v>
      </c>
      <c r="AC75" s="12"/>
      <c r="AD75" s="12"/>
      <c r="AE75" s="12"/>
      <c r="AG75" s="11">
        <v>72</v>
      </c>
      <c r="AH75" s="12"/>
      <c r="AI75" s="12"/>
      <c r="AJ75" s="12"/>
      <c r="AL75" s="11">
        <v>72</v>
      </c>
      <c r="AM75" s="12"/>
      <c r="AN75" s="12"/>
      <c r="AO75" s="12"/>
      <c r="AQ75" s="11">
        <v>72</v>
      </c>
      <c r="AR75" s="13"/>
      <c r="AS75" s="13"/>
      <c r="AT75" s="11">
        <v>72</v>
      </c>
      <c r="AU75" s="13"/>
      <c r="AW75" s="11">
        <v>72</v>
      </c>
      <c r="AX75" s="12"/>
      <c r="AY75" s="12"/>
      <c r="AZ75" s="12"/>
      <c r="BA75" s="12"/>
      <c r="BB75" s="12"/>
      <c r="BC75" s="12"/>
      <c r="BD75" s="12"/>
      <c r="BE75" s="12"/>
      <c r="BF75" s="24"/>
      <c r="BG75" s="29"/>
      <c r="BH75" s="12"/>
      <c r="BI75" s="12"/>
      <c r="BK75" s="11">
        <v>72</v>
      </c>
      <c r="BL75" s="12"/>
      <c r="BM75" s="13"/>
      <c r="BN75" s="13"/>
      <c r="BP75" s="11">
        <v>72</v>
      </c>
      <c r="BQ75" s="12"/>
      <c r="BR75" s="13"/>
      <c r="BS75" s="13"/>
      <c r="BU75" s="11">
        <v>72</v>
      </c>
      <c r="BV75" s="12"/>
      <c r="BW75" s="12"/>
      <c r="BX75" s="12"/>
      <c r="BZ75" s="11">
        <v>72</v>
      </c>
      <c r="CA75" s="12"/>
      <c r="CC75" s="11">
        <v>72</v>
      </c>
      <c r="CD75" s="12"/>
    </row>
    <row r="76" spans="1:82">
      <c r="A76" s="20" t="s">
        <v>24</v>
      </c>
      <c r="B76" s="20">
        <v>9</v>
      </c>
      <c r="C76" s="5" t="s">
        <v>16</v>
      </c>
      <c r="D76" s="37">
        <f t="shared" si="12"/>
        <v>0</v>
      </c>
      <c r="E76" s="59">
        <f t="shared" si="11"/>
        <v>0</v>
      </c>
      <c r="F76" s="38">
        <f t="shared" si="11"/>
        <v>0</v>
      </c>
      <c r="R76" s="11">
        <v>73</v>
      </c>
      <c r="S76" s="12"/>
      <c r="T76" s="13"/>
      <c r="U76" s="13"/>
      <c r="W76" s="11">
        <v>73</v>
      </c>
      <c r="X76" s="12"/>
      <c r="Y76" s="13"/>
      <c r="Z76" s="13"/>
      <c r="AB76" s="11">
        <v>73</v>
      </c>
      <c r="AC76" s="12"/>
      <c r="AD76" s="12"/>
      <c r="AE76" s="12"/>
      <c r="AG76" s="11">
        <v>73</v>
      </c>
      <c r="AH76" s="12"/>
      <c r="AI76" s="12"/>
      <c r="AJ76" s="12"/>
      <c r="AL76" s="11">
        <v>73</v>
      </c>
      <c r="AM76" s="12"/>
      <c r="AN76" s="12"/>
      <c r="AO76" s="12"/>
      <c r="AQ76" s="11">
        <v>73</v>
      </c>
      <c r="AR76" s="13"/>
      <c r="AS76" s="13"/>
      <c r="AT76" s="11">
        <v>73</v>
      </c>
      <c r="AU76" s="13"/>
      <c r="AW76" s="11">
        <v>73</v>
      </c>
      <c r="AX76" s="12"/>
      <c r="AY76" s="12"/>
      <c r="AZ76" s="12"/>
      <c r="BA76" s="12"/>
      <c r="BB76" s="12"/>
      <c r="BC76" s="12"/>
      <c r="BD76" s="12"/>
      <c r="BE76" s="12"/>
      <c r="BF76" s="24"/>
      <c r="BG76" s="29"/>
      <c r="BH76" s="12"/>
      <c r="BI76" s="12"/>
      <c r="BK76" s="11">
        <v>73</v>
      </c>
      <c r="BL76" s="12"/>
      <c r="BM76" s="13"/>
      <c r="BN76" s="13"/>
      <c r="BP76" s="11">
        <v>73</v>
      </c>
      <c r="BQ76" s="12"/>
      <c r="BR76" s="13"/>
      <c r="BS76" s="13"/>
      <c r="BU76" s="11">
        <v>73</v>
      </c>
      <c r="BV76" s="12"/>
      <c r="BW76" s="12"/>
      <c r="BX76" s="12"/>
      <c r="BZ76" s="11">
        <v>73</v>
      </c>
      <c r="CA76" s="12"/>
      <c r="CC76" s="11">
        <v>73</v>
      </c>
      <c r="CD76" s="12"/>
    </row>
    <row r="77" spans="1:82">
      <c r="A77" s="21" t="s">
        <v>35</v>
      </c>
      <c r="B77" s="21">
        <v>10</v>
      </c>
      <c r="C77" s="5" t="s">
        <v>37</v>
      </c>
      <c r="D77" s="37">
        <f t="shared" si="12"/>
        <v>0</v>
      </c>
      <c r="E77" s="59">
        <f t="shared" si="11"/>
        <v>0</v>
      </c>
      <c r="F77" s="38">
        <f t="shared" si="11"/>
        <v>0</v>
      </c>
      <c r="R77" s="11">
        <v>74</v>
      </c>
      <c r="S77" s="12"/>
      <c r="T77" s="13"/>
      <c r="U77" s="13"/>
      <c r="W77" s="11">
        <v>74</v>
      </c>
      <c r="X77" s="12"/>
      <c r="Y77" s="13"/>
      <c r="Z77" s="13"/>
      <c r="AB77" s="11">
        <v>74</v>
      </c>
      <c r="AC77" s="12"/>
      <c r="AD77" s="12"/>
      <c r="AE77" s="12"/>
      <c r="AG77" s="11">
        <v>74</v>
      </c>
      <c r="AH77" s="12"/>
      <c r="AI77" s="12"/>
      <c r="AJ77" s="12"/>
      <c r="AL77" s="11">
        <v>74</v>
      </c>
      <c r="AM77" s="12"/>
      <c r="AN77" s="12"/>
      <c r="AO77" s="12"/>
      <c r="AQ77" s="11">
        <v>74</v>
      </c>
      <c r="AR77" s="13"/>
      <c r="AS77" s="13"/>
      <c r="AT77" s="11">
        <v>74</v>
      </c>
      <c r="AU77" s="13"/>
      <c r="AW77" s="11">
        <v>74</v>
      </c>
      <c r="AX77" s="12"/>
      <c r="AY77" s="12"/>
      <c r="AZ77" s="12"/>
      <c r="BA77" s="12"/>
      <c r="BB77" s="12"/>
      <c r="BC77" s="12"/>
      <c r="BD77" s="12"/>
      <c r="BE77" s="12"/>
      <c r="BF77" s="24"/>
      <c r="BG77" s="29"/>
      <c r="BH77" s="12"/>
      <c r="BI77" s="12"/>
      <c r="BK77" s="11">
        <v>74</v>
      </c>
      <c r="BL77" s="12"/>
      <c r="BM77" s="13"/>
      <c r="BN77" s="13"/>
      <c r="BP77" s="11">
        <v>74</v>
      </c>
      <c r="BQ77" s="12"/>
      <c r="BR77" s="13"/>
      <c r="BS77" s="13"/>
      <c r="BU77" s="11">
        <v>74</v>
      </c>
      <c r="BV77" s="12"/>
      <c r="BW77" s="12"/>
      <c r="BX77" s="12"/>
      <c r="BZ77" s="11">
        <v>74</v>
      </c>
      <c r="CA77" s="12"/>
      <c r="CC77" s="11">
        <v>74</v>
      </c>
      <c r="CD77" s="12"/>
    </row>
    <row r="78" spans="1:82">
      <c r="A78" s="22" t="s">
        <v>39</v>
      </c>
      <c r="B78" s="22">
        <v>11</v>
      </c>
      <c r="C78" s="17" t="s">
        <v>38</v>
      </c>
      <c r="D78" s="60">
        <f t="shared" si="12"/>
        <v>0</v>
      </c>
      <c r="E78" s="39">
        <f t="shared" si="11"/>
        <v>0</v>
      </c>
      <c r="F78" s="40">
        <f t="shared" si="11"/>
        <v>0</v>
      </c>
      <c r="R78" s="11">
        <v>75</v>
      </c>
      <c r="S78" s="12"/>
      <c r="T78" s="13"/>
      <c r="U78" s="13"/>
      <c r="W78" s="11">
        <v>75</v>
      </c>
      <c r="X78" s="12"/>
      <c r="Y78" s="13"/>
      <c r="Z78" s="13"/>
      <c r="AB78" s="11">
        <v>75</v>
      </c>
      <c r="AC78" s="12"/>
      <c r="AD78" s="12"/>
      <c r="AE78" s="12"/>
      <c r="AG78" s="11">
        <v>75</v>
      </c>
      <c r="AH78" s="12"/>
      <c r="AI78" s="12"/>
      <c r="AJ78" s="12"/>
      <c r="AL78" s="11">
        <v>75</v>
      </c>
      <c r="AM78" s="12"/>
      <c r="AN78" s="12"/>
      <c r="AO78" s="12"/>
      <c r="AQ78" s="11">
        <v>75</v>
      </c>
      <c r="AR78" s="13"/>
      <c r="AS78" s="13"/>
      <c r="AT78" s="11">
        <v>75</v>
      </c>
      <c r="AU78" s="13"/>
      <c r="AW78" s="11">
        <v>75</v>
      </c>
      <c r="AX78" s="12"/>
      <c r="AY78" s="12"/>
      <c r="AZ78" s="12"/>
      <c r="BA78" s="12"/>
      <c r="BB78" s="12"/>
      <c r="BC78" s="12"/>
      <c r="BD78" s="12"/>
      <c r="BE78" s="12"/>
      <c r="BF78" s="24"/>
      <c r="BG78" s="29"/>
      <c r="BH78" s="12"/>
      <c r="BI78" s="12"/>
      <c r="BK78" s="11">
        <v>75</v>
      </c>
      <c r="BL78" s="12"/>
      <c r="BM78" s="13"/>
      <c r="BN78" s="13"/>
      <c r="BP78" s="11">
        <v>75</v>
      </c>
      <c r="BQ78" s="12"/>
      <c r="BR78" s="13"/>
      <c r="BS78" s="13"/>
      <c r="BU78" s="11">
        <v>75</v>
      </c>
      <c r="BV78" s="12"/>
      <c r="BW78" s="12"/>
      <c r="BX78" s="12"/>
      <c r="BZ78" s="11">
        <v>75</v>
      </c>
      <c r="CA78" s="12"/>
      <c r="CC78" s="11">
        <v>75</v>
      </c>
      <c r="CD78" s="12"/>
    </row>
    <row r="79" spans="1:82">
      <c r="R79" s="11">
        <v>76</v>
      </c>
      <c r="S79" s="12"/>
      <c r="T79" s="13"/>
      <c r="U79" s="13"/>
      <c r="W79" s="11">
        <v>76</v>
      </c>
      <c r="X79" s="12"/>
      <c r="Y79" s="13"/>
      <c r="Z79" s="13"/>
      <c r="AB79" s="11">
        <v>76</v>
      </c>
      <c r="AC79" s="12"/>
      <c r="AD79" s="12"/>
      <c r="AE79" s="12"/>
      <c r="AG79" s="11">
        <v>76</v>
      </c>
      <c r="AH79" s="12"/>
      <c r="AI79" s="12"/>
      <c r="AJ79" s="12"/>
      <c r="AL79" s="11">
        <v>76</v>
      </c>
      <c r="AM79" s="12"/>
      <c r="AN79" s="12"/>
      <c r="AO79" s="12"/>
      <c r="AQ79" s="11">
        <v>76</v>
      </c>
      <c r="AR79" s="13"/>
      <c r="AS79" s="13"/>
      <c r="AT79" s="11">
        <v>76</v>
      </c>
      <c r="AU79" s="13"/>
      <c r="AW79" s="11">
        <v>76</v>
      </c>
      <c r="AX79" s="12"/>
      <c r="AY79" s="12"/>
      <c r="AZ79" s="12"/>
      <c r="BA79" s="12"/>
      <c r="BB79" s="12"/>
      <c r="BC79" s="12"/>
      <c r="BD79" s="12"/>
      <c r="BE79" s="12"/>
      <c r="BF79" s="24"/>
      <c r="BG79" s="29"/>
      <c r="BH79" s="12"/>
      <c r="BI79" s="12"/>
      <c r="BK79" s="11">
        <v>76</v>
      </c>
      <c r="BL79" s="12"/>
      <c r="BM79" s="13"/>
      <c r="BN79" s="13"/>
      <c r="BP79" s="11">
        <v>76</v>
      </c>
      <c r="BQ79" s="12"/>
      <c r="BR79" s="13"/>
      <c r="BS79" s="13"/>
      <c r="BU79" s="11">
        <v>76</v>
      </c>
      <c r="BV79" s="12"/>
      <c r="BW79" s="12"/>
      <c r="BX79" s="12"/>
      <c r="BZ79" s="11">
        <v>76</v>
      </c>
      <c r="CA79" s="12"/>
      <c r="CC79" s="11">
        <v>76</v>
      </c>
      <c r="CD79" s="12"/>
    </row>
    <row r="80" spans="1:82">
      <c r="R80" s="11">
        <v>77</v>
      </c>
      <c r="S80" s="12"/>
      <c r="T80" s="13"/>
      <c r="U80" s="13"/>
      <c r="W80" s="11">
        <v>77</v>
      </c>
      <c r="X80" s="12"/>
      <c r="Y80" s="13"/>
      <c r="Z80" s="13"/>
      <c r="AB80" s="11">
        <v>77</v>
      </c>
      <c r="AC80" s="12"/>
      <c r="AD80" s="12"/>
      <c r="AE80" s="12"/>
      <c r="AG80" s="11">
        <v>77</v>
      </c>
      <c r="AH80" s="12"/>
      <c r="AI80" s="12"/>
      <c r="AJ80" s="12"/>
      <c r="AL80" s="11">
        <v>77</v>
      </c>
      <c r="AM80" s="12"/>
      <c r="AN80" s="12"/>
      <c r="AO80" s="12"/>
      <c r="AQ80" s="11">
        <v>77</v>
      </c>
      <c r="AR80" s="13"/>
      <c r="AS80" s="13"/>
      <c r="AT80" s="11">
        <v>77</v>
      </c>
      <c r="AU80" s="13"/>
      <c r="AW80" s="11">
        <v>77</v>
      </c>
      <c r="AX80" s="12"/>
      <c r="AY80" s="12"/>
      <c r="AZ80" s="12"/>
      <c r="BA80" s="12"/>
      <c r="BB80" s="12"/>
      <c r="BC80" s="12"/>
      <c r="BD80" s="12"/>
      <c r="BE80" s="12"/>
      <c r="BF80" s="24"/>
      <c r="BG80" s="29"/>
      <c r="BH80" s="12"/>
      <c r="BI80" s="12"/>
      <c r="BK80" s="11">
        <v>77</v>
      </c>
      <c r="BL80" s="12"/>
      <c r="BM80" s="13"/>
      <c r="BN80" s="13"/>
      <c r="BP80" s="11">
        <v>77</v>
      </c>
      <c r="BQ80" s="12"/>
      <c r="BR80" s="13"/>
      <c r="BS80" s="13"/>
      <c r="BU80" s="11">
        <v>77</v>
      </c>
      <c r="BV80" s="12"/>
      <c r="BW80" s="12"/>
      <c r="BX80" s="12"/>
      <c r="BZ80" s="11">
        <v>77</v>
      </c>
      <c r="CA80" s="12"/>
      <c r="CC80" s="11">
        <v>77</v>
      </c>
      <c r="CD80" s="12"/>
    </row>
    <row r="81" spans="18:82">
      <c r="R81" s="11">
        <v>78</v>
      </c>
      <c r="S81" s="12"/>
      <c r="T81" s="13"/>
      <c r="U81" s="13"/>
      <c r="W81" s="11">
        <v>78</v>
      </c>
      <c r="X81" s="12"/>
      <c r="Y81" s="13"/>
      <c r="Z81" s="13"/>
      <c r="AB81" s="11">
        <v>78</v>
      </c>
      <c r="AC81" s="12"/>
      <c r="AD81" s="12"/>
      <c r="AE81" s="12"/>
      <c r="AG81" s="11">
        <v>78</v>
      </c>
      <c r="AH81" s="12"/>
      <c r="AI81" s="12"/>
      <c r="AJ81" s="12"/>
      <c r="AL81" s="11">
        <v>78</v>
      </c>
      <c r="AM81" s="12"/>
      <c r="AN81" s="12"/>
      <c r="AO81" s="12"/>
      <c r="AQ81" s="11">
        <v>78</v>
      </c>
      <c r="AR81" s="13"/>
      <c r="AS81" s="13"/>
      <c r="AT81" s="11">
        <v>78</v>
      </c>
      <c r="AU81" s="13"/>
      <c r="AW81" s="11">
        <v>78</v>
      </c>
      <c r="AX81" s="12"/>
      <c r="AY81" s="12"/>
      <c r="AZ81" s="12"/>
      <c r="BA81" s="12"/>
      <c r="BB81" s="12"/>
      <c r="BC81" s="12"/>
      <c r="BD81" s="12"/>
      <c r="BE81" s="12"/>
      <c r="BF81" s="24"/>
      <c r="BG81" s="29"/>
      <c r="BH81" s="12"/>
      <c r="BI81" s="12"/>
      <c r="BK81" s="11">
        <v>78</v>
      </c>
      <c r="BL81" s="12"/>
      <c r="BM81" s="13"/>
      <c r="BN81" s="13"/>
      <c r="BP81" s="11">
        <v>78</v>
      </c>
      <c r="BQ81" s="12"/>
      <c r="BR81" s="13"/>
      <c r="BS81" s="13"/>
      <c r="BU81" s="11">
        <v>78</v>
      </c>
      <c r="BV81" s="12"/>
      <c r="BW81" s="12"/>
      <c r="BX81" s="12"/>
      <c r="BZ81" s="11">
        <v>78</v>
      </c>
      <c r="CA81" s="12"/>
      <c r="CC81" s="11">
        <v>78</v>
      </c>
      <c r="CD81" s="12"/>
    </row>
    <row r="82" spans="18:82">
      <c r="R82" s="11">
        <v>79</v>
      </c>
      <c r="S82" s="12"/>
      <c r="T82" s="13"/>
      <c r="U82" s="13"/>
      <c r="W82" s="11">
        <v>79</v>
      </c>
      <c r="X82" s="12"/>
      <c r="Y82" s="13"/>
      <c r="Z82" s="13"/>
      <c r="AB82" s="11">
        <v>79</v>
      </c>
      <c r="AC82" s="12"/>
      <c r="AD82" s="12"/>
      <c r="AE82" s="12"/>
      <c r="AG82" s="11">
        <v>79</v>
      </c>
      <c r="AH82" s="12"/>
      <c r="AI82" s="12"/>
      <c r="AJ82" s="12"/>
      <c r="AL82" s="11">
        <v>79</v>
      </c>
      <c r="AM82" s="12"/>
      <c r="AN82" s="12"/>
      <c r="AO82" s="12"/>
      <c r="AQ82" s="11">
        <v>79</v>
      </c>
      <c r="AR82" s="13"/>
      <c r="AS82" s="13"/>
      <c r="AT82" s="11">
        <v>79</v>
      </c>
      <c r="AU82" s="13"/>
      <c r="AW82" s="11">
        <v>79</v>
      </c>
      <c r="AX82" s="12"/>
      <c r="AY82" s="12"/>
      <c r="AZ82" s="12"/>
      <c r="BA82" s="12"/>
      <c r="BB82" s="12"/>
      <c r="BC82" s="12"/>
      <c r="BD82" s="12"/>
      <c r="BE82" s="12"/>
      <c r="BF82" s="24"/>
      <c r="BG82" s="29"/>
      <c r="BH82" s="12"/>
      <c r="BI82" s="12"/>
      <c r="BK82" s="11">
        <v>79</v>
      </c>
      <c r="BL82" s="12"/>
      <c r="BM82" s="13"/>
      <c r="BN82" s="13"/>
      <c r="BP82" s="11">
        <v>79</v>
      </c>
      <c r="BQ82" s="12"/>
      <c r="BR82" s="13"/>
      <c r="BS82" s="13"/>
      <c r="BU82" s="11">
        <v>79</v>
      </c>
      <c r="BV82" s="12"/>
      <c r="BW82" s="12"/>
      <c r="BX82" s="12"/>
      <c r="BZ82" s="11">
        <v>79</v>
      </c>
      <c r="CA82" s="12"/>
      <c r="CC82" s="11">
        <v>79</v>
      </c>
      <c r="CD82" s="12"/>
    </row>
    <row r="83" spans="18:82">
      <c r="R83" s="11">
        <v>80</v>
      </c>
      <c r="S83" s="12"/>
      <c r="T83" s="13"/>
      <c r="U83" s="13"/>
      <c r="W83" s="11">
        <v>80</v>
      </c>
      <c r="X83" s="12"/>
      <c r="Y83" s="13"/>
      <c r="Z83" s="13"/>
      <c r="AB83" s="11">
        <v>80</v>
      </c>
      <c r="AC83" s="12"/>
      <c r="AD83" s="12"/>
      <c r="AE83" s="12"/>
      <c r="AG83" s="11">
        <v>80</v>
      </c>
      <c r="AH83" s="12"/>
      <c r="AI83" s="12"/>
      <c r="AJ83" s="12"/>
      <c r="AL83" s="11">
        <v>80</v>
      </c>
      <c r="AM83" s="12"/>
      <c r="AN83" s="12"/>
      <c r="AO83" s="12"/>
      <c r="AQ83" s="11">
        <v>80</v>
      </c>
      <c r="AR83" s="13"/>
      <c r="AS83" s="13"/>
      <c r="AT83" s="11">
        <v>80</v>
      </c>
      <c r="AU83" s="13"/>
      <c r="AW83" s="11">
        <v>80</v>
      </c>
      <c r="AX83" s="12"/>
      <c r="AY83" s="12"/>
      <c r="AZ83" s="12"/>
      <c r="BA83" s="12"/>
      <c r="BB83" s="12"/>
      <c r="BC83" s="12"/>
      <c r="BD83" s="12"/>
      <c r="BE83" s="12"/>
      <c r="BF83" s="24"/>
      <c r="BG83" s="29"/>
      <c r="BH83" s="12"/>
      <c r="BI83" s="12"/>
      <c r="BK83" s="11">
        <v>80</v>
      </c>
      <c r="BL83" s="12"/>
      <c r="BM83" s="13"/>
      <c r="BN83" s="13"/>
      <c r="BP83" s="11">
        <v>80</v>
      </c>
      <c r="BQ83" s="12"/>
      <c r="BR83" s="13"/>
      <c r="BS83" s="13"/>
      <c r="BU83" s="11">
        <v>80</v>
      </c>
      <c r="BV83" s="12"/>
      <c r="BW83" s="12"/>
      <c r="BX83" s="12"/>
      <c r="BZ83" s="11">
        <v>80</v>
      </c>
      <c r="CA83" s="12"/>
      <c r="CC83" s="11">
        <v>80</v>
      </c>
      <c r="CD83" s="12"/>
    </row>
    <row r="84" spans="18:82">
      <c r="R84" s="11">
        <v>81</v>
      </c>
      <c r="S84" s="12"/>
      <c r="T84" s="13"/>
      <c r="U84" s="13"/>
      <c r="W84" s="11">
        <v>81</v>
      </c>
      <c r="X84" s="12"/>
      <c r="Y84" s="13"/>
      <c r="Z84" s="13"/>
      <c r="AB84" s="11">
        <v>81</v>
      </c>
      <c r="AC84" s="12"/>
      <c r="AD84" s="12"/>
      <c r="AE84" s="12"/>
      <c r="AG84" s="11">
        <v>81</v>
      </c>
      <c r="AH84" s="12"/>
      <c r="AI84" s="12"/>
      <c r="AJ84" s="12"/>
      <c r="AL84" s="11">
        <v>81</v>
      </c>
      <c r="AM84" s="12"/>
      <c r="AN84" s="12"/>
      <c r="AO84" s="12"/>
      <c r="AQ84" s="11">
        <v>81</v>
      </c>
      <c r="AR84" s="13"/>
      <c r="AS84" s="13"/>
      <c r="AT84" s="11">
        <v>81</v>
      </c>
      <c r="AU84" s="13"/>
      <c r="AW84" s="11">
        <v>81</v>
      </c>
      <c r="AX84" s="12"/>
      <c r="AY84" s="12"/>
      <c r="AZ84" s="12"/>
      <c r="BA84" s="12"/>
      <c r="BB84" s="12"/>
      <c r="BC84" s="12"/>
      <c r="BD84" s="12"/>
      <c r="BE84" s="12"/>
      <c r="BF84" s="24"/>
      <c r="BG84" s="29"/>
      <c r="BH84" s="12"/>
      <c r="BI84" s="12"/>
      <c r="BK84" s="11">
        <v>81</v>
      </c>
      <c r="BL84" s="12"/>
      <c r="BM84" s="13"/>
      <c r="BN84" s="13"/>
      <c r="BP84" s="11">
        <v>81</v>
      </c>
      <c r="BQ84" s="12"/>
      <c r="BR84" s="13"/>
      <c r="BS84" s="13"/>
      <c r="BU84" s="11">
        <v>81</v>
      </c>
      <c r="BV84" s="12"/>
      <c r="BW84" s="12"/>
      <c r="BX84" s="12"/>
      <c r="BZ84" s="11">
        <v>81</v>
      </c>
      <c r="CA84" s="12"/>
      <c r="CC84" s="11">
        <v>81</v>
      </c>
      <c r="CD84" s="12"/>
    </row>
    <row r="85" spans="18:82">
      <c r="R85" s="11">
        <v>82</v>
      </c>
      <c r="S85" s="12"/>
      <c r="T85" s="13"/>
      <c r="U85" s="13"/>
      <c r="W85" s="11">
        <v>82</v>
      </c>
      <c r="X85" s="12"/>
      <c r="Y85" s="13"/>
      <c r="Z85" s="13"/>
      <c r="AB85" s="11">
        <v>82</v>
      </c>
      <c r="AC85" s="12"/>
      <c r="AD85" s="12"/>
      <c r="AE85" s="12"/>
      <c r="AG85" s="11">
        <v>82</v>
      </c>
      <c r="AH85" s="12"/>
      <c r="AI85" s="12"/>
      <c r="AJ85" s="12"/>
      <c r="AL85" s="11">
        <v>82</v>
      </c>
      <c r="AM85" s="12"/>
      <c r="AN85" s="12"/>
      <c r="AO85" s="12"/>
      <c r="AQ85" s="11">
        <v>82</v>
      </c>
      <c r="AR85" s="13"/>
      <c r="AS85" s="13"/>
      <c r="AT85" s="11">
        <v>82</v>
      </c>
      <c r="AU85" s="13"/>
      <c r="AW85" s="11">
        <v>82</v>
      </c>
      <c r="AX85" s="12"/>
      <c r="AY85" s="12"/>
      <c r="AZ85" s="12"/>
      <c r="BA85" s="12"/>
      <c r="BB85" s="12"/>
      <c r="BC85" s="12"/>
      <c r="BD85" s="12"/>
      <c r="BE85" s="12"/>
      <c r="BF85" s="24"/>
      <c r="BG85" s="29"/>
      <c r="BH85" s="12"/>
      <c r="BI85" s="12"/>
      <c r="BK85" s="11">
        <v>82</v>
      </c>
      <c r="BL85" s="12"/>
      <c r="BM85" s="13"/>
      <c r="BN85" s="13"/>
      <c r="BP85" s="11">
        <v>82</v>
      </c>
      <c r="BQ85" s="12"/>
      <c r="BR85" s="13"/>
      <c r="BS85" s="13"/>
      <c r="BU85" s="11">
        <v>82</v>
      </c>
      <c r="BV85" s="12"/>
      <c r="BW85" s="12"/>
      <c r="BX85" s="12"/>
      <c r="BZ85" s="11">
        <v>82</v>
      </c>
      <c r="CA85" s="12"/>
      <c r="CC85" s="11">
        <v>82</v>
      </c>
      <c r="CD85" s="12"/>
    </row>
    <row r="86" spans="18:82">
      <c r="R86" s="11">
        <v>83</v>
      </c>
      <c r="S86" s="12"/>
      <c r="T86" s="13"/>
      <c r="U86" s="13"/>
      <c r="W86" s="11">
        <v>83</v>
      </c>
      <c r="X86" s="12"/>
      <c r="Y86" s="13"/>
      <c r="Z86" s="13"/>
      <c r="AB86" s="11">
        <v>83</v>
      </c>
      <c r="AC86" s="12"/>
      <c r="AD86" s="12"/>
      <c r="AE86" s="12"/>
      <c r="AG86" s="11">
        <v>83</v>
      </c>
      <c r="AH86" s="12"/>
      <c r="AI86" s="12"/>
      <c r="AJ86" s="12"/>
      <c r="AL86" s="11">
        <v>83</v>
      </c>
      <c r="AM86" s="12"/>
      <c r="AN86" s="12"/>
      <c r="AO86" s="12"/>
      <c r="AQ86" s="11">
        <v>83</v>
      </c>
      <c r="AR86" s="13"/>
      <c r="AS86" s="13"/>
      <c r="AT86" s="11">
        <v>83</v>
      </c>
      <c r="AU86" s="13"/>
      <c r="AW86" s="11">
        <v>83</v>
      </c>
      <c r="AX86" s="12"/>
      <c r="AY86" s="12"/>
      <c r="AZ86" s="12"/>
      <c r="BA86" s="12"/>
      <c r="BB86" s="12"/>
      <c r="BC86" s="12"/>
      <c r="BD86" s="12"/>
      <c r="BE86" s="12"/>
      <c r="BF86" s="24"/>
      <c r="BG86" s="29"/>
      <c r="BH86" s="12"/>
      <c r="BI86" s="12"/>
      <c r="BK86" s="11">
        <v>83</v>
      </c>
      <c r="BL86" s="12"/>
      <c r="BM86" s="13"/>
      <c r="BN86" s="13"/>
      <c r="BP86" s="11">
        <v>83</v>
      </c>
      <c r="BQ86" s="12"/>
      <c r="BR86" s="13"/>
      <c r="BS86" s="13"/>
      <c r="BU86" s="11">
        <v>83</v>
      </c>
      <c r="BV86" s="12"/>
      <c r="BW86" s="12"/>
      <c r="BX86" s="12"/>
      <c r="BZ86" s="11">
        <v>83</v>
      </c>
      <c r="CA86" s="12"/>
      <c r="CC86" s="11">
        <v>83</v>
      </c>
      <c r="CD86" s="12"/>
    </row>
    <row r="87" spans="18:82">
      <c r="R87" s="11">
        <v>84</v>
      </c>
      <c r="S87" s="12"/>
      <c r="T87" s="13"/>
      <c r="U87" s="13"/>
      <c r="W87" s="11">
        <v>84</v>
      </c>
      <c r="X87" s="12"/>
      <c r="Y87" s="13"/>
      <c r="Z87" s="13"/>
      <c r="AB87" s="11">
        <v>84</v>
      </c>
      <c r="AC87" s="12"/>
      <c r="AD87" s="12"/>
      <c r="AE87" s="12"/>
      <c r="AG87" s="11">
        <v>84</v>
      </c>
      <c r="AH87" s="12"/>
      <c r="AI87" s="12"/>
      <c r="AJ87" s="12"/>
      <c r="AL87" s="11">
        <v>84</v>
      </c>
      <c r="AM87" s="12"/>
      <c r="AN87" s="12"/>
      <c r="AO87" s="12"/>
      <c r="AQ87" s="11">
        <v>84</v>
      </c>
      <c r="AR87" s="13"/>
      <c r="AS87" s="13"/>
      <c r="AT87" s="11">
        <v>84</v>
      </c>
      <c r="AU87" s="13"/>
      <c r="AW87" s="11">
        <v>84</v>
      </c>
      <c r="AX87" s="12"/>
      <c r="AY87" s="12"/>
      <c r="AZ87" s="12"/>
      <c r="BA87" s="12"/>
      <c r="BB87" s="12"/>
      <c r="BC87" s="12"/>
      <c r="BD87" s="12"/>
      <c r="BE87" s="12"/>
      <c r="BF87" s="24"/>
      <c r="BG87" s="29"/>
      <c r="BH87" s="12"/>
      <c r="BI87" s="12"/>
      <c r="BK87" s="11">
        <v>84</v>
      </c>
      <c r="BL87" s="12"/>
      <c r="BM87" s="13"/>
      <c r="BN87" s="13"/>
      <c r="BP87" s="11">
        <v>84</v>
      </c>
      <c r="BQ87" s="12"/>
      <c r="BR87" s="13"/>
      <c r="BS87" s="13"/>
      <c r="BU87" s="11">
        <v>84</v>
      </c>
      <c r="BV87" s="12"/>
      <c r="BW87" s="12"/>
      <c r="BX87" s="12"/>
      <c r="BZ87" s="11">
        <v>84</v>
      </c>
      <c r="CA87" s="12"/>
      <c r="CC87" s="11">
        <v>84</v>
      </c>
      <c r="CD87" s="12"/>
    </row>
    <row r="88" spans="18:82">
      <c r="R88" s="11">
        <v>85</v>
      </c>
      <c r="S88" s="12"/>
      <c r="T88" s="13"/>
      <c r="U88" s="13"/>
      <c r="W88" s="11">
        <v>85</v>
      </c>
      <c r="X88" s="12"/>
      <c r="Y88" s="13"/>
      <c r="Z88" s="13"/>
      <c r="AB88" s="11">
        <v>85</v>
      </c>
      <c r="AC88" s="12"/>
      <c r="AD88" s="12"/>
      <c r="AE88" s="12"/>
      <c r="AG88" s="11">
        <v>85</v>
      </c>
      <c r="AH88" s="12"/>
      <c r="AI88" s="12"/>
      <c r="AJ88" s="12"/>
      <c r="AL88" s="11">
        <v>85</v>
      </c>
      <c r="AM88" s="12"/>
      <c r="AN88" s="12"/>
      <c r="AO88" s="12"/>
      <c r="AQ88" s="11">
        <v>85</v>
      </c>
      <c r="AR88" s="13"/>
      <c r="AS88" s="13"/>
      <c r="AT88" s="11">
        <v>85</v>
      </c>
      <c r="AU88" s="13"/>
      <c r="AW88" s="11">
        <v>85</v>
      </c>
      <c r="AX88" s="12"/>
      <c r="AY88" s="12"/>
      <c r="AZ88" s="12"/>
      <c r="BA88" s="12"/>
      <c r="BB88" s="12"/>
      <c r="BC88" s="12"/>
      <c r="BD88" s="12"/>
      <c r="BE88" s="12"/>
      <c r="BF88" s="24"/>
      <c r="BG88" s="29"/>
      <c r="BH88" s="12"/>
      <c r="BI88" s="12"/>
      <c r="BK88" s="11">
        <v>85</v>
      </c>
      <c r="BL88" s="12"/>
      <c r="BM88" s="13"/>
      <c r="BN88" s="13"/>
      <c r="BP88" s="11">
        <v>85</v>
      </c>
      <c r="BQ88" s="12"/>
      <c r="BR88" s="13"/>
      <c r="BS88" s="13"/>
      <c r="BU88" s="11">
        <v>85</v>
      </c>
      <c r="BV88" s="12"/>
      <c r="BW88" s="12"/>
      <c r="BX88" s="12"/>
      <c r="BZ88" s="11">
        <v>85</v>
      </c>
      <c r="CA88" s="12"/>
      <c r="CC88" s="11">
        <v>85</v>
      </c>
      <c r="CD88" s="12"/>
    </row>
    <row r="89" spans="18:82">
      <c r="R89" s="11">
        <v>86</v>
      </c>
      <c r="S89" s="12"/>
      <c r="T89" s="13"/>
      <c r="U89" s="13"/>
      <c r="W89" s="11">
        <v>86</v>
      </c>
      <c r="X89" s="12"/>
      <c r="Y89" s="13"/>
      <c r="Z89" s="13"/>
      <c r="AB89" s="11">
        <v>86</v>
      </c>
      <c r="AC89" s="12"/>
      <c r="AD89" s="12"/>
      <c r="AE89" s="12"/>
      <c r="AG89" s="11">
        <v>86</v>
      </c>
      <c r="AH89" s="12"/>
      <c r="AI89" s="12"/>
      <c r="AJ89" s="12"/>
      <c r="AL89" s="11">
        <v>86</v>
      </c>
      <c r="AM89" s="12"/>
      <c r="AN89" s="12"/>
      <c r="AO89" s="12"/>
      <c r="AQ89" s="11">
        <v>86</v>
      </c>
      <c r="AR89" s="13"/>
      <c r="AS89" s="13"/>
      <c r="AT89" s="11">
        <v>86</v>
      </c>
      <c r="AU89" s="13"/>
      <c r="AW89" s="11">
        <v>86</v>
      </c>
      <c r="AX89" s="12"/>
      <c r="AY89" s="12"/>
      <c r="AZ89" s="12"/>
      <c r="BA89" s="12"/>
      <c r="BB89" s="12"/>
      <c r="BC89" s="12"/>
      <c r="BD89" s="12"/>
      <c r="BE89" s="12"/>
      <c r="BF89" s="24"/>
      <c r="BG89" s="29"/>
      <c r="BH89" s="12"/>
      <c r="BI89" s="12"/>
      <c r="BK89" s="11">
        <v>86</v>
      </c>
      <c r="BL89" s="12"/>
      <c r="BM89" s="13"/>
      <c r="BN89" s="13"/>
      <c r="BP89" s="11">
        <v>86</v>
      </c>
      <c r="BQ89" s="12"/>
      <c r="BR89" s="13"/>
      <c r="BS89" s="13"/>
      <c r="BU89" s="11">
        <v>86</v>
      </c>
      <c r="BV89" s="12"/>
      <c r="BW89" s="12"/>
      <c r="BX89" s="12"/>
      <c r="BZ89" s="11">
        <v>86</v>
      </c>
      <c r="CA89" s="12"/>
      <c r="CC89" s="11">
        <v>86</v>
      </c>
      <c r="CD89" s="12"/>
    </row>
    <row r="90" spans="18:82">
      <c r="R90" s="11">
        <v>87</v>
      </c>
      <c r="S90" s="12"/>
      <c r="T90" s="13"/>
      <c r="U90" s="13"/>
      <c r="W90" s="11">
        <v>87</v>
      </c>
      <c r="X90" s="12"/>
      <c r="Y90" s="13"/>
      <c r="Z90" s="13"/>
      <c r="AB90" s="11">
        <v>87</v>
      </c>
      <c r="AC90" s="12"/>
      <c r="AD90" s="12"/>
      <c r="AE90" s="12"/>
      <c r="AG90" s="11">
        <v>87</v>
      </c>
      <c r="AH90" s="12"/>
      <c r="AI90" s="12"/>
      <c r="AJ90" s="12"/>
      <c r="AL90" s="11">
        <v>87</v>
      </c>
      <c r="AM90" s="12"/>
      <c r="AN90" s="12"/>
      <c r="AO90" s="12"/>
      <c r="AQ90" s="11">
        <v>87</v>
      </c>
      <c r="AR90" s="13"/>
      <c r="AS90" s="13"/>
      <c r="AT90" s="11">
        <v>87</v>
      </c>
      <c r="AU90" s="13"/>
      <c r="AW90" s="11">
        <v>87</v>
      </c>
      <c r="AX90" s="12"/>
      <c r="AY90" s="12"/>
      <c r="AZ90" s="12"/>
      <c r="BA90" s="12"/>
      <c r="BB90" s="12"/>
      <c r="BC90" s="12"/>
      <c r="BD90" s="12"/>
      <c r="BE90" s="12"/>
      <c r="BF90" s="24"/>
      <c r="BG90" s="29"/>
      <c r="BH90" s="12"/>
      <c r="BI90" s="12"/>
      <c r="BK90" s="11">
        <v>87</v>
      </c>
      <c r="BL90" s="12"/>
      <c r="BM90" s="13"/>
      <c r="BN90" s="13"/>
      <c r="BP90" s="11">
        <v>87</v>
      </c>
      <c r="BQ90" s="12"/>
      <c r="BR90" s="13"/>
      <c r="BS90" s="13"/>
      <c r="BU90" s="11">
        <v>87</v>
      </c>
      <c r="BV90" s="12"/>
      <c r="BW90" s="12"/>
      <c r="BX90" s="12"/>
      <c r="BZ90" s="11">
        <v>87</v>
      </c>
      <c r="CA90" s="12"/>
      <c r="CC90" s="11">
        <v>87</v>
      </c>
      <c r="CD90" s="12"/>
    </row>
    <row r="91" spans="18:82">
      <c r="R91" s="11">
        <v>88</v>
      </c>
      <c r="S91" s="12"/>
      <c r="T91" s="13"/>
      <c r="U91" s="13"/>
      <c r="W91" s="11">
        <v>88</v>
      </c>
      <c r="X91" s="12"/>
      <c r="Y91" s="13"/>
      <c r="Z91" s="13"/>
      <c r="AB91" s="11">
        <v>88</v>
      </c>
      <c r="AC91" s="12"/>
      <c r="AD91" s="12"/>
      <c r="AE91" s="12"/>
      <c r="AG91" s="11">
        <v>88</v>
      </c>
      <c r="AH91" s="12"/>
      <c r="AI91" s="12"/>
      <c r="AJ91" s="12"/>
      <c r="AL91" s="11">
        <v>88</v>
      </c>
      <c r="AM91" s="12"/>
      <c r="AN91" s="12"/>
      <c r="AO91" s="12"/>
      <c r="AQ91" s="11">
        <v>88</v>
      </c>
      <c r="AR91" s="13"/>
      <c r="AS91" s="13"/>
      <c r="AT91" s="11">
        <v>88</v>
      </c>
      <c r="AU91" s="13"/>
      <c r="AW91" s="11">
        <v>88</v>
      </c>
      <c r="AX91" s="12"/>
      <c r="AY91" s="12"/>
      <c r="AZ91" s="12"/>
      <c r="BA91" s="12"/>
      <c r="BB91" s="12"/>
      <c r="BC91" s="12"/>
      <c r="BD91" s="12"/>
      <c r="BE91" s="12"/>
      <c r="BF91" s="24"/>
      <c r="BG91" s="29"/>
      <c r="BH91" s="12"/>
      <c r="BI91" s="12"/>
      <c r="BK91" s="11">
        <v>88</v>
      </c>
      <c r="BL91" s="12"/>
      <c r="BM91" s="13"/>
      <c r="BN91" s="13"/>
      <c r="BP91" s="11">
        <v>88</v>
      </c>
      <c r="BQ91" s="12"/>
      <c r="BR91" s="13"/>
      <c r="BS91" s="13"/>
      <c r="BU91" s="11">
        <v>88</v>
      </c>
      <c r="BV91" s="12"/>
      <c r="BW91" s="12"/>
      <c r="BX91" s="12"/>
      <c r="BZ91" s="11">
        <v>88</v>
      </c>
      <c r="CA91" s="12"/>
      <c r="CC91" s="11">
        <v>88</v>
      </c>
      <c r="CD91" s="12"/>
    </row>
    <row r="92" spans="18:82">
      <c r="R92" s="11">
        <v>89</v>
      </c>
      <c r="S92" s="12"/>
      <c r="T92" s="13"/>
      <c r="U92" s="13"/>
      <c r="W92" s="11">
        <v>89</v>
      </c>
      <c r="X92" s="12"/>
      <c r="Y92" s="13"/>
      <c r="Z92" s="13"/>
      <c r="AB92" s="11">
        <v>89</v>
      </c>
      <c r="AC92" s="12"/>
      <c r="AD92" s="12"/>
      <c r="AE92" s="12"/>
      <c r="AG92" s="11">
        <v>89</v>
      </c>
      <c r="AH92" s="12"/>
      <c r="AI92" s="12"/>
      <c r="AJ92" s="12"/>
      <c r="AL92" s="11">
        <v>89</v>
      </c>
      <c r="AM92" s="12"/>
      <c r="AN92" s="12"/>
      <c r="AO92" s="12"/>
      <c r="AQ92" s="11">
        <v>89</v>
      </c>
      <c r="AR92" s="13"/>
      <c r="AS92" s="13"/>
      <c r="AT92" s="11">
        <v>89</v>
      </c>
      <c r="AU92" s="13"/>
      <c r="AW92" s="11">
        <v>89</v>
      </c>
      <c r="AX92" s="12"/>
      <c r="AY92" s="12"/>
      <c r="AZ92" s="12"/>
      <c r="BA92" s="12"/>
      <c r="BB92" s="12"/>
      <c r="BC92" s="12"/>
      <c r="BD92" s="12"/>
      <c r="BE92" s="12"/>
      <c r="BF92" s="24"/>
      <c r="BG92" s="29"/>
      <c r="BH92" s="12"/>
      <c r="BI92" s="12"/>
      <c r="BK92" s="11">
        <v>89</v>
      </c>
      <c r="BL92" s="12"/>
      <c r="BM92" s="13"/>
      <c r="BN92" s="13"/>
      <c r="BP92" s="11">
        <v>89</v>
      </c>
      <c r="BQ92" s="12"/>
      <c r="BR92" s="13"/>
      <c r="BS92" s="13"/>
      <c r="BU92" s="11">
        <v>89</v>
      </c>
      <c r="BV92" s="12"/>
      <c r="BW92" s="12"/>
      <c r="BX92" s="12"/>
      <c r="BZ92" s="11">
        <v>89</v>
      </c>
      <c r="CA92" s="12"/>
      <c r="CC92" s="11">
        <v>89</v>
      </c>
      <c r="CD92" s="12"/>
    </row>
    <row r="93" spans="18:82">
      <c r="R93" s="11">
        <v>90</v>
      </c>
      <c r="S93" s="12"/>
      <c r="T93" s="13"/>
      <c r="U93" s="13"/>
      <c r="W93" s="11">
        <v>90</v>
      </c>
      <c r="X93" s="12"/>
      <c r="Y93" s="13"/>
      <c r="Z93" s="13"/>
      <c r="AB93" s="11">
        <v>90</v>
      </c>
      <c r="AC93" s="12"/>
      <c r="AD93" s="12"/>
      <c r="AE93" s="12"/>
      <c r="AG93" s="11">
        <v>90</v>
      </c>
      <c r="AH93" s="12"/>
      <c r="AI93" s="12"/>
      <c r="AJ93" s="12"/>
      <c r="AL93" s="11">
        <v>90</v>
      </c>
      <c r="AM93" s="12"/>
      <c r="AN93" s="12"/>
      <c r="AO93" s="12"/>
      <c r="AQ93" s="11">
        <v>90</v>
      </c>
      <c r="AR93" s="13"/>
      <c r="AS93" s="13"/>
      <c r="AT93" s="11">
        <v>90</v>
      </c>
      <c r="AU93" s="13"/>
      <c r="AW93" s="11">
        <v>90</v>
      </c>
      <c r="AX93" s="12"/>
      <c r="AY93" s="12"/>
      <c r="AZ93" s="12"/>
      <c r="BA93" s="12"/>
      <c r="BB93" s="12"/>
      <c r="BC93" s="12"/>
      <c r="BD93" s="12"/>
      <c r="BE93" s="12"/>
      <c r="BF93" s="24"/>
      <c r="BG93" s="29"/>
      <c r="BH93" s="12"/>
      <c r="BI93" s="12"/>
      <c r="BK93" s="11">
        <v>90</v>
      </c>
      <c r="BL93" s="12"/>
      <c r="BM93" s="13"/>
      <c r="BN93" s="13"/>
      <c r="BP93" s="11">
        <v>90</v>
      </c>
      <c r="BQ93" s="12"/>
      <c r="BR93" s="13"/>
      <c r="BS93" s="13"/>
      <c r="BU93" s="11">
        <v>90</v>
      </c>
      <c r="BV93" s="12"/>
      <c r="BW93" s="12"/>
      <c r="BX93" s="12"/>
      <c r="BZ93" s="11">
        <v>90</v>
      </c>
      <c r="CA93" s="12"/>
      <c r="CC93" s="11">
        <v>90</v>
      </c>
      <c r="CD93" s="12"/>
    </row>
    <row r="94" spans="18:82">
      <c r="R94" s="11">
        <v>91</v>
      </c>
      <c r="S94" s="12"/>
      <c r="T94" s="13"/>
      <c r="U94" s="13"/>
      <c r="W94" s="11">
        <v>91</v>
      </c>
      <c r="X94" s="12"/>
      <c r="Y94" s="13"/>
      <c r="Z94" s="13"/>
      <c r="AB94" s="11">
        <v>91</v>
      </c>
      <c r="AC94" s="12"/>
      <c r="AD94" s="12"/>
      <c r="AE94" s="12"/>
      <c r="AG94" s="11">
        <v>91</v>
      </c>
      <c r="AH94" s="12"/>
      <c r="AI94" s="12"/>
      <c r="AJ94" s="12"/>
      <c r="AL94" s="11">
        <v>91</v>
      </c>
      <c r="AM94" s="12"/>
      <c r="AN94" s="12"/>
      <c r="AO94" s="12"/>
      <c r="AQ94" s="11">
        <v>91</v>
      </c>
      <c r="AR94" s="13"/>
      <c r="AS94" s="13"/>
      <c r="AT94" s="11">
        <v>91</v>
      </c>
      <c r="AU94" s="13"/>
      <c r="AW94" s="11">
        <v>91</v>
      </c>
      <c r="AX94" s="12"/>
      <c r="AY94" s="12"/>
      <c r="AZ94" s="12"/>
      <c r="BA94" s="12"/>
      <c r="BB94" s="12"/>
      <c r="BC94" s="12"/>
      <c r="BD94" s="12"/>
      <c r="BE94" s="12"/>
      <c r="BF94" s="24"/>
      <c r="BG94" s="29"/>
      <c r="BH94" s="12"/>
      <c r="BI94" s="12"/>
      <c r="BK94" s="11">
        <v>91</v>
      </c>
      <c r="BL94" s="12"/>
      <c r="BM94" s="13"/>
      <c r="BN94" s="13"/>
      <c r="BP94" s="11">
        <v>91</v>
      </c>
      <c r="BQ94" s="12"/>
      <c r="BR94" s="13"/>
      <c r="BS94" s="13"/>
      <c r="BU94" s="11">
        <v>91</v>
      </c>
      <c r="BV94" s="12"/>
      <c r="BW94" s="12"/>
      <c r="BX94" s="12"/>
      <c r="BZ94" s="11">
        <v>91</v>
      </c>
      <c r="CA94" s="12"/>
      <c r="CC94" s="11">
        <v>91</v>
      </c>
      <c r="CD94" s="12"/>
    </row>
    <row r="95" spans="18:82">
      <c r="R95" s="11">
        <v>92</v>
      </c>
      <c r="S95" s="12"/>
      <c r="T95" s="13"/>
      <c r="U95" s="13"/>
      <c r="W95" s="11">
        <v>92</v>
      </c>
      <c r="X95" s="12"/>
      <c r="Y95" s="13"/>
      <c r="Z95" s="13"/>
      <c r="AB95" s="11">
        <v>92</v>
      </c>
      <c r="AC95" s="12"/>
      <c r="AD95" s="12"/>
      <c r="AE95" s="12"/>
      <c r="AG95" s="11">
        <v>92</v>
      </c>
      <c r="AH95" s="12"/>
      <c r="AI95" s="12"/>
      <c r="AJ95" s="12"/>
      <c r="AL95" s="11">
        <v>92</v>
      </c>
      <c r="AM95" s="12"/>
      <c r="AN95" s="12"/>
      <c r="AO95" s="12"/>
      <c r="AQ95" s="11">
        <v>92</v>
      </c>
      <c r="AR95" s="13"/>
      <c r="AS95" s="13"/>
      <c r="AT95" s="11">
        <v>92</v>
      </c>
      <c r="AU95" s="13"/>
      <c r="AW95" s="11">
        <v>92</v>
      </c>
      <c r="AX95" s="12"/>
      <c r="AY95" s="12"/>
      <c r="AZ95" s="12"/>
      <c r="BA95" s="12"/>
      <c r="BB95" s="12"/>
      <c r="BC95" s="12"/>
      <c r="BD95" s="12"/>
      <c r="BE95" s="12"/>
      <c r="BF95" s="24"/>
      <c r="BG95" s="29"/>
      <c r="BH95" s="12"/>
      <c r="BI95" s="12"/>
      <c r="BK95" s="11">
        <v>92</v>
      </c>
      <c r="BL95" s="12"/>
      <c r="BM95" s="13"/>
      <c r="BN95" s="13"/>
      <c r="BP95" s="11">
        <v>92</v>
      </c>
      <c r="BQ95" s="12"/>
      <c r="BR95" s="13"/>
      <c r="BS95" s="13"/>
      <c r="BU95" s="11">
        <v>92</v>
      </c>
      <c r="BV95" s="12"/>
      <c r="BW95" s="12"/>
      <c r="BX95" s="12"/>
      <c r="BZ95" s="11">
        <v>92</v>
      </c>
      <c r="CA95" s="12"/>
      <c r="CC95" s="11">
        <v>92</v>
      </c>
      <c r="CD95" s="12"/>
    </row>
    <row r="96" spans="18:82">
      <c r="R96" s="11">
        <v>93</v>
      </c>
      <c r="S96" s="12"/>
      <c r="T96" s="13"/>
      <c r="U96" s="13"/>
      <c r="W96" s="11">
        <v>93</v>
      </c>
      <c r="X96" s="12"/>
      <c r="Y96" s="13"/>
      <c r="Z96" s="13"/>
      <c r="AB96" s="11">
        <v>93</v>
      </c>
      <c r="AC96" s="12"/>
      <c r="AD96" s="12"/>
      <c r="AE96" s="12"/>
      <c r="AG96" s="11">
        <v>93</v>
      </c>
      <c r="AH96" s="12"/>
      <c r="AI96" s="12"/>
      <c r="AJ96" s="12"/>
      <c r="AL96" s="11">
        <v>93</v>
      </c>
      <c r="AM96" s="12"/>
      <c r="AN96" s="12"/>
      <c r="AO96" s="12"/>
      <c r="AQ96" s="11">
        <v>93</v>
      </c>
      <c r="AR96" s="13"/>
      <c r="AS96" s="13"/>
      <c r="AT96" s="11">
        <v>93</v>
      </c>
      <c r="AU96" s="13"/>
      <c r="AW96" s="11">
        <v>93</v>
      </c>
      <c r="AX96" s="12"/>
      <c r="AY96" s="12"/>
      <c r="AZ96" s="12"/>
      <c r="BA96" s="12"/>
      <c r="BB96" s="12"/>
      <c r="BC96" s="12"/>
      <c r="BD96" s="12"/>
      <c r="BE96" s="12"/>
      <c r="BF96" s="24"/>
      <c r="BG96" s="29"/>
      <c r="BH96" s="12"/>
      <c r="BI96" s="12"/>
      <c r="BK96" s="11">
        <v>93</v>
      </c>
      <c r="BL96" s="12"/>
      <c r="BM96" s="13"/>
      <c r="BN96" s="13"/>
      <c r="BP96" s="11">
        <v>93</v>
      </c>
      <c r="BQ96" s="12"/>
      <c r="BR96" s="13"/>
      <c r="BS96" s="13"/>
      <c r="BU96" s="11">
        <v>93</v>
      </c>
      <c r="BV96" s="12"/>
      <c r="BW96" s="12"/>
      <c r="BX96" s="12"/>
      <c r="BZ96" s="11">
        <v>93</v>
      </c>
      <c r="CA96" s="12"/>
      <c r="CC96" s="11">
        <v>93</v>
      </c>
      <c r="CD96" s="12"/>
    </row>
    <row r="97" spans="18:82">
      <c r="R97" s="11">
        <v>94</v>
      </c>
      <c r="S97" s="12"/>
      <c r="T97" s="13"/>
      <c r="U97" s="13"/>
      <c r="W97" s="11">
        <v>94</v>
      </c>
      <c r="X97" s="12"/>
      <c r="Y97" s="13"/>
      <c r="Z97" s="13"/>
      <c r="AB97" s="11">
        <v>94</v>
      </c>
      <c r="AC97" s="12"/>
      <c r="AD97" s="12"/>
      <c r="AE97" s="12"/>
      <c r="AG97" s="11">
        <v>94</v>
      </c>
      <c r="AH97" s="12"/>
      <c r="AI97" s="12"/>
      <c r="AJ97" s="12"/>
      <c r="AL97" s="11">
        <v>94</v>
      </c>
      <c r="AM97" s="12"/>
      <c r="AN97" s="12"/>
      <c r="AO97" s="12"/>
      <c r="AQ97" s="11">
        <v>94</v>
      </c>
      <c r="AR97" s="13"/>
      <c r="AS97" s="13"/>
      <c r="AT97" s="11">
        <v>94</v>
      </c>
      <c r="AU97" s="13"/>
      <c r="AW97" s="11">
        <v>94</v>
      </c>
      <c r="AX97" s="12"/>
      <c r="AY97" s="12"/>
      <c r="AZ97" s="12"/>
      <c r="BA97" s="12"/>
      <c r="BB97" s="12"/>
      <c r="BC97" s="12"/>
      <c r="BD97" s="12"/>
      <c r="BE97" s="12"/>
      <c r="BF97" s="24"/>
      <c r="BG97" s="29"/>
      <c r="BH97" s="12"/>
      <c r="BI97" s="12"/>
      <c r="BK97" s="11">
        <v>94</v>
      </c>
      <c r="BL97" s="12"/>
      <c r="BM97" s="13"/>
      <c r="BN97" s="13"/>
      <c r="BP97" s="11">
        <v>94</v>
      </c>
      <c r="BQ97" s="12"/>
      <c r="BR97" s="13"/>
      <c r="BS97" s="13"/>
      <c r="BU97" s="11">
        <v>94</v>
      </c>
      <c r="BV97" s="12"/>
      <c r="BW97" s="12"/>
      <c r="BX97" s="12"/>
      <c r="BZ97" s="11">
        <v>94</v>
      </c>
      <c r="CA97" s="12"/>
      <c r="CC97" s="11">
        <v>94</v>
      </c>
      <c r="CD97" s="12"/>
    </row>
    <row r="98" spans="18:82">
      <c r="R98" s="11">
        <v>95</v>
      </c>
      <c r="S98" s="12"/>
      <c r="T98" s="13"/>
      <c r="U98" s="13"/>
      <c r="W98" s="11">
        <v>95</v>
      </c>
      <c r="X98" s="12"/>
      <c r="Y98" s="13"/>
      <c r="Z98" s="13"/>
      <c r="AB98" s="11">
        <v>95</v>
      </c>
      <c r="AC98" s="12"/>
      <c r="AD98" s="12"/>
      <c r="AE98" s="12"/>
      <c r="AG98" s="11">
        <v>95</v>
      </c>
      <c r="AH98" s="12"/>
      <c r="AI98" s="12"/>
      <c r="AJ98" s="12"/>
      <c r="AL98" s="11">
        <v>95</v>
      </c>
      <c r="AM98" s="12"/>
      <c r="AN98" s="12"/>
      <c r="AO98" s="12"/>
      <c r="AQ98" s="11">
        <v>95</v>
      </c>
      <c r="AR98" s="13"/>
      <c r="AS98" s="13"/>
      <c r="AT98" s="11">
        <v>95</v>
      </c>
      <c r="AU98" s="13"/>
      <c r="AW98" s="11">
        <v>95</v>
      </c>
      <c r="AX98" s="12"/>
      <c r="AY98" s="12"/>
      <c r="AZ98" s="12"/>
      <c r="BA98" s="12"/>
      <c r="BB98" s="12"/>
      <c r="BC98" s="12"/>
      <c r="BD98" s="12"/>
      <c r="BE98" s="12"/>
      <c r="BF98" s="24"/>
      <c r="BG98" s="29"/>
      <c r="BH98" s="12"/>
      <c r="BI98" s="12"/>
      <c r="BK98" s="11">
        <v>95</v>
      </c>
      <c r="BL98" s="12"/>
      <c r="BM98" s="13"/>
      <c r="BN98" s="13"/>
      <c r="BP98" s="11">
        <v>95</v>
      </c>
      <c r="BQ98" s="12"/>
      <c r="BR98" s="13"/>
      <c r="BS98" s="13"/>
      <c r="BU98" s="11">
        <v>95</v>
      </c>
      <c r="BV98" s="12"/>
      <c r="BW98" s="12"/>
      <c r="BX98" s="12"/>
      <c r="BZ98" s="11">
        <v>95</v>
      </c>
      <c r="CA98" s="12"/>
      <c r="CC98" s="11">
        <v>95</v>
      </c>
      <c r="CD98" s="12"/>
    </row>
    <row r="99" spans="18:82">
      <c r="R99" s="11">
        <v>96</v>
      </c>
      <c r="S99" s="12"/>
      <c r="T99" s="13"/>
      <c r="U99" s="13"/>
      <c r="W99" s="11">
        <v>96</v>
      </c>
      <c r="X99" s="12"/>
      <c r="Y99" s="13"/>
      <c r="Z99" s="13"/>
      <c r="AB99" s="11">
        <v>96</v>
      </c>
      <c r="AC99" s="12"/>
      <c r="AD99" s="12"/>
      <c r="AE99" s="12"/>
      <c r="AG99" s="11">
        <v>96</v>
      </c>
      <c r="AH99" s="12"/>
      <c r="AI99" s="12"/>
      <c r="AJ99" s="12"/>
      <c r="AL99" s="11">
        <v>96</v>
      </c>
      <c r="AM99" s="12"/>
      <c r="AN99" s="12"/>
      <c r="AO99" s="12"/>
      <c r="AQ99" s="11">
        <v>96</v>
      </c>
      <c r="AR99" s="13"/>
      <c r="AS99" s="13"/>
      <c r="AT99" s="11">
        <v>96</v>
      </c>
      <c r="AU99" s="13"/>
      <c r="AW99" s="11">
        <v>96</v>
      </c>
      <c r="AX99" s="12"/>
      <c r="AY99" s="12"/>
      <c r="AZ99" s="12"/>
      <c r="BA99" s="12"/>
      <c r="BB99" s="12"/>
      <c r="BC99" s="12"/>
      <c r="BD99" s="12"/>
      <c r="BE99" s="12"/>
      <c r="BF99" s="24"/>
      <c r="BG99" s="29"/>
      <c r="BH99" s="12"/>
      <c r="BI99" s="12"/>
      <c r="BK99" s="11">
        <v>96</v>
      </c>
      <c r="BL99" s="12"/>
      <c r="BM99" s="13"/>
      <c r="BN99" s="13"/>
      <c r="BP99" s="11">
        <v>96</v>
      </c>
      <c r="BQ99" s="12"/>
      <c r="BR99" s="13"/>
      <c r="BS99" s="13"/>
      <c r="BU99" s="11">
        <v>96</v>
      </c>
      <c r="BV99" s="12"/>
      <c r="BW99" s="12"/>
      <c r="BX99" s="12"/>
      <c r="BZ99" s="11">
        <v>96</v>
      </c>
      <c r="CA99" s="12"/>
      <c r="CC99" s="11">
        <v>96</v>
      </c>
      <c r="CD99" s="12"/>
    </row>
    <row r="100" spans="18:82">
      <c r="R100" s="11">
        <v>97</v>
      </c>
      <c r="S100" s="12"/>
      <c r="T100" s="13"/>
      <c r="U100" s="13"/>
      <c r="W100" s="11">
        <v>97</v>
      </c>
      <c r="X100" s="12"/>
      <c r="Y100" s="13"/>
      <c r="Z100" s="13"/>
      <c r="AB100" s="11">
        <v>97</v>
      </c>
      <c r="AC100" s="12"/>
      <c r="AD100" s="12"/>
      <c r="AE100" s="12"/>
      <c r="AG100" s="11">
        <v>97</v>
      </c>
      <c r="AH100" s="12"/>
      <c r="AI100" s="12"/>
      <c r="AJ100" s="12"/>
      <c r="AL100" s="11">
        <v>97</v>
      </c>
      <c r="AM100" s="12"/>
      <c r="AN100" s="12"/>
      <c r="AO100" s="12"/>
      <c r="AQ100" s="11">
        <v>97</v>
      </c>
      <c r="AR100" s="13"/>
      <c r="AS100" s="13"/>
      <c r="AT100" s="11">
        <v>97</v>
      </c>
      <c r="AU100" s="13"/>
      <c r="AW100" s="11">
        <v>97</v>
      </c>
      <c r="AX100" s="12"/>
      <c r="AY100" s="12"/>
      <c r="AZ100" s="12"/>
      <c r="BA100" s="12"/>
      <c r="BB100" s="12"/>
      <c r="BC100" s="12"/>
      <c r="BD100" s="12"/>
      <c r="BE100" s="12"/>
      <c r="BF100" s="24"/>
      <c r="BG100" s="29"/>
      <c r="BH100" s="12"/>
      <c r="BI100" s="12"/>
      <c r="BK100" s="11">
        <v>97</v>
      </c>
      <c r="BL100" s="12"/>
      <c r="BM100" s="13"/>
      <c r="BN100" s="13"/>
      <c r="BP100" s="11">
        <v>97</v>
      </c>
      <c r="BQ100" s="12"/>
      <c r="BR100" s="13"/>
      <c r="BS100" s="13"/>
      <c r="BU100" s="11">
        <v>97</v>
      </c>
      <c r="BV100" s="12"/>
      <c r="BW100" s="12"/>
      <c r="BX100" s="12"/>
      <c r="BZ100" s="11">
        <v>97</v>
      </c>
      <c r="CA100" s="12"/>
      <c r="CC100" s="11">
        <v>97</v>
      </c>
      <c r="CD100" s="12"/>
    </row>
    <row r="101" spans="18:82">
      <c r="R101" s="11">
        <v>98</v>
      </c>
      <c r="S101" s="12"/>
      <c r="T101" s="13"/>
      <c r="U101" s="13"/>
      <c r="W101" s="11">
        <v>98</v>
      </c>
      <c r="X101" s="12"/>
      <c r="Y101" s="13"/>
      <c r="Z101" s="13"/>
      <c r="AB101" s="11">
        <v>98</v>
      </c>
      <c r="AC101" s="12"/>
      <c r="AD101" s="12"/>
      <c r="AE101" s="12"/>
      <c r="AG101" s="11">
        <v>98</v>
      </c>
      <c r="AH101" s="12"/>
      <c r="AI101" s="12"/>
      <c r="AJ101" s="12"/>
      <c r="AL101" s="11">
        <v>98</v>
      </c>
      <c r="AM101" s="12"/>
      <c r="AN101" s="12"/>
      <c r="AO101" s="12"/>
      <c r="AQ101" s="11">
        <v>98</v>
      </c>
      <c r="AR101" s="13"/>
      <c r="AS101" s="13"/>
      <c r="AT101" s="11">
        <v>98</v>
      </c>
      <c r="AU101" s="13"/>
      <c r="AW101" s="11">
        <v>98</v>
      </c>
      <c r="AX101" s="12"/>
      <c r="AY101" s="12"/>
      <c r="AZ101" s="12"/>
      <c r="BA101" s="12"/>
      <c r="BB101" s="12"/>
      <c r="BC101" s="12"/>
      <c r="BD101" s="12"/>
      <c r="BE101" s="12"/>
      <c r="BF101" s="24"/>
      <c r="BG101" s="29"/>
      <c r="BH101" s="12"/>
      <c r="BI101" s="12"/>
      <c r="BK101" s="11">
        <v>98</v>
      </c>
      <c r="BL101" s="12"/>
      <c r="BM101" s="13"/>
      <c r="BN101" s="13"/>
      <c r="BP101" s="11">
        <v>98</v>
      </c>
      <c r="BQ101" s="12"/>
      <c r="BR101" s="13"/>
      <c r="BS101" s="13"/>
      <c r="BU101" s="11">
        <v>98</v>
      </c>
      <c r="BV101" s="12"/>
      <c r="BW101" s="12"/>
      <c r="BX101" s="12"/>
      <c r="BZ101" s="11">
        <v>98</v>
      </c>
      <c r="CA101" s="12"/>
      <c r="CC101" s="11">
        <v>98</v>
      </c>
      <c r="CD101" s="12"/>
    </row>
    <row r="102" spans="18:82">
      <c r="R102" s="11">
        <v>99</v>
      </c>
      <c r="S102" s="12"/>
      <c r="T102" s="13"/>
      <c r="U102" s="13"/>
      <c r="W102" s="11">
        <v>99</v>
      </c>
      <c r="X102" s="12"/>
      <c r="Y102" s="13"/>
      <c r="Z102" s="13"/>
      <c r="AB102" s="11">
        <v>99</v>
      </c>
      <c r="AC102" s="12"/>
      <c r="AD102" s="12"/>
      <c r="AE102" s="12"/>
      <c r="AG102" s="11">
        <v>99</v>
      </c>
      <c r="AH102" s="12"/>
      <c r="AI102" s="12"/>
      <c r="AJ102" s="12"/>
      <c r="AL102" s="11">
        <v>99</v>
      </c>
      <c r="AM102" s="12"/>
      <c r="AN102" s="12"/>
      <c r="AO102" s="12"/>
      <c r="AQ102" s="11">
        <v>99</v>
      </c>
      <c r="AR102" s="13"/>
      <c r="AS102" s="13"/>
      <c r="AT102" s="11">
        <v>99</v>
      </c>
      <c r="AU102" s="13"/>
      <c r="AW102" s="11">
        <v>99</v>
      </c>
      <c r="AX102" s="12"/>
      <c r="AY102" s="12"/>
      <c r="AZ102" s="12"/>
      <c r="BA102" s="12"/>
      <c r="BB102" s="12"/>
      <c r="BC102" s="12"/>
      <c r="BD102" s="12"/>
      <c r="BE102" s="12"/>
      <c r="BF102" s="24"/>
      <c r="BG102" s="29"/>
      <c r="BH102" s="12"/>
      <c r="BI102" s="12"/>
      <c r="BK102" s="11">
        <v>99</v>
      </c>
      <c r="BL102" s="12"/>
      <c r="BM102" s="13"/>
      <c r="BN102" s="13"/>
      <c r="BP102" s="11">
        <v>99</v>
      </c>
      <c r="BQ102" s="12"/>
      <c r="BR102" s="13"/>
      <c r="BS102" s="13"/>
      <c r="BU102" s="11">
        <v>99</v>
      </c>
      <c r="BV102" s="12"/>
      <c r="BW102" s="12"/>
      <c r="BX102" s="12"/>
      <c r="BZ102" s="11">
        <v>99</v>
      </c>
      <c r="CA102" s="12"/>
      <c r="CC102" s="11">
        <v>99</v>
      </c>
      <c r="CD102" s="12"/>
    </row>
    <row r="103" spans="18:82">
      <c r="R103" s="11">
        <v>100</v>
      </c>
      <c r="S103" s="12"/>
      <c r="T103" s="13"/>
      <c r="U103" s="13"/>
      <c r="W103" s="11">
        <v>100</v>
      </c>
      <c r="X103" s="12"/>
      <c r="Y103" s="13"/>
      <c r="Z103" s="13"/>
      <c r="AB103" s="11">
        <v>100</v>
      </c>
      <c r="AC103" s="12"/>
      <c r="AD103" s="12"/>
      <c r="AE103" s="12"/>
      <c r="AG103" s="11">
        <v>100</v>
      </c>
      <c r="AH103" s="12"/>
      <c r="AI103" s="12"/>
      <c r="AJ103" s="12"/>
      <c r="AL103" s="11">
        <v>100</v>
      </c>
      <c r="AM103" s="12"/>
      <c r="AN103" s="12"/>
      <c r="AO103" s="12"/>
      <c r="AQ103" s="11">
        <v>100</v>
      </c>
      <c r="AR103" s="13"/>
      <c r="AS103" s="13"/>
      <c r="AT103" s="11">
        <v>100</v>
      </c>
      <c r="AU103" s="13"/>
      <c r="AW103" s="11">
        <v>100</v>
      </c>
      <c r="AX103" s="12"/>
      <c r="AY103" s="12"/>
      <c r="AZ103" s="12"/>
      <c r="BA103" s="12"/>
      <c r="BB103" s="12"/>
      <c r="BC103" s="12"/>
      <c r="BD103" s="12"/>
      <c r="BE103" s="12"/>
      <c r="BF103" s="24"/>
      <c r="BG103" s="29"/>
      <c r="BH103" s="12"/>
      <c r="BI103" s="12"/>
      <c r="BK103" s="11">
        <v>100</v>
      </c>
      <c r="BL103" s="12"/>
      <c r="BM103" s="13"/>
      <c r="BN103" s="13"/>
      <c r="BP103" s="11">
        <v>100</v>
      </c>
      <c r="BQ103" s="12"/>
      <c r="BR103" s="13"/>
      <c r="BS103" s="13"/>
      <c r="BU103" s="11">
        <v>100</v>
      </c>
      <c r="BV103" s="12"/>
      <c r="BW103" s="12"/>
      <c r="BX103" s="12"/>
      <c r="BZ103" s="11">
        <v>100</v>
      </c>
      <c r="CA103" s="12"/>
      <c r="CC103" s="11">
        <v>100</v>
      </c>
      <c r="CD103" s="12"/>
    </row>
    <row r="111" spans="18:82">
      <c r="U111"/>
      <c r="AC111"/>
      <c r="AD111"/>
      <c r="AE111"/>
    </row>
    <row r="112" spans="18:82">
      <c r="U112" s="15"/>
      <c r="V112" s="15"/>
      <c r="W112" s="15"/>
      <c r="X112" s="15"/>
      <c r="Y112" s="15"/>
      <c r="Z112" s="15"/>
      <c r="AA112" s="15"/>
      <c r="AB112" s="15"/>
      <c r="AC112" s="15"/>
      <c r="AD112" s="15"/>
      <c r="AE112" s="15"/>
      <c r="AF112" s="15"/>
      <c r="AP112" s="15"/>
    </row>
    <row r="113" spans="9:42">
      <c r="V113" s="16"/>
      <c r="W113" s="16"/>
      <c r="X113" s="16"/>
      <c r="Y113" s="16"/>
      <c r="Z113" s="16"/>
      <c r="AA113" s="16"/>
      <c r="AB113" s="16"/>
      <c r="AF113" s="16"/>
      <c r="AP113" s="16"/>
    </row>
    <row r="120" spans="9:42">
      <c r="I120" s="34"/>
    </row>
  </sheetData>
  <mergeCells count="2">
    <mergeCell ref="J2:N2"/>
    <mergeCell ref="L5:N5"/>
  </mergeCells>
  <phoneticPr fontId="1" type="noConversion"/>
  <conditionalFormatting sqref="AC114:AE1048576 AC3:AE110">
    <cfRule type="cellIs" dxfId="1634" priority="136" operator="equal">
      <formula>"E"</formula>
    </cfRule>
  </conditionalFormatting>
  <conditionalFormatting sqref="AC2:AE2">
    <cfRule type="cellIs" dxfId="1633" priority="135" operator="equal">
      <formula>"E"</formula>
    </cfRule>
  </conditionalFormatting>
  <conditionalFormatting sqref="BF3:BF12">
    <cfRule type="cellIs" dxfId="1632" priority="96" operator="equal">
      <formula>"E"</formula>
    </cfRule>
  </conditionalFormatting>
  <conditionalFormatting sqref="BG3:BG10">
    <cfRule type="cellIs" dxfId="1631" priority="90" operator="equal">
      <formula>"E"</formula>
    </cfRule>
  </conditionalFormatting>
  <conditionalFormatting sqref="AU43:AU103">
    <cfRule type="cellIs" dxfId="1630" priority="122" operator="equal">
      <formula>"E"</formula>
    </cfRule>
  </conditionalFormatting>
  <conditionalFormatting sqref="AW1">
    <cfRule type="cellIs" dxfId="1629" priority="117" operator="equal">
      <formula>"E"</formula>
    </cfRule>
  </conditionalFormatting>
  <conditionalFormatting sqref="AY3:AY103">
    <cfRule type="cellIs" dxfId="1628" priority="116" operator="equal">
      <formula>"E"</formula>
    </cfRule>
  </conditionalFormatting>
  <conditionalFormatting sqref="AY2">
    <cfRule type="cellIs" dxfId="1627" priority="115" operator="equal">
      <formula>"E"</formula>
    </cfRule>
  </conditionalFormatting>
  <conditionalFormatting sqref="AQ1">
    <cfRule type="cellIs" dxfId="1626" priority="112" operator="equal">
      <formula>"E"</formula>
    </cfRule>
  </conditionalFormatting>
  <conditionalFormatting sqref="AT1">
    <cfRule type="cellIs" dxfId="1625" priority="111" operator="equal">
      <formula>"E"</formula>
    </cfRule>
  </conditionalFormatting>
  <conditionalFormatting sqref="AZ3:AZ103">
    <cfRule type="cellIs" dxfId="1624" priority="110" operator="equal">
      <formula>"E"</formula>
    </cfRule>
  </conditionalFormatting>
  <conditionalFormatting sqref="AZ2">
    <cfRule type="cellIs" dxfId="1623" priority="109" operator="equal">
      <formula>"E"</formula>
    </cfRule>
  </conditionalFormatting>
  <conditionalFormatting sqref="BA43:BA103">
    <cfRule type="cellIs" dxfId="1622" priority="108" operator="equal">
      <formula>"E"</formula>
    </cfRule>
  </conditionalFormatting>
  <conditionalFormatting sqref="BA2">
    <cfRule type="cellIs" dxfId="1621" priority="107" operator="equal">
      <formula>"E"</formula>
    </cfRule>
  </conditionalFormatting>
  <conditionalFormatting sqref="BD43:BD103">
    <cfRule type="cellIs" dxfId="1620" priority="102" operator="equal">
      <formula>"E"</formula>
    </cfRule>
  </conditionalFormatting>
  <conditionalFormatting sqref="BD2">
    <cfRule type="cellIs" dxfId="1619" priority="101" operator="equal">
      <formula>"E"</formula>
    </cfRule>
  </conditionalFormatting>
  <conditionalFormatting sqref="BE43:BE103">
    <cfRule type="cellIs" dxfId="1618" priority="100" operator="equal">
      <formula>"E"</formula>
    </cfRule>
  </conditionalFormatting>
  <conditionalFormatting sqref="BE2">
    <cfRule type="cellIs" dxfId="1617" priority="99" operator="equal">
      <formula>"E"</formula>
    </cfRule>
  </conditionalFormatting>
  <conditionalFormatting sqref="BB43:BB103">
    <cfRule type="cellIs" dxfId="1616" priority="106" operator="equal">
      <formula>"E"</formula>
    </cfRule>
  </conditionalFormatting>
  <conditionalFormatting sqref="BB2">
    <cfRule type="cellIs" dxfId="1615" priority="105" operator="equal">
      <formula>"E"</formula>
    </cfRule>
  </conditionalFormatting>
  <conditionalFormatting sqref="BC43:BC103">
    <cfRule type="cellIs" dxfId="1614" priority="104" operator="equal">
      <formula>"E"</formula>
    </cfRule>
  </conditionalFormatting>
  <conditionalFormatting sqref="BC2">
    <cfRule type="cellIs" dxfId="1613" priority="103" operator="equal">
      <formula>"E"</formula>
    </cfRule>
  </conditionalFormatting>
  <conditionalFormatting sqref="BF13:BF22">
    <cfRule type="cellIs" dxfId="1612" priority="95" operator="equal">
      <formula>"E"</formula>
    </cfRule>
  </conditionalFormatting>
  <conditionalFormatting sqref="BF23:BF32">
    <cfRule type="cellIs" dxfId="1611" priority="94" operator="equal">
      <formula>"E"</formula>
    </cfRule>
  </conditionalFormatting>
  <conditionalFormatting sqref="BF33:BF42">
    <cfRule type="cellIs" dxfId="1610" priority="93" operator="equal">
      <formula>"E"</formula>
    </cfRule>
  </conditionalFormatting>
  <conditionalFormatting sqref="BF43:BF103">
    <cfRule type="cellIs" dxfId="1609" priority="98" operator="equal">
      <formula>"E"</formula>
    </cfRule>
  </conditionalFormatting>
  <conditionalFormatting sqref="BF2">
    <cfRule type="cellIs" dxfId="1608" priority="97" operator="equal">
      <formula>"E"</formula>
    </cfRule>
  </conditionalFormatting>
  <conditionalFormatting sqref="BG43:BG103">
    <cfRule type="cellIs" dxfId="1607" priority="92" operator="equal">
      <formula>"E"</formula>
    </cfRule>
  </conditionalFormatting>
  <conditionalFormatting sqref="BG2">
    <cfRule type="cellIs" dxfId="1606" priority="91" operator="equal">
      <formula>"E"</formula>
    </cfRule>
  </conditionalFormatting>
  <conditionalFormatting sqref="BH43:BH103">
    <cfRule type="cellIs" dxfId="1605" priority="89" operator="equal">
      <formula>"E"</formula>
    </cfRule>
  </conditionalFormatting>
  <conditionalFormatting sqref="BH2">
    <cfRule type="cellIs" dxfId="1604" priority="88" operator="equal">
      <formula>"E"</formula>
    </cfRule>
  </conditionalFormatting>
  <conditionalFormatting sqref="BH3:BH10">
    <cfRule type="cellIs" dxfId="1603" priority="87" operator="equal">
      <formula>"E"</formula>
    </cfRule>
  </conditionalFormatting>
  <conditionalFormatting sqref="BI43:BI103">
    <cfRule type="cellIs" dxfId="1602" priority="66" operator="equal">
      <formula>"E"</formula>
    </cfRule>
  </conditionalFormatting>
  <conditionalFormatting sqref="BI2">
    <cfRule type="cellIs" dxfId="1601" priority="65" operator="equal">
      <formula>"E"</formula>
    </cfRule>
  </conditionalFormatting>
  <conditionalFormatting sqref="BB3:BB42">
    <cfRule type="cellIs" dxfId="1600" priority="43" operator="equal">
      <formula>"E"</formula>
    </cfRule>
  </conditionalFormatting>
  <conditionalFormatting sqref="BG19:BG26">
    <cfRule type="cellIs" dxfId="1599" priority="38" operator="equal">
      <formula>"E"</formula>
    </cfRule>
  </conditionalFormatting>
  <conditionalFormatting sqref="BG27:BG34">
    <cfRule type="cellIs" dxfId="1598" priority="37" operator="equal">
      <formula>"E"</formula>
    </cfRule>
  </conditionalFormatting>
  <conditionalFormatting sqref="BG35:BG42">
    <cfRule type="cellIs" dxfId="1597" priority="36" operator="equal">
      <formula>"E"</formula>
    </cfRule>
  </conditionalFormatting>
  <conditionalFormatting sqref="BH11:BH18">
    <cfRule type="cellIs" dxfId="1596" priority="35" operator="equal">
      <formula>"E"</formula>
    </cfRule>
  </conditionalFormatting>
  <conditionalFormatting sqref="BI27:BI34">
    <cfRule type="cellIs" dxfId="1595" priority="28" operator="equal">
      <formula>"E"</formula>
    </cfRule>
  </conditionalFormatting>
  <conditionalFormatting sqref="AM39:AO103 AM3:AM38">
    <cfRule type="cellIs" dxfId="1594" priority="19" operator="equal">
      <formula>"E"</formula>
    </cfRule>
  </conditionalFormatting>
  <conditionalFormatting sqref="AM2:AO2">
    <cfRule type="cellIs" dxfId="1593" priority="18" operator="equal">
      <formula>"E"</formula>
    </cfRule>
  </conditionalFormatting>
  <conditionalFormatting sqref="AN3:AN38">
    <cfRule type="cellIs" dxfId="1592" priority="14" operator="equal">
      <formula>"E"</formula>
    </cfRule>
  </conditionalFormatting>
  <conditionalFormatting sqref="CA1:CA1048576">
    <cfRule type="cellIs" dxfId="1591" priority="7" operator="equal">
      <formula>"E"</formula>
    </cfRule>
  </conditionalFormatting>
  <conditionalFormatting sqref="CC1">
    <cfRule type="cellIs" dxfId="1590" priority="6" operator="equal">
      <formula>"E"</formula>
    </cfRule>
  </conditionalFormatting>
  <conditionalFormatting sqref="CD3:CD1048576">
    <cfRule type="cellIs" dxfId="1589" priority="5" operator="equal">
      <formula>"E"</formula>
    </cfRule>
  </conditionalFormatting>
  <conditionalFormatting sqref="CC2:CC70">
    <cfRule type="cellIs" dxfId="1588" priority="3" stopIfTrue="1" operator="equal">
      <formula>"WW"</formula>
    </cfRule>
    <cfRule type="cellIs" dxfId="1587" priority="4" stopIfTrue="1" operator="equal">
      <formula>"C2"</formula>
    </cfRule>
  </conditionalFormatting>
  <conditionalFormatting sqref="R1:R70">
    <cfRule type="cellIs" dxfId="1586" priority="154" stopIfTrue="1" operator="equal">
      <formula>"WW"</formula>
    </cfRule>
    <cfRule type="cellIs" dxfId="1585" priority="155" stopIfTrue="1" operator="equal">
      <formula>"C2"</formula>
    </cfRule>
  </conditionalFormatting>
  <conditionalFormatting sqref="S39:U103 Y3:Z52 AU3:AU42 S3:S38">
    <cfRule type="cellIs" dxfId="1584" priority="150" operator="equal">
      <formula>"M4"</formula>
    </cfRule>
    <cfRule type="cellIs" dxfId="1583" priority="151" operator="equal">
      <formula>"M3"</formula>
    </cfRule>
    <cfRule type="cellIs" dxfId="1582" priority="152" operator="equal">
      <formula>"M2"</formula>
    </cfRule>
    <cfRule type="cellIs" dxfId="1581" priority="153" operator="equal">
      <formula>"M1"</formula>
    </cfRule>
  </conditionalFormatting>
  <conditionalFormatting sqref="AD1:AE1 AB1 AS39:AS103 S1:U2 X2:Z103 AU2:AU42 S114:U1048576 S111:T113 S39:U110 S3:S38 AR1:AR1048576">
    <cfRule type="cellIs" dxfId="1580" priority="148" operator="equal">
      <formula>"E"</formula>
    </cfRule>
  </conditionalFormatting>
  <conditionalFormatting sqref="AS39:AS103 AU3:AU42 AR3:AR103">
    <cfRule type="cellIs" dxfId="1579" priority="137" operator="equal">
      <formula>"RE"</formula>
    </cfRule>
    <cfRule type="cellIs" dxfId="1578" priority="138" operator="equal">
      <formula>"3000"</formula>
    </cfRule>
    <cfRule type="cellIs" dxfId="1577" priority="139" operator="equal">
      <formula>"300"</formula>
    </cfRule>
    <cfRule type="cellIs" dxfId="1576" priority="140" operator="equal">
      <formula>"100"</formula>
    </cfRule>
    <cfRule type="cellIs" dxfId="1575" priority="141" operator="equal">
      <formula>"50"</formula>
    </cfRule>
    <cfRule type="cellIs" dxfId="1574" priority="142" operator="equal">
      <formula>"40"</formula>
    </cfRule>
    <cfRule type="cellIs" dxfId="1573" priority="143" operator="equal">
      <formula>"20"</formula>
    </cfRule>
  </conditionalFormatting>
  <conditionalFormatting sqref="AR1 AR104:AR1048576">
    <cfRule type="cellIs" dxfId="1572" priority="144" operator="equal">
      <formula>"M4"</formula>
    </cfRule>
    <cfRule type="cellIs" dxfId="1571" priority="145" operator="equal">
      <formula>"M3"</formula>
    </cfRule>
    <cfRule type="cellIs" dxfId="1570" priority="146" operator="equal">
      <formula>"M1"</formula>
    </cfRule>
    <cfRule type="cellIs" dxfId="1569" priority="147" operator="equal">
      <formula>"M2"</formula>
    </cfRule>
    <cfRule type="cellIs" dxfId="1568" priority="149" stopIfTrue="1" operator="between">
      <formula>"C1"</formula>
      <formula>"C2"</formula>
    </cfRule>
  </conditionalFormatting>
  <conditionalFormatting sqref="AB2:AB70">
    <cfRule type="cellIs" dxfId="1567" priority="133" stopIfTrue="1" operator="equal">
      <formula>"WW"</formula>
    </cfRule>
    <cfRule type="cellIs" dxfId="1566" priority="134" stopIfTrue="1" operator="equal">
      <formula>"C2"</formula>
    </cfRule>
  </conditionalFormatting>
  <conditionalFormatting sqref="W2:W70">
    <cfRule type="cellIs" dxfId="1565" priority="131" stopIfTrue="1" operator="equal">
      <formula>"WW"</formula>
    </cfRule>
    <cfRule type="cellIs" dxfId="1564" priority="132" stopIfTrue="1" operator="equal">
      <formula>"C2"</formula>
    </cfRule>
  </conditionalFormatting>
  <conditionalFormatting sqref="X3:Z103">
    <cfRule type="cellIs" dxfId="1563" priority="127" operator="equal">
      <formula>"M4"</formula>
    </cfRule>
    <cfRule type="cellIs" dxfId="1562" priority="128" operator="equal">
      <formula>"M3"</formula>
    </cfRule>
    <cfRule type="cellIs" dxfId="1561" priority="129" operator="equal">
      <formula>"M2"</formula>
    </cfRule>
    <cfRule type="cellIs" dxfId="1560" priority="130" operator="equal">
      <formula>"M1"</formula>
    </cfRule>
  </conditionalFormatting>
  <conditionalFormatting sqref="AQ2:AQ70">
    <cfRule type="cellIs" dxfId="1559" priority="125" stopIfTrue="1" operator="equal">
      <formula>"WW"</formula>
    </cfRule>
    <cfRule type="cellIs" dxfId="1558" priority="126" stopIfTrue="1" operator="equal">
      <formula>"C2"</formula>
    </cfRule>
  </conditionalFormatting>
  <conditionalFormatting sqref="AT2:AT70">
    <cfRule type="cellIs" dxfId="1557" priority="123" stopIfTrue="1" operator="equal">
      <formula>"WW"</formula>
    </cfRule>
    <cfRule type="cellIs" dxfId="1556" priority="124" stopIfTrue="1" operator="equal">
      <formula>"C2"</formula>
    </cfRule>
  </conditionalFormatting>
  <conditionalFormatting sqref="AU43:AU103">
    <cfRule type="cellIs" dxfId="1555" priority="118" operator="equal">
      <formula>"M4"</formula>
    </cfRule>
    <cfRule type="cellIs" dxfId="1554" priority="119" operator="equal">
      <formula>"M3"</formula>
    </cfRule>
    <cfRule type="cellIs" dxfId="1553" priority="120" operator="equal">
      <formula>"M2"</formula>
    </cfRule>
    <cfRule type="cellIs" dxfId="1552" priority="121" operator="equal">
      <formula>"M1"</formula>
    </cfRule>
  </conditionalFormatting>
  <conditionalFormatting sqref="AW2:AW70">
    <cfRule type="cellIs" dxfId="1551" priority="113" stopIfTrue="1" operator="equal">
      <formula>"WW"</formula>
    </cfRule>
    <cfRule type="cellIs" dxfId="1550" priority="114" stopIfTrue="1" operator="equal">
      <formula>"C2"</formula>
    </cfRule>
  </conditionalFormatting>
  <conditionalFormatting sqref="U113:AE113 AP113">
    <cfRule type="cellIs" dxfId="1549" priority="69" operator="equal">
      <formula>"E"</formula>
    </cfRule>
  </conditionalFormatting>
  <conditionalFormatting sqref="BV2:BX2">
    <cfRule type="cellIs" dxfId="1548" priority="78" operator="equal">
      <formula>"E"</formula>
    </cfRule>
  </conditionalFormatting>
  <conditionalFormatting sqref="BW1:BX1 BU1 BL1:BN2 BQ2:BS103 BL39:BN1048576 BL3:BL38">
    <cfRule type="cellIs" dxfId="1547" priority="80" operator="equal">
      <formula>"E"</formula>
    </cfRule>
  </conditionalFormatting>
  <conditionalFormatting sqref="BV3:BX1048576">
    <cfRule type="cellIs" dxfId="1546" priority="79" operator="equal">
      <formula>"E"</formula>
    </cfRule>
  </conditionalFormatting>
  <conditionalFormatting sqref="AX3:AX103">
    <cfRule type="cellIs" dxfId="1545" priority="68" operator="equal">
      <formula>"E"</formula>
    </cfRule>
  </conditionalFormatting>
  <conditionalFormatting sqref="BK1:BK70">
    <cfRule type="cellIs" dxfId="1544" priority="85" stopIfTrue="1" operator="equal">
      <formula>"WW"</formula>
    </cfRule>
    <cfRule type="cellIs" dxfId="1543" priority="86" stopIfTrue="1" operator="equal">
      <formula>"C2"</formula>
    </cfRule>
  </conditionalFormatting>
  <conditionalFormatting sqref="BL39:BN103 BR3:BS52 BL3:BL38">
    <cfRule type="cellIs" dxfId="1542" priority="81" operator="equal">
      <formula>"M4"</formula>
    </cfRule>
    <cfRule type="cellIs" dxfId="1541" priority="82" operator="equal">
      <formula>"M3"</formula>
    </cfRule>
    <cfRule type="cellIs" dxfId="1540" priority="83" operator="equal">
      <formula>"M2"</formula>
    </cfRule>
    <cfRule type="cellIs" dxfId="1539" priority="84" operator="equal">
      <formula>"M1"</formula>
    </cfRule>
  </conditionalFormatting>
  <conditionalFormatting sqref="BU2:BU70">
    <cfRule type="cellIs" dxfId="1538" priority="76" stopIfTrue="1" operator="equal">
      <formula>"WW"</formula>
    </cfRule>
    <cfRule type="cellIs" dxfId="1537" priority="77" stopIfTrue="1" operator="equal">
      <formula>"C2"</formula>
    </cfRule>
  </conditionalFormatting>
  <conditionalFormatting sqref="BP2:BP70">
    <cfRule type="cellIs" dxfId="1536" priority="74" stopIfTrue="1" operator="equal">
      <formula>"WW"</formula>
    </cfRule>
    <cfRule type="cellIs" dxfId="1535" priority="75" stopIfTrue="1" operator="equal">
      <formula>"C2"</formula>
    </cfRule>
  </conditionalFormatting>
  <conditionalFormatting sqref="BQ3:BS103">
    <cfRule type="cellIs" dxfId="1534" priority="70" operator="equal">
      <formula>"M4"</formula>
    </cfRule>
    <cfRule type="cellIs" dxfId="1533" priority="71" operator="equal">
      <formula>"M3"</formula>
    </cfRule>
    <cfRule type="cellIs" dxfId="1532" priority="72" operator="equal">
      <formula>"M2"</formula>
    </cfRule>
    <cfRule type="cellIs" dxfId="1531" priority="73" operator="equal">
      <formula>"M1"</formula>
    </cfRule>
  </conditionalFormatting>
  <conditionalFormatting sqref="AX2">
    <cfRule type="cellIs" dxfId="1530" priority="67" operator="equal">
      <formula>"E"</formula>
    </cfRule>
  </conditionalFormatting>
  <conditionalFormatting sqref="T3:T38">
    <cfRule type="cellIs" dxfId="1529" priority="50" operator="equal">
      <formula>"E"</formula>
    </cfRule>
  </conditionalFormatting>
  <conditionalFormatting sqref="BM3:BM38">
    <cfRule type="cellIs" dxfId="1528" priority="61" operator="equal">
      <formula>"M4"</formula>
    </cfRule>
    <cfRule type="cellIs" dxfId="1527" priority="62" operator="equal">
      <formula>"M3"</formula>
    </cfRule>
    <cfRule type="cellIs" dxfId="1526" priority="63" operator="equal">
      <formula>"M2"</formula>
    </cfRule>
    <cfRule type="cellIs" dxfId="1525" priority="64" operator="equal">
      <formula>"M1"</formula>
    </cfRule>
  </conditionalFormatting>
  <conditionalFormatting sqref="BM3:BM38">
    <cfRule type="cellIs" dxfId="1524" priority="60" operator="equal">
      <formula>"E"</formula>
    </cfRule>
  </conditionalFormatting>
  <conditionalFormatting sqref="BN3:BN38">
    <cfRule type="cellIs" dxfId="1523" priority="56" operator="equal">
      <formula>"M4"</formula>
    </cfRule>
    <cfRule type="cellIs" dxfId="1522" priority="57" operator="equal">
      <formula>"M3"</formula>
    </cfRule>
    <cfRule type="cellIs" dxfId="1521" priority="58" operator="equal">
      <formula>"M2"</formula>
    </cfRule>
    <cfRule type="cellIs" dxfId="1520" priority="59" operator="equal">
      <formula>"M1"</formula>
    </cfRule>
  </conditionalFormatting>
  <conditionalFormatting sqref="BN3:BN38">
    <cfRule type="cellIs" dxfId="1519" priority="55" operator="equal">
      <formula>"E"</formula>
    </cfRule>
  </conditionalFormatting>
  <conditionalFormatting sqref="T3:T38">
    <cfRule type="cellIs" dxfId="1518" priority="51" operator="equal">
      <formula>"M4"</formula>
    </cfRule>
    <cfRule type="cellIs" dxfId="1517" priority="52" operator="equal">
      <formula>"M3"</formula>
    </cfRule>
    <cfRule type="cellIs" dxfId="1516" priority="53" operator="equal">
      <formula>"M2"</formula>
    </cfRule>
    <cfRule type="cellIs" dxfId="1515" priority="54" operator="equal">
      <formula>"M1"</formula>
    </cfRule>
  </conditionalFormatting>
  <conditionalFormatting sqref="U3:U38">
    <cfRule type="cellIs" dxfId="1514" priority="46" operator="equal">
      <formula>"M4"</formula>
    </cfRule>
    <cfRule type="cellIs" dxfId="1513" priority="47" operator="equal">
      <formula>"M3"</formula>
    </cfRule>
    <cfRule type="cellIs" dxfId="1512" priority="48" operator="equal">
      <formula>"M2"</formula>
    </cfRule>
    <cfRule type="cellIs" dxfId="1511" priority="49" operator="equal">
      <formula>"M1"</formula>
    </cfRule>
  </conditionalFormatting>
  <conditionalFormatting sqref="U3:U38">
    <cfRule type="cellIs" dxfId="1510" priority="45" operator="equal">
      <formula>"E"</formula>
    </cfRule>
  </conditionalFormatting>
  <conditionalFormatting sqref="BA3:BA42">
    <cfRule type="cellIs" dxfId="1509" priority="44" operator="equal">
      <formula>"E"</formula>
    </cfRule>
  </conditionalFormatting>
  <conditionalFormatting sqref="BC3:BC42">
    <cfRule type="cellIs" dxfId="1508" priority="42" operator="equal">
      <formula>"E"</formula>
    </cfRule>
  </conditionalFormatting>
  <conditionalFormatting sqref="BD3:BD42">
    <cfRule type="cellIs" dxfId="1507" priority="41" operator="equal">
      <formula>"E"</formula>
    </cfRule>
  </conditionalFormatting>
  <conditionalFormatting sqref="BE3:BE42">
    <cfRule type="cellIs" dxfId="1506" priority="40" operator="equal">
      <formula>"E"</formula>
    </cfRule>
  </conditionalFormatting>
  <conditionalFormatting sqref="BG11:BG18">
    <cfRule type="cellIs" dxfId="1505" priority="39" operator="equal">
      <formula>"E"</formula>
    </cfRule>
  </conditionalFormatting>
  <conditionalFormatting sqref="BI35:BI42">
    <cfRule type="cellIs" dxfId="1504" priority="27" operator="equal">
      <formula>"E"</formula>
    </cfRule>
  </conditionalFormatting>
  <conditionalFormatting sqref="BH19:BH26">
    <cfRule type="cellIs" dxfId="1503" priority="34" operator="equal">
      <formula>"E"</formula>
    </cfRule>
  </conditionalFormatting>
  <conditionalFormatting sqref="BH27:BH34">
    <cfRule type="cellIs" dxfId="1502" priority="33" operator="equal">
      <formula>"E"</formula>
    </cfRule>
  </conditionalFormatting>
  <conditionalFormatting sqref="BH35:BH42">
    <cfRule type="cellIs" dxfId="1501" priority="32" operator="equal">
      <formula>"E"</formula>
    </cfRule>
  </conditionalFormatting>
  <conditionalFormatting sqref="BI3:BI10">
    <cfRule type="cellIs" dxfId="1500" priority="31" operator="equal">
      <formula>"E"</formula>
    </cfRule>
  </conditionalFormatting>
  <conditionalFormatting sqref="BI11:BI18">
    <cfRule type="cellIs" dxfId="1499" priority="30" operator="equal">
      <formula>"E"</formula>
    </cfRule>
  </conditionalFormatting>
  <conditionalFormatting sqref="BI19:BI26">
    <cfRule type="cellIs" dxfId="1498" priority="29" operator="equal">
      <formula>"E"</formula>
    </cfRule>
  </conditionalFormatting>
  <conditionalFormatting sqref="AF113">
    <cfRule type="cellIs" dxfId="1497" priority="26" operator="equal">
      <formula>"E"</formula>
    </cfRule>
  </conditionalFormatting>
  <conditionalFormatting sqref="AI1:AJ1 AG1">
    <cfRule type="cellIs" dxfId="1496" priority="25" operator="equal">
      <formula>"E"</formula>
    </cfRule>
  </conditionalFormatting>
  <conditionalFormatting sqref="AH3:AJ103">
    <cfRule type="cellIs" dxfId="1495" priority="24" operator="equal">
      <formula>"E"</formula>
    </cfRule>
  </conditionalFormatting>
  <conditionalFormatting sqref="AH2:AJ2">
    <cfRule type="cellIs" dxfId="1494" priority="23" operator="equal">
      <formula>"E"</formula>
    </cfRule>
  </conditionalFormatting>
  <conditionalFormatting sqref="AG2:AG70">
    <cfRule type="cellIs" dxfId="1493" priority="21" stopIfTrue="1" operator="equal">
      <formula>"WW"</formula>
    </cfRule>
    <cfRule type="cellIs" dxfId="1492" priority="22" stopIfTrue="1" operator="equal">
      <formula>"C2"</formula>
    </cfRule>
  </conditionalFormatting>
  <conditionalFormatting sqref="AN1:AO1 AL1">
    <cfRule type="cellIs" dxfId="1491" priority="20" operator="equal">
      <formula>"E"</formula>
    </cfRule>
  </conditionalFormatting>
  <conditionalFormatting sqref="AL2:AL70">
    <cfRule type="cellIs" dxfId="1490" priority="16" stopIfTrue="1" operator="equal">
      <formula>"WW"</formula>
    </cfRule>
    <cfRule type="cellIs" dxfId="1489" priority="17" stopIfTrue="1" operator="equal">
      <formula>"C2"</formula>
    </cfRule>
  </conditionalFormatting>
  <conditionalFormatting sqref="AO3:AO38">
    <cfRule type="cellIs" dxfId="1488" priority="15" operator="equal">
      <formula>"E"</formula>
    </cfRule>
  </conditionalFormatting>
  <conditionalFormatting sqref="BZ1:BZ70">
    <cfRule type="cellIs" dxfId="1487" priority="12" stopIfTrue="1" operator="equal">
      <formula>"WW"</formula>
    </cfRule>
    <cfRule type="cellIs" dxfId="1486" priority="13" stopIfTrue="1" operator="equal">
      <formula>"C2"</formula>
    </cfRule>
  </conditionalFormatting>
  <conditionalFormatting sqref="CA3:CA103">
    <cfRule type="cellIs" dxfId="1485" priority="8" operator="equal">
      <formula>"M4"</formula>
    </cfRule>
    <cfRule type="cellIs" dxfId="1484" priority="9" operator="equal">
      <formula>"M3"</formula>
    </cfRule>
    <cfRule type="cellIs" dxfId="1483" priority="10" operator="equal">
      <formula>"M2"</formula>
    </cfRule>
    <cfRule type="cellIs" dxfId="1482" priority="11" operator="equal">
      <formula>"M1"</formula>
    </cfRule>
  </conditionalFormatting>
  <conditionalFormatting sqref="CD2">
    <cfRule type="cellIs" dxfId="1481" priority="2" operator="equal">
      <formula>"E"</formula>
    </cfRule>
  </conditionalFormatting>
  <conditionalFormatting sqref="J13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{A5030F7C-EDD9-42DD-A88D-32836A428C5B}</x14:id>
        </ext>
      </extLst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5030F7C-EDD9-42DD-A88D-32836A428C5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J13</xm:sqref>
        </x14:conditionalFormatting>
      </x14:conditionalFormatting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D477F9-87F0-48C5-8AED-C633E9C759D4}">
  <dimension ref="A1:CD120"/>
  <sheetViews>
    <sheetView workbookViewId="0">
      <selection sqref="A1:C1"/>
    </sheetView>
  </sheetViews>
  <sheetFormatPr defaultRowHeight="16.2"/>
  <cols>
    <col min="1" max="1" width="14.44140625" customWidth="1"/>
    <col min="2" max="2" width="5.77734375" customWidth="1"/>
    <col min="3" max="3" width="20.109375" customWidth="1"/>
    <col min="4" max="4" width="8.77734375" customWidth="1"/>
    <col min="5" max="5" width="7.21875" customWidth="1"/>
    <col min="6" max="6" width="7.77734375" customWidth="1"/>
    <col min="10" max="10" width="12.88671875" customWidth="1"/>
    <col min="13" max="15" width="8.6640625" customWidth="1"/>
    <col min="16" max="16" width="10.44140625" bestFit="1" customWidth="1"/>
    <col min="18" max="18" width="10.6640625" style="15" bestFit="1" customWidth="1"/>
    <col min="19" max="21" width="9.77734375" style="16" customWidth="1"/>
    <col min="22" max="22" width="3.77734375" customWidth="1"/>
    <col min="23" max="23" width="8.88671875" customWidth="1"/>
    <col min="24" max="26" width="4.44140625" customWidth="1"/>
    <col min="27" max="27" width="3.77734375" customWidth="1"/>
    <col min="28" max="28" width="9.88671875" customWidth="1"/>
    <col min="29" max="31" width="5.44140625" style="16" customWidth="1"/>
    <col min="32" max="32" width="3.6640625" customWidth="1"/>
    <col min="34" max="36" width="5.33203125" customWidth="1"/>
    <col min="37" max="37" width="3.44140625" customWidth="1"/>
    <col min="39" max="41" width="5.33203125" customWidth="1"/>
    <col min="42" max="42" width="13.44140625" customWidth="1"/>
    <col min="44" max="44" width="13.44140625" style="16" customWidth="1"/>
    <col min="45" max="45" width="3.77734375" customWidth="1"/>
    <col min="48" max="48" width="3.77734375" customWidth="1"/>
    <col min="49" max="49" width="12.44140625" customWidth="1"/>
    <col min="52" max="52" width="9" style="125"/>
    <col min="59" max="59" width="9.44140625" style="26" customWidth="1"/>
    <col min="61" max="61" width="15.33203125" customWidth="1"/>
    <col min="63" max="63" width="10.6640625" style="15" bestFit="1" customWidth="1"/>
    <col min="64" max="66" width="9.77734375" style="16" customWidth="1"/>
    <col min="67" max="67" width="3.77734375" customWidth="1"/>
    <col min="69" max="71" width="4.44140625" customWidth="1"/>
    <col min="72" max="72" width="3.77734375" customWidth="1"/>
    <col min="73" max="73" width="9.88671875" customWidth="1"/>
    <col min="74" max="76" width="4.44140625" style="16" customWidth="1"/>
    <col min="78" max="78" width="10.6640625" style="15" bestFit="1" customWidth="1"/>
    <col min="79" max="79" width="9.77734375" style="16" customWidth="1"/>
    <col min="80" max="80" width="6.44140625" customWidth="1"/>
    <col min="81" max="81" width="9.88671875" customWidth="1"/>
    <col min="82" max="82" width="11.88671875" style="16" customWidth="1"/>
  </cols>
  <sheetData>
    <row r="1" spans="1:82">
      <c r="A1" s="30" t="s">
        <v>115</v>
      </c>
      <c r="D1" s="119">
        <v>5</v>
      </c>
      <c r="E1" s="119" t="s">
        <v>8</v>
      </c>
      <c r="F1" s="119" t="s">
        <v>8</v>
      </c>
      <c r="R1" s="9" t="s">
        <v>41</v>
      </c>
      <c r="S1" s="10"/>
      <c r="T1" s="10"/>
      <c r="U1" s="10"/>
      <c r="W1" s="18" t="s">
        <v>30</v>
      </c>
      <c r="AB1" s="10" t="s">
        <v>93</v>
      </c>
      <c r="AD1" s="10"/>
      <c r="AE1" s="10"/>
      <c r="AG1" s="10" t="s">
        <v>94</v>
      </c>
      <c r="AH1" s="16"/>
      <c r="AI1" s="10"/>
      <c r="AJ1" s="10"/>
      <c r="AL1" s="10" t="s">
        <v>95</v>
      </c>
      <c r="AM1" s="16"/>
      <c r="AN1" s="10"/>
      <c r="AO1" s="10"/>
      <c r="AQ1" s="19" t="s">
        <v>31</v>
      </c>
      <c r="AR1" s="10"/>
      <c r="AT1" s="19" t="s">
        <v>32</v>
      </c>
      <c r="AW1" s="19" t="s">
        <v>33</v>
      </c>
      <c r="AX1" s="16" t="s">
        <v>60</v>
      </c>
      <c r="AY1" s="16" t="s">
        <v>48</v>
      </c>
      <c r="AZ1" s="123" t="s">
        <v>49</v>
      </c>
      <c r="BA1" s="16" t="s">
        <v>50</v>
      </c>
      <c r="BB1" s="16" t="s">
        <v>51</v>
      </c>
      <c r="BC1" s="16" t="s">
        <v>52</v>
      </c>
      <c r="BD1" s="16" t="s">
        <v>53</v>
      </c>
      <c r="BE1" s="16" t="s">
        <v>54</v>
      </c>
      <c r="BF1" s="16" t="s">
        <v>55</v>
      </c>
      <c r="BG1" s="25" t="s">
        <v>87</v>
      </c>
      <c r="BH1" s="16" t="s">
        <v>88</v>
      </c>
      <c r="BI1" s="41" t="s">
        <v>89</v>
      </c>
      <c r="BK1" s="9" t="s">
        <v>43</v>
      </c>
      <c r="BL1" s="10"/>
      <c r="BM1" s="10"/>
      <c r="BN1" s="10"/>
      <c r="BP1" s="18" t="s">
        <v>45</v>
      </c>
      <c r="BU1" s="19" t="s">
        <v>44</v>
      </c>
      <c r="BW1" s="10"/>
      <c r="BX1" s="10"/>
      <c r="BZ1" s="9" t="s">
        <v>70</v>
      </c>
      <c r="CA1" s="10"/>
      <c r="CC1" s="19" t="s">
        <v>71</v>
      </c>
    </row>
    <row r="2" spans="1:82" ht="18" customHeight="1">
      <c r="A2" s="30" t="s">
        <v>46</v>
      </c>
      <c r="B2" s="1" t="s">
        <v>86</v>
      </c>
      <c r="C2" s="2" t="s">
        <v>114</v>
      </c>
      <c r="D2" s="3" t="s">
        <v>80</v>
      </c>
      <c r="E2" s="116" t="s">
        <v>1</v>
      </c>
      <c r="F2" s="4" t="s">
        <v>2</v>
      </c>
      <c r="J2" s="301" t="s">
        <v>112</v>
      </c>
      <c r="K2" s="318"/>
      <c r="L2" s="318"/>
      <c r="M2" s="318"/>
      <c r="N2" s="319"/>
      <c r="R2" s="11" t="s">
        <v>17</v>
      </c>
      <c r="S2" s="12" t="s">
        <v>0</v>
      </c>
      <c r="T2" s="13" t="s">
        <v>1</v>
      </c>
      <c r="U2" s="12" t="s">
        <v>2</v>
      </c>
      <c r="W2" s="11" t="s">
        <v>17</v>
      </c>
      <c r="X2" s="12" t="s">
        <v>0</v>
      </c>
      <c r="Y2" s="13" t="s">
        <v>1</v>
      </c>
      <c r="Z2" s="12" t="s">
        <v>2</v>
      </c>
      <c r="AB2" s="11" t="s">
        <v>17</v>
      </c>
      <c r="AC2" s="12" t="s">
        <v>0</v>
      </c>
      <c r="AD2" s="13" t="s">
        <v>1</v>
      </c>
      <c r="AE2" s="12" t="s">
        <v>2</v>
      </c>
      <c r="AG2" s="11" t="s">
        <v>17</v>
      </c>
      <c r="AH2" s="12" t="s">
        <v>0</v>
      </c>
      <c r="AI2" s="13" t="s">
        <v>1</v>
      </c>
      <c r="AJ2" s="12" t="s">
        <v>2</v>
      </c>
      <c r="AL2" s="11" t="s">
        <v>17</v>
      </c>
      <c r="AM2" s="12" t="s">
        <v>0</v>
      </c>
      <c r="AN2" s="13" t="s">
        <v>1</v>
      </c>
      <c r="AO2" s="12" t="s">
        <v>2</v>
      </c>
      <c r="AQ2" s="11" t="s">
        <v>17</v>
      </c>
      <c r="AR2" s="13" t="s">
        <v>3</v>
      </c>
      <c r="AT2" s="11" t="s">
        <v>17</v>
      </c>
      <c r="AU2" s="13" t="s">
        <v>4</v>
      </c>
      <c r="AW2" s="11" t="s">
        <v>17</v>
      </c>
      <c r="AX2" s="12" t="s">
        <v>4</v>
      </c>
      <c r="AY2" s="12" t="s">
        <v>4</v>
      </c>
      <c r="AZ2" s="124" t="s">
        <v>4</v>
      </c>
      <c r="BA2" s="12" t="s">
        <v>4</v>
      </c>
      <c r="BB2" s="12" t="s">
        <v>4</v>
      </c>
      <c r="BC2" s="12" t="s">
        <v>4</v>
      </c>
      <c r="BD2" s="12" t="s">
        <v>4</v>
      </c>
      <c r="BE2" s="12" t="s">
        <v>4</v>
      </c>
      <c r="BF2" s="24" t="s">
        <v>4</v>
      </c>
      <c r="BG2" s="29" t="s">
        <v>4</v>
      </c>
      <c r="BH2" s="12" t="s">
        <v>4</v>
      </c>
      <c r="BI2" s="12" t="s">
        <v>4</v>
      </c>
      <c r="BK2" s="11" t="s">
        <v>17</v>
      </c>
      <c r="BL2" s="12" t="s">
        <v>0</v>
      </c>
      <c r="BM2" s="13" t="s">
        <v>1</v>
      </c>
      <c r="BN2" s="12" t="s">
        <v>2</v>
      </c>
      <c r="BP2" s="11" t="s">
        <v>17</v>
      </c>
      <c r="BQ2" s="12" t="s">
        <v>0</v>
      </c>
      <c r="BR2" s="13" t="s">
        <v>1</v>
      </c>
      <c r="BS2" s="12" t="s">
        <v>2</v>
      </c>
      <c r="BU2" s="11" t="s">
        <v>17</v>
      </c>
      <c r="BV2" s="12" t="s">
        <v>0</v>
      </c>
      <c r="BW2" s="13" t="s">
        <v>1</v>
      </c>
      <c r="BX2" s="12" t="s">
        <v>2</v>
      </c>
      <c r="BZ2" s="11" t="s">
        <v>17</v>
      </c>
      <c r="CA2" s="12" t="s">
        <v>69</v>
      </c>
      <c r="CC2" s="11" t="s">
        <v>17</v>
      </c>
      <c r="CD2" s="12" t="s">
        <v>58</v>
      </c>
    </row>
    <row r="3" spans="1:82" ht="16.8">
      <c r="A3" s="1" t="s">
        <v>19</v>
      </c>
      <c r="B3" s="1">
        <v>0</v>
      </c>
      <c r="C3" s="3" t="s">
        <v>25</v>
      </c>
      <c r="D3" s="3">
        <f>SUMIF(S$3:S$38,$A3,AC$3:AC$38)</f>
        <v>18</v>
      </c>
      <c r="E3" s="116">
        <f t="shared" ref="E3:F14" si="0">SUMIF(T$3:T$38,$A3,AD$3:AD$38)</f>
        <v>18</v>
      </c>
      <c r="F3" s="4">
        <f t="shared" si="0"/>
        <v>18</v>
      </c>
      <c r="H3" s="27"/>
      <c r="I3" s="27"/>
      <c r="J3" s="64" t="s">
        <v>79</v>
      </c>
      <c r="K3" s="64" t="s">
        <v>78</v>
      </c>
      <c r="L3" s="2" t="s">
        <v>80</v>
      </c>
      <c r="M3" s="2" t="s">
        <v>72</v>
      </c>
      <c r="N3" s="2" t="s">
        <v>73</v>
      </c>
      <c r="R3" s="11">
        <v>0</v>
      </c>
      <c r="S3" s="12">
        <v>1</v>
      </c>
      <c r="T3" s="12" t="s">
        <v>15</v>
      </c>
      <c r="U3" s="12" t="s">
        <v>15</v>
      </c>
      <c r="W3" s="11">
        <v>0</v>
      </c>
      <c r="X3" s="12">
        <v>2</v>
      </c>
      <c r="Y3" s="12">
        <v>0</v>
      </c>
      <c r="Z3" s="12">
        <v>0</v>
      </c>
      <c r="AB3" s="11">
        <v>0</v>
      </c>
      <c r="AC3" s="12">
        <v>1</v>
      </c>
      <c r="AD3" s="69">
        <v>1</v>
      </c>
      <c r="AE3" s="69">
        <v>1</v>
      </c>
      <c r="AG3" s="11">
        <v>0</v>
      </c>
      <c r="AH3" s="12">
        <v>1</v>
      </c>
      <c r="AI3" s="69">
        <v>1</v>
      </c>
      <c r="AJ3" s="69">
        <v>1</v>
      </c>
      <c r="AL3" s="11">
        <v>0</v>
      </c>
      <c r="AM3" s="12">
        <v>1</v>
      </c>
      <c r="AN3" s="69">
        <v>1</v>
      </c>
      <c r="AO3" s="69">
        <v>1</v>
      </c>
      <c r="AQ3" s="11">
        <v>0</v>
      </c>
      <c r="AR3" s="14" t="s">
        <v>5</v>
      </c>
      <c r="AT3" s="11">
        <v>0</v>
      </c>
      <c r="AU3" s="12">
        <v>6</v>
      </c>
      <c r="AW3" s="11">
        <v>0</v>
      </c>
      <c r="AX3" s="12">
        <v>1</v>
      </c>
      <c r="AY3" s="12">
        <v>1</v>
      </c>
      <c r="AZ3" s="124">
        <v>1</v>
      </c>
      <c r="BA3" s="12">
        <v>1</v>
      </c>
      <c r="BB3" s="12">
        <v>1</v>
      </c>
      <c r="BC3" s="12">
        <v>1</v>
      </c>
      <c r="BD3" s="12">
        <v>1</v>
      </c>
      <c r="BE3" s="12">
        <v>1</v>
      </c>
      <c r="BF3" s="24">
        <v>1</v>
      </c>
      <c r="BG3" s="29">
        <v>1</v>
      </c>
      <c r="BH3" s="12">
        <v>1</v>
      </c>
      <c r="BI3" s="12">
        <v>1</v>
      </c>
      <c r="BK3" s="11">
        <v>0</v>
      </c>
      <c r="BL3" s="12">
        <v>1</v>
      </c>
      <c r="BM3" s="12" t="s">
        <v>15</v>
      </c>
      <c r="BN3" s="12" t="s">
        <v>15</v>
      </c>
      <c r="BP3" s="11">
        <v>0</v>
      </c>
      <c r="BQ3" s="12">
        <v>2</v>
      </c>
      <c r="BR3" s="12">
        <v>0</v>
      </c>
      <c r="BS3" s="12">
        <v>0</v>
      </c>
      <c r="BU3" s="11">
        <v>0</v>
      </c>
      <c r="BV3" s="12">
        <v>1</v>
      </c>
      <c r="BW3" s="12">
        <v>1</v>
      </c>
      <c r="BX3" s="12">
        <v>1</v>
      </c>
      <c r="BZ3" s="11">
        <v>0</v>
      </c>
      <c r="CA3" s="12">
        <v>30</v>
      </c>
      <c r="CC3" s="11">
        <v>0</v>
      </c>
      <c r="CD3" s="12">
        <v>1</v>
      </c>
    </row>
    <row r="4" spans="1:82" ht="16.8">
      <c r="A4" s="20">
        <v>0</v>
      </c>
      <c r="B4" s="20">
        <v>1</v>
      </c>
      <c r="C4" s="5">
        <v>0</v>
      </c>
      <c r="D4" s="37">
        <f t="shared" ref="D4:D14" si="1">SUMIF(S$3:S$38,$A4,AC$3:AC$38)</f>
        <v>0</v>
      </c>
      <c r="E4" s="115">
        <f t="shared" si="0"/>
        <v>6</v>
      </c>
      <c r="F4" s="7">
        <f t="shared" si="0"/>
        <v>6</v>
      </c>
      <c r="H4" s="27"/>
      <c r="J4" s="61" t="s">
        <v>77</v>
      </c>
      <c r="K4" s="61" t="s">
        <v>7</v>
      </c>
      <c r="L4" s="2">
        <v>2</v>
      </c>
      <c r="M4" s="2">
        <v>2</v>
      </c>
      <c r="N4" s="2">
        <v>1</v>
      </c>
      <c r="O4" s="6"/>
      <c r="R4" s="11">
        <v>1</v>
      </c>
      <c r="S4" s="12" t="s">
        <v>15</v>
      </c>
      <c r="T4" s="12">
        <v>0</v>
      </c>
      <c r="U4" s="12">
        <v>0</v>
      </c>
      <c r="W4" s="11">
        <v>1</v>
      </c>
      <c r="X4" s="12">
        <v>0</v>
      </c>
      <c r="Y4" s="12">
        <v>1</v>
      </c>
      <c r="Z4" s="12">
        <v>1</v>
      </c>
      <c r="AB4" s="11">
        <v>1</v>
      </c>
      <c r="AC4" s="12">
        <v>1</v>
      </c>
      <c r="AD4" s="69">
        <v>1</v>
      </c>
      <c r="AE4" s="69">
        <v>1</v>
      </c>
      <c r="AG4" s="11">
        <v>1</v>
      </c>
      <c r="AH4" s="12">
        <v>1</v>
      </c>
      <c r="AI4" s="69">
        <v>1</v>
      </c>
      <c r="AJ4" s="69">
        <v>1</v>
      </c>
      <c r="AL4" s="11">
        <v>1</v>
      </c>
      <c r="AM4" s="12">
        <v>1</v>
      </c>
      <c r="AN4" s="69">
        <v>1</v>
      </c>
      <c r="AO4" s="69">
        <v>1</v>
      </c>
      <c r="AQ4" s="11">
        <v>1</v>
      </c>
      <c r="AR4" s="12" t="s">
        <v>15</v>
      </c>
      <c r="AT4" s="11">
        <v>1</v>
      </c>
      <c r="AU4" s="12">
        <v>0</v>
      </c>
      <c r="AW4" s="11">
        <v>1</v>
      </c>
      <c r="AX4" s="12">
        <v>1</v>
      </c>
      <c r="AY4" s="12">
        <v>1</v>
      </c>
      <c r="AZ4" s="124">
        <v>1</v>
      </c>
      <c r="BA4" s="12">
        <v>1</v>
      </c>
      <c r="BB4" s="12">
        <v>1</v>
      </c>
      <c r="BC4" s="12">
        <v>1</v>
      </c>
      <c r="BD4" s="12">
        <v>1</v>
      </c>
      <c r="BE4" s="12">
        <v>1</v>
      </c>
      <c r="BF4" s="24">
        <v>1</v>
      </c>
      <c r="BG4" s="29">
        <v>1</v>
      </c>
      <c r="BH4" s="12">
        <v>1</v>
      </c>
      <c r="BI4" s="12">
        <v>1</v>
      </c>
      <c r="BK4" s="11">
        <v>1</v>
      </c>
      <c r="BL4" s="12" t="s">
        <v>15</v>
      </c>
      <c r="BM4" s="12">
        <v>0</v>
      </c>
      <c r="BN4" s="12">
        <v>0</v>
      </c>
      <c r="BP4" s="11">
        <v>1</v>
      </c>
      <c r="BQ4" s="12">
        <v>0</v>
      </c>
      <c r="BR4" s="12">
        <v>1</v>
      </c>
      <c r="BS4" s="12">
        <v>1</v>
      </c>
      <c r="BU4" s="11">
        <v>1</v>
      </c>
      <c r="BV4" s="12">
        <v>1</v>
      </c>
      <c r="BW4" s="12">
        <v>1</v>
      </c>
      <c r="BX4" s="12">
        <v>1</v>
      </c>
      <c r="BZ4" s="11">
        <v>1</v>
      </c>
      <c r="CA4" s="12">
        <v>15</v>
      </c>
      <c r="CC4" s="11">
        <v>1</v>
      </c>
      <c r="CD4" s="12">
        <v>1</v>
      </c>
    </row>
    <row r="5" spans="1:82" ht="16.8">
      <c r="A5" s="20">
        <v>1</v>
      </c>
      <c r="B5" s="20">
        <v>2</v>
      </c>
      <c r="C5" s="5">
        <v>1</v>
      </c>
      <c r="D5" s="6">
        <f t="shared" si="1"/>
        <v>6</v>
      </c>
      <c r="E5" s="115">
        <f t="shared" si="0"/>
        <v>6</v>
      </c>
      <c r="F5" s="7">
        <f t="shared" si="0"/>
        <v>6</v>
      </c>
      <c r="H5" s="27"/>
      <c r="I5" s="27"/>
      <c r="J5" s="91"/>
      <c r="K5" s="91"/>
      <c r="L5" s="320" t="s">
        <v>84</v>
      </c>
      <c r="M5" s="320"/>
      <c r="N5" s="320"/>
      <c r="R5" s="11">
        <v>2</v>
      </c>
      <c r="S5" s="12">
        <v>5</v>
      </c>
      <c r="T5" s="12" t="s">
        <v>15</v>
      </c>
      <c r="U5" s="12" t="s">
        <v>15</v>
      </c>
      <c r="W5" s="11">
        <v>2</v>
      </c>
      <c r="X5" s="12">
        <v>3</v>
      </c>
      <c r="Y5" s="12">
        <v>0</v>
      </c>
      <c r="Z5" s="12">
        <v>0</v>
      </c>
      <c r="AB5" s="11">
        <v>2</v>
      </c>
      <c r="AC5" s="12">
        <v>1</v>
      </c>
      <c r="AD5" s="69">
        <v>1</v>
      </c>
      <c r="AE5" s="69">
        <v>1</v>
      </c>
      <c r="AG5" s="11">
        <v>2</v>
      </c>
      <c r="AH5" s="12">
        <v>1</v>
      </c>
      <c r="AI5" s="69">
        <v>1</v>
      </c>
      <c r="AJ5" s="69">
        <v>1</v>
      </c>
      <c r="AL5" s="11">
        <v>2</v>
      </c>
      <c r="AM5" s="12">
        <v>1</v>
      </c>
      <c r="AN5" s="69">
        <v>1</v>
      </c>
      <c r="AO5" s="69">
        <v>1</v>
      </c>
      <c r="AQ5" s="11">
        <v>2</v>
      </c>
      <c r="AR5" s="14" t="s">
        <v>7</v>
      </c>
      <c r="AT5" s="11">
        <v>2</v>
      </c>
      <c r="AU5" s="12">
        <v>9</v>
      </c>
      <c r="AW5" s="11">
        <v>2</v>
      </c>
      <c r="AX5" s="12">
        <v>1</v>
      </c>
      <c r="AY5" s="12">
        <v>1</v>
      </c>
      <c r="AZ5" s="124">
        <v>1</v>
      </c>
      <c r="BA5" s="12">
        <v>1</v>
      </c>
      <c r="BB5" s="12">
        <v>1</v>
      </c>
      <c r="BC5" s="12">
        <v>1</v>
      </c>
      <c r="BD5" s="12">
        <v>1</v>
      </c>
      <c r="BE5" s="12">
        <v>1</v>
      </c>
      <c r="BF5" s="24">
        <v>1</v>
      </c>
      <c r="BG5" s="29">
        <v>1</v>
      </c>
      <c r="BH5" s="12">
        <v>1</v>
      </c>
      <c r="BI5" s="12">
        <v>1</v>
      </c>
      <c r="BK5" s="11">
        <v>2</v>
      </c>
      <c r="BL5" s="12">
        <v>5</v>
      </c>
      <c r="BM5" s="12" t="s">
        <v>15</v>
      </c>
      <c r="BN5" s="12" t="s">
        <v>15</v>
      </c>
      <c r="BP5" s="11">
        <v>2</v>
      </c>
      <c r="BQ5" s="12">
        <v>3</v>
      </c>
      <c r="BR5" s="12">
        <v>0</v>
      </c>
      <c r="BS5" s="12">
        <v>0</v>
      </c>
      <c r="BU5" s="11">
        <v>2</v>
      </c>
      <c r="BV5" s="12">
        <v>1</v>
      </c>
      <c r="BW5" s="12">
        <v>1</v>
      </c>
      <c r="BX5" s="12">
        <v>1</v>
      </c>
      <c r="BZ5" s="11">
        <v>2</v>
      </c>
      <c r="CA5" s="12">
        <v>100</v>
      </c>
      <c r="CC5" s="11">
        <v>2</v>
      </c>
      <c r="CD5" s="12">
        <v>1</v>
      </c>
    </row>
    <row r="6" spans="1:82">
      <c r="A6" s="21">
        <v>5</v>
      </c>
      <c r="B6" s="21">
        <v>3</v>
      </c>
      <c r="C6" s="23">
        <v>5</v>
      </c>
      <c r="D6" s="6">
        <f t="shared" si="1"/>
        <v>6</v>
      </c>
      <c r="E6" s="115">
        <f t="shared" si="0"/>
        <v>6</v>
      </c>
      <c r="F6" s="7">
        <f t="shared" si="0"/>
        <v>6</v>
      </c>
      <c r="H6" s="27"/>
      <c r="I6" s="27"/>
      <c r="J6" s="27"/>
      <c r="R6" s="11">
        <v>3</v>
      </c>
      <c r="S6" s="12" t="s">
        <v>15</v>
      </c>
      <c r="T6" s="12">
        <v>1</v>
      </c>
      <c r="U6" s="12">
        <v>1</v>
      </c>
      <c r="W6" s="11">
        <v>3</v>
      </c>
      <c r="X6" s="12">
        <v>0</v>
      </c>
      <c r="Y6" s="12">
        <v>2</v>
      </c>
      <c r="Z6" s="12">
        <v>2</v>
      </c>
      <c r="AB6" s="11">
        <v>3</v>
      </c>
      <c r="AC6" s="12">
        <v>1</v>
      </c>
      <c r="AD6" s="69">
        <v>1</v>
      </c>
      <c r="AE6" s="69">
        <v>1</v>
      </c>
      <c r="AG6" s="11">
        <v>3</v>
      </c>
      <c r="AH6" s="12">
        <v>1</v>
      </c>
      <c r="AI6" s="69">
        <v>1</v>
      </c>
      <c r="AJ6" s="69">
        <v>1</v>
      </c>
      <c r="AL6" s="11">
        <v>3</v>
      </c>
      <c r="AM6" s="12">
        <v>1</v>
      </c>
      <c r="AN6" s="69">
        <v>1</v>
      </c>
      <c r="AO6" s="69">
        <v>1</v>
      </c>
      <c r="AQ6" s="11">
        <v>3</v>
      </c>
      <c r="AR6" s="12" t="s">
        <v>15</v>
      </c>
      <c r="AT6" s="11">
        <v>3</v>
      </c>
      <c r="AU6" s="12">
        <v>0</v>
      </c>
      <c r="AW6" s="11">
        <v>3</v>
      </c>
      <c r="AX6" s="12">
        <v>1</v>
      </c>
      <c r="AY6" s="12">
        <v>1</v>
      </c>
      <c r="AZ6" s="124">
        <v>1</v>
      </c>
      <c r="BA6" s="12">
        <v>1</v>
      </c>
      <c r="BB6" s="12">
        <v>1</v>
      </c>
      <c r="BC6" s="12">
        <v>1</v>
      </c>
      <c r="BD6" s="12">
        <v>1</v>
      </c>
      <c r="BE6" s="12">
        <v>1</v>
      </c>
      <c r="BF6" s="24">
        <v>1</v>
      </c>
      <c r="BG6" s="29">
        <v>1</v>
      </c>
      <c r="BH6" s="12">
        <v>1</v>
      </c>
      <c r="BI6" s="12">
        <v>1</v>
      </c>
      <c r="BK6" s="11">
        <v>3</v>
      </c>
      <c r="BL6" s="12" t="s">
        <v>15</v>
      </c>
      <c r="BM6" s="12">
        <v>1</v>
      </c>
      <c r="BN6" s="12">
        <v>1</v>
      </c>
      <c r="BP6" s="11">
        <v>3</v>
      </c>
      <c r="BQ6" s="12">
        <v>0</v>
      </c>
      <c r="BR6" s="12">
        <v>2</v>
      </c>
      <c r="BS6" s="12">
        <v>2</v>
      </c>
      <c r="BU6" s="11">
        <v>3</v>
      </c>
      <c r="BV6" s="12">
        <v>1</v>
      </c>
      <c r="BW6" s="12">
        <v>1</v>
      </c>
      <c r="BX6" s="12">
        <v>1</v>
      </c>
      <c r="BZ6" s="11">
        <v>3</v>
      </c>
      <c r="CA6" s="12">
        <v>5</v>
      </c>
      <c r="CC6" s="11">
        <v>3</v>
      </c>
      <c r="CD6" s="12">
        <v>1</v>
      </c>
    </row>
    <row r="7" spans="1:82" ht="16.8">
      <c r="A7" s="21">
        <v>10</v>
      </c>
      <c r="B7" s="21">
        <v>4</v>
      </c>
      <c r="C7" s="23">
        <v>10</v>
      </c>
      <c r="D7" s="6">
        <f t="shared" si="1"/>
        <v>6</v>
      </c>
      <c r="E7" s="59">
        <f t="shared" si="0"/>
        <v>0</v>
      </c>
      <c r="F7" s="38">
        <f t="shared" si="0"/>
        <v>0</v>
      </c>
      <c r="H7" s="27"/>
      <c r="J7" s="64" t="s">
        <v>81</v>
      </c>
      <c r="K7" s="64" t="s">
        <v>82</v>
      </c>
      <c r="L7" s="64" t="s">
        <v>83</v>
      </c>
      <c r="M7" s="64" t="s">
        <v>113</v>
      </c>
      <c r="R7" s="11">
        <v>4</v>
      </c>
      <c r="S7" s="12">
        <v>10</v>
      </c>
      <c r="T7" s="12" t="s">
        <v>15</v>
      </c>
      <c r="U7" s="12" t="s">
        <v>15</v>
      </c>
      <c r="W7" s="11">
        <v>4</v>
      </c>
      <c r="X7" s="12">
        <v>4</v>
      </c>
      <c r="Y7" s="12">
        <v>0</v>
      </c>
      <c r="Z7" s="12">
        <v>0</v>
      </c>
      <c r="AB7" s="11">
        <v>4</v>
      </c>
      <c r="AC7" s="12">
        <v>1</v>
      </c>
      <c r="AD7" s="69">
        <v>1</v>
      </c>
      <c r="AE7" s="69">
        <v>1</v>
      </c>
      <c r="AG7" s="11">
        <v>4</v>
      </c>
      <c r="AH7" s="12">
        <v>1</v>
      </c>
      <c r="AI7" s="69">
        <v>1</v>
      </c>
      <c r="AJ7" s="69">
        <v>1</v>
      </c>
      <c r="AL7" s="11">
        <v>4</v>
      </c>
      <c r="AM7" s="12">
        <v>1</v>
      </c>
      <c r="AN7" s="69">
        <v>1</v>
      </c>
      <c r="AO7" s="69">
        <v>1</v>
      </c>
      <c r="AQ7" s="11">
        <v>4</v>
      </c>
      <c r="AR7" s="14" t="s">
        <v>6</v>
      </c>
      <c r="AT7" s="11">
        <v>4</v>
      </c>
      <c r="AU7" s="12">
        <v>7</v>
      </c>
      <c r="AW7" s="11">
        <v>4</v>
      </c>
      <c r="AX7" s="12">
        <v>1</v>
      </c>
      <c r="AY7" s="12">
        <v>1</v>
      </c>
      <c r="AZ7" s="124">
        <v>1</v>
      </c>
      <c r="BA7" s="12">
        <v>1</v>
      </c>
      <c r="BB7" s="12">
        <v>1</v>
      </c>
      <c r="BC7" s="12">
        <v>1</v>
      </c>
      <c r="BD7" s="12">
        <v>1</v>
      </c>
      <c r="BE7" s="12">
        <v>1</v>
      </c>
      <c r="BF7" s="24">
        <v>1</v>
      </c>
      <c r="BG7" s="29">
        <v>1</v>
      </c>
      <c r="BH7" s="12">
        <v>1</v>
      </c>
      <c r="BI7" s="12">
        <v>1</v>
      </c>
      <c r="BK7" s="11">
        <v>4</v>
      </c>
      <c r="BL7" s="12">
        <v>10</v>
      </c>
      <c r="BM7" s="12" t="s">
        <v>15</v>
      </c>
      <c r="BN7" s="12" t="s">
        <v>15</v>
      </c>
      <c r="BP7" s="11">
        <v>4</v>
      </c>
      <c r="BQ7" s="12">
        <v>4</v>
      </c>
      <c r="BR7" s="12">
        <v>0</v>
      </c>
      <c r="BS7" s="12">
        <v>0</v>
      </c>
      <c r="BU7" s="11">
        <v>4</v>
      </c>
      <c r="BV7" s="12">
        <v>1</v>
      </c>
      <c r="BW7" s="12">
        <v>1</v>
      </c>
      <c r="BX7" s="12">
        <v>1</v>
      </c>
      <c r="BZ7" s="11">
        <v>4</v>
      </c>
      <c r="CA7" s="12">
        <v>20</v>
      </c>
      <c r="CC7" s="11">
        <v>4</v>
      </c>
      <c r="CD7" s="12">
        <v>1</v>
      </c>
    </row>
    <row r="8" spans="1:82" ht="16.8">
      <c r="A8" s="20" t="s">
        <v>20</v>
      </c>
      <c r="B8" s="20">
        <v>5</v>
      </c>
      <c r="C8" s="23" t="s">
        <v>29</v>
      </c>
      <c r="D8" s="37">
        <f t="shared" si="1"/>
        <v>0</v>
      </c>
      <c r="E8" s="59">
        <f t="shared" si="0"/>
        <v>0</v>
      </c>
      <c r="F8" s="38">
        <f t="shared" si="0"/>
        <v>0</v>
      </c>
      <c r="H8" s="27"/>
      <c r="J8" s="64" t="s">
        <v>80</v>
      </c>
      <c r="K8" s="64">
        <v>4</v>
      </c>
      <c r="L8" s="64">
        <v>4</v>
      </c>
      <c r="M8" s="64">
        <v>92</v>
      </c>
      <c r="R8" s="11">
        <v>5</v>
      </c>
      <c r="S8" s="12" t="s">
        <v>15</v>
      </c>
      <c r="T8" s="12">
        <v>5</v>
      </c>
      <c r="U8" s="12">
        <v>5</v>
      </c>
      <c r="W8" s="11">
        <v>5</v>
      </c>
      <c r="X8" s="12">
        <v>0</v>
      </c>
      <c r="Y8" s="12">
        <v>3</v>
      </c>
      <c r="Z8" s="12">
        <v>3</v>
      </c>
      <c r="AB8" s="11">
        <v>5</v>
      </c>
      <c r="AC8" s="12">
        <v>1</v>
      </c>
      <c r="AD8" s="69">
        <v>1</v>
      </c>
      <c r="AE8" s="69">
        <v>1</v>
      </c>
      <c r="AG8" s="11">
        <v>5</v>
      </c>
      <c r="AH8" s="12">
        <v>1</v>
      </c>
      <c r="AI8" s="69">
        <v>1</v>
      </c>
      <c r="AJ8" s="69">
        <v>1</v>
      </c>
      <c r="AL8" s="11">
        <v>5</v>
      </c>
      <c r="AM8" s="12">
        <v>1</v>
      </c>
      <c r="AN8" s="69">
        <v>1</v>
      </c>
      <c r="AO8" s="69">
        <v>1</v>
      </c>
      <c r="AQ8" s="11">
        <v>5</v>
      </c>
      <c r="AR8" s="12" t="s">
        <v>15</v>
      </c>
      <c r="AT8" s="11">
        <v>5</v>
      </c>
      <c r="AU8" s="12">
        <v>0</v>
      </c>
      <c r="AW8" s="11">
        <v>5</v>
      </c>
      <c r="AX8" s="12">
        <v>1</v>
      </c>
      <c r="AY8" s="12">
        <v>1</v>
      </c>
      <c r="AZ8" s="124">
        <v>1</v>
      </c>
      <c r="BA8" s="12">
        <v>1</v>
      </c>
      <c r="BB8" s="12">
        <v>1</v>
      </c>
      <c r="BC8" s="12">
        <v>1</v>
      </c>
      <c r="BD8" s="12">
        <v>1</v>
      </c>
      <c r="BE8" s="12">
        <v>1</v>
      </c>
      <c r="BF8" s="24">
        <v>1</v>
      </c>
      <c r="BG8" s="29">
        <v>1</v>
      </c>
      <c r="BH8" s="12">
        <v>1</v>
      </c>
      <c r="BI8" s="12">
        <v>1</v>
      </c>
      <c r="BK8" s="11">
        <v>5</v>
      </c>
      <c r="BL8" s="12" t="s">
        <v>15</v>
      </c>
      <c r="BM8" s="12">
        <v>5</v>
      </c>
      <c r="BN8" s="12">
        <v>5</v>
      </c>
      <c r="BP8" s="11">
        <v>5</v>
      </c>
      <c r="BQ8" s="12">
        <v>0</v>
      </c>
      <c r="BR8" s="12">
        <v>3</v>
      </c>
      <c r="BS8" s="12">
        <v>3</v>
      </c>
      <c r="BU8" s="11">
        <v>5</v>
      </c>
      <c r="BV8" s="12">
        <v>1</v>
      </c>
      <c r="BW8" s="12">
        <v>1</v>
      </c>
      <c r="BX8" s="12">
        <v>1</v>
      </c>
      <c r="BZ8" s="11">
        <v>5</v>
      </c>
      <c r="CA8" s="12">
        <v>200</v>
      </c>
      <c r="CC8" s="11">
        <v>5</v>
      </c>
      <c r="CD8" s="12">
        <v>1</v>
      </c>
    </row>
    <row r="9" spans="1:82" ht="15.6" customHeight="1">
      <c r="A9" s="21" t="s">
        <v>21</v>
      </c>
      <c r="B9" s="21">
        <v>6</v>
      </c>
      <c r="C9" s="23" t="s">
        <v>26</v>
      </c>
      <c r="D9" s="37">
        <f t="shared" si="1"/>
        <v>0</v>
      </c>
      <c r="E9" s="59">
        <f t="shared" si="0"/>
        <v>0</v>
      </c>
      <c r="F9" s="38">
        <f t="shared" si="0"/>
        <v>0</v>
      </c>
      <c r="H9" s="27"/>
      <c r="J9" s="64" t="s">
        <v>72</v>
      </c>
      <c r="K9" s="64">
        <v>0</v>
      </c>
      <c r="L9" s="64">
        <v>0</v>
      </c>
      <c r="M9" s="64">
        <v>0</v>
      </c>
      <c r="N9" s="92"/>
      <c r="O9" s="92"/>
      <c r="R9" s="11">
        <v>6</v>
      </c>
      <c r="S9" s="12">
        <v>1</v>
      </c>
      <c r="T9" s="12" t="s">
        <v>15</v>
      </c>
      <c r="U9" s="12" t="s">
        <v>15</v>
      </c>
      <c r="W9" s="11">
        <v>6</v>
      </c>
      <c r="X9" s="12">
        <v>2</v>
      </c>
      <c r="Y9" s="12">
        <v>0</v>
      </c>
      <c r="Z9" s="12">
        <v>0</v>
      </c>
      <c r="AB9" s="11">
        <v>6</v>
      </c>
      <c r="AC9" s="12">
        <v>1</v>
      </c>
      <c r="AD9" s="69">
        <v>1</v>
      </c>
      <c r="AE9" s="69">
        <v>1</v>
      </c>
      <c r="AG9" s="11">
        <v>6</v>
      </c>
      <c r="AH9" s="12">
        <v>1</v>
      </c>
      <c r="AI9" s="69">
        <v>1</v>
      </c>
      <c r="AJ9" s="69">
        <v>1</v>
      </c>
      <c r="AL9" s="11">
        <v>6</v>
      </c>
      <c r="AM9" s="12">
        <v>1</v>
      </c>
      <c r="AN9" s="69">
        <v>1</v>
      </c>
      <c r="AO9" s="69">
        <v>1</v>
      </c>
      <c r="AQ9" s="11">
        <v>6</v>
      </c>
      <c r="AR9" s="14" t="s">
        <v>36</v>
      </c>
      <c r="AT9" s="11">
        <v>6</v>
      </c>
      <c r="AU9" s="12">
        <v>10</v>
      </c>
      <c r="AW9" s="11">
        <v>6</v>
      </c>
      <c r="AX9" s="12">
        <v>1</v>
      </c>
      <c r="AY9" s="12">
        <v>1</v>
      </c>
      <c r="AZ9" s="124">
        <v>1</v>
      </c>
      <c r="BA9" s="12">
        <v>1</v>
      </c>
      <c r="BB9" s="12">
        <v>1</v>
      </c>
      <c r="BC9" s="12">
        <v>1</v>
      </c>
      <c r="BD9" s="12">
        <v>1</v>
      </c>
      <c r="BE9" s="12">
        <v>1</v>
      </c>
      <c r="BF9" s="24">
        <v>1</v>
      </c>
      <c r="BG9" s="29">
        <v>1</v>
      </c>
      <c r="BH9" s="12">
        <v>1</v>
      </c>
      <c r="BI9" s="12">
        <v>1</v>
      </c>
      <c r="BK9" s="11">
        <v>6</v>
      </c>
      <c r="BL9" s="12">
        <v>1</v>
      </c>
      <c r="BM9" s="12" t="s">
        <v>15</v>
      </c>
      <c r="BN9" s="12" t="s">
        <v>15</v>
      </c>
      <c r="BP9" s="11">
        <v>6</v>
      </c>
      <c r="BQ9" s="12">
        <v>2</v>
      </c>
      <c r="BR9" s="12">
        <v>0</v>
      </c>
      <c r="BS9" s="12">
        <v>0</v>
      </c>
      <c r="BU9" s="11">
        <v>6</v>
      </c>
      <c r="BV9" s="12">
        <v>1</v>
      </c>
      <c r="BW9" s="12">
        <v>1</v>
      </c>
      <c r="BX9" s="12">
        <v>1</v>
      </c>
      <c r="BZ9" s="11">
        <v>6</v>
      </c>
      <c r="CA9" s="12">
        <v>50</v>
      </c>
      <c r="CC9" s="11">
        <v>6</v>
      </c>
      <c r="CD9" s="12">
        <v>1</v>
      </c>
    </row>
    <row r="10" spans="1:82" ht="16.8">
      <c r="A10" s="20" t="s">
        <v>22</v>
      </c>
      <c r="B10" s="20">
        <v>7</v>
      </c>
      <c r="C10" s="5" t="s">
        <v>27</v>
      </c>
      <c r="D10" s="37">
        <f t="shared" si="1"/>
        <v>0</v>
      </c>
      <c r="E10" s="59">
        <f t="shared" si="0"/>
        <v>0</v>
      </c>
      <c r="F10" s="38">
        <f t="shared" si="0"/>
        <v>0</v>
      </c>
      <c r="H10" s="27"/>
      <c r="J10" s="64" t="s">
        <v>73</v>
      </c>
      <c r="K10" s="64">
        <v>0</v>
      </c>
      <c r="L10" s="64">
        <v>0</v>
      </c>
      <c r="M10" s="64">
        <v>0</v>
      </c>
      <c r="N10" s="93"/>
      <c r="O10" s="93"/>
      <c r="R10" s="11">
        <v>7</v>
      </c>
      <c r="S10" s="12" t="s">
        <v>15</v>
      </c>
      <c r="T10" s="12">
        <v>0</v>
      </c>
      <c r="U10" s="12">
        <v>0</v>
      </c>
      <c r="W10" s="11">
        <v>7</v>
      </c>
      <c r="X10" s="12">
        <v>0</v>
      </c>
      <c r="Y10" s="12">
        <v>1</v>
      </c>
      <c r="Z10" s="12">
        <v>1</v>
      </c>
      <c r="AB10" s="11">
        <v>7</v>
      </c>
      <c r="AC10" s="12">
        <v>1</v>
      </c>
      <c r="AD10" s="69">
        <v>1</v>
      </c>
      <c r="AE10" s="69">
        <v>1</v>
      </c>
      <c r="AG10" s="11">
        <v>7</v>
      </c>
      <c r="AH10" s="12">
        <v>1</v>
      </c>
      <c r="AI10" s="69">
        <v>1</v>
      </c>
      <c r="AJ10" s="69">
        <v>1</v>
      </c>
      <c r="AL10" s="11">
        <v>7</v>
      </c>
      <c r="AM10" s="12">
        <v>1</v>
      </c>
      <c r="AN10" s="69">
        <v>1</v>
      </c>
      <c r="AO10" s="69">
        <v>1</v>
      </c>
      <c r="AQ10" s="11">
        <v>7</v>
      </c>
      <c r="AR10" s="12" t="s">
        <v>15</v>
      </c>
      <c r="AT10" s="11">
        <v>7</v>
      </c>
      <c r="AU10" s="12">
        <v>0</v>
      </c>
      <c r="AW10" s="11">
        <v>7</v>
      </c>
      <c r="AX10" s="12">
        <v>1</v>
      </c>
      <c r="AY10" s="12">
        <v>1</v>
      </c>
      <c r="AZ10" s="124">
        <v>1</v>
      </c>
      <c r="BA10" s="12">
        <v>1</v>
      </c>
      <c r="BB10" s="12">
        <v>1</v>
      </c>
      <c r="BC10" s="12">
        <v>1</v>
      </c>
      <c r="BD10" s="12">
        <v>1</v>
      </c>
      <c r="BE10" s="12">
        <v>1</v>
      </c>
      <c r="BF10" s="24">
        <v>1</v>
      </c>
      <c r="BG10" s="29">
        <v>1</v>
      </c>
      <c r="BH10" s="12">
        <v>1</v>
      </c>
      <c r="BI10" s="12">
        <v>1</v>
      </c>
      <c r="BK10" s="11">
        <v>7</v>
      </c>
      <c r="BL10" s="12" t="s">
        <v>15</v>
      </c>
      <c r="BM10" s="12">
        <v>0</v>
      </c>
      <c r="BN10" s="12">
        <v>0</v>
      </c>
      <c r="BP10" s="11">
        <v>7</v>
      </c>
      <c r="BQ10" s="12">
        <v>0</v>
      </c>
      <c r="BR10" s="12">
        <v>1</v>
      </c>
      <c r="BS10" s="12">
        <v>1</v>
      </c>
      <c r="BU10" s="11">
        <v>7</v>
      </c>
      <c r="BV10" s="12">
        <v>1</v>
      </c>
      <c r="BW10" s="12">
        <v>1</v>
      </c>
      <c r="BX10" s="12">
        <v>1</v>
      </c>
      <c r="BZ10" s="11">
        <v>7</v>
      </c>
      <c r="CA10" s="12">
        <v>10</v>
      </c>
      <c r="CC10" s="11">
        <v>7</v>
      </c>
      <c r="CD10" s="12">
        <v>1</v>
      </c>
    </row>
    <row r="11" spans="1:82" ht="16.8">
      <c r="A11" s="20" t="s">
        <v>23</v>
      </c>
      <c r="B11" s="20">
        <v>8</v>
      </c>
      <c r="C11" s="5" t="s">
        <v>28</v>
      </c>
      <c r="D11" s="37">
        <f t="shared" si="1"/>
        <v>0</v>
      </c>
      <c r="E11" s="59">
        <f t="shared" si="0"/>
        <v>0</v>
      </c>
      <c r="F11" s="38">
        <f t="shared" si="0"/>
        <v>0</v>
      </c>
      <c r="H11" s="27"/>
      <c r="J11" s="64" t="s">
        <v>4</v>
      </c>
      <c r="K11" s="64">
        <v>7</v>
      </c>
      <c r="L11" s="64">
        <v>7</v>
      </c>
      <c r="M11" s="64">
        <v>86</v>
      </c>
      <c r="N11" s="93"/>
      <c r="O11" s="93"/>
      <c r="R11" s="11">
        <v>8</v>
      </c>
      <c r="S11" s="12">
        <v>5</v>
      </c>
      <c r="T11" s="12" t="s">
        <v>15</v>
      </c>
      <c r="U11" s="12" t="s">
        <v>15</v>
      </c>
      <c r="W11" s="11">
        <v>8</v>
      </c>
      <c r="X11" s="12">
        <v>3</v>
      </c>
      <c r="Y11" s="12">
        <v>0</v>
      </c>
      <c r="Z11" s="12">
        <v>0</v>
      </c>
      <c r="AB11" s="11">
        <v>8</v>
      </c>
      <c r="AC11" s="12">
        <v>1</v>
      </c>
      <c r="AD11" s="69">
        <v>1</v>
      </c>
      <c r="AE11" s="69">
        <v>1</v>
      </c>
      <c r="AG11" s="11">
        <v>8</v>
      </c>
      <c r="AH11" s="12">
        <v>1</v>
      </c>
      <c r="AI11" s="69">
        <v>1</v>
      </c>
      <c r="AJ11" s="69">
        <v>1</v>
      </c>
      <c r="AL11" s="11">
        <v>8</v>
      </c>
      <c r="AM11" s="12">
        <v>1</v>
      </c>
      <c r="AN11" s="69">
        <v>1</v>
      </c>
      <c r="AO11" s="69">
        <v>1</v>
      </c>
      <c r="AQ11" s="11">
        <v>8</v>
      </c>
      <c r="AR11" s="14" t="s">
        <v>5</v>
      </c>
      <c r="AT11" s="11">
        <v>8</v>
      </c>
      <c r="AU11" s="12">
        <v>6</v>
      </c>
      <c r="AW11" s="11">
        <v>8</v>
      </c>
      <c r="AX11" s="12">
        <v>1</v>
      </c>
      <c r="AY11" s="12">
        <v>1</v>
      </c>
      <c r="AZ11" s="124">
        <v>1</v>
      </c>
      <c r="BA11" s="12">
        <v>1</v>
      </c>
      <c r="BB11" s="12">
        <v>1</v>
      </c>
      <c r="BC11" s="12">
        <v>1</v>
      </c>
      <c r="BD11" s="12">
        <v>1</v>
      </c>
      <c r="BE11" s="12">
        <v>1</v>
      </c>
      <c r="BF11" s="24">
        <v>1</v>
      </c>
      <c r="BG11" s="29">
        <v>1</v>
      </c>
      <c r="BH11" s="12">
        <v>1</v>
      </c>
      <c r="BI11" s="12">
        <v>1</v>
      </c>
      <c r="BK11" s="11">
        <v>8</v>
      </c>
      <c r="BL11" s="12">
        <v>5</v>
      </c>
      <c r="BM11" s="12" t="s">
        <v>15</v>
      </c>
      <c r="BN11" s="12" t="s">
        <v>15</v>
      </c>
      <c r="BP11" s="11">
        <v>8</v>
      </c>
      <c r="BQ11" s="12">
        <v>3</v>
      </c>
      <c r="BR11" s="12">
        <v>0</v>
      </c>
      <c r="BS11" s="12">
        <v>0</v>
      </c>
      <c r="BU11" s="11">
        <v>8</v>
      </c>
      <c r="BV11" s="12">
        <v>1</v>
      </c>
      <c r="BW11" s="12">
        <v>1</v>
      </c>
      <c r="BX11" s="12">
        <v>1</v>
      </c>
      <c r="BZ11" s="11">
        <v>8</v>
      </c>
      <c r="CA11" s="12"/>
      <c r="CC11" s="11">
        <v>8</v>
      </c>
      <c r="CD11" s="12"/>
    </row>
    <row r="12" spans="1:82">
      <c r="A12" s="20" t="s">
        <v>24</v>
      </c>
      <c r="B12" s="20">
        <v>9</v>
      </c>
      <c r="C12" s="5" t="s">
        <v>16</v>
      </c>
      <c r="D12" s="37">
        <f t="shared" si="1"/>
        <v>0</v>
      </c>
      <c r="E12" s="59">
        <f t="shared" si="0"/>
        <v>0</v>
      </c>
      <c r="F12" s="38">
        <f t="shared" si="0"/>
        <v>0</v>
      </c>
      <c r="H12" s="27"/>
      <c r="J12" s="27"/>
      <c r="K12" s="27"/>
      <c r="R12" s="11">
        <v>9</v>
      </c>
      <c r="S12" s="12" t="s">
        <v>15</v>
      </c>
      <c r="T12" s="12">
        <v>1</v>
      </c>
      <c r="U12" s="12">
        <v>1</v>
      </c>
      <c r="W12" s="11">
        <v>9</v>
      </c>
      <c r="X12" s="12">
        <v>0</v>
      </c>
      <c r="Y12" s="12">
        <v>2</v>
      </c>
      <c r="Z12" s="12">
        <v>2</v>
      </c>
      <c r="AB12" s="11">
        <v>9</v>
      </c>
      <c r="AC12" s="12">
        <v>1</v>
      </c>
      <c r="AD12" s="69">
        <v>1</v>
      </c>
      <c r="AE12" s="69">
        <v>1</v>
      </c>
      <c r="AG12" s="11">
        <v>9</v>
      </c>
      <c r="AH12" s="12">
        <v>1</v>
      </c>
      <c r="AI12" s="69">
        <v>1</v>
      </c>
      <c r="AJ12" s="69">
        <v>1</v>
      </c>
      <c r="AL12" s="11">
        <v>9</v>
      </c>
      <c r="AM12" s="12">
        <v>1</v>
      </c>
      <c r="AN12" s="69">
        <v>1</v>
      </c>
      <c r="AO12" s="69">
        <v>1</v>
      </c>
      <c r="AQ12" s="11">
        <v>9</v>
      </c>
      <c r="AR12" s="12" t="s">
        <v>15</v>
      </c>
      <c r="AT12" s="11">
        <v>9</v>
      </c>
      <c r="AU12" s="12">
        <v>0</v>
      </c>
      <c r="AW12" s="11">
        <v>9</v>
      </c>
      <c r="AX12" s="12">
        <v>1</v>
      </c>
      <c r="AY12" s="12">
        <v>1</v>
      </c>
      <c r="AZ12" s="124">
        <v>1</v>
      </c>
      <c r="BA12" s="12">
        <v>1</v>
      </c>
      <c r="BB12" s="12">
        <v>1</v>
      </c>
      <c r="BC12" s="12">
        <v>1</v>
      </c>
      <c r="BD12" s="12">
        <v>1</v>
      </c>
      <c r="BE12" s="12">
        <v>1</v>
      </c>
      <c r="BF12" s="24">
        <v>1</v>
      </c>
      <c r="BG12" s="29">
        <v>1</v>
      </c>
      <c r="BH12" s="12">
        <v>1</v>
      </c>
      <c r="BI12" s="12">
        <v>1</v>
      </c>
      <c r="BK12" s="11">
        <v>9</v>
      </c>
      <c r="BL12" s="12" t="s">
        <v>15</v>
      </c>
      <c r="BM12" s="12">
        <v>1</v>
      </c>
      <c r="BN12" s="12">
        <v>1</v>
      </c>
      <c r="BP12" s="11">
        <v>9</v>
      </c>
      <c r="BQ12" s="12">
        <v>0</v>
      </c>
      <c r="BR12" s="12">
        <v>2</v>
      </c>
      <c r="BS12" s="12">
        <v>2</v>
      </c>
      <c r="BU12" s="11">
        <v>9</v>
      </c>
      <c r="BV12" s="12">
        <v>1</v>
      </c>
      <c r="BW12" s="12">
        <v>1</v>
      </c>
      <c r="BX12" s="12">
        <v>1</v>
      </c>
      <c r="BZ12" s="11">
        <v>9</v>
      </c>
      <c r="CA12" s="12"/>
      <c r="CC12" s="11">
        <v>9</v>
      </c>
      <c r="CD12" s="12"/>
    </row>
    <row r="13" spans="1:82" ht="18" customHeight="1">
      <c r="A13" s="21" t="s">
        <v>35</v>
      </c>
      <c r="B13" s="21">
        <v>10</v>
      </c>
      <c r="C13" s="5" t="s">
        <v>37</v>
      </c>
      <c r="D13" s="37">
        <f t="shared" si="1"/>
        <v>0</v>
      </c>
      <c r="E13" s="59">
        <f t="shared" si="0"/>
        <v>0</v>
      </c>
      <c r="F13" s="38">
        <f t="shared" si="0"/>
        <v>0</v>
      </c>
      <c r="H13" s="27"/>
      <c r="J13" s="66"/>
      <c r="K13" s="64" t="s">
        <v>90</v>
      </c>
      <c r="L13" s="64" t="s">
        <v>91</v>
      </c>
      <c r="M13" s="64" t="s">
        <v>92</v>
      </c>
      <c r="R13" s="11">
        <v>10</v>
      </c>
      <c r="S13" s="12">
        <v>10</v>
      </c>
      <c r="T13" s="12" t="s">
        <v>15</v>
      </c>
      <c r="U13" s="12" t="s">
        <v>15</v>
      </c>
      <c r="W13" s="11">
        <v>10</v>
      </c>
      <c r="X13" s="12">
        <v>4</v>
      </c>
      <c r="Y13" s="12">
        <v>0</v>
      </c>
      <c r="Z13" s="12">
        <v>0</v>
      </c>
      <c r="AB13" s="11">
        <v>10</v>
      </c>
      <c r="AC13" s="12">
        <v>1</v>
      </c>
      <c r="AD13" s="69">
        <v>1</v>
      </c>
      <c r="AE13" s="69">
        <v>1</v>
      </c>
      <c r="AG13" s="11">
        <v>10</v>
      </c>
      <c r="AH13" s="12">
        <v>1</v>
      </c>
      <c r="AI13" s="69">
        <v>1</v>
      </c>
      <c r="AJ13" s="69">
        <v>1</v>
      </c>
      <c r="AL13" s="11">
        <v>10</v>
      </c>
      <c r="AM13" s="12">
        <v>1</v>
      </c>
      <c r="AN13" s="69">
        <v>1</v>
      </c>
      <c r="AO13" s="69">
        <v>1</v>
      </c>
      <c r="AQ13" s="11">
        <v>10</v>
      </c>
      <c r="AR13" s="14" t="s">
        <v>7</v>
      </c>
      <c r="AT13" s="11">
        <v>10</v>
      </c>
      <c r="AU13" s="12">
        <v>9</v>
      </c>
      <c r="AW13" s="11">
        <v>10</v>
      </c>
      <c r="AX13" s="12">
        <v>1</v>
      </c>
      <c r="AY13" s="12">
        <v>1</v>
      </c>
      <c r="AZ13" s="124">
        <v>1</v>
      </c>
      <c r="BA13" s="12">
        <v>1</v>
      </c>
      <c r="BB13" s="12">
        <v>1</v>
      </c>
      <c r="BC13" s="12">
        <v>1</v>
      </c>
      <c r="BD13" s="12">
        <v>1</v>
      </c>
      <c r="BE13" s="12">
        <v>1</v>
      </c>
      <c r="BF13" s="24">
        <v>1</v>
      </c>
      <c r="BG13" s="29">
        <v>1</v>
      </c>
      <c r="BH13" s="12">
        <v>1</v>
      </c>
      <c r="BI13" s="12">
        <v>1</v>
      </c>
      <c r="BK13" s="11">
        <v>10</v>
      </c>
      <c r="BL13" s="12">
        <v>10</v>
      </c>
      <c r="BM13" s="12" t="s">
        <v>15</v>
      </c>
      <c r="BN13" s="12" t="s">
        <v>15</v>
      </c>
      <c r="BP13" s="11">
        <v>10</v>
      </c>
      <c r="BQ13" s="12">
        <v>4</v>
      </c>
      <c r="BR13" s="12">
        <v>0</v>
      </c>
      <c r="BS13" s="12">
        <v>0</v>
      </c>
      <c r="BU13" s="11">
        <v>10</v>
      </c>
      <c r="BV13" s="12">
        <v>1</v>
      </c>
      <c r="BW13" s="12">
        <v>1</v>
      </c>
      <c r="BX13" s="12">
        <v>1</v>
      </c>
      <c r="BZ13" s="11">
        <v>10</v>
      </c>
      <c r="CA13" s="12"/>
      <c r="CC13" s="11">
        <v>10</v>
      </c>
      <c r="CD13" s="12"/>
    </row>
    <row r="14" spans="1:82" ht="16.8">
      <c r="A14" s="22" t="s">
        <v>39</v>
      </c>
      <c r="B14" s="22">
        <v>11</v>
      </c>
      <c r="C14" s="17" t="s">
        <v>38</v>
      </c>
      <c r="D14" s="60">
        <f t="shared" si="1"/>
        <v>0</v>
      </c>
      <c r="E14" s="39">
        <f t="shared" si="0"/>
        <v>0</v>
      </c>
      <c r="F14" s="40">
        <f t="shared" si="0"/>
        <v>0</v>
      </c>
      <c r="H14" s="27"/>
      <c r="J14" s="64" t="s">
        <v>96</v>
      </c>
      <c r="K14" s="64">
        <v>1</v>
      </c>
      <c r="L14" s="64">
        <v>1</v>
      </c>
      <c r="M14" s="64">
        <v>1</v>
      </c>
      <c r="R14" s="11">
        <v>11</v>
      </c>
      <c r="S14" s="12" t="s">
        <v>15</v>
      </c>
      <c r="T14" s="12">
        <v>5</v>
      </c>
      <c r="U14" s="12">
        <v>5</v>
      </c>
      <c r="W14" s="11">
        <v>11</v>
      </c>
      <c r="X14" s="12">
        <v>0</v>
      </c>
      <c r="Y14" s="12">
        <v>3</v>
      </c>
      <c r="Z14" s="12">
        <v>3</v>
      </c>
      <c r="AB14" s="11">
        <v>11</v>
      </c>
      <c r="AC14" s="12">
        <v>1</v>
      </c>
      <c r="AD14" s="69">
        <v>1</v>
      </c>
      <c r="AE14" s="69">
        <v>1</v>
      </c>
      <c r="AG14" s="11">
        <v>11</v>
      </c>
      <c r="AH14" s="12">
        <v>1</v>
      </c>
      <c r="AI14" s="69">
        <v>1</v>
      </c>
      <c r="AJ14" s="69">
        <v>1</v>
      </c>
      <c r="AL14" s="11">
        <v>11</v>
      </c>
      <c r="AM14" s="12">
        <v>1</v>
      </c>
      <c r="AN14" s="69">
        <v>1</v>
      </c>
      <c r="AO14" s="69">
        <v>1</v>
      </c>
      <c r="AQ14" s="11">
        <v>11</v>
      </c>
      <c r="AR14" s="12" t="s">
        <v>15</v>
      </c>
      <c r="AT14" s="11">
        <v>11</v>
      </c>
      <c r="AU14" s="12">
        <v>0</v>
      </c>
      <c r="AW14" s="11">
        <v>11</v>
      </c>
      <c r="AX14" s="12">
        <v>1</v>
      </c>
      <c r="AY14" s="12">
        <v>1</v>
      </c>
      <c r="AZ14" s="124">
        <v>1</v>
      </c>
      <c r="BA14" s="12">
        <v>1</v>
      </c>
      <c r="BB14" s="12">
        <v>1</v>
      </c>
      <c r="BC14" s="12">
        <v>1</v>
      </c>
      <c r="BD14" s="12">
        <v>1</v>
      </c>
      <c r="BE14" s="12">
        <v>1</v>
      </c>
      <c r="BF14" s="24">
        <v>1</v>
      </c>
      <c r="BG14" s="29">
        <v>1</v>
      </c>
      <c r="BH14" s="12">
        <v>1</v>
      </c>
      <c r="BI14" s="12">
        <v>1</v>
      </c>
      <c r="BK14" s="11">
        <v>11</v>
      </c>
      <c r="BL14" s="12" t="s">
        <v>15</v>
      </c>
      <c r="BM14" s="12">
        <v>5</v>
      </c>
      <c r="BN14" s="12">
        <v>5</v>
      </c>
      <c r="BP14" s="11">
        <v>11</v>
      </c>
      <c r="BQ14" s="12">
        <v>0</v>
      </c>
      <c r="BR14" s="12">
        <v>3</v>
      </c>
      <c r="BS14" s="12">
        <v>3</v>
      </c>
      <c r="BU14" s="11">
        <v>11</v>
      </c>
      <c r="BV14" s="12">
        <v>1</v>
      </c>
      <c r="BW14" s="12">
        <v>1</v>
      </c>
      <c r="BX14" s="12">
        <v>1</v>
      </c>
      <c r="BZ14" s="11">
        <v>11</v>
      </c>
      <c r="CA14" s="12"/>
      <c r="CC14" s="11">
        <v>11</v>
      </c>
      <c r="CD14" s="12"/>
    </row>
    <row r="15" spans="1:82">
      <c r="D15" s="115">
        <f>SUM(D3:D14)</f>
        <v>36</v>
      </c>
      <c r="E15" s="115">
        <f>SUM(E3:E14)</f>
        <v>36</v>
      </c>
      <c r="F15" s="115">
        <f>SUM(F3:F14)</f>
        <v>36</v>
      </c>
      <c r="R15" s="11">
        <v>12</v>
      </c>
      <c r="S15" s="12">
        <v>1</v>
      </c>
      <c r="T15" s="12" t="s">
        <v>15</v>
      </c>
      <c r="U15" s="12" t="s">
        <v>15</v>
      </c>
      <c r="W15" s="11">
        <v>12</v>
      </c>
      <c r="X15" s="12">
        <v>2</v>
      </c>
      <c r="Y15" s="12">
        <v>0</v>
      </c>
      <c r="Z15" s="12">
        <v>0</v>
      </c>
      <c r="AB15" s="11">
        <v>12</v>
      </c>
      <c r="AC15" s="12">
        <v>1</v>
      </c>
      <c r="AD15" s="69">
        <v>1</v>
      </c>
      <c r="AE15" s="69">
        <v>1</v>
      </c>
      <c r="AG15" s="11">
        <v>12</v>
      </c>
      <c r="AH15" s="12">
        <v>1</v>
      </c>
      <c r="AI15" s="69">
        <v>1</v>
      </c>
      <c r="AJ15" s="69">
        <v>1</v>
      </c>
      <c r="AL15" s="11">
        <v>12</v>
      </c>
      <c r="AM15" s="12">
        <v>1</v>
      </c>
      <c r="AN15" s="69">
        <v>1</v>
      </c>
      <c r="AO15" s="69">
        <v>1</v>
      </c>
      <c r="AQ15" s="11">
        <v>12</v>
      </c>
      <c r="AR15" s="14" t="s">
        <v>6</v>
      </c>
      <c r="AT15" s="11">
        <v>12</v>
      </c>
      <c r="AU15" s="12">
        <v>7</v>
      </c>
      <c r="AW15" s="11">
        <v>12</v>
      </c>
      <c r="AX15" s="12">
        <v>1</v>
      </c>
      <c r="AY15" s="12">
        <v>1</v>
      </c>
      <c r="AZ15" s="124">
        <v>1</v>
      </c>
      <c r="BA15" s="12">
        <v>1</v>
      </c>
      <c r="BB15" s="12">
        <v>1</v>
      </c>
      <c r="BC15" s="12">
        <v>1</v>
      </c>
      <c r="BD15" s="12">
        <v>1</v>
      </c>
      <c r="BE15" s="12">
        <v>1</v>
      </c>
      <c r="BF15" s="24">
        <v>1</v>
      </c>
      <c r="BG15" s="29">
        <v>1</v>
      </c>
      <c r="BH15" s="12">
        <v>1</v>
      </c>
      <c r="BI15" s="12">
        <v>1</v>
      </c>
      <c r="BK15" s="11">
        <v>12</v>
      </c>
      <c r="BL15" s="12">
        <v>1</v>
      </c>
      <c r="BM15" s="12" t="s">
        <v>15</v>
      </c>
      <c r="BN15" s="12" t="s">
        <v>15</v>
      </c>
      <c r="BP15" s="11">
        <v>12</v>
      </c>
      <c r="BQ15" s="12">
        <v>2</v>
      </c>
      <c r="BR15" s="12">
        <v>0</v>
      </c>
      <c r="BS15" s="12">
        <v>0</v>
      </c>
      <c r="BU15" s="11">
        <v>12</v>
      </c>
      <c r="BV15" s="12">
        <v>1</v>
      </c>
      <c r="BW15" s="12">
        <v>1</v>
      </c>
      <c r="BX15" s="12">
        <v>1</v>
      </c>
      <c r="BZ15" s="11">
        <v>12</v>
      </c>
      <c r="CA15" s="12"/>
      <c r="CC15" s="11">
        <v>12</v>
      </c>
      <c r="CD15" s="12"/>
    </row>
    <row r="16" spans="1:82" ht="16.8">
      <c r="C16" s="8"/>
      <c r="J16" s="2"/>
      <c r="K16" s="2" t="s">
        <v>119</v>
      </c>
      <c r="L16" s="2" t="s">
        <v>120</v>
      </c>
      <c r="R16" s="11">
        <v>13</v>
      </c>
      <c r="S16" s="12" t="s">
        <v>15</v>
      </c>
      <c r="T16" s="12">
        <v>0</v>
      </c>
      <c r="U16" s="12">
        <v>0</v>
      </c>
      <c r="W16" s="11">
        <v>13</v>
      </c>
      <c r="X16" s="12">
        <v>0</v>
      </c>
      <c r="Y16" s="12">
        <v>1</v>
      </c>
      <c r="Z16" s="12">
        <v>1</v>
      </c>
      <c r="AB16" s="11">
        <v>13</v>
      </c>
      <c r="AC16" s="12">
        <v>1</v>
      </c>
      <c r="AD16" s="69">
        <v>1</v>
      </c>
      <c r="AE16" s="69">
        <v>1</v>
      </c>
      <c r="AG16" s="11">
        <v>13</v>
      </c>
      <c r="AH16" s="12">
        <v>1</v>
      </c>
      <c r="AI16" s="69">
        <v>1</v>
      </c>
      <c r="AJ16" s="69">
        <v>1</v>
      </c>
      <c r="AL16" s="11">
        <v>13</v>
      </c>
      <c r="AM16" s="12">
        <v>1</v>
      </c>
      <c r="AN16" s="69">
        <v>1</v>
      </c>
      <c r="AO16" s="69">
        <v>1</v>
      </c>
      <c r="AQ16" s="11">
        <v>13</v>
      </c>
      <c r="AR16" s="12" t="s">
        <v>15</v>
      </c>
      <c r="AT16" s="11">
        <v>13</v>
      </c>
      <c r="AU16" s="12">
        <v>0</v>
      </c>
      <c r="AW16" s="11">
        <v>13</v>
      </c>
      <c r="AX16" s="12">
        <v>1</v>
      </c>
      <c r="AY16" s="12">
        <v>1</v>
      </c>
      <c r="AZ16" s="124">
        <v>1</v>
      </c>
      <c r="BA16" s="12">
        <v>1</v>
      </c>
      <c r="BB16" s="12">
        <v>1</v>
      </c>
      <c r="BC16" s="12">
        <v>1</v>
      </c>
      <c r="BD16" s="12">
        <v>1</v>
      </c>
      <c r="BE16" s="12">
        <v>1</v>
      </c>
      <c r="BF16" s="24">
        <v>1</v>
      </c>
      <c r="BG16" s="29">
        <v>1</v>
      </c>
      <c r="BH16" s="12">
        <v>1</v>
      </c>
      <c r="BI16" s="12">
        <v>1</v>
      </c>
      <c r="BK16" s="11">
        <v>13</v>
      </c>
      <c r="BL16" s="12" t="s">
        <v>15</v>
      </c>
      <c r="BM16" s="12">
        <v>0</v>
      </c>
      <c r="BN16" s="12">
        <v>0</v>
      </c>
      <c r="BP16" s="11">
        <v>13</v>
      </c>
      <c r="BQ16" s="12">
        <v>0</v>
      </c>
      <c r="BR16" s="12">
        <v>1</v>
      </c>
      <c r="BS16" s="12">
        <v>1</v>
      </c>
      <c r="BU16" s="11">
        <v>13</v>
      </c>
      <c r="BV16" s="12">
        <v>1</v>
      </c>
      <c r="BW16" s="12">
        <v>1</v>
      </c>
      <c r="BX16" s="12">
        <v>1</v>
      </c>
      <c r="BZ16" s="11">
        <v>13</v>
      </c>
      <c r="CA16" s="12"/>
      <c r="CC16" s="11">
        <v>13</v>
      </c>
      <c r="CD16" s="12"/>
    </row>
    <row r="17" spans="1:82" ht="16.8">
      <c r="A17" s="30" t="s">
        <v>116</v>
      </c>
      <c r="D17" s="119" t="s">
        <v>8</v>
      </c>
      <c r="E17" s="119">
        <v>5</v>
      </c>
      <c r="F17" s="119" t="s">
        <v>8</v>
      </c>
      <c r="J17" s="2" t="s">
        <v>118</v>
      </c>
      <c r="K17" s="33">
        <v>100</v>
      </c>
      <c r="L17" s="33">
        <v>0</v>
      </c>
      <c r="R17" s="11">
        <v>14</v>
      </c>
      <c r="S17" s="12">
        <v>5</v>
      </c>
      <c r="T17" s="12" t="s">
        <v>15</v>
      </c>
      <c r="U17" s="12" t="s">
        <v>15</v>
      </c>
      <c r="W17" s="11">
        <v>14</v>
      </c>
      <c r="X17" s="12">
        <v>3</v>
      </c>
      <c r="Y17" s="12">
        <v>0</v>
      </c>
      <c r="Z17" s="12">
        <v>0</v>
      </c>
      <c r="AB17" s="11">
        <v>14</v>
      </c>
      <c r="AC17" s="12">
        <v>1</v>
      </c>
      <c r="AD17" s="69">
        <v>1</v>
      </c>
      <c r="AE17" s="69">
        <v>1</v>
      </c>
      <c r="AG17" s="11">
        <v>14</v>
      </c>
      <c r="AH17" s="12">
        <v>1</v>
      </c>
      <c r="AI17" s="69">
        <v>1</v>
      </c>
      <c r="AJ17" s="69">
        <v>1</v>
      </c>
      <c r="AL17" s="11">
        <v>14</v>
      </c>
      <c r="AM17" s="12">
        <v>1</v>
      </c>
      <c r="AN17" s="69">
        <v>1</v>
      </c>
      <c r="AO17" s="69">
        <v>1</v>
      </c>
      <c r="AQ17" s="11">
        <v>14</v>
      </c>
      <c r="AR17" s="14" t="s">
        <v>36</v>
      </c>
      <c r="AT17" s="11">
        <v>14</v>
      </c>
      <c r="AU17" s="12">
        <v>10</v>
      </c>
      <c r="AW17" s="11">
        <v>14</v>
      </c>
      <c r="AX17" s="12">
        <v>1</v>
      </c>
      <c r="AY17" s="12">
        <v>1</v>
      </c>
      <c r="AZ17" s="124">
        <v>1</v>
      </c>
      <c r="BA17" s="12">
        <v>1</v>
      </c>
      <c r="BB17" s="12">
        <v>1</v>
      </c>
      <c r="BC17" s="12">
        <v>1</v>
      </c>
      <c r="BD17" s="12">
        <v>1</v>
      </c>
      <c r="BE17" s="12">
        <v>1</v>
      </c>
      <c r="BF17" s="24">
        <v>1</v>
      </c>
      <c r="BG17" s="29">
        <v>1</v>
      </c>
      <c r="BH17" s="12">
        <v>1</v>
      </c>
      <c r="BI17" s="12">
        <v>1</v>
      </c>
      <c r="BK17" s="11">
        <v>14</v>
      </c>
      <c r="BL17" s="12">
        <v>5</v>
      </c>
      <c r="BM17" s="12" t="s">
        <v>15</v>
      </c>
      <c r="BN17" s="12" t="s">
        <v>15</v>
      </c>
      <c r="BP17" s="11">
        <v>14</v>
      </c>
      <c r="BQ17" s="12">
        <v>3</v>
      </c>
      <c r="BR17" s="12">
        <v>0</v>
      </c>
      <c r="BS17" s="12">
        <v>0</v>
      </c>
      <c r="BU17" s="11">
        <v>14</v>
      </c>
      <c r="BV17" s="12">
        <v>1</v>
      </c>
      <c r="BW17" s="12">
        <v>1</v>
      </c>
      <c r="BX17" s="12">
        <v>1</v>
      </c>
      <c r="BZ17" s="11">
        <v>14</v>
      </c>
      <c r="CA17" s="12"/>
      <c r="CC17" s="11">
        <v>14</v>
      </c>
      <c r="CD17" s="12"/>
    </row>
    <row r="18" spans="1:82">
      <c r="A18" s="30" t="s">
        <v>46</v>
      </c>
      <c r="B18" s="1" t="s">
        <v>10</v>
      </c>
      <c r="C18" s="2" t="s">
        <v>11</v>
      </c>
      <c r="D18" s="3" t="s">
        <v>80</v>
      </c>
      <c r="E18" s="116" t="s">
        <v>1</v>
      </c>
      <c r="F18" s="4" t="s">
        <v>2</v>
      </c>
      <c r="R18" s="11">
        <v>15</v>
      </c>
      <c r="S18" s="12" t="s">
        <v>15</v>
      </c>
      <c r="T18" s="12">
        <v>1</v>
      </c>
      <c r="U18" s="12">
        <v>1</v>
      </c>
      <c r="W18" s="11">
        <v>15</v>
      </c>
      <c r="X18" s="12">
        <v>0</v>
      </c>
      <c r="Y18" s="12">
        <v>2</v>
      </c>
      <c r="Z18" s="12">
        <v>2</v>
      </c>
      <c r="AB18" s="11">
        <v>15</v>
      </c>
      <c r="AC18" s="12">
        <v>1</v>
      </c>
      <c r="AD18" s="69">
        <v>1</v>
      </c>
      <c r="AE18" s="69">
        <v>1</v>
      </c>
      <c r="AG18" s="11">
        <v>15</v>
      </c>
      <c r="AH18" s="12">
        <v>1</v>
      </c>
      <c r="AI18" s="69">
        <v>1</v>
      </c>
      <c r="AJ18" s="69">
        <v>1</v>
      </c>
      <c r="AL18" s="11">
        <v>15</v>
      </c>
      <c r="AM18" s="12">
        <v>1</v>
      </c>
      <c r="AN18" s="69">
        <v>1</v>
      </c>
      <c r="AO18" s="69">
        <v>1</v>
      </c>
      <c r="AQ18" s="11">
        <v>15</v>
      </c>
      <c r="AR18" s="12" t="s">
        <v>15</v>
      </c>
      <c r="AT18" s="11">
        <v>15</v>
      </c>
      <c r="AU18" s="12">
        <v>0</v>
      </c>
      <c r="AW18" s="11">
        <v>15</v>
      </c>
      <c r="AX18" s="12">
        <v>1</v>
      </c>
      <c r="AY18" s="12">
        <v>1</v>
      </c>
      <c r="AZ18" s="124">
        <v>1</v>
      </c>
      <c r="BA18" s="12">
        <v>1</v>
      </c>
      <c r="BB18" s="12">
        <v>1</v>
      </c>
      <c r="BC18" s="12">
        <v>1</v>
      </c>
      <c r="BD18" s="12">
        <v>1</v>
      </c>
      <c r="BE18" s="12">
        <v>1</v>
      </c>
      <c r="BF18" s="24">
        <v>1</v>
      </c>
      <c r="BG18" s="29">
        <v>1</v>
      </c>
      <c r="BH18" s="12">
        <v>1</v>
      </c>
      <c r="BI18" s="12">
        <v>1</v>
      </c>
      <c r="BK18" s="11">
        <v>15</v>
      </c>
      <c r="BL18" s="12" t="s">
        <v>15</v>
      </c>
      <c r="BM18" s="12">
        <v>1</v>
      </c>
      <c r="BN18" s="12">
        <v>1</v>
      </c>
      <c r="BP18" s="11">
        <v>15</v>
      </c>
      <c r="BQ18" s="12">
        <v>0</v>
      </c>
      <c r="BR18" s="12">
        <v>2</v>
      </c>
      <c r="BS18" s="12">
        <v>2</v>
      </c>
      <c r="BU18" s="11">
        <v>15</v>
      </c>
      <c r="BV18" s="12">
        <v>1</v>
      </c>
      <c r="BW18" s="12">
        <v>1</v>
      </c>
      <c r="BX18" s="12">
        <v>1</v>
      </c>
      <c r="BZ18" s="11">
        <v>15</v>
      </c>
      <c r="CA18" s="12"/>
      <c r="CC18" s="11">
        <v>15</v>
      </c>
      <c r="CD18" s="12"/>
    </row>
    <row r="19" spans="1:82">
      <c r="A19" s="1" t="s">
        <v>19</v>
      </c>
      <c r="B19" s="1">
        <v>0</v>
      </c>
      <c r="C19" s="3" t="s">
        <v>25</v>
      </c>
      <c r="D19" s="3">
        <f>SUMIF(S$3:S$38,$A19,AH$3:AH$38)</f>
        <v>18</v>
      </c>
      <c r="E19" s="116">
        <f t="shared" ref="E19:F30" si="2">SUMIF(T$3:T$38,$A19,AI$3:AI$38)</f>
        <v>18</v>
      </c>
      <c r="F19" s="4">
        <f t="shared" si="2"/>
        <v>18</v>
      </c>
      <c r="J19" s="94" t="s">
        <v>125</v>
      </c>
      <c r="K19" s="218"/>
      <c r="R19" s="11">
        <v>16</v>
      </c>
      <c r="S19" s="12">
        <v>10</v>
      </c>
      <c r="T19" s="12" t="s">
        <v>15</v>
      </c>
      <c r="U19" s="12" t="s">
        <v>15</v>
      </c>
      <c r="W19" s="11">
        <v>16</v>
      </c>
      <c r="X19" s="12">
        <v>4</v>
      </c>
      <c r="Y19" s="12">
        <v>0</v>
      </c>
      <c r="Z19" s="12">
        <v>0</v>
      </c>
      <c r="AB19" s="11">
        <v>16</v>
      </c>
      <c r="AC19" s="12">
        <v>1</v>
      </c>
      <c r="AD19" s="69">
        <v>1</v>
      </c>
      <c r="AE19" s="69">
        <v>1</v>
      </c>
      <c r="AG19" s="11">
        <v>16</v>
      </c>
      <c r="AH19" s="12">
        <v>1</v>
      </c>
      <c r="AI19" s="69">
        <v>1</v>
      </c>
      <c r="AJ19" s="69">
        <v>1</v>
      </c>
      <c r="AL19" s="11">
        <v>16</v>
      </c>
      <c r="AM19" s="12">
        <v>1</v>
      </c>
      <c r="AN19" s="69">
        <v>1</v>
      </c>
      <c r="AO19" s="69">
        <v>1</v>
      </c>
      <c r="AQ19" s="11">
        <v>16</v>
      </c>
      <c r="AR19" s="14" t="s">
        <v>5</v>
      </c>
      <c r="AT19" s="11">
        <v>16</v>
      </c>
      <c r="AU19" s="12">
        <v>6</v>
      </c>
      <c r="AW19" s="11">
        <v>16</v>
      </c>
      <c r="AX19" s="12">
        <v>1</v>
      </c>
      <c r="AY19" s="12">
        <v>1</v>
      </c>
      <c r="AZ19" s="124">
        <v>1</v>
      </c>
      <c r="BA19" s="12">
        <v>1</v>
      </c>
      <c r="BB19" s="12">
        <v>1</v>
      </c>
      <c r="BC19" s="12">
        <v>1</v>
      </c>
      <c r="BD19" s="12">
        <v>1</v>
      </c>
      <c r="BE19" s="12">
        <v>1</v>
      </c>
      <c r="BF19" s="24">
        <v>1</v>
      </c>
      <c r="BG19" s="29">
        <v>1</v>
      </c>
      <c r="BH19" s="12">
        <v>1</v>
      </c>
      <c r="BI19" s="12">
        <v>1</v>
      </c>
      <c r="BK19" s="11">
        <v>16</v>
      </c>
      <c r="BL19" s="12">
        <v>10</v>
      </c>
      <c r="BM19" s="12" t="s">
        <v>15</v>
      </c>
      <c r="BN19" s="12" t="s">
        <v>15</v>
      </c>
      <c r="BP19" s="11">
        <v>16</v>
      </c>
      <c r="BQ19" s="12">
        <v>4</v>
      </c>
      <c r="BR19" s="12">
        <v>0</v>
      </c>
      <c r="BS19" s="12">
        <v>0</v>
      </c>
      <c r="BU19" s="11">
        <v>16</v>
      </c>
      <c r="BV19" s="12">
        <v>1</v>
      </c>
      <c r="BW19" s="12">
        <v>1</v>
      </c>
      <c r="BX19" s="12">
        <v>1</v>
      </c>
      <c r="BZ19" s="11">
        <v>16</v>
      </c>
      <c r="CA19" s="12"/>
      <c r="CC19" s="11">
        <v>16</v>
      </c>
      <c r="CD19" s="12"/>
    </row>
    <row r="20" spans="1:82">
      <c r="A20" s="20">
        <v>0</v>
      </c>
      <c r="B20" s="20">
        <v>1</v>
      </c>
      <c r="C20" s="5">
        <v>0</v>
      </c>
      <c r="D20" s="37">
        <f t="shared" ref="D20:D30" si="3">SUMIF(S$3:S$38,$A20,AH$3:AH$38)</f>
        <v>0</v>
      </c>
      <c r="E20" s="115">
        <f t="shared" si="2"/>
        <v>6</v>
      </c>
      <c r="F20" s="7">
        <f t="shared" si="2"/>
        <v>6</v>
      </c>
      <c r="J20" s="2" t="s">
        <v>66</v>
      </c>
      <c r="K20" s="2" t="s">
        <v>67</v>
      </c>
      <c r="R20" s="11">
        <v>17</v>
      </c>
      <c r="S20" s="12" t="s">
        <v>15</v>
      </c>
      <c r="T20" s="12">
        <v>5</v>
      </c>
      <c r="U20" s="12">
        <v>5</v>
      </c>
      <c r="W20" s="11">
        <v>17</v>
      </c>
      <c r="X20" s="12">
        <v>0</v>
      </c>
      <c r="Y20" s="12">
        <v>3</v>
      </c>
      <c r="Z20" s="12">
        <v>3</v>
      </c>
      <c r="AB20" s="11">
        <v>17</v>
      </c>
      <c r="AC20" s="12">
        <v>1</v>
      </c>
      <c r="AD20" s="69">
        <v>1</v>
      </c>
      <c r="AE20" s="69">
        <v>1</v>
      </c>
      <c r="AG20" s="11">
        <v>17</v>
      </c>
      <c r="AH20" s="12">
        <v>1</v>
      </c>
      <c r="AI20" s="69">
        <v>1</v>
      </c>
      <c r="AJ20" s="69">
        <v>1</v>
      </c>
      <c r="AL20" s="11">
        <v>17</v>
      </c>
      <c r="AM20" s="12">
        <v>1</v>
      </c>
      <c r="AN20" s="69">
        <v>1</v>
      </c>
      <c r="AO20" s="69">
        <v>1</v>
      </c>
      <c r="AQ20" s="11">
        <v>17</v>
      </c>
      <c r="AR20" s="12" t="s">
        <v>15</v>
      </c>
      <c r="AT20" s="11">
        <v>17</v>
      </c>
      <c r="AU20" s="12">
        <v>0</v>
      </c>
      <c r="AW20" s="11">
        <v>17</v>
      </c>
      <c r="AX20" s="12">
        <v>1</v>
      </c>
      <c r="AY20" s="12">
        <v>1</v>
      </c>
      <c r="AZ20" s="124">
        <v>1</v>
      </c>
      <c r="BA20" s="12">
        <v>1</v>
      </c>
      <c r="BB20" s="12">
        <v>1</v>
      </c>
      <c r="BC20" s="12">
        <v>1</v>
      </c>
      <c r="BD20" s="12">
        <v>1</v>
      </c>
      <c r="BE20" s="12">
        <v>1</v>
      </c>
      <c r="BF20" s="24">
        <v>1</v>
      </c>
      <c r="BG20" s="29">
        <v>1</v>
      </c>
      <c r="BH20" s="12">
        <v>1</v>
      </c>
      <c r="BI20" s="12">
        <v>1</v>
      </c>
      <c r="BK20" s="11">
        <v>17</v>
      </c>
      <c r="BL20" s="12" t="s">
        <v>15</v>
      </c>
      <c r="BM20" s="12">
        <v>5</v>
      </c>
      <c r="BN20" s="12">
        <v>5</v>
      </c>
      <c r="BP20" s="11">
        <v>17</v>
      </c>
      <c r="BQ20" s="12">
        <v>0</v>
      </c>
      <c r="BR20" s="12">
        <v>3</v>
      </c>
      <c r="BS20" s="12">
        <v>3</v>
      </c>
      <c r="BU20" s="11">
        <v>17</v>
      </c>
      <c r="BV20" s="12">
        <v>1</v>
      </c>
      <c r="BW20" s="12">
        <v>1</v>
      </c>
      <c r="BX20" s="12">
        <v>1</v>
      </c>
      <c r="BZ20" s="11">
        <v>17</v>
      </c>
      <c r="CA20" s="12"/>
      <c r="CC20" s="11">
        <v>17</v>
      </c>
      <c r="CD20" s="12"/>
    </row>
    <row r="21" spans="1:82">
      <c r="A21" s="20">
        <v>1</v>
      </c>
      <c r="B21" s="20">
        <v>2</v>
      </c>
      <c r="C21" s="5">
        <v>1</v>
      </c>
      <c r="D21" s="6">
        <f t="shared" si="3"/>
        <v>6</v>
      </c>
      <c r="E21" s="115">
        <f t="shared" si="2"/>
        <v>6</v>
      </c>
      <c r="F21" s="7">
        <f t="shared" si="2"/>
        <v>6</v>
      </c>
      <c r="J21" s="2">
        <v>0</v>
      </c>
      <c r="K21" s="2">
        <v>1</v>
      </c>
      <c r="R21" s="11">
        <v>18</v>
      </c>
      <c r="S21" s="12">
        <v>1</v>
      </c>
      <c r="T21" s="12" t="s">
        <v>15</v>
      </c>
      <c r="U21" s="12" t="s">
        <v>15</v>
      </c>
      <c r="W21" s="11">
        <v>18</v>
      </c>
      <c r="X21" s="12">
        <v>2</v>
      </c>
      <c r="Y21" s="12">
        <v>0</v>
      </c>
      <c r="Z21" s="12">
        <v>0</v>
      </c>
      <c r="AB21" s="11">
        <v>18</v>
      </c>
      <c r="AC21" s="12">
        <v>1</v>
      </c>
      <c r="AD21" s="69">
        <v>1</v>
      </c>
      <c r="AE21" s="69">
        <v>1</v>
      </c>
      <c r="AG21" s="11">
        <v>18</v>
      </c>
      <c r="AH21" s="12">
        <v>1</v>
      </c>
      <c r="AI21" s="69">
        <v>1</v>
      </c>
      <c r="AJ21" s="69">
        <v>1</v>
      </c>
      <c r="AL21" s="11">
        <v>18</v>
      </c>
      <c r="AM21" s="12">
        <v>1</v>
      </c>
      <c r="AN21" s="69">
        <v>1</v>
      </c>
      <c r="AO21" s="69">
        <v>1</v>
      </c>
      <c r="AQ21" s="11">
        <v>18</v>
      </c>
      <c r="AR21" s="14" t="s">
        <v>7</v>
      </c>
      <c r="AT21" s="11">
        <v>18</v>
      </c>
      <c r="AU21" s="12">
        <v>9</v>
      </c>
      <c r="AW21" s="11">
        <v>18</v>
      </c>
      <c r="AX21" s="12">
        <v>1</v>
      </c>
      <c r="AY21" s="12">
        <v>1</v>
      </c>
      <c r="AZ21" s="124">
        <v>1</v>
      </c>
      <c r="BA21" s="12">
        <v>1</v>
      </c>
      <c r="BB21" s="12">
        <v>1</v>
      </c>
      <c r="BC21" s="12">
        <v>1</v>
      </c>
      <c r="BD21" s="12">
        <v>1</v>
      </c>
      <c r="BE21" s="12">
        <v>1</v>
      </c>
      <c r="BF21" s="24">
        <v>1</v>
      </c>
      <c r="BG21" s="29">
        <v>1</v>
      </c>
      <c r="BH21" s="12">
        <v>1</v>
      </c>
      <c r="BI21" s="12">
        <v>1</v>
      </c>
      <c r="BK21" s="11">
        <v>18</v>
      </c>
      <c r="BL21" s="12">
        <v>1</v>
      </c>
      <c r="BM21" s="12" t="s">
        <v>15</v>
      </c>
      <c r="BN21" s="12" t="s">
        <v>15</v>
      </c>
      <c r="BP21" s="11">
        <v>18</v>
      </c>
      <c r="BQ21" s="12">
        <v>2</v>
      </c>
      <c r="BR21" s="12">
        <v>0</v>
      </c>
      <c r="BS21" s="12">
        <v>0</v>
      </c>
      <c r="BU21" s="11">
        <v>18</v>
      </c>
      <c r="BV21" s="12">
        <v>1</v>
      </c>
      <c r="BW21" s="12">
        <v>1</v>
      </c>
      <c r="BX21" s="12">
        <v>1</v>
      </c>
      <c r="BZ21" s="11">
        <v>18</v>
      </c>
      <c r="CA21" s="12"/>
      <c r="CC21" s="11">
        <v>18</v>
      </c>
      <c r="CD21" s="12"/>
    </row>
    <row r="22" spans="1:82">
      <c r="A22" s="21">
        <v>5</v>
      </c>
      <c r="B22" s="21">
        <v>3</v>
      </c>
      <c r="C22" s="23">
        <v>5</v>
      </c>
      <c r="D22" s="6">
        <f t="shared" si="3"/>
        <v>6</v>
      </c>
      <c r="E22" s="115">
        <f t="shared" si="2"/>
        <v>6</v>
      </c>
      <c r="F22" s="7">
        <f t="shared" si="2"/>
        <v>6</v>
      </c>
      <c r="R22" s="11">
        <v>19</v>
      </c>
      <c r="S22" s="12" t="s">
        <v>15</v>
      </c>
      <c r="T22" s="12">
        <v>0</v>
      </c>
      <c r="U22" s="12">
        <v>0</v>
      </c>
      <c r="W22" s="11">
        <v>19</v>
      </c>
      <c r="X22" s="12">
        <v>0</v>
      </c>
      <c r="Y22" s="12">
        <v>1</v>
      </c>
      <c r="Z22" s="12">
        <v>1</v>
      </c>
      <c r="AB22" s="11">
        <v>19</v>
      </c>
      <c r="AC22" s="12">
        <v>1</v>
      </c>
      <c r="AD22" s="69">
        <v>1</v>
      </c>
      <c r="AE22" s="69">
        <v>1</v>
      </c>
      <c r="AG22" s="11">
        <v>19</v>
      </c>
      <c r="AH22" s="12">
        <v>1</v>
      </c>
      <c r="AI22" s="69">
        <v>1</v>
      </c>
      <c r="AJ22" s="69">
        <v>1</v>
      </c>
      <c r="AL22" s="11">
        <v>19</v>
      </c>
      <c r="AM22" s="12">
        <v>1</v>
      </c>
      <c r="AN22" s="69">
        <v>1</v>
      </c>
      <c r="AO22" s="69">
        <v>1</v>
      </c>
      <c r="AQ22" s="11">
        <v>19</v>
      </c>
      <c r="AR22" s="12" t="s">
        <v>15</v>
      </c>
      <c r="AT22" s="11">
        <v>19</v>
      </c>
      <c r="AU22" s="12">
        <v>0</v>
      </c>
      <c r="AW22" s="11">
        <v>19</v>
      </c>
      <c r="AX22" s="12">
        <v>1</v>
      </c>
      <c r="AY22" s="12">
        <v>1</v>
      </c>
      <c r="AZ22" s="124">
        <v>1</v>
      </c>
      <c r="BA22" s="12">
        <v>1</v>
      </c>
      <c r="BB22" s="12">
        <v>1</v>
      </c>
      <c r="BC22" s="12">
        <v>1</v>
      </c>
      <c r="BD22" s="12">
        <v>1</v>
      </c>
      <c r="BE22" s="12">
        <v>1</v>
      </c>
      <c r="BF22" s="24">
        <v>1</v>
      </c>
      <c r="BG22" s="29">
        <v>1</v>
      </c>
      <c r="BH22" s="12">
        <v>1</v>
      </c>
      <c r="BI22" s="12">
        <v>1</v>
      </c>
      <c r="BK22" s="11">
        <v>19</v>
      </c>
      <c r="BL22" s="12" t="s">
        <v>15</v>
      </c>
      <c r="BM22" s="12">
        <v>0</v>
      </c>
      <c r="BN22" s="12">
        <v>0</v>
      </c>
      <c r="BP22" s="11">
        <v>19</v>
      </c>
      <c r="BQ22" s="12">
        <v>0</v>
      </c>
      <c r="BR22" s="12">
        <v>1</v>
      </c>
      <c r="BS22" s="12">
        <v>1</v>
      </c>
      <c r="BU22" s="11">
        <v>19</v>
      </c>
      <c r="BV22" s="12">
        <v>1</v>
      </c>
      <c r="BW22" s="12">
        <v>1</v>
      </c>
      <c r="BX22" s="12">
        <v>1</v>
      </c>
      <c r="BZ22" s="11">
        <v>19</v>
      </c>
      <c r="CA22" s="12"/>
      <c r="CC22" s="11">
        <v>19</v>
      </c>
      <c r="CD22" s="12"/>
    </row>
    <row r="23" spans="1:82">
      <c r="A23" s="21">
        <v>10</v>
      </c>
      <c r="B23" s="21">
        <v>4</v>
      </c>
      <c r="C23" s="23">
        <v>10</v>
      </c>
      <c r="D23" s="6">
        <f t="shared" si="3"/>
        <v>6</v>
      </c>
      <c r="E23" s="59">
        <f t="shared" si="2"/>
        <v>0</v>
      </c>
      <c r="F23" s="38">
        <f t="shared" si="2"/>
        <v>0</v>
      </c>
      <c r="R23" s="11">
        <v>20</v>
      </c>
      <c r="S23" s="12">
        <v>5</v>
      </c>
      <c r="T23" s="12" t="s">
        <v>15</v>
      </c>
      <c r="U23" s="12" t="s">
        <v>15</v>
      </c>
      <c r="W23" s="11">
        <v>20</v>
      </c>
      <c r="X23" s="12">
        <v>3</v>
      </c>
      <c r="Y23" s="12">
        <v>0</v>
      </c>
      <c r="Z23" s="12">
        <v>0</v>
      </c>
      <c r="AB23" s="11">
        <v>20</v>
      </c>
      <c r="AC23" s="12">
        <v>1</v>
      </c>
      <c r="AD23" s="69">
        <v>1</v>
      </c>
      <c r="AE23" s="69">
        <v>1</v>
      </c>
      <c r="AG23" s="11">
        <v>20</v>
      </c>
      <c r="AH23" s="12">
        <v>1</v>
      </c>
      <c r="AI23" s="69">
        <v>1</v>
      </c>
      <c r="AJ23" s="69">
        <v>1</v>
      </c>
      <c r="AL23" s="11">
        <v>20</v>
      </c>
      <c r="AM23" s="12">
        <v>1</v>
      </c>
      <c r="AN23" s="69">
        <v>1</v>
      </c>
      <c r="AO23" s="69">
        <v>1</v>
      </c>
      <c r="AQ23" s="11">
        <v>20</v>
      </c>
      <c r="AR23" s="14" t="s">
        <v>6</v>
      </c>
      <c r="AT23" s="11">
        <v>20</v>
      </c>
      <c r="AU23" s="12">
        <v>7</v>
      </c>
      <c r="AW23" s="11">
        <v>20</v>
      </c>
      <c r="AX23" s="12">
        <v>1</v>
      </c>
      <c r="AY23" s="12">
        <v>1</v>
      </c>
      <c r="AZ23" s="124">
        <v>1</v>
      </c>
      <c r="BA23" s="12">
        <v>1</v>
      </c>
      <c r="BB23" s="12">
        <v>1</v>
      </c>
      <c r="BC23" s="12">
        <v>1</v>
      </c>
      <c r="BD23" s="12">
        <v>1</v>
      </c>
      <c r="BE23" s="12">
        <v>1</v>
      </c>
      <c r="BF23" s="24">
        <v>1</v>
      </c>
      <c r="BG23" s="29">
        <v>1</v>
      </c>
      <c r="BH23" s="12">
        <v>1</v>
      </c>
      <c r="BI23" s="12">
        <v>1</v>
      </c>
      <c r="BK23" s="11">
        <v>20</v>
      </c>
      <c r="BL23" s="12">
        <v>5</v>
      </c>
      <c r="BM23" s="12" t="s">
        <v>15</v>
      </c>
      <c r="BN23" s="12" t="s">
        <v>15</v>
      </c>
      <c r="BP23" s="11">
        <v>20</v>
      </c>
      <c r="BQ23" s="12">
        <v>3</v>
      </c>
      <c r="BR23" s="12">
        <v>0</v>
      </c>
      <c r="BS23" s="12">
        <v>0</v>
      </c>
      <c r="BU23" s="11">
        <v>20</v>
      </c>
      <c r="BV23" s="12">
        <v>1</v>
      </c>
      <c r="BW23" s="12">
        <v>1</v>
      </c>
      <c r="BX23" s="12">
        <v>1</v>
      </c>
      <c r="BZ23" s="11">
        <v>20</v>
      </c>
      <c r="CA23" s="12"/>
      <c r="CC23" s="11">
        <v>20</v>
      </c>
      <c r="CD23" s="12"/>
    </row>
    <row r="24" spans="1:82">
      <c r="A24" s="20" t="s">
        <v>20</v>
      </c>
      <c r="B24" s="20">
        <v>5</v>
      </c>
      <c r="C24" s="23" t="s">
        <v>29</v>
      </c>
      <c r="D24" s="37">
        <f t="shared" si="3"/>
        <v>0</v>
      </c>
      <c r="E24" s="59">
        <f t="shared" si="2"/>
        <v>0</v>
      </c>
      <c r="F24" s="38">
        <f t="shared" si="2"/>
        <v>0</v>
      </c>
      <c r="R24" s="11">
        <v>21</v>
      </c>
      <c r="S24" s="12" t="s">
        <v>15</v>
      </c>
      <c r="T24" s="12">
        <v>1</v>
      </c>
      <c r="U24" s="12">
        <v>1</v>
      </c>
      <c r="W24" s="11">
        <v>21</v>
      </c>
      <c r="X24" s="12">
        <v>0</v>
      </c>
      <c r="Y24" s="12">
        <v>2</v>
      </c>
      <c r="Z24" s="12">
        <v>2</v>
      </c>
      <c r="AB24" s="11">
        <v>21</v>
      </c>
      <c r="AC24" s="12">
        <v>1</v>
      </c>
      <c r="AD24" s="69">
        <v>1</v>
      </c>
      <c r="AE24" s="69">
        <v>1</v>
      </c>
      <c r="AG24" s="11">
        <v>21</v>
      </c>
      <c r="AH24" s="12">
        <v>1</v>
      </c>
      <c r="AI24" s="69">
        <v>1</v>
      </c>
      <c r="AJ24" s="69">
        <v>1</v>
      </c>
      <c r="AL24" s="11">
        <v>21</v>
      </c>
      <c r="AM24" s="12">
        <v>1</v>
      </c>
      <c r="AN24" s="69">
        <v>1</v>
      </c>
      <c r="AO24" s="69">
        <v>1</v>
      </c>
      <c r="AQ24" s="11">
        <v>21</v>
      </c>
      <c r="AR24" s="12" t="s">
        <v>15</v>
      </c>
      <c r="AT24" s="11">
        <v>21</v>
      </c>
      <c r="AU24" s="12">
        <v>0</v>
      </c>
      <c r="AW24" s="11">
        <v>21</v>
      </c>
      <c r="AX24" s="12">
        <v>1</v>
      </c>
      <c r="AY24" s="12">
        <v>1</v>
      </c>
      <c r="AZ24" s="124">
        <v>1</v>
      </c>
      <c r="BA24" s="12">
        <v>1</v>
      </c>
      <c r="BB24" s="12">
        <v>1</v>
      </c>
      <c r="BC24" s="12">
        <v>1</v>
      </c>
      <c r="BD24" s="12">
        <v>1</v>
      </c>
      <c r="BE24" s="12">
        <v>1</v>
      </c>
      <c r="BF24" s="24">
        <v>1</v>
      </c>
      <c r="BG24" s="29">
        <v>1</v>
      </c>
      <c r="BH24" s="12">
        <v>1</v>
      </c>
      <c r="BI24" s="12">
        <v>1</v>
      </c>
      <c r="BK24" s="11">
        <v>21</v>
      </c>
      <c r="BL24" s="12" t="s">
        <v>15</v>
      </c>
      <c r="BM24" s="12">
        <v>1</v>
      </c>
      <c r="BN24" s="12">
        <v>1</v>
      </c>
      <c r="BP24" s="11">
        <v>21</v>
      </c>
      <c r="BQ24" s="12">
        <v>0</v>
      </c>
      <c r="BR24" s="12">
        <v>2</v>
      </c>
      <c r="BS24" s="12">
        <v>2</v>
      </c>
      <c r="BU24" s="11">
        <v>21</v>
      </c>
      <c r="BV24" s="12">
        <v>1</v>
      </c>
      <c r="BW24" s="12">
        <v>1</v>
      </c>
      <c r="BX24" s="12">
        <v>1</v>
      </c>
      <c r="BZ24" s="11">
        <v>21</v>
      </c>
      <c r="CA24" s="12"/>
      <c r="CC24" s="11">
        <v>21</v>
      </c>
      <c r="CD24" s="12"/>
    </row>
    <row r="25" spans="1:82">
      <c r="A25" s="21" t="s">
        <v>21</v>
      </c>
      <c r="B25" s="21">
        <v>6</v>
      </c>
      <c r="C25" s="23" t="s">
        <v>26</v>
      </c>
      <c r="D25" s="37">
        <f t="shared" si="3"/>
        <v>0</v>
      </c>
      <c r="E25" s="59">
        <f t="shared" si="2"/>
        <v>0</v>
      </c>
      <c r="F25" s="38">
        <f t="shared" si="2"/>
        <v>0</v>
      </c>
      <c r="R25" s="11">
        <v>22</v>
      </c>
      <c r="S25" s="12">
        <v>10</v>
      </c>
      <c r="T25" s="12" t="s">
        <v>15</v>
      </c>
      <c r="U25" s="12" t="s">
        <v>15</v>
      </c>
      <c r="W25" s="11">
        <v>22</v>
      </c>
      <c r="X25" s="12">
        <v>4</v>
      </c>
      <c r="Y25" s="12">
        <v>0</v>
      </c>
      <c r="Z25" s="12">
        <v>0</v>
      </c>
      <c r="AB25" s="11">
        <v>22</v>
      </c>
      <c r="AC25" s="12">
        <v>1</v>
      </c>
      <c r="AD25" s="69">
        <v>1</v>
      </c>
      <c r="AE25" s="69">
        <v>1</v>
      </c>
      <c r="AG25" s="11">
        <v>22</v>
      </c>
      <c r="AH25" s="12">
        <v>1</v>
      </c>
      <c r="AI25" s="69">
        <v>1</v>
      </c>
      <c r="AJ25" s="69">
        <v>1</v>
      </c>
      <c r="AL25" s="11">
        <v>22</v>
      </c>
      <c r="AM25" s="12">
        <v>1</v>
      </c>
      <c r="AN25" s="69">
        <v>1</v>
      </c>
      <c r="AO25" s="69">
        <v>1</v>
      </c>
      <c r="AQ25" s="11">
        <v>22</v>
      </c>
      <c r="AR25" s="14" t="s">
        <v>36</v>
      </c>
      <c r="AT25" s="11">
        <v>22</v>
      </c>
      <c r="AU25" s="12">
        <v>10</v>
      </c>
      <c r="AW25" s="11">
        <v>22</v>
      </c>
      <c r="AX25" s="12">
        <v>1</v>
      </c>
      <c r="AY25" s="12">
        <v>1</v>
      </c>
      <c r="AZ25" s="124">
        <v>1</v>
      </c>
      <c r="BA25" s="12">
        <v>1</v>
      </c>
      <c r="BB25" s="12">
        <v>1</v>
      </c>
      <c r="BC25" s="12">
        <v>1</v>
      </c>
      <c r="BD25" s="12">
        <v>1</v>
      </c>
      <c r="BE25" s="12">
        <v>1</v>
      </c>
      <c r="BF25" s="24">
        <v>1</v>
      </c>
      <c r="BG25" s="29">
        <v>1</v>
      </c>
      <c r="BH25" s="12">
        <v>1</v>
      </c>
      <c r="BI25" s="12">
        <v>1</v>
      </c>
      <c r="BK25" s="11">
        <v>22</v>
      </c>
      <c r="BL25" s="12">
        <v>10</v>
      </c>
      <c r="BM25" s="12" t="s">
        <v>15</v>
      </c>
      <c r="BN25" s="12" t="s">
        <v>15</v>
      </c>
      <c r="BP25" s="11">
        <v>22</v>
      </c>
      <c r="BQ25" s="12">
        <v>4</v>
      </c>
      <c r="BR25" s="12">
        <v>0</v>
      </c>
      <c r="BS25" s="12">
        <v>0</v>
      </c>
      <c r="BU25" s="11">
        <v>22</v>
      </c>
      <c r="BV25" s="12">
        <v>1</v>
      </c>
      <c r="BW25" s="12">
        <v>1</v>
      </c>
      <c r="BX25" s="12">
        <v>1</v>
      </c>
      <c r="BZ25" s="11">
        <v>22</v>
      </c>
      <c r="CA25" s="12"/>
      <c r="CC25" s="11">
        <v>22</v>
      </c>
      <c r="CD25" s="12"/>
    </row>
    <row r="26" spans="1:82">
      <c r="A26" s="20" t="s">
        <v>22</v>
      </c>
      <c r="B26" s="20">
        <v>7</v>
      </c>
      <c r="C26" s="5" t="s">
        <v>27</v>
      </c>
      <c r="D26" s="37">
        <f t="shared" si="3"/>
        <v>0</v>
      </c>
      <c r="E26" s="59">
        <f t="shared" si="2"/>
        <v>0</v>
      </c>
      <c r="F26" s="38">
        <f t="shared" si="2"/>
        <v>0</v>
      </c>
      <c r="R26" s="11">
        <v>23</v>
      </c>
      <c r="S26" s="12" t="s">
        <v>15</v>
      </c>
      <c r="T26" s="12">
        <v>5</v>
      </c>
      <c r="U26" s="12">
        <v>5</v>
      </c>
      <c r="W26" s="11">
        <v>23</v>
      </c>
      <c r="X26" s="12">
        <v>0</v>
      </c>
      <c r="Y26" s="12">
        <v>3</v>
      </c>
      <c r="Z26" s="12">
        <v>3</v>
      </c>
      <c r="AB26" s="11">
        <v>23</v>
      </c>
      <c r="AC26" s="12">
        <v>1</v>
      </c>
      <c r="AD26" s="69">
        <v>1</v>
      </c>
      <c r="AE26" s="69">
        <v>1</v>
      </c>
      <c r="AG26" s="11">
        <v>23</v>
      </c>
      <c r="AH26" s="12">
        <v>1</v>
      </c>
      <c r="AI26" s="69">
        <v>1</v>
      </c>
      <c r="AJ26" s="69">
        <v>1</v>
      </c>
      <c r="AL26" s="11">
        <v>23</v>
      </c>
      <c r="AM26" s="12">
        <v>1</v>
      </c>
      <c r="AN26" s="69">
        <v>1</v>
      </c>
      <c r="AO26" s="69">
        <v>1</v>
      </c>
      <c r="AQ26" s="11">
        <v>23</v>
      </c>
      <c r="AR26" s="12" t="s">
        <v>15</v>
      </c>
      <c r="AT26" s="11">
        <v>23</v>
      </c>
      <c r="AU26" s="12">
        <v>0</v>
      </c>
      <c r="AW26" s="11">
        <v>23</v>
      </c>
      <c r="AX26" s="12">
        <v>1</v>
      </c>
      <c r="AY26" s="12">
        <v>1</v>
      </c>
      <c r="AZ26" s="124">
        <v>1</v>
      </c>
      <c r="BA26" s="12">
        <v>1</v>
      </c>
      <c r="BB26" s="12">
        <v>1</v>
      </c>
      <c r="BC26" s="12">
        <v>1</v>
      </c>
      <c r="BD26" s="12">
        <v>1</v>
      </c>
      <c r="BE26" s="12">
        <v>1</v>
      </c>
      <c r="BF26" s="24">
        <v>1</v>
      </c>
      <c r="BG26" s="29">
        <v>1</v>
      </c>
      <c r="BH26" s="12">
        <v>1</v>
      </c>
      <c r="BI26" s="12">
        <v>1</v>
      </c>
      <c r="BK26" s="11">
        <v>23</v>
      </c>
      <c r="BL26" s="12" t="s">
        <v>15</v>
      </c>
      <c r="BM26" s="12">
        <v>5</v>
      </c>
      <c r="BN26" s="12">
        <v>5</v>
      </c>
      <c r="BP26" s="11">
        <v>23</v>
      </c>
      <c r="BQ26" s="12">
        <v>0</v>
      </c>
      <c r="BR26" s="12">
        <v>3</v>
      </c>
      <c r="BS26" s="12">
        <v>3</v>
      </c>
      <c r="BU26" s="11">
        <v>23</v>
      </c>
      <c r="BV26" s="12">
        <v>1</v>
      </c>
      <c r="BW26" s="12">
        <v>1</v>
      </c>
      <c r="BX26" s="12">
        <v>1</v>
      </c>
      <c r="BZ26" s="11">
        <v>23</v>
      </c>
      <c r="CA26" s="12"/>
      <c r="CC26" s="11">
        <v>23</v>
      </c>
      <c r="CD26" s="12"/>
    </row>
    <row r="27" spans="1:82">
      <c r="A27" s="20" t="s">
        <v>23</v>
      </c>
      <c r="B27" s="20">
        <v>8</v>
      </c>
      <c r="C27" s="5" t="s">
        <v>28</v>
      </c>
      <c r="D27" s="37">
        <f t="shared" si="3"/>
        <v>0</v>
      </c>
      <c r="E27" s="59">
        <f t="shared" si="2"/>
        <v>0</v>
      </c>
      <c r="F27" s="38">
        <f t="shared" si="2"/>
        <v>0</v>
      </c>
      <c r="R27" s="11">
        <v>24</v>
      </c>
      <c r="S27" s="12">
        <v>1</v>
      </c>
      <c r="T27" s="12" t="s">
        <v>15</v>
      </c>
      <c r="U27" s="12" t="s">
        <v>15</v>
      </c>
      <c r="W27" s="11">
        <v>24</v>
      </c>
      <c r="X27" s="12">
        <v>2</v>
      </c>
      <c r="Y27" s="12">
        <v>0</v>
      </c>
      <c r="Z27" s="12">
        <v>0</v>
      </c>
      <c r="AB27" s="11">
        <v>24</v>
      </c>
      <c r="AC27" s="12">
        <v>1</v>
      </c>
      <c r="AD27" s="69">
        <v>1</v>
      </c>
      <c r="AE27" s="69">
        <v>1</v>
      </c>
      <c r="AG27" s="11">
        <v>24</v>
      </c>
      <c r="AH27" s="12">
        <v>1</v>
      </c>
      <c r="AI27" s="69">
        <v>1</v>
      </c>
      <c r="AJ27" s="69">
        <v>1</v>
      </c>
      <c r="AL27" s="11">
        <v>24</v>
      </c>
      <c r="AM27" s="12">
        <v>1</v>
      </c>
      <c r="AN27" s="69">
        <v>1</v>
      </c>
      <c r="AO27" s="69">
        <v>1</v>
      </c>
      <c r="AQ27" s="11">
        <v>24</v>
      </c>
      <c r="AR27" s="14" t="s">
        <v>5</v>
      </c>
      <c r="AT27" s="11">
        <v>24</v>
      </c>
      <c r="AU27" s="12">
        <v>6</v>
      </c>
      <c r="AW27" s="11">
        <v>24</v>
      </c>
      <c r="AX27" s="12">
        <v>1</v>
      </c>
      <c r="AY27" s="12">
        <v>1</v>
      </c>
      <c r="AZ27" s="124">
        <v>1</v>
      </c>
      <c r="BA27" s="12">
        <v>1</v>
      </c>
      <c r="BB27" s="12">
        <v>1</v>
      </c>
      <c r="BC27" s="12">
        <v>1</v>
      </c>
      <c r="BD27" s="12">
        <v>1</v>
      </c>
      <c r="BE27" s="12">
        <v>1</v>
      </c>
      <c r="BF27" s="24">
        <v>1</v>
      </c>
      <c r="BG27" s="29">
        <v>1</v>
      </c>
      <c r="BH27" s="12">
        <v>1</v>
      </c>
      <c r="BI27" s="12">
        <v>1</v>
      </c>
      <c r="BK27" s="11">
        <v>24</v>
      </c>
      <c r="BL27" s="12">
        <v>1</v>
      </c>
      <c r="BM27" s="12" t="s">
        <v>15</v>
      </c>
      <c r="BN27" s="12" t="s">
        <v>15</v>
      </c>
      <c r="BP27" s="11">
        <v>24</v>
      </c>
      <c r="BQ27" s="12">
        <v>2</v>
      </c>
      <c r="BR27" s="12">
        <v>0</v>
      </c>
      <c r="BS27" s="12">
        <v>0</v>
      </c>
      <c r="BU27" s="11">
        <v>24</v>
      </c>
      <c r="BV27" s="12">
        <v>1</v>
      </c>
      <c r="BW27" s="12">
        <v>1</v>
      </c>
      <c r="BX27" s="12">
        <v>1</v>
      </c>
      <c r="BZ27" s="11">
        <v>24</v>
      </c>
      <c r="CA27" s="12"/>
      <c r="CC27" s="11">
        <v>24</v>
      </c>
      <c r="CD27" s="12"/>
    </row>
    <row r="28" spans="1:82">
      <c r="A28" s="20" t="s">
        <v>24</v>
      </c>
      <c r="B28" s="20">
        <v>9</v>
      </c>
      <c r="C28" s="5" t="s">
        <v>16</v>
      </c>
      <c r="D28" s="37">
        <f t="shared" si="3"/>
        <v>0</v>
      </c>
      <c r="E28" s="59">
        <f t="shared" si="2"/>
        <v>0</v>
      </c>
      <c r="F28" s="38">
        <f t="shared" si="2"/>
        <v>0</v>
      </c>
      <c r="R28" s="11">
        <v>25</v>
      </c>
      <c r="S28" s="12" t="s">
        <v>15</v>
      </c>
      <c r="T28" s="12">
        <v>0</v>
      </c>
      <c r="U28" s="12">
        <v>0</v>
      </c>
      <c r="W28" s="11">
        <v>25</v>
      </c>
      <c r="X28" s="12">
        <v>0</v>
      </c>
      <c r="Y28" s="12">
        <v>1</v>
      </c>
      <c r="Z28" s="12">
        <v>1</v>
      </c>
      <c r="AB28" s="11">
        <v>25</v>
      </c>
      <c r="AC28" s="12">
        <v>1</v>
      </c>
      <c r="AD28" s="69">
        <v>1</v>
      </c>
      <c r="AE28" s="69">
        <v>1</v>
      </c>
      <c r="AG28" s="11">
        <v>25</v>
      </c>
      <c r="AH28" s="12">
        <v>1</v>
      </c>
      <c r="AI28" s="69">
        <v>1</v>
      </c>
      <c r="AJ28" s="69">
        <v>1</v>
      </c>
      <c r="AL28" s="11">
        <v>25</v>
      </c>
      <c r="AM28" s="12">
        <v>1</v>
      </c>
      <c r="AN28" s="69">
        <v>1</v>
      </c>
      <c r="AO28" s="69">
        <v>1</v>
      </c>
      <c r="AQ28" s="11">
        <v>25</v>
      </c>
      <c r="AR28" s="12" t="s">
        <v>15</v>
      </c>
      <c r="AT28" s="11">
        <v>25</v>
      </c>
      <c r="AU28" s="12">
        <v>0</v>
      </c>
      <c r="AW28" s="11">
        <v>25</v>
      </c>
      <c r="AX28" s="12">
        <v>1</v>
      </c>
      <c r="AY28" s="12">
        <v>1</v>
      </c>
      <c r="AZ28" s="124">
        <v>1</v>
      </c>
      <c r="BA28" s="12">
        <v>1</v>
      </c>
      <c r="BB28" s="12">
        <v>1</v>
      </c>
      <c r="BC28" s="12">
        <v>1</v>
      </c>
      <c r="BD28" s="12">
        <v>1</v>
      </c>
      <c r="BE28" s="12">
        <v>1</v>
      </c>
      <c r="BF28" s="24">
        <v>1</v>
      </c>
      <c r="BG28" s="29">
        <v>1</v>
      </c>
      <c r="BH28" s="12">
        <v>1</v>
      </c>
      <c r="BI28" s="12">
        <v>1</v>
      </c>
      <c r="BK28" s="11">
        <v>25</v>
      </c>
      <c r="BL28" s="12" t="s">
        <v>15</v>
      </c>
      <c r="BM28" s="12">
        <v>0</v>
      </c>
      <c r="BN28" s="12">
        <v>0</v>
      </c>
      <c r="BP28" s="11">
        <v>25</v>
      </c>
      <c r="BQ28" s="12">
        <v>0</v>
      </c>
      <c r="BR28" s="12">
        <v>1</v>
      </c>
      <c r="BS28" s="12">
        <v>1</v>
      </c>
      <c r="BU28" s="11">
        <v>25</v>
      </c>
      <c r="BV28" s="12">
        <v>1</v>
      </c>
      <c r="BW28" s="12">
        <v>1</v>
      </c>
      <c r="BX28" s="12">
        <v>1</v>
      </c>
      <c r="BZ28" s="11">
        <v>25</v>
      </c>
      <c r="CA28" s="12"/>
      <c r="CC28" s="11">
        <v>25</v>
      </c>
      <c r="CD28" s="12"/>
    </row>
    <row r="29" spans="1:82">
      <c r="A29" s="21" t="s">
        <v>35</v>
      </c>
      <c r="B29" s="21">
        <v>10</v>
      </c>
      <c r="C29" s="5" t="s">
        <v>37</v>
      </c>
      <c r="D29" s="37">
        <f t="shared" si="3"/>
        <v>0</v>
      </c>
      <c r="E29" s="59">
        <f t="shared" si="2"/>
        <v>0</v>
      </c>
      <c r="F29" s="38">
        <f t="shared" si="2"/>
        <v>0</v>
      </c>
      <c r="R29" s="11">
        <v>26</v>
      </c>
      <c r="S29" s="12">
        <v>5</v>
      </c>
      <c r="T29" s="12" t="s">
        <v>15</v>
      </c>
      <c r="U29" s="12" t="s">
        <v>15</v>
      </c>
      <c r="W29" s="11">
        <v>26</v>
      </c>
      <c r="X29" s="12">
        <v>3</v>
      </c>
      <c r="Y29" s="12">
        <v>0</v>
      </c>
      <c r="Z29" s="12">
        <v>0</v>
      </c>
      <c r="AB29" s="11">
        <v>26</v>
      </c>
      <c r="AC29" s="12">
        <v>1</v>
      </c>
      <c r="AD29" s="69">
        <v>1</v>
      </c>
      <c r="AE29" s="69">
        <v>1</v>
      </c>
      <c r="AG29" s="11">
        <v>26</v>
      </c>
      <c r="AH29" s="12">
        <v>1</v>
      </c>
      <c r="AI29" s="69">
        <v>1</v>
      </c>
      <c r="AJ29" s="69">
        <v>1</v>
      </c>
      <c r="AL29" s="11">
        <v>26</v>
      </c>
      <c r="AM29" s="12">
        <v>1</v>
      </c>
      <c r="AN29" s="69">
        <v>1</v>
      </c>
      <c r="AO29" s="69">
        <v>1</v>
      </c>
      <c r="AQ29" s="11">
        <v>26</v>
      </c>
      <c r="AR29" s="14" t="s">
        <v>7</v>
      </c>
      <c r="AT29" s="11">
        <v>26</v>
      </c>
      <c r="AU29" s="12">
        <v>9</v>
      </c>
      <c r="AW29" s="11">
        <v>26</v>
      </c>
      <c r="AX29" s="12">
        <v>1</v>
      </c>
      <c r="AY29" s="12">
        <v>1</v>
      </c>
      <c r="AZ29" s="124">
        <v>1</v>
      </c>
      <c r="BA29" s="12">
        <v>1</v>
      </c>
      <c r="BB29" s="12">
        <v>1</v>
      </c>
      <c r="BC29" s="12">
        <v>1</v>
      </c>
      <c r="BD29" s="12">
        <v>1</v>
      </c>
      <c r="BE29" s="12">
        <v>1</v>
      </c>
      <c r="BF29" s="24">
        <v>1</v>
      </c>
      <c r="BG29" s="29">
        <v>1</v>
      </c>
      <c r="BH29" s="12">
        <v>1</v>
      </c>
      <c r="BI29" s="12">
        <v>1</v>
      </c>
      <c r="BK29" s="11">
        <v>26</v>
      </c>
      <c r="BL29" s="12">
        <v>5</v>
      </c>
      <c r="BM29" s="12" t="s">
        <v>15</v>
      </c>
      <c r="BN29" s="12" t="s">
        <v>15</v>
      </c>
      <c r="BP29" s="11">
        <v>26</v>
      </c>
      <c r="BQ29" s="12">
        <v>3</v>
      </c>
      <c r="BR29" s="12">
        <v>0</v>
      </c>
      <c r="BS29" s="12">
        <v>0</v>
      </c>
      <c r="BU29" s="11">
        <v>26</v>
      </c>
      <c r="BV29" s="12">
        <v>1</v>
      </c>
      <c r="BW29" s="12">
        <v>1</v>
      </c>
      <c r="BX29" s="12">
        <v>1</v>
      </c>
      <c r="BZ29" s="11">
        <v>26</v>
      </c>
      <c r="CA29" s="12"/>
      <c r="CC29" s="11">
        <v>26</v>
      </c>
      <c r="CD29" s="12"/>
    </row>
    <row r="30" spans="1:82">
      <c r="A30" s="22" t="s">
        <v>39</v>
      </c>
      <c r="B30" s="22">
        <v>11</v>
      </c>
      <c r="C30" s="17" t="s">
        <v>38</v>
      </c>
      <c r="D30" s="60">
        <f t="shared" si="3"/>
        <v>0</v>
      </c>
      <c r="E30" s="39">
        <f t="shared" si="2"/>
        <v>0</v>
      </c>
      <c r="F30" s="40">
        <f t="shared" si="2"/>
        <v>0</v>
      </c>
      <c r="R30" s="11">
        <v>27</v>
      </c>
      <c r="S30" s="12" t="s">
        <v>15</v>
      </c>
      <c r="T30" s="12">
        <v>1</v>
      </c>
      <c r="U30" s="12">
        <v>1</v>
      </c>
      <c r="W30" s="11">
        <v>27</v>
      </c>
      <c r="X30" s="12">
        <v>0</v>
      </c>
      <c r="Y30" s="12">
        <v>2</v>
      </c>
      <c r="Z30" s="12">
        <v>2</v>
      </c>
      <c r="AB30" s="11">
        <v>27</v>
      </c>
      <c r="AC30" s="12">
        <v>1</v>
      </c>
      <c r="AD30" s="69">
        <v>1</v>
      </c>
      <c r="AE30" s="69">
        <v>1</v>
      </c>
      <c r="AG30" s="11">
        <v>27</v>
      </c>
      <c r="AH30" s="12">
        <v>1</v>
      </c>
      <c r="AI30" s="69">
        <v>1</v>
      </c>
      <c r="AJ30" s="69">
        <v>1</v>
      </c>
      <c r="AL30" s="11">
        <v>27</v>
      </c>
      <c r="AM30" s="12">
        <v>1</v>
      </c>
      <c r="AN30" s="69">
        <v>1</v>
      </c>
      <c r="AO30" s="69">
        <v>1</v>
      </c>
      <c r="AQ30" s="11">
        <v>27</v>
      </c>
      <c r="AR30" s="12" t="s">
        <v>15</v>
      </c>
      <c r="AT30" s="11">
        <v>27</v>
      </c>
      <c r="AU30" s="12">
        <v>0</v>
      </c>
      <c r="AW30" s="11">
        <v>27</v>
      </c>
      <c r="AX30" s="12">
        <v>1</v>
      </c>
      <c r="AY30" s="12">
        <v>1</v>
      </c>
      <c r="AZ30" s="124">
        <v>1</v>
      </c>
      <c r="BA30" s="12">
        <v>1</v>
      </c>
      <c r="BB30" s="12">
        <v>1</v>
      </c>
      <c r="BC30" s="12">
        <v>1</v>
      </c>
      <c r="BD30" s="12">
        <v>1</v>
      </c>
      <c r="BE30" s="12">
        <v>1</v>
      </c>
      <c r="BF30" s="24">
        <v>1</v>
      </c>
      <c r="BG30" s="29">
        <v>1</v>
      </c>
      <c r="BH30" s="12">
        <v>1</v>
      </c>
      <c r="BI30" s="12">
        <v>1</v>
      </c>
      <c r="BK30" s="11">
        <v>27</v>
      </c>
      <c r="BL30" s="12" t="s">
        <v>15</v>
      </c>
      <c r="BM30" s="12">
        <v>1</v>
      </c>
      <c r="BN30" s="12">
        <v>1</v>
      </c>
      <c r="BP30" s="11">
        <v>27</v>
      </c>
      <c r="BQ30" s="12">
        <v>0</v>
      </c>
      <c r="BR30" s="12">
        <v>2</v>
      </c>
      <c r="BS30" s="12">
        <v>2</v>
      </c>
      <c r="BU30" s="11">
        <v>27</v>
      </c>
      <c r="BV30" s="12">
        <v>1</v>
      </c>
      <c r="BW30" s="12">
        <v>1</v>
      </c>
      <c r="BX30" s="12">
        <v>1</v>
      </c>
      <c r="BZ30" s="11">
        <v>27</v>
      </c>
      <c r="CA30" s="12"/>
      <c r="CC30" s="11">
        <v>27</v>
      </c>
      <c r="CD30" s="12"/>
    </row>
    <row r="31" spans="1:82">
      <c r="D31" s="115">
        <f>SUM(D19:D30)</f>
        <v>36</v>
      </c>
      <c r="E31" s="115">
        <f>SUM(E19:E30)</f>
        <v>36</v>
      </c>
      <c r="F31" s="115">
        <f>SUM(F19:F30)</f>
        <v>36</v>
      </c>
      <c r="R31" s="11">
        <v>28</v>
      </c>
      <c r="S31" s="12">
        <v>10</v>
      </c>
      <c r="T31" s="12" t="s">
        <v>15</v>
      </c>
      <c r="U31" s="12" t="s">
        <v>15</v>
      </c>
      <c r="W31" s="11">
        <v>28</v>
      </c>
      <c r="X31" s="12">
        <v>4</v>
      </c>
      <c r="Y31" s="12">
        <v>0</v>
      </c>
      <c r="Z31" s="12">
        <v>0</v>
      </c>
      <c r="AB31" s="11">
        <v>28</v>
      </c>
      <c r="AC31" s="12">
        <v>1</v>
      </c>
      <c r="AD31" s="69">
        <v>1</v>
      </c>
      <c r="AE31" s="69">
        <v>1</v>
      </c>
      <c r="AG31" s="11">
        <v>28</v>
      </c>
      <c r="AH31" s="12">
        <v>1</v>
      </c>
      <c r="AI31" s="69">
        <v>1</v>
      </c>
      <c r="AJ31" s="69">
        <v>1</v>
      </c>
      <c r="AL31" s="11">
        <v>28</v>
      </c>
      <c r="AM31" s="12">
        <v>1</v>
      </c>
      <c r="AN31" s="69">
        <v>1</v>
      </c>
      <c r="AO31" s="69">
        <v>1</v>
      </c>
      <c r="AQ31" s="11">
        <v>28</v>
      </c>
      <c r="AR31" s="14" t="s">
        <v>6</v>
      </c>
      <c r="AT31" s="11">
        <v>28</v>
      </c>
      <c r="AU31" s="12">
        <v>7</v>
      </c>
      <c r="AW31" s="11">
        <v>28</v>
      </c>
      <c r="AX31" s="12">
        <v>1</v>
      </c>
      <c r="AY31" s="12">
        <v>1</v>
      </c>
      <c r="AZ31" s="124">
        <v>1</v>
      </c>
      <c r="BA31" s="12">
        <v>1</v>
      </c>
      <c r="BB31" s="12">
        <v>1</v>
      </c>
      <c r="BC31" s="12">
        <v>1</v>
      </c>
      <c r="BD31" s="12">
        <v>1</v>
      </c>
      <c r="BE31" s="12">
        <v>1</v>
      </c>
      <c r="BF31" s="24">
        <v>1</v>
      </c>
      <c r="BG31" s="29">
        <v>1</v>
      </c>
      <c r="BH31" s="12">
        <v>1</v>
      </c>
      <c r="BI31" s="12">
        <v>1</v>
      </c>
      <c r="BK31" s="11">
        <v>28</v>
      </c>
      <c r="BL31" s="12">
        <v>10</v>
      </c>
      <c r="BM31" s="12" t="s">
        <v>15</v>
      </c>
      <c r="BN31" s="12" t="s">
        <v>15</v>
      </c>
      <c r="BP31" s="11">
        <v>28</v>
      </c>
      <c r="BQ31" s="12">
        <v>4</v>
      </c>
      <c r="BR31" s="12">
        <v>0</v>
      </c>
      <c r="BS31" s="12">
        <v>0</v>
      </c>
      <c r="BU31" s="11">
        <v>28</v>
      </c>
      <c r="BV31" s="12">
        <v>1</v>
      </c>
      <c r="BW31" s="12">
        <v>1</v>
      </c>
      <c r="BX31" s="12">
        <v>1</v>
      </c>
      <c r="BZ31" s="11">
        <v>28</v>
      </c>
      <c r="CA31" s="12"/>
      <c r="CC31" s="11">
        <v>28</v>
      </c>
      <c r="CD31" s="12"/>
    </row>
    <row r="32" spans="1:82">
      <c r="R32" s="11">
        <v>29</v>
      </c>
      <c r="S32" s="12" t="s">
        <v>15</v>
      </c>
      <c r="T32" s="12">
        <v>5</v>
      </c>
      <c r="U32" s="12">
        <v>5</v>
      </c>
      <c r="W32" s="11">
        <v>29</v>
      </c>
      <c r="X32" s="12">
        <v>0</v>
      </c>
      <c r="Y32" s="12">
        <v>3</v>
      </c>
      <c r="Z32" s="12">
        <v>3</v>
      </c>
      <c r="AB32" s="11">
        <v>29</v>
      </c>
      <c r="AC32" s="12">
        <v>1</v>
      </c>
      <c r="AD32" s="69">
        <v>1</v>
      </c>
      <c r="AE32" s="69">
        <v>1</v>
      </c>
      <c r="AG32" s="11">
        <v>29</v>
      </c>
      <c r="AH32" s="12">
        <v>1</v>
      </c>
      <c r="AI32" s="69">
        <v>1</v>
      </c>
      <c r="AJ32" s="69">
        <v>1</v>
      </c>
      <c r="AL32" s="11">
        <v>29</v>
      </c>
      <c r="AM32" s="12">
        <v>1</v>
      </c>
      <c r="AN32" s="69">
        <v>1</v>
      </c>
      <c r="AO32" s="69">
        <v>1</v>
      </c>
      <c r="AQ32" s="11">
        <v>29</v>
      </c>
      <c r="AR32" s="12" t="s">
        <v>15</v>
      </c>
      <c r="AT32" s="11">
        <v>29</v>
      </c>
      <c r="AU32" s="12">
        <v>0</v>
      </c>
      <c r="AW32" s="11">
        <v>29</v>
      </c>
      <c r="AX32" s="12">
        <v>1</v>
      </c>
      <c r="AY32" s="12">
        <v>1</v>
      </c>
      <c r="AZ32" s="124">
        <v>1</v>
      </c>
      <c r="BA32" s="12">
        <v>1</v>
      </c>
      <c r="BB32" s="12">
        <v>1</v>
      </c>
      <c r="BC32" s="12">
        <v>1</v>
      </c>
      <c r="BD32" s="12">
        <v>1</v>
      </c>
      <c r="BE32" s="12">
        <v>1</v>
      </c>
      <c r="BF32" s="24">
        <v>1</v>
      </c>
      <c r="BG32" s="29">
        <v>1</v>
      </c>
      <c r="BH32" s="12">
        <v>1</v>
      </c>
      <c r="BI32" s="12">
        <v>1</v>
      </c>
      <c r="BK32" s="11">
        <v>29</v>
      </c>
      <c r="BL32" s="12" t="s">
        <v>15</v>
      </c>
      <c r="BM32" s="12">
        <v>5</v>
      </c>
      <c r="BN32" s="12">
        <v>5</v>
      </c>
      <c r="BP32" s="11">
        <v>29</v>
      </c>
      <c r="BQ32" s="12">
        <v>0</v>
      </c>
      <c r="BR32" s="12">
        <v>3</v>
      </c>
      <c r="BS32" s="12">
        <v>3</v>
      </c>
      <c r="BU32" s="11">
        <v>29</v>
      </c>
      <c r="BV32" s="12">
        <v>1</v>
      </c>
      <c r="BW32" s="12">
        <v>1</v>
      </c>
      <c r="BX32" s="12">
        <v>1</v>
      </c>
      <c r="BZ32" s="11">
        <v>29</v>
      </c>
      <c r="CA32" s="12"/>
      <c r="CC32" s="11">
        <v>29</v>
      </c>
      <c r="CD32" s="12"/>
    </row>
    <row r="33" spans="1:82">
      <c r="A33" s="30" t="s">
        <v>117</v>
      </c>
      <c r="D33" s="119" t="s">
        <v>8</v>
      </c>
      <c r="E33" s="119" t="s">
        <v>8</v>
      </c>
      <c r="F33" s="119">
        <v>5</v>
      </c>
      <c r="G33" s="115"/>
      <c r="H33" s="94" t="s">
        <v>34</v>
      </c>
      <c r="J33" s="115"/>
      <c r="R33" s="11">
        <v>30</v>
      </c>
      <c r="S33" s="12">
        <v>1</v>
      </c>
      <c r="T33" s="12" t="s">
        <v>15</v>
      </c>
      <c r="U33" s="12" t="s">
        <v>15</v>
      </c>
      <c r="W33" s="11">
        <v>30</v>
      </c>
      <c r="X33" s="12">
        <v>2</v>
      </c>
      <c r="Y33" s="12">
        <v>0</v>
      </c>
      <c r="Z33" s="12">
        <v>0</v>
      </c>
      <c r="AB33" s="11">
        <v>30</v>
      </c>
      <c r="AC33" s="12">
        <v>1</v>
      </c>
      <c r="AD33" s="69">
        <v>1</v>
      </c>
      <c r="AE33" s="69">
        <v>1</v>
      </c>
      <c r="AG33" s="11">
        <v>30</v>
      </c>
      <c r="AH33" s="12">
        <v>1</v>
      </c>
      <c r="AI33" s="69">
        <v>1</v>
      </c>
      <c r="AJ33" s="69">
        <v>1</v>
      </c>
      <c r="AL33" s="11">
        <v>30</v>
      </c>
      <c r="AM33" s="12">
        <v>1</v>
      </c>
      <c r="AN33" s="69">
        <v>1</v>
      </c>
      <c r="AO33" s="69">
        <v>1</v>
      </c>
      <c r="AQ33" s="11">
        <v>30</v>
      </c>
      <c r="AR33" s="14" t="s">
        <v>36</v>
      </c>
      <c r="AT33" s="11">
        <v>30</v>
      </c>
      <c r="AU33" s="12">
        <v>10</v>
      </c>
      <c r="AW33" s="11">
        <v>30</v>
      </c>
      <c r="AX33" s="12">
        <v>1</v>
      </c>
      <c r="AY33" s="12">
        <v>1</v>
      </c>
      <c r="AZ33" s="124">
        <v>1</v>
      </c>
      <c r="BA33" s="12">
        <v>1</v>
      </c>
      <c r="BB33" s="12">
        <v>1</v>
      </c>
      <c r="BC33" s="12">
        <v>1</v>
      </c>
      <c r="BD33" s="12">
        <v>1</v>
      </c>
      <c r="BE33" s="12">
        <v>1</v>
      </c>
      <c r="BF33" s="24">
        <v>1</v>
      </c>
      <c r="BG33" s="29">
        <v>1</v>
      </c>
      <c r="BH33" s="12">
        <v>1</v>
      </c>
      <c r="BI33" s="12">
        <v>1</v>
      </c>
      <c r="BK33" s="11">
        <v>30</v>
      </c>
      <c r="BL33" s="12">
        <v>1</v>
      </c>
      <c r="BM33" s="12" t="s">
        <v>15</v>
      </c>
      <c r="BN33" s="12" t="s">
        <v>15</v>
      </c>
      <c r="BP33" s="11">
        <v>30</v>
      </c>
      <c r="BQ33" s="12">
        <v>2</v>
      </c>
      <c r="BR33" s="12">
        <v>0</v>
      </c>
      <c r="BS33" s="12">
        <v>0</v>
      </c>
      <c r="BU33" s="11">
        <v>30</v>
      </c>
      <c r="BV33" s="12">
        <v>1</v>
      </c>
      <c r="BW33" s="12">
        <v>1</v>
      </c>
      <c r="BX33" s="12">
        <v>1</v>
      </c>
      <c r="BZ33" s="11">
        <v>30</v>
      </c>
      <c r="CA33" s="12"/>
      <c r="CC33" s="11">
        <v>30</v>
      </c>
      <c r="CD33" s="12"/>
    </row>
    <row r="34" spans="1:82">
      <c r="A34" s="30" t="s">
        <v>46</v>
      </c>
      <c r="B34" s="1" t="s">
        <v>10</v>
      </c>
      <c r="C34" s="2" t="s">
        <v>11</v>
      </c>
      <c r="D34" s="3" t="s">
        <v>80</v>
      </c>
      <c r="E34" s="116" t="s">
        <v>13</v>
      </c>
      <c r="F34" s="4" t="s">
        <v>14</v>
      </c>
      <c r="G34" s="115"/>
      <c r="H34" s="95" t="s">
        <v>57</v>
      </c>
      <c r="I34" s="58" t="s">
        <v>58</v>
      </c>
      <c r="R34" s="11">
        <v>31</v>
      </c>
      <c r="S34" s="12" t="s">
        <v>15</v>
      </c>
      <c r="T34" s="12">
        <v>0</v>
      </c>
      <c r="U34" s="12">
        <v>0</v>
      </c>
      <c r="W34" s="11">
        <v>31</v>
      </c>
      <c r="X34" s="12">
        <v>0</v>
      </c>
      <c r="Y34" s="12">
        <v>1</v>
      </c>
      <c r="Z34" s="12">
        <v>1</v>
      </c>
      <c r="AB34" s="11">
        <v>31</v>
      </c>
      <c r="AC34" s="12">
        <v>1</v>
      </c>
      <c r="AD34" s="69">
        <v>1</v>
      </c>
      <c r="AE34" s="69">
        <v>1</v>
      </c>
      <c r="AG34" s="11">
        <v>31</v>
      </c>
      <c r="AH34" s="12">
        <v>1</v>
      </c>
      <c r="AI34" s="69">
        <v>1</v>
      </c>
      <c r="AJ34" s="69">
        <v>1</v>
      </c>
      <c r="AL34" s="11">
        <v>31</v>
      </c>
      <c r="AM34" s="12">
        <v>1</v>
      </c>
      <c r="AN34" s="69">
        <v>1</v>
      </c>
      <c r="AO34" s="69">
        <v>1</v>
      </c>
      <c r="AQ34" s="11">
        <v>31</v>
      </c>
      <c r="AR34" s="12" t="s">
        <v>15</v>
      </c>
      <c r="AT34" s="11">
        <v>31</v>
      </c>
      <c r="AU34" s="12">
        <v>0</v>
      </c>
      <c r="AW34" s="11">
        <v>31</v>
      </c>
      <c r="AX34" s="12">
        <v>1</v>
      </c>
      <c r="AY34" s="12">
        <v>1</v>
      </c>
      <c r="AZ34" s="124">
        <v>1</v>
      </c>
      <c r="BA34" s="12">
        <v>1</v>
      </c>
      <c r="BB34" s="12">
        <v>1</v>
      </c>
      <c r="BC34" s="12">
        <v>1</v>
      </c>
      <c r="BD34" s="12">
        <v>1</v>
      </c>
      <c r="BE34" s="12">
        <v>1</v>
      </c>
      <c r="BF34" s="24">
        <v>1</v>
      </c>
      <c r="BG34" s="29">
        <v>1</v>
      </c>
      <c r="BH34" s="12">
        <v>1</v>
      </c>
      <c r="BI34" s="12">
        <v>1</v>
      </c>
      <c r="BK34" s="11">
        <v>31</v>
      </c>
      <c r="BL34" s="12" t="s">
        <v>15</v>
      </c>
      <c r="BM34" s="12">
        <v>0</v>
      </c>
      <c r="BN34" s="12">
        <v>0</v>
      </c>
      <c r="BP34" s="11">
        <v>31</v>
      </c>
      <c r="BQ34" s="12">
        <v>0</v>
      </c>
      <c r="BR34" s="12">
        <v>1</v>
      </c>
      <c r="BS34" s="12">
        <v>1</v>
      </c>
      <c r="BU34" s="11">
        <v>31</v>
      </c>
      <c r="BV34" s="12">
        <v>1</v>
      </c>
      <c r="BW34" s="12">
        <v>1</v>
      </c>
      <c r="BX34" s="12">
        <v>1</v>
      </c>
      <c r="BZ34" s="11">
        <v>31</v>
      </c>
      <c r="CA34" s="12"/>
      <c r="CC34" s="11">
        <v>31</v>
      </c>
      <c r="CD34" s="12"/>
    </row>
    <row r="35" spans="1:82">
      <c r="A35" s="1" t="s">
        <v>19</v>
      </c>
      <c r="B35" s="1">
        <v>0</v>
      </c>
      <c r="C35" s="3" t="s">
        <v>25</v>
      </c>
      <c r="D35" s="3">
        <f>SUMIF(S$3:S$38,$A35,AM$3:AM38)</f>
        <v>18</v>
      </c>
      <c r="E35" s="116">
        <f>SUMIF(T$3:T$38,$A35,AN$3:AN38)</f>
        <v>18</v>
      </c>
      <c r="F35" s="4">
        <f>SUMIF(U$3:U$38,$A35,AO$3:AO38)</f>
        <v>18</v>
      </c>
      <c r="G35" s="115"/>
      <c r="H35" s="21">
        <v>5</v>
      </c>
      <c r="I35" s="7">
        <f>SUMIF(CA$3:CA$38,$H35,$CD$3:$CD$38)</f>
        <v>1</v>
      </c>
      <c r="R35" s="11">
        <v>32</v>
      </c>
      <c r="S35" s="12">
        <v>5</v>
      </c>
      <c r="T35" s="12" t="s">
        <v>15</v>
      </c>
      <c r="U35" s="12" t="s">
        <v>15</v>
      </c>
      <c r="W35" s="11">
        <v>32</v>
      </c>
      <c r="X35" s="12">
        <v>3</v>
      </c>
      <c r="Y35" s="12">
        <v>0</v>
      </c>
      <c r="Z35" s="12">
        <v>0</v>
      </c>
      <c r="AB35" s="11">
        <v>32</v>
      </c>
      <c r="AC35" s="12">
        <v>1</v>
      </c>
      <c r="AD35" s="69">
        <v>1</v>
      </c>
      <c r="AE35" s="69">
        <v>1</v>
      </c>
      <c r="AG35" s="11">
        <v>32</v>
      </c>
      <c r="AH35" s="12">
        <v>1</v>
      </c>
      <c r="AI35" s="69">
        <v>1</v>
      </c>
      <c r="AJ35" s="69">
        <v>1</v>
      </c>
      <c r="AL35" s="11">
        <v>32</v>
      </c>
      <c r="AM35" s="12">
        <v>1</v>
      </c>
      <c r="AN35" s="69">
        <v>1</v>
      </c>
      <c r="AO35" s="69">
        <v>1</v>
      </c>
      <c r="AQ35" s="11">
        <v>32</v>
      </c>
      <c r="AR35" s="14" t="s">
        <v>5</v>
      </c>
      <c r="AT35" s="11">
        <v>32</v>
      </c>
      <c r="AU35" s="12">
        <v>6</v>
      </c>
      <c r="AW35" s="11">
        <v>32</v>
      </c>
      <c r="AX35" s="12">
        <v>1</v>
      </c>
      <c r="AY35" s="12">
        <v>1</v>
      </c>
      <c r="AZ35" s="124">
        <v>1</v>
      </c>
      <c r="BA35" s="12">
        <v>1</v>
      </c>
      <c r="BB35" s="12">
        <v>1</v>
      </c>
      <c r="BC35" s="12">
        <v>1</v>
      </c>
      <c r="BD35" s="12">
        <v>1</v>
      </c>
      <c r="BE35" s="12">
        <v>1</v>
      </c>
      <c r="BF35" s="24">
        <v>1</v>
      </c>
      <c r="BG35" s="29">
        <v>1</v>
      </c>
      <c r="BH35" s="12">
        <v>1</v>
      </c>
      <c r="BI35" s="12">
        <v>1</v>
      </c>
      <c r="BK35" s="11">
        <v>32</v>
      </c>
      <c r="BL35" s="12">
        <v>5</v>
      </c>
      <c r="BM35" s="12" t="s">
        <v>15</v>
      </c>
      <c r="BN35" s="12" t="s">
        <v>15</v>
      </c>
      <c r="BP35" s="11">
        <v>32</v>
      </c>
      <c r="BQ35" s="12">
        <v>3</v>
      </c>
      <c r="BR35" s="12">
        <v>0</v>
      </c>
      <c r="BS35" s="12">
        <v>0</v>
      </c>
      <c r="BU35" s="11">
        <v>32</v>
      </c>
      <c r="BV35" s="12">
        <v>1</v>
      </c>
      <c r="BW35" s="12">
        <v>1</v>
      </c>
      <c r="BX35" s="12">
        <v>1</v>
      </c>
      <c r="BZ35" s="11">
        <v>32</v>
      </c>
      <c r="CA35" s="12"/>
      <c r="CC35" s="11">
        <v>32</v>
      </c>
      <c r="CD35" s="12"/>
    </row>
    <row r="36" spans="1:82">
      <c r="A36" s="20">
        <v>0</v>
      </c>
      <c r="B36" s="20">
        <v>1</v>
      </c>
      <c r="C36" s="5">
        <v>0</v>
      </c>
      <c r="D36" s="37">
        <f>SUMIF(S$3:S$38,$A36,AM$3:AM39)</f>
        <v>0</v>
      </c>
      <c r="E36" s="115">
        <f>SUMIF(T$3:T$38,$A36,AN$3:AN39)</f>
        <v>6</v>
      </c>
      <c r="F36" s="7">
        <f>SUMIF(U$3:U$38,$A36,AO$3:AO39)</f>
        <v>6</v>
      </c>
      <c r="G36" s="115"/>
      <c r="H36" s="21">
        <v>10</v>
      </c>
      <c r="I36" s="7">
        <f t="shared" ref="I36:I42" si="4">SUMIF(CA$3:CA$38,$H36,$CD$3:$CD$38)</f>
        <v>1</v>
      </c>
      <c r="K36" s="115"/>
      <c r="L36" s="115"/>
      <c r="M36" s="115"/>
      <c r="N36" s="115"/>
      <c r="O36" s="115"/>
      <c r="R36" s="11">
        <v>33</v>
      </c>
      <c r="S36" s="12" t="s">
        <v>15</v>
      </c>
      <c r="T36" s="12">
        <v>1</v>
      </c>
      <c r="U36" s="12">
        <v>1</v>
      </c>
      <c r="W36" s="11">
        <v>33</v>
      </c>
      <c r="X36" s="12">
        <v>0</v>
      </c>
      <c r="Y36" s="12">
        <v>2</v>
      </c>
      <c r="Z36" s="12">
        <v>2</v>
      </c>
      <c r="AB36" s="11">
        <v>33</v>
      </c>
      <c r="AC36" s="12">
        <v>1</v>
      </c>
      <c r="AD36" s="69">
        <v>1</v>
      </c>
      <c r="AE36" s="69">
        <v>1</v>
      </c>
      <c r="AG36" s="11">
        <v>33</v>
      </c>
      <c r="AH36" s="12">
        <v>1</v>
      </c>
      <c r="AI36" s="69">
        <v>1</v>
      </c>
      <c r="AJ36" s="69">
        <v>1</v>
      </c>
      <c r="AL36" s="11">
        <v>33</v>
      </c>
      <c r="AM36" s="12">
        <v>1</v>
      </c>
      <c r="AN36" s="69">
        <v>1</v>
      </c>
      <c r="AO36" s="69">
        <v>1</v>
      </c>
      <c r="AQ36" s="11">
        <v>33</v>
      </c>
      <c r="AR36" s="12" t="s">
        <v>15</v>
      </c>
      <c r="AT36" s="11">
        <v>33</v>
      </c>
      <c r="AU36" s="12">
        <v>0</v>
      </c>
      <c r="AW36" s="11">
        <v>33</v>
      </c>
      <c r="AX36" s="12">
        <v>1</v>
      </c>
      <c r="AY36" s="12">
        <v>1</v>
      </c>
      <c r="AZ36" s="124">
        <v>1</v>
      </c>
      <c r="BA36" s="12">
        <v>1</v>
      </c>
      <c r="BB36" s="12">
        <v>1</v>
      </c>
      <c r="BC36" s="12">
        <v>1</v>
      </c>
      <c r="BD36" s="12">
        <v>1</v>
      </c>
      <c r="BE36" s="12">
        <v>1</v>
      </c>
      <c r="BF36" s="24">
        <v>1</v>
      </c>
      <c r="BG36" s="29">
        <v>1</v>
      </c>
      <c r="BH36" s="12">
        <v>1</v>
      </c>
      <c r="BI36" s="12">
        <v>1</v>
      </c>
      <c r="BK36" s="11">
        <v>33</v>
      </c>
      <c r="BL36" s="12" t="s">
        <v>15</v>
      </c>
      <c r="BM36" s="12">
        <v>1</v>
      </c>
      <c r="BN36" s="12">
        <v>1</v>
      </c>
      <c r="BP36" s="11">
        <v>33</v>
      </c>
      <c r="BQ36" s="12">
        <v>0</v>
      </c>
      <c r="BR36" s="12">
        <v>2</v>
      </c>
      <c r="BS36" s="12">
        <v>2</v>
      </c>
      <c r="BU36" s="11">
        <v>33</v>
      </c>
      <c r="BV36" s="12">
        <v>1</v>
      </c>
      <c r="BW36" s="12">
        <v>1</v>
      </c>
      <c r="BX36" s="12">
        <v>1</v>
      </c>
      <c r="BZ36" s="11">
        <v>33</v>
      </c>
      <c r="CA36" s="12"/>
      <c r="CC36" s="11">
        <v>33</v>
      </c>
      <c r="CD36" s="12"/>
    </row>
    <row r="37" spans="1:82">
      <c r="A37" s="20">
        <v>1</v>
      </c>
      <c r="B37" s="20">
        <v>2</v>
      </c>
      <c r="C37" s="5">
        <v>1</v>
      </c>
      <c r="D37" s="6">
        <f>SUMIF(S$3:S$38,$A37,AM$3:AM40)</f>
        <v>6</v>
      </c>
      <c r="E37" s="115">
        <f>SUMIF(T$3:T$38,$A37,AN$3:AN40)</f>
        <v>6</v>
      </c>
      <c r="F37" s="7">
        <f>SUMIF(U$3:U$38,$A37,AO$3:AO40)</f>
        <v>6</v>
      </c>
      <c r="G37" s="115"/>
      <c r="H37" s="21">
        <v>15</v>
      </c>
      <c r="I37" s="7">
        <f t="shared" si="4"/>
        <v>1</v>
      </c>
      <c r="K37" s="115"/>
      <c r="L37" s="115"/>
      <c r="M37" s="115"/>
      <c r="N37" s="115"/>
      <c r="O37" s="115"/>
      <c r="R37" s="11">
        <v>34</v>
      </c>
      <c r="S37" s="12">
        <v>10</v>
      </c>
      <c r="T37" s="12" t="s">
        <v>15</v>
      </c>
      <c r="U37" s="12" t="s">
        <v>15</v>
      </c>
      <c r="W37" s="11">
        <v>34</v>
      </c>
      <c r="X37" s="12">
        <v>4</v>
      </c>
      <c r="Y37" s="12">
        <v>0</v>
      </c>
      <c r="Z37" s="12">
        <v>0</v>
      </c>
      <c r="AB37" s="11">
        <v>34</v>
      </c>
      <c r="AC37" s="12">
        <v>1</v>
      </c>
      <c r="AD37" s="69">
        <v>1</v>
      </c>
      <c r="AE37" s="69">
        <v>1</v>
      </c>
      <c r="AG37" s="11">
        <v>34</v>
      </c>
      <c r="AH37" s="12">
        <v>1</v>
      </c>
      <c r="AI37" s="69">
        <v>1</v>
      </c>
      <c r="AJ37" s="69">
        <v>1</v>
      </c>
      <c r="AL37" s="11">
        <v>34</v>
      </c>
      <c r="AM37" s="12">
        <v>1</v>
      </c>
      <c r="AN37" s="69">
        <v>1</v>
      </c>
      <c r="AO37" s="69">
        <v>1</v>
      </c>
      <c r="AQ37" s="11">
        <v>34</v>
      </c>
      <c r="AR37" s="14" t="s">
        <v>7</v>
      </c>
      <c r="AT37" s="11">
        <v>34</v>
      </c>
      <c r="AU37" s="12">
        <v>9</v>
      </c>
      <c r="AW37" s="11">
        <v>34</v>
      </c>
      <c r="AX37" s="12">
        <v>1</v>
      </c>
      <c r="AY37" s="12">
        <v>1</v>
      </c>
      <c r="AZ37" s="124">
        <v>1</v>
      </c>
      <c r="BA37" s="12">
        <v>1</v>
      </c>
      <c r="BB37" s="12">
        <v>1</v>
      </c>
      <c r="BC37" s="12">
        <v>1</v>
      </c>
      <c r="BD37" s="12">
        <v>1</v>
      </c>
      <c r="BE37" s="12">
        <v>1</v>
      </c>
      <c r="BF37" s="24">
        <v>1</v>
      </c>
      <c r="BG37" s="29">
        <v>1</v>
      </c>
      <c r="BH37" s="12">
        <v>1</v>
      </c>
      <c r="BI37" s="12">
        <v>1</v>
      </c>
      <c r="BK37" s="11">
        <v>34</v>
      </c>
      <c r="BL37" s="12">
        <v>10</v>
      </c>
      <c r="BM37" s="12" t="s">
        <v>15</v>
      </c>
      <c r="BN37" s="12" t="s">
        <v>15</v>
      </c>
      <c r="BP37" s="11">
        <v>34</v>
      </c>
      <c r="BQ37" s="12">
        <v>4</v>
      </c>
      <c r="BR37" s="12">
        <v>0</v>
      </c>
      <c r="BS37" s="12">
        <v>0</v>
      </c>
      <c r="BU37" s="11">
        <v>34</v>
      </c>
      <c r="BV37" s="12">
        <v>1</v>
      </c>
      <c r="BW37" s="12">
        <v>1</v>
      </c>
      <c r="BX37" s="12">
        <v>1</v>
      </c>
      <c r="BZ37" s="11">
        <v>34</v>
      </c>
      <c r="CA37" s="12"/>
      <c r="CC37" s="11">
        <v>34</v>
      </c>
      <c r="CD37" s="12"/>
    </row>
    <row r="38" spans="1:82">
      <c r="A38" s="21">
        <v>5</v>
      </c>
      <c r="B38" s="21">
        <v>3</v>
      </c>
      <c r="C38" s="23">
        <v>5</v>
      </c>
      <c r="D38" s="6">
        <f>SUMIF(S$3:S$38,$A38,AM$3:AM41)</f>
        <v>6</v>
      </c>
      <c r="E38" s="115">
        <f>SUMIF(T$3:T$38,$A38,AN$3:AN41)</f>
        <v>6</v>
      </c>
      <c r="F38" s="7">
        <f>SUMIF(U$3:U$38,$A38,AO$3:AO41)</f>
        <v>6</v>
      </c>
      <c r="G38" s="115"/>
      <c r="H38" s="21">
        <v>20</v>
      </c>
      <c r="I38" s="7">
        <f t="shared" si="4"/>
        <v>1</v>
      </c>
      <c r="K38" s="115"/>
      <c r="L38" s="115"/>
      <c r="M38" s="115"/>
      <c r="N38" s="115"/>
      <c r="O38" s="115"/>
      <c r="R38" s="11">
        <v>35</v>
      </c>
      <c r="S38" s="12" t="s">
        <v>8</v>
      </c>
      <c r="T38" s="12">
        <v>5</v>
      </c>
      <c r="U38" s="12">
        <v>5</v>
      </c>
      <c r="W38" s="11">
        <v>35</v>
      </c>
      <c r="X38" s="12">
        <v>0</v>
      </c>
      <c r="Y38" s="12">
        <v>3</v>
      </c>
      <c r="Z38" s="12">
        <v>3</v>
      </c>
      <c r="AB38" s="11">
        <v>35</v>
      </c>
      <c r="AC38" s="12">
        <v>1</v>
      </c>
      <c r="AD38" s="69">
        <v>1</v>
      </c>
      <c r="AE38" s="69">
        <v>1</v>
      </c>
      <c r="AG38" s="11">
        <v>35</v>
      </c>
      <c r="AH38" s="12">
        <v>1</v>
      </c>
      <c r="AI38" s="69">
        <v>1</v>
      </c>
      <c r="AJ38" s="69">
        <v>1</v>
      </c>
      <c r="AL38" s="11">
        <v>35</v>
      </c>
      <c r="AM38" s="12">
        <v>1</v>
      </c>
      <c r="AN38" s="69">
        <v>1</v>
      </c>
      <c r="AO38" s="69">
        <v>1</v>
      </c>
      <c r="AQ38" s="11">
        <v>35</v>
      </c>
      <c r="AR38" s="12" t="s">
        <v>15</v>
      </c>
      <c r="AT38" s="11">
        <v>35</v>
      </c>
      <c r="AU38" s="12">
        <v>0</v>
      </c>
      <c r="AW38" s="11">
        <v>35</v>
      </c>
      <c r="AX38" s="12">
        <v>1</v>
      </c>
      <c r="AY38" s="12">
        <v>1</v>
      </c>
      <c r="AZ38" s="124">
        <v>1</v>
      </c>
      <c r="BA38" s="12">
        <v>1</v>
      </c>
      <c r="BB38" s="12">
        <v>1</v>
      </c>
      <c r="BC38" s="12">
        <v>1</v>
      </c>
      <c r="BD38" s="12">
        <v>1</v>
      </c>
      <c r="BE38" s="12">
        <v>1</v>
      </c>
      <c r="BF38" s="24">
        <v>1</v>
      </c>
      <c r="BG38" s="29">
        <v>1</v>
      </c>
      <c r="BH38" s="12">
        <v>1</v>
      </c>
      <c r="BI38" s="12">
        <v>1</v>
      </c>
      <c r="BK38" s="11">
        <v>35</v>
      </c>
      <c r="BL38" s="12" t="s">
        <v>8</v>
      </c>
      <c r="BM38" s="12">
        <v>5</v>
      </c>
      <c r="BN38" s="12">
        <v>5</v>
      </c>
      <c r="BP38" s="11">
        <v>35</v>
      </c>
      <c r="BQ38" s="12">
        <v>0</v>
      </c>
      <c r="BR38" s="12">
        <v>3</v>
      </c>
      <c r="BS38" s="12">
        <v>3</v>
      </c>
      <c r="BU38" s="11">
        <v>35</v>
      </c>
      <c r="BV38" s="12">
        <v>1</v>
      </c>
      <c r="BW38" s="12">
        <v>1</v>
      </c>
      <c r="BX38" s="12">
        <v>1</v>
      </c>
      <c r="BZ38" s="11">
        <v>35</v>
      </c>
      <c r="CA38" s="12"/>
      <c r="CC38" s="11">
        <v>35</v>
      </c>
      <c r="CD38" s="12"/>
    </row>
    <row r="39" spans="1:82">
      <c r="A39" s="21">
        <v>10</v>
      </c>
      <c r="B39" s="21">
        <v>4</v>
      </c>
      <c r="C39" s="23">
        <v>10</v>
      </c>
      <c r="D39" s="6">
        <f>SUMIF(S$3:S$38,$A39,AM$3:AM42)</f>
        <v>6</v>
      </c>
      <c r="E39" s="59">
        <f>SUMIF(T$3:T$38,$A39,AN$3:AN42)</f>
        <v>0</v>
      </c>
      <c r="F39" s="38">
        <f>SUMIF(U$3:U$38,$A39,AO$3:AO42)</f>
        <v>0</v>
      </c>
      <c r="G39" s="115"/>
      <c r="H39" s="21">
        <v>30</v>
      </c>
      <c r="I39" s="7">
        <f t="shared" si="4"/>
        <v>1</v>
      </c>
      <c r="K39" s="115"/>
      <c r="L39" s="115"/>
      <c r="M39" s="115"/>
      <c r="N39" s="115"/>
      <c r="O39" s="115"/>
      <c r="R39" s="11">
        <v>36</v>
      </c>
      <c r="S39" s="12"/>
      <c r="T39" s="12"/>
      <c r="U39" s="12"/>
      <c r="W39" s="11">
        <v>36</v>
      </c>
      <c r="X39" s="12"/>
      <c r="Y39" s="12"/>
      <c r="Z39" s="12"/>
      <c r="AB39" s="11">
        <v>36</v>
      </c>
      <c r="AC39" s="12"/>
      <c r="AD39" s="12"/>
      <c r="AE39" s="12"/>
      <c r="AG39" s="11">
        <v>36</v>
      </c>
      <c r="AH39" s="12"/>
      <c r="AI39" s="12"/>
      <c r="AJ39" s="12"/>
      <c r="AL39" s="11">
        <v>36</v>
      </c>
      <c r="AM39" s="12"/>
      <c r="AN39" s="12"/>
      <c r="AO39" s="12"/>
      <c r="AQ39" s="11">
        <v>36</v>
      </c>
      <c r="AR39" s="14" t="s">
        <v>6</v>
      </c>
      <c r="AS39" s="14"/>
      <c r="AT39" s="11">
        <v>36</v>
      </c>
      <c r="AU39" s="12">
        <v>7</v>
      </c>
      <c r="AW39" s="11">
        <v>36</v>
      </c>
      <c r="AX39" s="12">
        <v>1</v>
      </c>
      <c r="AY39" s="12">
        <v>1</v>
      </c>
      <c r="AZ39" s="124">
        <v>1</v>
      </c>
      <c r="BA39" s="12">
        <v>1</v>
      </c>
      <c r="BB39" s="12">
        <v>1</v>
      </c>
      <c r="BC39" s="12">
        <v>1</v>
      </c>
      <c r="BD39" s="12">
        <v>1</v>
      </c>
      <c r="BE39" s="12">
        <v>1</v>
      </c>
      <c r="BF39" s="24">
        <v>1</v>
      </c>
      <c r="BG39" s="29">
        <v>1</v>
      </c>
      <c r="BH39" s="12">
        <v>1</v>
      </c>
      <c r="BI39" s="12">
        <v>1</v>
      </c>
      <c r="BK39" s="11">
        <v>36</v>
      </c>
      <c r="BL39" s="12"/>
      <c r="BM39" s="12"/>
      <c r="BN39" s="12"/>
      <c r="BP39" s="11">
        <v>36</v>
      </c>
      <c r="BQ39" s="12"/>
      <c r="BR39" s="12"/>
      <c r="BS39" s="12"/>
      <c r="BU39" s="11">
        <v>36</v>
      </c>
      <c r="BV39" s="12"/>
      <c r="BW39" s="12"/>
      <c r="BX39" s="12"/>
      <c r="BZ39" s="11">
        <v>36</v>
      </c>
      <c r="CA39" s="12"/>
      <c r="CC39" s="11">
        <v>36</v>
      </c>
      <c r="CD39" s="12"/>
    </row>
    <row r="40" spans="1:82">
      <c r="A40" s="20" t="s">
        <v>20</v>
      </c>
      <c r="B40" s="20">
        <v>5</v>
      </c>
      <c r="C40" s="23" t="s">
        <v>29</v>
      </c>
      <c r="D40" s="37">
        <f>SUMIF(S$3:S$38,$A40,AM$3:AM43)</f>
        <v>0</v>
      </c>
      <c r="E40" s="59">
        <f>SUMIF(T$3:T$38,$A40,AN$3:AN43)</f>
        <v>0</v>
      </c>
      <c r="F40" s="38">
        <f>SUMIF(U$3:U$38,$A40,AO$3:AO43)</f>
        <v>0</v>
      </c>
      <c r="G40" s="115"/>
      <c r="H40" s="21">
        <v>50</v>
      </c>
      <c r="I40" s="7">
        <f t="shared" si="4"/>
        <v>1</v>
      </c>
      <c r="K40" s="115"/>
      <c r="L40" s="115"/>
      <c r="M40" s="115"/>
      <c r="N40" s="115"/>
      <c r="O40" s="115"/>
      <c r="R40" s="11">
        <v>37</v>
      </c>
      <c r="S40" s="12"/>
      <c r="T40" s="12"/>
      <c r="U40" s="12"/>
      <c r="W40" s="11">
        <v>37</v>
      </c>
      <c r="X40" s="12"/>
      <c r="Y40" s="12"/>
      <c r="Z40" s="12"/>
      <c r="AB40" s="11">
        <v>37</v>
      </c>
      <c r="AC40" s="12"/>
      <c r="AD40" s="12"/>
      <c r="AE40" s="12"/>
      <c r="AG40" s="11">
        <v>37</v>
      </c>
      <c r="AH40" s="12"/>
      <c r="AI40" s="12"/>
      <c r="AJ40" s="12"/>
      <c r="AL40" s="11">
        <v>37</v>
      </c>
      <c r="AM40" s="12"/>
      <c r="AN40" s="12"/>
      <c r="AO40" s="12"/>
      <c r="AQ40" s="11">
        <v>37</v>
      </c>
      <c r="AR40" s="12" t="s">
        <v>15</v>
      </c>
      <c r="AS40" s="12"/>
      <c r="AT40" s="11">
        <v>37</v>
      </c>
      <c r="AU40" s="12">
        <v>0</v>
      </c>
      <c r="AW40" s="11">
        <v>37</v>
      </c>
      <c r="AX40" s="12">
        <v>1</v>
      </c>
      <c r="AY40" s="12">
        <v>1</v>
      </c>
      <c r="AZ40" s="124">
        <v>1</v>
      </c>
      <c r="BA40" s="12">
        <v>1</v>
      </c>
      <c r="BB40" s="12">
        <v>1</v>
      </c>
      <c r="BC40" s="12">
        <v>1</v>
      </c>
      <c r="BD40" s="12">
        <v>1</v>
      </c>
      <c r="BE40" s="12">
        <v>1</v>
      </c>
      <c r="BF40" s="24">
        <v>1</v>
      </c>
      <c r="BG40" s="29">
        <v>1</v>
      </c>
      <c r="BH40" s="12">
        <v>1</v>
      </c>
      <c r="BI40" s="12">
        <v>1</v>
      </c>
      <c r="BK40" s="11">
        <v>37</v>
      </c>
      <c r="BL40" s="12"/>
      <c r="BM40" s="12"/>
      <c r="BN40" s="12"/>
      <c r="BP40" s="11">
        <v>37</v>
      </c>
      <c r="BQ40" s="12"/>
      <c r="BR40" s="12"/>
      <c r="BS40" s="12"/>
      <c r="BU40" s="11">
        <v>37</v>
      </c>
      <c r="BV40" s="12"/>
      <c r="BW40" s="12"/>
      <c r="BX40" s="12"/>
      <c r="BZ40" s="11">
        <v>37</v>
      </c>
      <c r="CA40" s="12"/>
      <c r="CC40" s="11">
        <v>37</v>
      </c>
      <c r="CD40" s="12"/>
    </row>
    <row r="41" spans="1:82">
      <c r="A41" s="21" t="s">
        <v>21</v>
      </c>
      <c r="B41" s="21">
        <v>6</v>
      </c>
      <c r="C41" s="23" t="s">
        <v>26</v>
      </c>
      <c r="D41" s="37">
        <f>SUMIF(S$3:S$38,$A41,AM$3:AM44)</f>
        <v>0</v>
      </c>
      <c r="E41" s="59">
        <f>SUMIF(T$3:T$38,$A41,AN$3:AN44)</f>
        <v>0</v>
      </c>
      <c r="F41" s="38">
        <f>SUMIF(U$3:U$38,$A41,AO$3:AO44)</f>
        <v>0</v>
      </c>
      <c r="G41" s="115"/>
      <c r="H41" s="21">
        <v>100</v>
      </c>
      <c r="I41" s="7">
        <f t="shared" si="4"/>
        <v>1</v>
      </c>
      <c r="K41" s="115"/>
      <c r="L41" s="115"/>
      <c r="M41" s="115"/>
      <c r="N41" s="115"/>
      <c r="O41" s="115"/>
      <c r="R41" s="11">
        <v>38</v>
      </c>
      <c r="S41" s="12"/>
      <c r="T41" s="12"/>
      <c r="U41" s="12"/>
      <c r="W41" s="11">
        <v>38</v>
      </c>
      <c r="X41" s="12"/>
      <c r="Y41" s="12"/>
      <c r="Z41" s="12"/>
      <c r="AB41" s="11">
        <v>38</v>
      </c>
      <c r="AC41" s="12"/>
      <c r="AD41" s="12"/>
      <c r="AE41" s="12"/>
      <c r="AG41" s="11">
        <v>38</v>
      </c>
      <c r="AH41" s="12"/>
      <c r="AI41" s="12"/>
      <c r="AJ41" s="12"/>
      <c r="AL41" s="11">
        <v>38</v>
      </c>
      <c r="AM41" s="12"/>
      <c r="AN41" s="12"/>
      <c r="AO41" s="12"/>
      <c r="AQ41" s="11">
        <v>38</v>
      </c>
      <c r="AR41" s="14" t="s">
        <v>36</v>
      </c>
      <c r="AS41" s="14"/>
      <c r="AT41" s="11">
        <v>38</v>
      </c>
      <c r="AU41" s="12">
        <v>10</v>
      </c>
      <c r="AW41" s="11">
        <v>38</v>
      </c>
      <c r="AX41" s="12">
        <v>1</v>
      </c>
      <c r="AY41" s="12">
        <v>1</v>
      </c>
      <c r="AZ41" s="124">
        <v>1</v>
      </c>
      <c r="BA41" s="12">
        <v>1</v>
      </c>
      <c r="BB41" s="12">
        <v>1</v>
      </c>
      <c r="BC41" s="12">
        <v>1</v>
      </c>
      <c r="BD41" s="12">
        <v>1</v>
      </c>
      <c r="BE41" s="12">
        <v>1</v>
      </c>
      <c r="BF41" s="24">
        <v>1</v>
      </c>
      <c r="BG41" s="29">
        <v>1</v>
      </c>
      <c r="BH41" s="12">
        <v>1</v>
      </c>
      <c r="BI41" s="12">
        <v>1</v>
      </c>
      <c r="BK41" s="11">
        <v>38</v>
      </c>
      <c r="BL41" s="12"/>
      <c r="BM41" s="12"/>
      <c r="BN41" s="12"/>
      <c r="BP41" s="11">
        <v>38</v>
      </c>
      <c r="BQ41" s="12"/>
      <c r="BR41" s="12"/>
      <c r="BS41" s="12"/>
      <c r="BU41" s="11">
        <v>38</v>
      </c>
      <c r="BV41" s="12"/>
      <c r="BW41" s="12"/>
      <c r="BX41" s="12"/>
      <c r="BZ41" s="11">
        <v>38</v>
      </c>
      <c r="CA41" s="12"/>
      <c r="CC41" s="11">
        <v>38</v>
      </c>
      <c r="CD41" s="12"/>
    </row>
    <row r="42" spans="1:82">
      <c r="A42" s="20" t="s">
        <v>22</v>
      </c>
      <c r="B42" s="20">
        <v>7</v>
      </c>
      <c r="C42" s="5" t="s">
        <v>27</v>
      </c>
      <c r="D42" s="37">
        <f>SUMIF(S$3:S$38,$A42,AM$3:AM45)</f>
        <v>0</v>
      </c>
      <c r="E42" s="59">
        <f>SUMIF(T$3:T$38,$A42,AN$3:AN45)</f>
        <v>0</v>
      </c>
      <c r="F42" s="38">
        <f>SUMIF(U$3:U$38,$A42,AO$3:AO45)</f>
        <v>0</v>
      </c>
      <c r="H42" s="22">
        <v>200</v>
      </c>
      <c r="I42" s="96">
        <f t="shared" si="4"/>
        <v>1</v>
      </c>
      <c r="R42" s="11">
        <v>39</v>
      </c>
      <c r="S42" s="12"/>
      <c r="T42" s="12"/>
      <c r="U42" s="12"/>
      <c r="W42" s="11">
        <v>39</v>
      </c>
      <c r="X42" s="12"/>
      <c r="Y42" s="12"/>
      <c r="Z42" s="12"/>
      <c r="AB42" s="11">
        <v>39</v>
      </c>
      <c r="AC42" s="12"/>
      <c r="AD42" s="12"/>
      <c r="AE42" s="12"/>
      <c r="AG42" s="11">
        <v>39</v>
      </c>
      <c r="AH42" s="12"/>
      <c r="AI42" s="12"/>
      <c r="AJ42" s="12"/>
      <c r="AL42" s="11">
        <v>39</v>
      </c>
      <c r="AM42" s="12"/>
      <c r="AN42" s="12"/>
      <c r="AO42" s="12"/>
      <c r="AQ42" s="11">
        <v>39</v>
      </c>
      <c r="AR42" s="12" t="s">
        <v>15</v>
      </c>
      <c r="AS42" s="12"/>
      <c r="AT42" s="11">
        <v>39</v>
      </c>
      <c r="AU42" s="12">
        <v>0</v>
      </c>
      <c r="AW42" s="11">
        <v>39</v>
      </c>
      <c r="AX42" s="12">
        <v>1</v>
      </c>
      <c r="AY42" s="12">
        <v>1</v>
      </c>
      <c r="AZ42" s="124">
        <v>1</v>
      </c>
      <c r="BA42" s="12">
        <v>1</v>
      </c>
      <c r="BB42" s="12">
        <v>1</v>
      </c>
      <c r="BC42" s="12">
        <v>1</v>
      </c>
      <c r="BD42" s="12">
        <v>1</v>
      </c>
      <c r="BE42" s="12">
        <v>1</v>
      </c>
      <c r="BF42" s="24">
        <v>1</v>
      </c>
      <c r="BG42" s="29">
        <v>1</v>
      </c>
      <c r="BH42" s="12">
        <v>1</v>
      </c>
      <c r="BI42" s="12">
        <v>1</v>
      </c>
      <c r="BK42" s="11">
        <v>39</v>
      </c>
      <c r="BL42" s="12"/>
      <c r="BM42" s="12"/>
      <c r="BN42" s="12"/>
      <c r="BP42" s="11">
        <v>39</v>
      </c>
      <c r="BQ42" s="12"/>
      <c r="BR42" s="12"/>
      <c r="BS42" s="12"/>
      <c r="BU42" s="11">
        <v>39</v>
      </c>
      <c r="BV42" s="12"/>
      <c r="BW42" s="12"/>
      <c r="BX42" s="12"/>
      <c r="BZ42" s="11">
        <v>39</v>
      </c>
      <c r="CA42" s="12"/>
      <c r="CC42" s="11">
        <v>39</v>
      </c>
      <c r="CD42" s="12"/>
    </row>
    <row r="43" spans="1:82">
      <c r="A43" s="20" t="s">
        <v>23</v>
      </c>
      <c r="B43" s="20">
        <v>8</v>
      </c>
      <c r="C43" s="5" t="s">
        <v>28</v>
      </c>
      <c r="D43" s="37">
        <f>SUMIF(S$3:S$38,$A43,AM$3:AM46)</f>
        <v>0</v>
      </c>
      <c r="E43" s="59">
        <f>SUMIF(T$3:T$38,$A43,AN$3:AN46)</f>
        <v>0</v>
      </c>
      <c r="F43" s="38">
        <f>SUMIF(U$3:U$38,$A43,AO$3:AO46)</f>
        <v>0</v>
      </c>
      <c r="R43" s="11">
        <v>40</v>
      </c>
      <c r="S43" s="12"/>
      <c r="T43" s="12"/>
      <c r="U43" s="12"/>
      <c r="W43" s="11">
        <v>40</v>
      </c>
      <c r="X43" s="12"/>
      <c r="Y43" s="12"/>
      <c r="Z43" s="12"/>
      <c r="AB43" s="11">
        <v>40</v>
      </c>
      <c r="AC43" s="12"/>
      <c r="AD43" s="12"/>
      <c r="AE43" s="12"/>
      <c r="AG43" s="11">
        <v>40</v>
      </c>
      <c r="AH43" s="12"/>
      <c r="AI43" s="12"/>
      <c r="AJ43" s="12"/>
      <c r="AL43" s="11">
        <v>40</v>
      </c>
      <c r="AM43" s="12"/>
      <c r="AN43" s="12"/>
      <c r="AO43" s="12"/>
      <c r="AQ43" s="11">
        <v>40</v>
      </c>
      <c r="AR43" s="14"/>
      <c r="AS43" s="14"/>
      <c r="AT43" s="11">
        <v>40</v>
      </c>
      <c r="AU43" s="12"/>
      <c r="AW43" s="11">
        <v>40</v>
      </c>
      <c r="AX43" s="12"/>
      <c r="AY43" s="12"/>
      <c r="AZ43" s="124"/>
      <c r="BA43" s="12"/>
      <c r="BB43" s="12"/>
      <c r="BC43" s="12"/>
      <c r="BD43" s="12"/>
      <c r="BE43" s="12"/>
      <c r="BF43" s="24"/>
      <c r="BG43" s="29"/>
      <c r="BH43" s="12"/>
      <c r="BI43" s="12"/>
      <c r="BK43" s="11">
        <v>40</v>
      </c>
      <c r="BL43" s="12"/>
      <c r="BM43" s="12"/>
      <c r="BN43" s="12"/>
      <c r="BP43" s="11">
        <v>40</v>
      </c>
      <c r="BQ43" s="12"/>
      <c r="BR43" s="12"/>
      <c r="BS43" s="12"/>
      <c r="BU43" s="11">
        <v>40</v>
      </c>
      <c r="BV43" s="12"/>
      <c r="BW43" s="12"/>
      <c r="BX43" s="12"/>
      <c r="BZ43" s="11">
        <v>40</v>
      </c>
      <c r="CA43" s="12"/>
      <c r="CC43" s="11">
        <v>40</v>
      </c>
      <c r="CD43" s="12"/>
    </row>
    <row r="44" spans="1:82">
      <c r="A44" s="20" t="s">
        <v>24</v>
      </c>
      <c r="B44" s="20">
        <v>9</v>
      </c>
      <c r="C44" s="5" t="s">
        <v>16</v>
      </c>
      <c r="D44" s="37">
        <f>SUMIF(S$3:S$38,$A44,AM$3:AM47)</f>
        <v>0</v>
      </c>
      <c r="E44" s="59">
        <f>SUMIF(T$3:T$38,$A44,AN$3:AN47)</f>
        <v>0</v>
      </c>
      <c r="F44" s="38">
        <f>SUMIF(U$3:U$38,$A44,AO$3:AO47)</f>
        <v>0</v>
      </c>
      <c r="R44" s="11">
        <v>41</v>
      </c>
      <c r="S44" s="12"/>
      <c r="T44" s="12"/>
      <c r="U44" s="12"/>
      <c r="W44" s="11">
        <v>41</v>
      </c>
      <c r="X44" s="12"/>
      <c r="Y44" s="12"/>
      <c r="Z44" s="12"/>
      <c r="AB44" s="11">
        <v>41</v>
      </c>
      <c r="AC44" s="12"/>
      <c r="AD44" s="12"/>
      <c r="AE44" s="12"/>
      <c r="AG44" s="11">
        <v>41</v>
      </c>
      <c r="AH44" s="12"/>
      <c r="AI44" s="12"/>
      <c r="AJ44" s="12"/>
      <c r="AL44" s="11">
        <v>41</v>
      </c>
      <c r="AM44" s="12"/>
      <c r="AN44" s="12"/>
      <c r="AO44" s="12"/>
      <c r="AQ44" s="11">
        <v>41</v>
      </c>
      <c r="AR44" s="12"/>
      <c r="AS44" s="12"/>
      <c r="AT44" s="11">
        <v>41</v>
      </c>
      <c r="AU44" s="12"/>
      <c r="AW44" s="11">
        <v>41</v>
      </c>
      <c r="AX44" s="12"/>
      <c r="AY44" s="12"/>
      <c r="AZ44" s="124"/>
      <c r="BA44" s="12"/>
      <c r="BB44" s="12"/>
      <c r="BC44" s="12"/>
      <c r="BD44" s="12"/>
      <c r="BE44" s="12"/>
      <c r="BF44" s="24"/>
      <c r="BG44" s="29"/>
      <c r="BH44" s="12"/>
      <c r="BI44" s="12"/>
      <c r="BK44" s="11">
        <v>41</v>
      </c>
      <c r="BL44" s="12"/>
      <c r="BM44" s="12"/>
      <c r="BN44" s="12"/>
      <c r="BP44" s="11">
        <v>41</v>
      </c>
      <c r="BQ44" s="12"/>
      <c r="BR44" s="12"/>
      <c r="BS44" s="12"/>
      <c r="BU44" s="11">
        <v>41</v>
      </c>
      <c r="BV44" s="12"/>
      <c r="BW44" s="12"/>
      <c r="BX44" s="12"/>
      <c r="BZ44" s="11">
        <v>41</v>
      </c>
      <c r="CA44" s="12"/>
      <c r="CC44" s="11">
        <v>41</v>
      </c>
      <c r="CD44" s="12"/>
    </row>
    <row r="45" spans="1:82">
      <c r="A45" s="21" t="s">
        <v>35</v>
      </c>
      <c r="B45" s="21">
        <v>10</v>
      </c>
      <c r="C45" s="5" t="s">
        <v>37</v>
      </c>
      <c r="D45" s="37">
        <f>SUMIF(S$3:S$38,$A45,AM$3:AM48)</f>
        <v>0</v>
      </c>
      <c r="E45" s="59">
        <f>SUMIF(T$3:T$38,$A45,AN$3:AN48)</f>
        <v>0</v>
      </c>
      <c r="F45" s="38">
        <f>SUMIF(U$3:U$38,$A45,AO$3:AO48)</f>
        <v>0</v>
      </c>
      <c r="R45" s="11">
        <v>42</v>
      </c>
      <c r="S45" s="12"/>
      <c r="T45" s="12"/>
      <c r="U45" s="12"/>
      <c r="W45" s="11">
        <v>42</v>
      </c>
      <c r="X45" s="12"/>
      <c r="Y45" s="12"/>
      <c r="Z45" s="12"/>
      <c r="AB45" s="11">
        <v>42</v>
      </c>
      <c r="AC45" s="12"/>
      <c r="AD45" s="12"/>
      <c r="AE45" s="12"/>
      <c r="AG45" s="11">
        <v>42</v>
      </c>
      <c r="AH45" s="12"/>
      <c r="AI45" s="12"/>
      <c r="AJ45" s="12"/>
      <c r="AL45" s="11">
        <v>42</v>
      </c>
      <c r="AM45" s="12"/>
      <c r="AN45" s="12"/>
      <c r="AO45" s="12"/>
      <c r="AQ45" s="11">
        <v>42</v>
      </c>
      <c r="AR45" s="14"/>
      <c r="AS45" s="14"/>
      <c r="AT45" s="11">
        <v>42</v>
      </c>
      <c r="AU45" s="12"/>
      <c r="AW45" s="11">
        <v>42</v>
      </c>
      <c r="AX45" s="12"/>
      <c r="AY45" s="12"/>
      <c r="AZ45" s="124"/>
      <c r="BA45" s="12"/>
      <c r="BB45" s="12"/>
      <c r="BC45" s="12"/>
      <c r="BD45" s="12"/>
      <c r="BE45" s="12"/>
      <c r="BF45" s="24"/>
      <c r="BG45" s="29"/>
      <c r="BH45" s="12"/>
      <c r="BI45" s="12"/>
      <c r="BK45" s="11">
        <v>42</v>
      </c>
      <c r="BL45" s="12"/>
      <c r="BM45" s="12"/>
      <c r="BN45" s="12"/>
      <c r="BP45" s="11">
        <v>42</v>
      </c>
      <c r="BQ45" s="12"/>
      <c r="BR45" s="12"/>
      <c r="BS45" s="12"/>
      <c r="BU45" s="11">
        <v>42</v>
      </c>
      <c r="BV45" s="12"/>
      <c r="BW45" s="12"/>
      <c r="BX45" s="12"/>
      <c r="BZ45" s="11">
        <v>42</v>
      </c>
      <c r="CA45" s="12"/>
      <c r="CC45" s="11">
        <v>42</v>
      </c>
      <c r="CD45" s="12"/>
    </row>
    <row r="46" spans="1:82">
      <c r="A46" s="22" t="s">
        <v>39</v>
      </c>
      <c r="B46" s="22">
        <v>11</v>
      </c>
      <c r="C46" s="17" t="s">
        <v>38</v>
      </c>
      <c r="D46" s="60">
        <f>SUMIF(S$3:S$38,$A46,AM$3:AM49)</f>
        <v>0</v>
      </c>
      <c r="E46" s="39">
        <f>SUMIF(T$3:T$38,$A46,AN$3:AN49)</f>
        <v>0</v>
      </c>
      <c r="F46" s="40">
        <f>SUMIF(U$3:U$38,$A46,AO$3:AO49)</f>
        <v>0</v>
      </c>
      <c r="R46" s="11">
        <v>43</v>
      </c>
      <c r="S46" s="12"/>
      <c r="T46" s="12"/>
      <c r="U46" s="12"/>
      <c r="W46" s="11">
        <v>43</v>
      </c>
      <c r="X46" s="12"/>
      <c r="Y46" s="12"/>
      <c r="Z46" s="12"/>
      <c r="AB46" s="11">
        <v>43</v>
      </c>
      <c r="AC46" s="12"/>
      <c r="AD46" s="12"/>
      <c r="AE46" s="12"/>
      <c r="AG46" s="11">
        <v>43</v>
      </c>
      <c r="AH46" s="12"/>
      <c r="AI46" s="12"/>
      <c r="AJ46" s="12"/>
      <c r="AL46" s="11">
        <v>43</v>
      </c>
      <c r="AM46" s="12"/>
      <c r="AN46" s="12"/>
      <c r="AO46" s="12"/>
      <c r="AQ46" s="11">
        <v>43</v>
      </c>
      <c r="AR46" s="12"/>
      <c r="AS46" s="12"/>
      <c r="AT46" s="11">
        <v>43</v>
      </c>
      <c r="AU46" s="12"/>
      <c r="AW46" s="11">
        <v>43</v>
      </c>
      <c r="AX46" s="12"/>
      <c r="AY46" s="12"/>
      <c r="AZ46" s="124"/>
      <c r="BA46" s="12"/>
      <c r="BB46" s="12"/>
      <c r="BC46" s="12"/>
      <c r="BD46" s="12"/>
      <c r="BE46" s="12"/>
      <c r="BF46" s="24"/>
      <c r="BG46" s="29"/>
      <c r="BH46" s="12"/>
      <c r="BI46" s="12"/>
      <c r="BK46" s="11">
        <v>43</v>
      </c>
      <c r="BL46" s="12"/>
      <c r="BM46" s="12"/>
      <c r="BN46" s="12"/>
      <c r="BP46" s="11">
        <v>43</v>
      </c>
      <c r="BQ46" s="12"/>
      <c r="BR46" s="12"/>
      <c r="BS46" s="12"/>
      <c r="BU46" s="11">
        <v>43</v>
      </c>
      <c r="BV46" s="12"/>
      <c r="BW46" s="12"/>
      <c r="BX46" s="12"/>
      <c r="BZ46" s="11">
        <v>43</v>
      </c>
      <c r="CA46" s="12"/>
      <c r="CC46" s="11">
        <v>43</v>
      </c>
      <c r="CD46" s="12"/>
    </row>
    <row r="47" spans="1:82">
      <c r="D47" s="115">
        <f>SUM(D35:D46)</f>
        <v>36</v>
      </c>
      <c r="E47" s="115">
        <f>SUM(E35:E46)</f>
        <v>36</v>
      </c>
      <c r="F47" s="115">
        <f>SUM(F35:F46)</f>
        <v>36</v>
      </c>
      <c r="R47" s="11">
        <v>44</v>
      </c>
      <c r="S47" s="12"/>
      <c r="T47" s="12"/>
      <c r="U47" s="12"/>
      <c r="W47" s="11">
        <v>44</v>
      </c>
      <c r="X47" s="12"/>
      <c r="Y47" s="12"/>
      <c r="Z47" s="12"/>
      <c r="AB47" s="11">
        <v>44</v>
      </c>
      <c r="AC47" s="12"/>
      <c r="AD47" s="12"/>
      <c r="AE47" s="12"/>
      <c r="AG47" s="11">
        <v>44</v>
      </c>
      <c r="AH47" s="12"/>
      <c r="AI47" s="12"/>
      <c r="AJ47" s="12"/>
      <c r="AL47" s="11">
        <v>44</v>
      </c>
      <c r="AM47" s="12"/>
      <c r="AN47" s="12"/>
      <c r="AO47" s="12"/>
      <c r="AQ47" s="11">
        <v>44</v>
      </c>
      <c r="AR47" s="14"/>
      <c r="AS47" s="14"/>
      <c r="AT47" s="11">
        <v>44</v>
      </c>
      <c r="AU47" s="12"/>
      <c r="AW47" s="11">
        <v>44</v>
      </c>
      <c r="AX47" s="12"/>
      <c r="AY47" s="12"/>
      <c r="AZ47" s="124"/>
      <c r="BA47" s="12"/>
      <c r="BB47" s="12"/>
      <c r="BC47" s="12"/>
      <c r="BD47" s="12"/>
      <c r="BE47" s="12"/>
      <c r="BF47" s="24"/>
      <c r="BG47" s="29"/>
      <c r="BH47" s="12"/>
      <c r="BI47" s="12"/>
      <c r="BK47" s="11">
        <v>44</v>
      </c>
      <c r="BL47" s="12"/>
      <c r="BM47" s="12"/>
      <c r="BN47" s="12"/>
      <c r="BP47" s="11">
        <v>44</v>
      </c>
      <c r="BQ47" s="12"/>
      <c r="BR47" s="12"/>
      <c r="BS47" s="12"/>
      <c r="BU47" s="11">
        <v>44</v>
      </c>
      <c r="BV47" s="12"/>
      <c r="BW47" s="12"/>
      <c r="BX47" s="12"/>
      <c r="BZ47" s="11">
        <v>44</v>
      </c>
      <c r="CA47" s="12"/>
      <c r="CC47" s="11">
        <v>44</v>
      </c>
      <c r="CD47" s="12"/>
    </row>
    <row r="48" spans="1:82">
      <c r="R48" s="11">
        <v>45</v>
      </c>
      <c r="S48" s="12"/>
      <c r="T48" s="12"/>
      <c r="U48" s="12"/>
      <c r="W48" s="11">
        <v>45</v>
      </c>
      <c r="X48" s="12"/>
      <c r="Y48" s="12"/>
      <c r="Z48" s="12"/>
      <c r="AB48" s="11">
        <v>45</v>
      </c>
      <c r="AC48" s="12"/>
      <c r="AD48" s="12"/>
      <c r="AE48" s="12"/>
      <c r="AG48" s="11">
        <v>45</v>
      </c>
      <c r="AH48" s="12"/>
      <c r="AI48" s="12"/>
      <c r="AJ48" s="12"/>
      <c r="AL48" s="11">
        <v>45</v>
      </c>
      <c r="AM48" s="12"/>
      <c r="AN48" s="12"/>
      <c r="AO48" s="12"/>
      <c r="AQ48" s="11">
        <v>45</v>
      </c>
      <c r="AR48" s="12"/>
      <c r="AS48" s="12"/>
      <c r="AT48" s="11">
        <v>45</v>
      </c>
      <c r="AU48" s="12"/>
      <c r="AW48" s="11">
        <v>45</v>
      </c>
      <c r="AX48" s="12"/>
      <c r="AY48" s="12"/>
      <c r="AZ48" s="124"/>
      <c r="BA48" s="12"/>
      <c r="BB48" s="12"/>
      <c r="BC48" s="12"/>
      <c r="BD48" s="12"/>
      <c r="BE48" s="12"/>
      <c r="BF48" s="24"/>
      <c r="BG48" s="29"/>
      <c r="BH48" s="12"/>
      <c r="BI48" s="12"/>
      <c r="BK48" s="11">
        <v>45</v>
      </c>
      <c r="BL48" s="12"/>
      <c r="BM48" s="12"/>
      <c r="BN48" s="12"/>
      <c r="BP48" s="11">
        <v>45</v>
      </c>
      <c r="BQ48" s="12"/>
      <c r="BR48" s="12"/>
      <c r="BS48" s="12"/>
      <c r="BU48" s="11">
        <v>45</v>
      </c>
      <c r="BV48" s="12"/>
      <c r="BW48" s="12"/>
      <c r="BX48" s="12"/>
      <c r="BZ48" s="11">
        <v>45</v>
      </c>
      <c r="CA48" s="12"/>
      <c r="CC48" s="11">
        <v>45</v>
      </c>
      <c r="CD48" s="12"/>
    </row>
    <row r="49" spans="1:82" ht="16.8" thickBot="1">
      <c r="A49" s="31" t="s">
        <v>47</v>
      </c>
      <c r="R49" s="11">
        <v>46</v>
      </c>
      <c r="S49" s="12"/>
      <c r="T49" s="12"/>
      <c r="U49" s="12"/>
      <c r="W49" s="11">
        <v>46</v>
      </c>
      <c r="X49" s="12"/>
      <c r="Y49" s="12"/>
      <c r="Z49" s="12"/>
      <c r="AB49" s="11">
        <v>46</v>
      </c>
      <c r="AC49" s="12"/>
      <c r="AD49" s="12"/>
      <c r="AE49" s="12"/>
      <c r="AG49" s="11">
        <v>46</v>
      </c>
      <c r="AH49" s="12"/>
      <c r="AI49" s="12"/>
      <c r="AJ49" s="12"/>
      <c r="AL49" s="11">
        <v>46</v>
      </c>
      <c r="AM49" s="12"/>
      <c r="AN49" s="12"/>
      <c r="AO49" s="12"/>
      <c r="AQ49" s="11">
        <v>46</v>
      </c>
      <c r="AR49" s="14"/>
      <c r="AS49" s="14"/>
      <c r="AT49" s="11">
        <v>46</v>
      </c>
      <c r="AU49" s="12"/>
      <c r="AW49" s="11">
        <v>46</v>
      </c>
      <c r="AX49" s="12"/>
      <c r="AY49" s="12"/>
      <c r="AZ49" s="124"/>
      <c r="BA49" s="12"/>
      <c r="BB49" s="12"/>
      <c r="BC49" s="12"/>
      <c r="BD49" s="12"/>
      <c r="BE49" s="12"/>
      <c r="BF49" s="24"/>
      <c r="BG49" s="29"/>
      <c r="BH49" s="12"/>
      <c r="BI49" s="12"/>
      <c r="BK49" s="11">
        <v>46</v>
      </c>
      <c r="BL49" s="12"/>
      <c r="BM49" s="12"/>
      <c r="BN49" s="12"/>
      <c r="BP49" s="11">
        <v>46</v>
      </c>
      <c r="BQ49" s="12"/>
      <c r="BR49" s="12"/>
      <c r="BS49" s="12"/>
      <c r="BU49" s="11">
        <v>46</v>
      </c>
      <c r="BV49" s="12"/>
      <c r="BW49" s="12"/>
      <c r="BX49" s="12"/>
      <c r="BZ49" s="11">
        <v>46</v>
      </c>
      <c r="CA49" s="12"/>
      <c r="CC49" s="11">
        <v>46</v>
      </c>
      <c r="CD49" s="12"/>
    </row>
    <row r="50" spans="1:82">
      <c r="A50" s="30" t="s">
        <v>42</v>
      </c>
      <c r="B50" s="1" t="s">
        <v>10</v>
      </c>
      <c r="C50" s="42" t="s">
        <v>11</v>
      </c>
      <c r="D50" s="67" t="s">
        <v>56</v>
      </c>
      <c r="E50" s="52" t="s">
        <v>48</v>
      </c>
      <c r="F50" s="43" t="s">
        <v>49</v>
      </c>
      <c r="G50" s="44" t="s">
        <v>50</v>
      </c>
      <c r="H50" s="44" t="s">
        <v>51</v>
      </c>
      <c r="I50" s="44" t="s">
        <v>52</v>
      </c>
      <c r="J50" s="44" t="s">
        <v>53</v>
      </c>
      <c r="K50" s="44" t="s">
        <v>54</v>
      </c>
      <c r="L50" s="44" t="s">
        <v>55</v>
      </c>
      <c r="M50" s="45" t="s">
        <v>74</v>
      </c>
      <c r="N50" s="35" t="s">
        <v>75</v>
      </c>
      <c r="O50" s="36" t="s">
        <v>76</v>
      </c>
      <c r="R50" s="11">
        <v>47</v>
      </c>
      <c r="S50" s="12"/>
      <c r="T50" s="12"/>
      <c r="U50" s="12"/>
      <c r="W50" s="11">
        <v>47</v>
      </c>
      <c r="X50" s="12"/>
      <c r="Y50" s="12"/>
      <c r="Z50" s="12"/>
      <c r="AB50" s="11">
        <v>47</v>
      </c>
      <c r="AC50" s="12"/>
      <c r="AD50" s="12"/>
      <c r="AE50" s="12"/>
      <c r="AG50" s="11">
        <v>47</v>
      </c>
      <c r="AH50" s="12"/>
      <c r="AI50" s="12"/>
      <c r="AJ50" s="12"/>
      <c r="AL50" s="11">
        <v>47</v>
      </c>
      <c r="AM50" s="12"/>
      <c r="AN50" s="12"/>
      <c r="AO50" s="12"/>
      <c r="AQ50" s="11">
        <v>47</v>
      </c>
      <c r="AR50" s="12"/>
      <c r="AS50" s="12"/>
      <c r="AT50" s="11">
        <v>47</v>
      </c>
      <c r="AU50" s="12"/>
      <c r="AW50" s="11">
        <v>47</v>
      </c>
      <c r="AX50" s="12"/>
      <c r="AY50" s="12"/>
      <c r="AZ50" s="124"/>
      <c r="BA50" s="12"/>
      <c r="BB50" s="12"/>
      <c r="BC50" s="12"/>
      <c r="BD50" s="12"/>
      <c r="BE50" s="12"/>
      <c r="BF50" s="24"/>
      <c r="BG50" s="29"/>
      <c r="BH50" s="12"/>
      <c r="BI50" s="12"/>
      <c r="BK50" s="11">
        <v>47</v>
      </c>
      <c r="BL50" s="12"/>
      <c r="BM50" s="12"/>
      <c r="BN50" s="12"/>
      <c r="BP50" s="11">
        <v>47</v>
      </c>
      <c r="BQ50" s="12"/>
      <c r="BR50" s="12"/>
      <c r="BS50" s="12"/>
      <c r="BU50" s="11">
        <v>47</v>
      </c>
      <c r="BV50" s="12"/>
      <c r="BW50" s="12"/>
      <c r="BX50" s="12"/>
      <c r="BZ50" s="11">
        <v>47</v>
      </c>
      <c r="CA50" s="12"/>
      <c r="CC50" s="11">
        <v>47</v>
      </c>
      <c r="CD50" s="12"/>
    </row>
    <row r="51" spans="1:82">
      <c r="A51" s="1" t="s">
        <v>19</v>
      </c>
      <c r="B51" s="1">
        <v>0</v>
      </c>
      <c r="C51" s="3" t="s">
        <v>25</v>
      </c>
      <c r="D51" s="53">
        <f t="shared" ref="D51:E62" si="5">SUMIF($AR$3:$AR$42,$A51,AX$3:AX$42)</f>
        <v>20</v>
      </c>
      <c r="E51" s="116">
        <f t="shared" si="5"/>
        <v>20</v>
      </c>
      <c r="F51" s="118">
        <f>SUMIF($AR$3:$AR$42,$A51,AZ$3:AZ$42)</f>
        <v>20</v>
      </c>
      <c r="G51" s="3">
        <f t="shared" ref="G51:G62" si="6">SUMIF($AR$3:$AR$42,$A51,BA$3:BA$42)</f>
        <v>20</v>
      </c>
      <c r="H51" s="116">
        <f t="shared" ref="H51:H62" si="7">SUMIF($AR$3:$AR$42,$A51,BB$3:BB$42)</f>
        <v>20</v>
      </c>
      <c r="I51" s="116">
        <f t="shared" ref="I51:I62" si="8">SUMIF($AR$3:$AR$42,$A51,BC$3:BC$42)</f>
        <v>20</v>
      </c>
      <c r="J51" s="116">
        <f t="shared" ref="J51:J62" si="9">SUMIF($AR$3:$AR$42,$A51,BD$3:BD$42)</f>
        <v>20</v>
      </c>
      <c r="K51" s="116">
        <f t="shared" ref="K51:K62" si="10">SUMIF($AR$3:$AR$42,$A51,BE$3:BE$42)</f>
        <v>20</v>
      </c>
      <c r="L51" s="116">
        <f t="shared" ref="L51:L62" si="11">SUMIF($AR$3:$AR$42,$A51,BF$3:BF$42)</f>
        <v>20</v>
      </c>
      <c r="M51" s="46">
        <f t="shared" ref="M51:M62" si="12">SUMIF($AR$3:$AR$42,$A51,BG$3:BG$42)</f>
        <v>20</v>
      </c>
      <c r="N51" s="116">
        <f t="shared" ref="N51:N62" si="13">SUMIF($AR$3:$AR$42,$A51,BH$3:BH$42)</f>
        <v>20</v>
      </c>
      <c r="O51" s="4">
        <f t="shared" ref="O51:O62" si="14">SUMIF($AR$3:$AR$42,$A51,BI$3:BI$42)</f>
        <v>20</v>
      </c>
      <c r="R51" s="11">
        <v>48</v>
      </c>
      <c r="S51" s="12"/>
      <c r="T51" s="12"/>
      <c r="U51" s="12"/>
      <c r="W51" s="11">
        <v>48</v>
      </c>
      <c r="X51" s="12"/>
      <c r="Y51" s="12"/>
      <c r="Z51" s="12"/>
      <c r="AB51" s="11">
        <v>48</v>
      </c>
      <c r="AC51" s="12"/>
      <c r="AD51" s="12"/>
      <c r="AE51" s="12"/>
      <c r="AG51" s="11">
        <v>48</v>
      </c>
      <c r="AH51" s="12"/>
      <c r="AI51" s="12"/>
      <c r="AJ51" s="12"/>
      <c r="AL51" s="11">
        <v>48</v>
      </c>
      <c r="AM51" s="12"/>
      <c r="AN51" s="12"/>
      <c r="AO51" s="12"/>
      <c r="AQ51" s="11">
        <v>48</v>
      </c>
      <c r="AR51" s="12"/>
      <c r="AS51" s="12"/>
      <c r="AT51" s="11">
        <v>48</v>
      </c>
      <c r="AU51" s="12"/>
      <c r="AW51" s="11">
        <v>48</v>
      </c>
      <c r="AX51" s="12"/>
      <c r="AY51" s="12"/>
      <c r="AZ51" s="124"/>
      <c r="BA51" s="12"/>
      <c r="BB51" s="12"/>
      <c r="BC51" s="12"/>
      <c r="BD51" s="12"/>
      <c r="BE51" s="12"/>
      <c r="BF51" s="24"/>
      <c r="BG51" s="29"/>
      <c r="BH51" s="12"/>
      <c r="BI51" s="12"/>
      <c r="BK51" s="11">
        <v>48</v>
      </c>
      <c r="BL51" s="12"/>
      <c r="BM51" s="12"/>
      <c r="BN51" s="12"/>
      <c r="BP51" s="11">
        <v>48</v>
      </c>
      <c r="BQ51" s="12"/>
      <c r="BR51" s="12"/>
      <c r="BS51" s="12"/>
      <c r="BU51" s="11">
        <v>48</v>
      </c>
      <c r="BV51" s="12"/>
      <c r="BW51" s="12"/>
      <c r="BX51" s="12"/>
      <c r="BZ51" s="11">
        <v>48</v>
      </c>
      <c r="CA51" s="12"/>
      <c r="CC51" s="11">
        <v>48</v>
      </c>
      <c r="CD51" s="12"/>
    </row>
    <row r="52" spans="1:82">
      <c r="A52" s="20">
        <v>0</v>
      </c>
      <c r="B52" s="20">
        <v>1</v>
      </c>
      <c r="C52" s="5">
        <v>0</v>
      </c>
      <c r="D52" s="54">
        <f t="shared" si="5"/>
        <v>0</v>
      </c>
      <c r="E52" s="59">
        <f t="shared" si="5"/>
        <v>0</v>
      </c>
      <c r="F52" s="38">
        <f t="shared" ref="F52:F62" si="15">SUMIF($AR$3:$AR$42,$A52,AZ$3:AZ$42)</f>
        <v>0</v>
      </c>
      <c r="G52" s="37">
        <f t="shared" si="6"/>
        <v>0</v>
      </c>
      <c r="H52" s="59">
        <f t="shared" si="7"/>
        <v>0</v>
      </c>
      <c r="I52" s="59">
        <f t="shared" si="8"/>
        <v>0</v>
      </c>
      <c r="J52" s="59">
        <f t="shared" si="9"/>
        <v>0</v>
      </c>
      <c r="K52" s="59">
        <f t="shared" si="10"/>
        <v>0</v>
      </c>
      <c r="L52" s="59">
        <f t="shared" si="11"/>
        <v>0</v>
      </c>
      <c r="M52" s="47">
        <f t="shared" si="12"/>
        <v>0</v>
      </c>
      <c r="N52" s="59">
        <f t="shared" si="13"/>
        <v>0</v>
      </c>
      <c r="O52" s="38">
        <f t="shared" si="14"/>
        <v>0</v>
      </c>
      <c r="R52" s="11">
        <v>49</v>
      </c>
      <c r="S52" s="12"/>
      <c r="T52" s="12"/>
      <c r="U52" s="12"/>
      <c r="W52" s="11">
        <v>49</v>
      </c>
      <c r="X52" s="12"/>
      <c r="Y52" s="12"/>
      <c r="Z52" s="12"/>
      <c r="AB52" s="11">
        <v>49</v>
      </c>
      <c r="AC52" s="12"/>
      <c r="AD52" s="12"/>
      <c r="AE52" s="12"/>
      <c r="AG52" s="11">
        <v>49</v>
      </c>
      <c r="AH52" s="12"/>
      <c r="AI52" s="12"/>
      <c r="AJ52" s="12"/>
      <c r="AL52" s="11">
        <v>49</v>
      </c>
      <c r="AM52" s="12"/>
      <c r="AN52" s="12"/>
      <c r="AO52" s="12"/>
      <c r="AQ52" s="11">
        <v>49</v>
      </c>
      <c r="AR52" s="12"/>
      <c r="AS52" s="12"/>
      <c r="AT52" s="11">
        <v>49</v>
      </c>
      <c r="AU52" s="12"/>
      <c r="AW52" s="11">
        <v>49</v>
      </c>
      <c r="AX52" s="12"/>
      <c r="AY52" s="12"/>
      <c r="AZ52" s="124"/>
      <c r="BA52" s="12"/>
      <c r="BB52" s="12"/>
      <c r="BC52" s="12"/>
      <c r="BD52" s="12"/>
      <c r="BE52" s="12"/>
      <c r="BF52" s="24"/>
      <c r="BG52" s="29"/>
      <c r="BH52" s="12"/>
      <c r="BI52" s="12"/>
      <c r="BK52" s="11">
        <v>49</v>
      </c>
      <c r="BL52" s="12"/>
      <c r="BM52" s="12"/>
      <c r="BN52" s="12"/>
      <c r="BP52" s="11">
        <v>49</v>
      </c>
      <c r="BQ52" s="12"/>
      <c r="BR52" s="12"/>
      <c r="BS52" s="12"/>
      <c r="BU52" s="11">
        <v>49</v>
      </c>
      <c r="BV52" s="12"/>
      <c r="BW52" s="12"/>
      <c r="BX52" s="12"/>
      <c r="BZ52" s="11">
        <v>49</v>
      </c>
      <c r="CA52" s="12"/>
      <c r="CC52" s="11">
        <v>49</v>
      </c>
      <c r="CD52" s="12"/>
    </row>
    <row r="53" spans="1:82">
      <c r="A53" s="20">
        <v>1</v>
      </c>
      <c r="B53" s="20">
        <v>2</v>
      </c>
      <c r="C53" s="5">
        <v>1</v>
      </c>
      <c r="D53" s="54">
        <f t="shared" si="5"/>
        <v>0</v>
      </c>
      <c r="E53" s="59">
        <f t="shared" si="5"/>
        <v>0</v>
      </c>
      <c r="F53" s="38">
        <f t="shared" si="15"/>
        <v>0</v>
      </c>
      <c r="G53" s="37">
        <f t="shared" si="6"/>
        <v>0</v>
      </c>
      <c r="H53" s="59">
        <f t="shared" si="7"/>
        <v>0</v>
      </c>
      <c r="I53" s="59">
        <f t="shared" si="8"/>
        <v>0</v>
      </c>
      <c r="J53" s="59">
        <f t="shared" si="9"/>
        <v>0</v>
      </c>
      <c r="K53" s="59">
        <f t="shared" si="10"/>
        <v>0</v>
      </c>
      <c r="L53" s="59">
        <f t="shared" si="11"/>
        <v>0</v>
      </c>
      <c r="M53" s="47">
        <f t="shared" si="12"/>
        <v>0</v>
      </c>
      <c r="N53" s="59">
        <f t="shared" si="13"/>
        <v>0</v>
      </c>
      <c r="O53" s="38">
        <f t="shared" si="14"/>
        <v>0</v>
      </c>
      <c r="R53" s="11">
        <v>50</v>
      </c>
      <c r="S53" s="12"/>
      <c r="T53" s="12"/>
      <c r="U53" s="12"/>
      <c r="W53" s="11">
        <v>50</v>
      </c>
      <c r="X53" s="12"/>
      <c r="Y53" s="12"/>
      <c r="Z53" s="12"/>
      <c r="AB53" s="11">
        <v>50</v>
      </c>
      <c r="AC53" s="12"/>
      <c r="AD53" s="12"/>
      <c r="AE53" s="12"/>
      <c r="AG53" s="11">
        <v>50</v>
      </c>
      <c r="AH53" s="12"/>
      <c r="AI53" s="12"/>
      <c r="AJ53" s="12"/>
      <c r="AL53" s="11">
        <v>50</v>
      </c>
      <c r="AM53" s="12"/>
      <c r="AN53" s="12"/>
      <c r="AO53" s="12"/>
      <c r="AQ53" s="11">
        <v>50</v>
      </c>
      <c r="AR53" s="12"/>
      <c r="AS53" s="12"/>
      <c r="AT53" s="11">
        <v>50</v>
      </c>
      <c r="AU53" s="12"/>
      <c r="AW53" s="11">
        <v>50</v>
      </c>
      <c r="AX53" s="12"/>
      <c r="AY53" s="12"/>
      <c r="AZ53" s="124"/>
      <c r="BA53" s="12"/>
      <c r="BB53" s="12"/>
      <c r="BC53" s="12"/>
      <c r="BD53" s="12"/>
      <c r="BE53" s="12"/>
      <c r="BF53" s="24"/>
      <c r="BG53" s="29"/>
      <c r="BH53" s="12"/>
      <c r="BI53" s="12"/>
      <c r="BK53" s="11">
        <v>50</v>
      </c>
      <c r="BL53" s="12"/>
      <c r="BM53" s="12"/>
      <c r="BN53" s="12"/>
      <c r="BP53" s="11">
        <v>50</v>
      </c>
      <c r="BQ53" s="12"/>
      <c r="BR53" s="12"/>
      <c r="BS53" s="12"/>
      <c r="BU53" s="11">
        <v>50</v>
      </c>
      <c r="BV53" s="12"/>
      <c r="BW53" s="12"/>
      <c r="BX53" s="12"/>
      <c r="BZ53" s="11">
        <v>50</v>
      </c>
      <c r="CA53" s="12"/>
      <c r="CC53" s="11">
        <v>50</v>
      </c>
      <c r="CD53" s="12"/>
    </row>
    <row r="54" spans="1:82">
      <c r="A54" s="21">
        <v>5</v>
      </c>
      <c r="B54" s="21">
        <v>3</v>
      </c>
      <c r="C54" s="23">
        <v>5</v>
      </c>
      <c r="D54" s="54">
        <f t="shared" si="5"/>
        <v>0</v>
      </c>
      <c r="E54" s="59">
        <f t="shared" si="5"/>
        <v>0</v>
      </c>
      <c r="F54" s="38">
        <f t="shared" si="15"/>
        <v>0</v>
      </c>
      <c r="G54" s="37">
        <f t="shared" si="6"/>
        <v>0</v>
      </c>
      <c r="H54" s="59">
        <f t="shared" si="7"/>
        <v>0</v>
      </c>
      <c r="I54" s="59">
        <f t="shared" si="8"/>
        <v>0</v>
      </c>
      <c r="J54" s="59">
        <f t="shared" si="9"/>
        <v>0</v>
      </c>
      <c r="K54" s="59">
        <f t="shared" si="10"/>
        <v>0</v>
      </c>
      <c r="L54" s="59">
        <f t="shared" si="11"/>
        <v>0</v>
      </c>
      <c r="M54" s="47">
        <f t="shared" si="12"/>
        <v>0</v>
      </c>
      <c r="N54" s="59">
        <f t="shared" si="13"/>
        <v>0</v>
      </c>
      <c r="O54" s="38">
        <f t="shared" si="14"/>
        <v>0</v>
      </c>
      <c r="R54" s="11">
        <v>51</v>
      </c>
      <c r="S54" s="12"/>
      <c r="T54" s="12"/>
      <c r="U54" s="12"/>
      <c r="W54" s="11">
        <v>51</v>
      </c>
      <c r="X54" s="12"/>
      <c r="Y54" s="12"/>
      <c r="Z54" s="12"/>
      <c r="AB54" s="11">
        <v>51</v>
      </c>
      <c r="AC54" s="12"/>
      <c r="AD54" s="12"/>
      <c r="AE54" s="12"/>
      <c r="AG54" s="11">
        <v>51</v>
      </c>
      <c r="AH54" s="12"/>
      <c r="AI54" s="12"/>
      <c r="AJ54" s="12"/>
      <c r="AL54" s="11">
        <v>51</v>
      </c>
      <c r="AM54" s="12"/>
      <c r="AN54" s="12"/>
      <c r="AO54" s="12"/>
      <c r="AQ54" s="11">
        <v>51</v>
      </c>
      <c r="AR54" s="12"/>
      <c r="AS54" s="12"/>
      <c r="AT54" s="11">
        <v>51</v>
      </c>
      <c r="AU54" s="12"/>
      <c r="AW54" s="11">
        <v>51</v>
      </c>
      <c r="AX54" s="12"/>
      <c r="AY54" s="12"/>
      <c r="AZ54" s="124"/>
      <c r="BA54" s="12"/>
      <c r="BB54" s="12"/>
      <c r="BC54" s="12"/>
      <c r="BD54" s="12"/>
      <c r="BE54" s="12"/>
      <c r="BF54" s="24"/>
      <c r="BG54" s="29"/>
      <c r="BH54" s="12"/>
      <c r="BI54" s="12"/>
      <c r="BK54" s="11">
        <v>51</v>
      </c>
      <c r="BL54" s="12"/>
      <c r="BM54" s="12"/>
      <c r="BN54" s="12"/>
      <c r="BP54" s="11">
        <v>51</v>
      </c>
      <c r="BQ54" s="12"/>
      <c r="BR54" s="12"/>
      <c r="BS54" s="12"/>
      <c r="BU54" s="11">
        <v>51</v>
      </c>
      <c r="BV54" s="12"/>
      <c r="BW54" s="12"/>
      <c r="BX54" s="12"/>
      <c r="BZ54" s="11">
        <v>51</v>
      </c>
      <c r="CA54" s="12"/>
      <c r="CC54" s="11">
        <v>51</v>
      </c>
      <c r="CD54" s="12"/>
    </row>
    <row r="55" spans="1:82">
      <c r="A55" s="21">
        <v>10</v>
      </c>
      <c r="B55" s="21">
        <v>4</v>
      </c>
      <c r="C55" s="23">
        <v>10</v>
      </c>
      <c r="D55" s="54">
        <f t="shared" si="5"/>
        <v>0</v>
      </c>
      <c r="E55" s="59">
        <f t="shared" si="5"/>
        <v>0</v>
      </c>
      <c r="F55" s="38">
        <f t="shared" si="15"/>
        <v>0</v>
      </c>
      <c r="G55" s="37">
        <f t="shared" si="6"/>
        <v>0</v>
      </c>
      <c r="H55" s="59">
        <f t="shared" si="7"/>
        <v>0</v>
      </c>
      <c r="I55" s="59">
        <f t="shared" si="8"/>
        <v>0</v>
      </c>
      <c r="J55" s="59">
        <f t="shared" si="9"/>
        <v>0</v>
      </c>
      <c r="K55" s="59">
        <f t="shared" si="10"/>
        <v>0</v>
      </c>
      <c r="L55" s="59">
        <f t="shared" si="11"/>
        <v>0</v>
      </c>
      <c r="M55" s="47">
        <f t="shared" si="12"/>
        <v>0</v>
      </c>
      <c r="N55" s="59">
        <f t="shared" si="13"/>
        <v>0</v>
      </c>
      <c r="O55" s="38">
        <f t="shared" si="14"/>
        <v>0</v>
      </c>
      <c r="R55" s="11">
        <v>52</v>
      </c>
      <c r="S55" s="12"/>
      <c r="T55" s="12"/>
      <c r="U55" s="12"/>
      <c r="W55" s="11">
        <v>52</v>
      </c>
      <c r="X55" s="12"/>
      <c r="Y55" s="12"/>
      <c r="Z55" s="12"/>
      <c r="AB55" s="11">
        <v>52</v>
      </c>
      <c r="AC55" s="12"/>
      <c r="AD55" s="12"/>
      <c r="AE55" s="12"/>
      <c r="AG55" s="11">
        <v>52</v>
      </c>
      <c r="AH55" s="12"/>
      <c r="AI55" s="12"/>
      <c r="AJ55" s="12"/>
      <c r="AL55" s="11">
        <v>52</v>
      </c>
      <c r="AM55" s="12"/>
      <c r="AN55" s="12"/>
      <c r="AO55" s="12"/>
      <c r="AQ55" s="11">
        <v>52</v>
      </c>
      <c r="AR55" s="12"/>
      <c r="AS55" s="12"/>
      <c r="AT55" s="11">
        <v>52</v>
      </c>
      <c r="AU55" s="12"/>
      <c r="AW55" s="11">
        <v>52</v>
      </c>
      <c r="AX55" s="12"/>
      <c r="AY55" s="12"/>
      <c r="AZ55" s="124"/>
      <c r="BA55" s="12"/>
      <c r="BB55" s="12"/>
      <c r="BC55" s="12"/>
      <c r="BD55" s="12"/>
      <c r="BE55" s="12"/>
      <c r="BF55" s="24"/>
      <c r="BG55" s="29"/>
      <c r="BH55" s="12"/>
      <c r="BI55" s="12"/>
      <c r="BK55" s="11">
        <v>52</v>
      </c>
      <c r="BL55" s="12"/>
      <c r="BM55" s="12"/>
      <c r="BN55" s="12"/>
      <c r="BP55" s="11">
        <v>52</v>
      </c>
      <c r="BQ55" s="12"/>
      <c r="BR55" s="12"/>
      <c r="BS55" s="12"/>
      <c r="BU55" s="11">
        <v>52</v>
      </c>
      <c r="BV55" s="12"/>
      <c r="BW55" s="12"/>
      <c r="BX55" s="12"/>
      <c r="BZ55" s="11">
        <v>52</v>
      </c>
      <c r="CA55" s="12"/>
      <c r="CC55" s="11">
        <v>52</v>
      </c>
      <c r="CD55" s="12"/>
    </row>
    <row r="56" spans="1:82">
      <c r="A56" s="20" t="s">
        <v>20</v>
      </c>
      <c r="B56" s="20">
        <v>5</v>
      </c>
      <c r="C56" s="23" t="s">
        <v>29</v>
      </c>
      <c r="D56" s="54">
        <f t="shared" si="5"/>
        <v>0</v>
      </c>
      <c r="E56" s="59">
        <f t="shared" si="5"/>
        <v>0</v>
      </c>
      <c r="F56" s="38">
        <f t="shared" si="15"/>
        <v>0</v>
      </c>
      <c r="G56" s="37">
        <f t="shared" si="6"/>
        <v>0</v>
      </c>
      <c r="H56" s="59">
        <f t="shared" si="7"/>
        <v>0</v>
      </c>
      <c r="I56" s="59">
        <f t="shared" si="8"/>
        <v>0</v>
      </c>
      <c r="J56" s="59">
        <f t="shared" si="9"/>
        <v>0</v>
      </c>
      <c r="K56" s="59">
        <f t="shared" si="10"/>
        <v>0</v>
      </c>
      <c r="L56" s="59">
        <f t="shared" si="11"/>
        <v>0</v>
      </c>
      <c r="M56" s="47">
        <f t="shared" si="12"/>
        <v>0</v>
      </c>
      <c r="N56" s="59">
        <f t="shared" si="13"/>
        <v>0</v>
      </c>
      <c r="O56" s="38">
        <f t="shared" si="14"/>
        <v>0</v>
      </c>
      <c r="R56" s="11">
        <v>53</v>
      </c>
      <c r="S56" s="12"/>
      <c r="T56" s="12"/>
      <c r="U56" s="12"/>
      <c r="W56" s="11">
        <v>53</v>
      </c>
      <c r="X56" s="12"/>
      <c r="Y56" s="12"/>
      <c r="Z56" s="12"/>
      <c r="AB56" s="11">
        <v>53</v>
      </c>
      <c r="AC56" s="12"/>
      <c r="AD56" s="12"/>
      <c r="AE56" s="12"/>
      <c r="AG56" s="11">
        <v>53</v>
      </c>
      <c r="AH56" s="12"/>
      <c r="AI56" s="12"/>
      <c r="AJ56" s="12"/>
      <c r="AL56" s="11">
        <v>53</v>
      </c>
      <c r="AM56" s="12"/>
      <c r="AN56" s="12"/>
      <c r="AO56" s="12"/>
      <c r="AQ56" s="11">
        <v>53</v>
      </c>
      <c r="AR56" s="12"/>
      <c r="AS56" s="12"/>
      <c r="AT56" s="11">
        <v>53</v>
      </c>
      <c r="AU56" s="12"/>
      <c r="AW56" s="11">
        <v>53</v>
      </c>
      <c r="AX56" s="12"/>
      <c r="AY56" s="12"/>
      <c r="AZ56" s="124"/>
      <c r="BA56" s="12"/>
      <c r="BB56" s="12"/>
      <c r="BC56" s="12"/>
      <c r="BD56" s="12"/>
      <c r="BE56" s="12"/>
      <c r="BF56" s="24"/>
      <c r="BG56" s="29"/>
      <c r="BH56" s="12"/>
      <c r="BI56" s="12"/>
      <c r="BK56" s="11">
        <v>53</v>
      </c>
      <c r="BL56" s="12"/>
      <c r="BM56" s="12"/>
      <c r="BN56" s="12"/>
      <c r="BP56" s="11">
        <v>53</v>
      </c>
      <c r="BQ56" s="12"/>
      <c r="BR56" s="12"/>
      <c r="BS56" s="12"/>
      <c r="BU56" s="11">
        <v>53</v>
      </c>
      <c r="BV56" s="12"/>
      <c r="BW56" s="12"/>
      <c r="BX56" s="12"/>
      <c r="BZ56" s="11">
        <v>53</v>
      </c>
      <c r="CA56" s="12"/>
      <c r="CC56" s="11">
        <v>53</v>
      </c>
      <c r="CD56" s="12"/>
    </row>
    <row r="57" spans="1:82">
      <c r="A57" s="21" t="s">
        <v>21</v>
      </c>
      <c r="B57" s="21">
        <v>6</v>
      </c>
      <c r="C57" s="23" t="s">
        <v>26</v>
      </c>
      <c r="D57" s="55">
        <f t="shared" si="5"/>
        <v>5</v>
      </c>
      <c r="E57" s="115">
        <f t="shared" si="5"/>
        <v>5</v>
      </c>
      <c r="F57" s="7">
        <f t="shared" si="15"/>
        <v>5</v>
      </c>
      <c r="G57" s="6">
        <f t="shared" si="6"/>
        <v>5</v>
      </c>
      <c r="H57" s="115">
        <f t="shared" si="7"/>
        <v>5</v>
      </c>
      <c r="I57" s="115">
        <f t="shared" si="8"/>
        <v>5</v>
      </c>
      <c r="J57" s="115">
        <f t="shared" si="9"/>
        <v>5</v>
      </c>
      <c r="K57" s="115">
        <f t="shared" si="10"/>
        <v>5</v>
      </c>
      <c r="L57" s="115">
        <f t="shared" si="11"/>
        <v>5</v>
      </c>
      <c r="M57" s="48">
        <f t="shared" si="12"/>
        <v>5</v>
      </c>
      <c r="N57" s="115">
        <f t="shared" si="13"/>
        <v>5</v>
      </c>
      <c r="O57" s="7">
        <f t="shared" si="14"/>
        <v>5</v>
      </c>
      <c r="R57" s="11">
        <v>54</v>
      </c>
      <c r="S57" s="12"/>
      <c r="T57" s="12"/>
      <c r="U57" s="12"/>
      <c r="W57" s="11">
        <v>54</v>
      </c>
      <c r="X57" s="12"/>
      <c r="Y57" s="12"/>
      <c r="Z57" s="12"/>
      <c r="AB57" s="11">
        <v>54</v>
      </c>
      <c r="AC57" s="12"/>
      <c r="AD57" s="12"/>
      <c r="AE57" s="12"/>
      <c r="AG57" s="11">
        <v>54</v>
      </c>
      <c r="AH57" s="12"/>
      <c r="AI57" s="12"/>
      <c r="AJ57" s="12"/>
      <c r="AL57" s="11">
        <v>54</v>
      </c>
      <c r="AM57" s="12"/>
      <c r="AN57" s="12"/>
      <c r="AO57" s="12"/>
      <c r="AQ57" s="11">
        <v>54</v>
      </c>
      <c r="AR57" s="12"/>
      <c r="AS57" s="12"/>
      <c r="AT57" s="11">
        <v>54</v>
      </c>
      <c r="AU57" s="12"/>
      <c r="AW57" s="11">
        <v>54</v>
      </c>
      <c r="AX57" s="12"/>
      <c r="AY57" s="12"/>
      <c r="AZ57" s="124"/>
      <c r="BA57" s="12"/>
      <c r="BB57" s="12"/>
      <c r="BC57" s="12"/>
      <c r="BD57" s="12"/>
      <c r="BE57" s="12"/>
      <c r="BF57" s="24"/>
      <c r="BG57" s="29"/>
      <c r="BH57" s="12"/>
      <c r="BI57" s="12"/>
      <c r="BK57" s="11">
        <v>54</v>
      </c>
      <c r="BL57" s="12"/>
      <c r="BM57" s="12"/>
      <c r="BN57" s="12"/>
      <c r="BP57" s="11">
        <v>54</v>
      </c>
      <c r="BQ57" s="12"/>
      <c r="BR57" s="12"/>
      <c r="BS57" s="12"/>
      <c r="BU57" s="11">
        <v>54</v>
      </c>
      <c r="BV57" s="12"/>
      <c r="BW57" s="12"/>
      <c r="BX57" s="12"/>
      <c r="BZ57" s="11">
        <v>54</v>
      </c>
      <c r="CA57" s="12"/>
      <c r="CC57" s="11">
        <v>54</v>
      </c>
      <c r="CD57" s="12"/>
    </row>
    <row r="58" spans="1:82">
      <c r="A58" s="20" t="s">
        <v>22</v>
      </c>
      <c r="B58" s="20">
        <v>7</v>
      </c>
      <c r="C58" s="5" t="s">
        <v>27</v>
      </c>
      <c r="D58" s="55">
        <f t="shared" si="5"/>
        <v>5</v>
      </c>
      <c r="E58" s="115">
        <f t="shared" si="5"/>
        <v>5</v>
      </c>
      <c r="F58" s="7">
        <f t="shared" si="15"/>
        <v>5</v>
      </c>
      <c r="G58" s="6">
        <f t="shared" si="6"/>
        <v>5</v>
      </c>
      <c r="H58" s="115">
        <f t="shared" si="7"/>
        <v>5</v>
      </c>
      <c r="I58" s="115">
        <f t="shared" si="8"/>
        <v>5</v>
      </c>
      <c r="J58" s="115">
        <f t="shared" si="9"/>
        <v>5</v>
      </c>
      <c r="K58" s="115">
        <f t="shared" si="10"/>
        <v>5</v>
      </c>
      <c r="L58" s="115">
        <f t="shared" si="11"/>
        <v>5</v>
      </c>
      <c r="M58" s="48">
        <f t="shared" si="12"/>
        <v>5</v>
      </c>
      <c r="N58" s="115">
        <f t="shared" si="13"/>
        <v>5</v>
      </c>
      <c r="O58" s="7">
        <f t="shared" si="14"/>
        <v>5</v>
      </c>
      <c r="R58" s="11">
        <v>55</v>
      </c>
      <c r="S58" s="12"/>
      <c r="T58" s="12"/>
      <c r="U58" s="12"/>
      <c r="W58" s="11">
        <v>55</v>
      </c>
      <c r="X58" s="12"/>
      <c r="Y58" s="12"/>
      <c r="Z58" s="12"/>
      <c r="AB58" s="11">
        <v>55</v>
      </c>
      <c r="AC58" s="12"/>
      <c r="AD58" s="12"/>
      <c r="AE58" s="12"/>
      <c r="AG58" s="11">
        <v>55</v>
      </c>
      <c r="AH58" s="12"/>
      <c r="AI58" s="12"/>
      <c r="AJ58" s="12"/>
      <c r="AL58" s="11">
        <v>55</v>
      </c>
      <c r="AM58" s="12"/>
      <c r="AN58" s="12"/>
      <c r="AO58" s="12"/>
      <c r="AQ58" s="11">
        <v>55</v>
      </c>
      <c r="AR58" s="12"/>
      <c r="AS58" s="12"/>
      <c r="AT58" s="11">
        <v>55</v>
      </c>
      <c r="AU58" s="12"/>
      <c r="AW58" s="11">
        <v>55</v>
      </c>
      <c r="AX58" s="12"/>
      <c r="AY58" s="12"/>
      <c r="AZ58" s="124"/>
      <c r="BA58" s="12"/>
      <c r="BB58" s="12"/>
      <c r="BC58" s="12"/>
      <c r="BD58" s="12"/>
      <c r="BE58" s="12"/>
      <c r="BF58" s="24"/>
      <c r="BG58" s="29"/>
      <c r="BH58" s="12"/>
      <c r="BI58" s="12"/>
      <c r="BK58" s="11">
        <v>55</v>
      </c>
      <c r="BL58" s="12"/>
      <c r="BM58" s="12"/>
      <c r="BN58" s="12"/>
      <c r="BP58" s="11">
        <v>55</v>
      </c>
      <c r="BQ58" s="12"/>
      <c r="BR58" s="12"/>
      <c r="BS58" s="12"/>
      <c r="BU58" s="11">
        <v>55</v>
      </c>
      <c r="BV58" s="12"/>
      <c r="BW58" s="12"/>
      <c r="BX58" s="12"/>
      <c r="BZ58" s="11">
        <v>55</v>
      </c>
      <c r="CA58" s="12"/>
      <c r="CC58" s="11">
        <v>55</v>
      </c>
      <c r="CD58" s="12"/>
    </row>
    <row r="59" spans="1:82">
      <c r="A59" s="20" t="s">
        <v>23</v>
      </c>
      <c r="B59" s="20">
        <v>8</v>
      </c>
      <c r="C59" s="5" t="s">
        <v>28</v>
      </c>
      <c r="D59" s="55">
        <f t="shared" si="5"/>
        <v>0</v>
      </c>
      <c r="E59" s="115">
        <f t="shared" si="5"/>
        <v>0</v>
      </c>
      <c r="F59" s="7">
        <f t="shared" si="15"/>
        <v>0</v>
      </c>
      <c r="G59" s="6">
        <f t="shared" si="6"/>
        <v>0</v>
      </c>
      <c r="H59" s="115">
        <f t="shared" si="7"/>
        <v>0</v>
      </c>
      <c r="I59" s="115">
        <f t="shared" si="8"/>
        <v>0</v>
      </c>
      <c r="J59" s="115">
        <f t="shared" si="9"/>
        <v>0</v>
      </c>
      <c r="K59" s="115">
        <f t="shared" si="10"/>
        <v>0</v>
      </c>
      <c r="L59" s="115">
        <f t="shared" si="11"/>
        <v>0</v>
      </c>
      <c r="M59" s="48">
        <f t="shared" si="12"/>
        <v>0</v>
      </c>
      <c r="N59" s="115">
        <f t="shared" si="13"/>
        <v>0</v>
      </c>
      <c r="O59" s="7">
        <f t="shared" si="14"/>
        <v>0</v>
      </c>
      <c r="R59" s="11">
        <v>56</v>
      </c>
      <c r="S59" s="12"/>
      <c r="T59" s="12"/>
      <c r="U59" s="12"/>
      <c r="W59" s="11">
        <v>56</v>
      </c>
      <c r="X59" s="12"/>
      <c r="Y59" s="12"/>
      <c r="Z59" s="12"/>
      <c r="AB59" s="11">
        <v>56</v>
      </c>
      <c r="AC59" s="12"/>
      <c r="AD59" s="12"/>
      <c r="AE59" s="12"/>
      <c r="AG59" s="11">
        <v>56</v>
      </c>
      <c r="AH59" s="12"/>
      <c r="AI59" s="12"/>
      <c r="AJ59" s="12"/>
      <c r="AL59" s="11">
        <v>56</v>
      </c>
      <c r="AM59" s="12"/>
      <c r="AN59" s="12"/>
      <c r="AO59" s="12"/>
      <c r="AQ59" s="11">
        <v>56</v>
      </c>
      <c r="AR59" s="12"/>
      <c r="AS59" s="12"/>
      <c r="AT59" s="11">
        <v>56</v>
      </c>
      <c r="AU59" s="12"/>
      <c r="AW59" s="11">
        <v>56</v>
      </c>
      <c r="AX59" s="12"/>
      <c r="AY59" s="12"/>
      <c r="AZ59" s="124"/>
      <c r="BA59" s="12"/>
      <c r="BB59" s="12"/>
      <c r="BC59" s="12"/>
      <c r="BD59" s="12"/>
      <c r="BE59" s="12"/>
      <c r="BF59" s="24"/>
      <c r="BG59" s="29"/>
      <c r="BH59" s="12"/>
      <c r="BI59" s="12"/>
      <c r="BK59" s="11">
        <v>56</v>
      </c>
      <c r="BL59" s="12"/>
      <c r="BM59" s="12"/>
      <c r="BN59" s="12"/>
      <c r="BP59" s="11">
        <v>56</v>
      </c>
      <c r="BQ59" s="12"/>
      <c r="BR59" s="12"/>
      <c r="BS59" s="12"/>
      <c r="BU59" s="11">
        <v>56</v>
      </c>
      <c r="BV59" s="12"/>
      <c r="BW59" s="12"/>
      <c r="BX59" s="12"/>
      <c r="BZ59" s="11">
        <v>56</v>
      </c>
      <c r="CA59" s="12"/>
      <c r="CC59" s="11">
        <v>56</v>
      </c>
      <c r="CD59" s="12"/>
    </row>
    <row r="60" spans="1:82">
      <c r="A60" s="20" t="s">
        <v>24</v>
      </c>
      <c r="B60" s="20">
        <v>9</v>
      </c>
      <c r="C60" s="5" t="s">
        <v>16</v>
      </c>
      <c r="D60" s="55">
        <f t="shared" si="5"/>
        <v>5</v>
      </c>
      <c r="E60" s="115">
        <f t="shared" si="5"/>
        <v>5</v>
      </c>
      <c r="F60" s="7">
        <f t="shared" si="15"/>
        <v>5</v>
      </c>
      <c r="G60" s="6">
        <f t="shared" si="6"/>
        <v>5</v>
      </c>
      <c r="H60" s="115">
        <f t="shared" si="7"/>
        <v>5</v>
      </c>
      <c r="I60" s="115">
        <f t="shared" si="8"/>
        <v>5</v>
      </c>
      <c r="J60" s="115">
        <f t="shared" si="9"/>
        <v>5</v>
      </c>
      <c r="K60" s="115">
        <f t="shared" si="10"/>
        <v>5</v>
      </c>
      <c r="L60" s="115">
        <f t="shared" si="11"/>
        <v>5</v>
      </c>
      <c r="M60" s="48">
        <f t="shared" si="12"/>
        <v>5</v>
      </c>
      <c r="N60" s="115">
        <f t="shared" si="13"/>
        <v>5</v>
      </c>
      <c r="O60" s="7">
        <f t="shared" si="14"/>
        <v>5</v>
      </c>
      <c r="R60" s="11">
        <v>57</v>
      </c>
      <c r="S60" s="12"/>
      <c r="T60" s="12"/>
      <c r="U60" s="12"/>
      <c r="W60" s="11">
        <v>57</v>
      </c>
      <c r="X60" s="12"/>
      <c r="Y60" s="12"/>
      <c r="Z60" s="12"/>
      <c r="AB60" s="11">
        <v>57</v>
      </c>
      <c r="AC60" s="12"/>
      <c r="AD60" s="12"/>
      <c r="AE60" s="12"/>
      <c r="AG60" s="11">
        <v>57</v>
      </c>
      <c r="AH60" s="12"/>
      <c r="AI60" s="12"/>
      <c r="AJ60" s="12"/>
      <c r="AL60" s="11">
        <v>57</v>
      </c>
      <c r="AM60" s="12"/>
      <c r="AN60" s="12"/>
      <c r="AO60" s="12"/>
      <c r="AQ60" s="11">
        <v>57</v>
      </c>
      <c r="AR60" s="12"/>
      <c r="AS60" s="12"/>
      <c r="AT60" s="11">
        <v>57</v>
      </c>
      <c r="AU60" s="12"/>
      <c r="AW60" s="11">
        <v>57</v>
      </c>
      <c r="AX60" s="12"/>
      <c r="AY60" s="12"/>
      <c r="AZ60" s="124"/>
      <c r="BA60" s="12"/>
      <c r="BB60" s="12"/>
      <c r="BC60" s="12"/>
      <c r="BD60" s="12"/>
      <c r="BE60" s="12"/>
      <c r="BF60" s="24"/>
      <c r="BG60" s="29"/>
      <c r="BH60" s="12"/>
      <c r="BI60" s="12"/>
      <c r="BK60" s="11">
        <v>57</v>
      </c>
      <c r="BL60" s="12"/>
      <c r="BM60" s="12"/>
      <c r="BN60" s="12"/>
      <c r="BP60" s="11">
        <v>57</v>
      </c>
      <c r="BQ60" s="12"/>
      <c r="BR60" s="12"/>
      <c r="BS60" s="12"/>
      <c r="BU60" s="11">
        <v>57</v>
      </c>
      <c r="BV60" s="12"/>
      <c r="BW60" s="12"/>
      <c r="BX60" s="12"/>
      <c r="BZ60" s="11">
        <v>57</v>
      </c>
      <c r="CA60" s="12"/>
      <c r="CC60" s="11">
        <v>57</v>
      </c>
      <c r="CD60" s="12"/>
    </row>
    <row r="61" spans="1:82">
      <c r="A61" s="21" t="s">
        <v>35</v>
      </c>
      <c r="B61" s="21">
        <v>10</v>
      </c>
      <c r="C61" s="5" t="s">
        <v>37</v>
      </c>
      <c r="D61" s="55">
        <f t="shared" si="5"/>
        <v>5</v>
      </c>
      <c r="E61" s="115">
        <f t="shared" si="5"/>
        <v>5</v>
      </c>
      <c r="F61" s="7">
        <f t="shared" si="15"/>
        <v>5</v>
      </c>
      <c r="G61" s="6">
        <f t="shared" si="6"/>
        <v>5</v>
      </c>
      <c r="H61" s="115">
        <f t="shared" si="7"/>
        <v>5</v>
      </c>
      <c r="I61" s="115">
        <f t="shared" si="8"/>
        <v>5</v>
      </c>
      <c r="J61" s="115">
        <f t="shared" si="9"/>
        <v>5</v>
      </c>
      <c r="K61" s="115">
        <f t="shared" si="10"/>
        <v>5</v>
      </c>
      <c r="L61" s="115">
        <f t="shared" si="11"/>
        <v>5</v>
      </c>
      <c r="M61" s="48">
        <f t="shared" si="12"/>
        <v>5</v>
      </c>
      <c r="N61" s="115">
        <f t="shared" si="13"/>
        <v>5</v>
      </c>
      <c r="O61" s="7">
        <f t="shared" si="14"/>
        <v>5</v>
      </c>
      <c r="R61" s="11">
        <v>58</v>
      </c>
      <c r="S61" s="12"/>
      <c r="T61" s="12"/>
      <c r="U61" s="12"/>
      <c r="W61" s="11">
        <v>58</v>
      </c>
      <c r="X61" s="12"/>
      <c r="Y61" s="12"/>
      <c r="Z61" s="12"/>
      <c r="AB61" s="11">
        <v>58</v>
      </c>
      <c r="AC61" s="12"/>
      <c r="AD61" s="12"/>
      <c r="AE61" s="12"/>
      <c r="AG61" s="11">
        <v>58</v>
      </c>
      <c r="AH61" s="12"/>
      <c r="AI61" s="12"/>
      <c r="AJ61" s="12"/>
      <c r="AL61" s="11">
        <v>58</v>
      </c>
      <c r="AM61" s="12"/>
      <c r="AN61" s="12"/>
      <c r="AO61" s="12"/>
      <c r="AQ61" s="11">
        <v>58</v>
      </c>
      <c r="AR61" s="12"/>
      <c r="AS61" s="12"/>
      <c r="AT61" s="11">
        <v>58</v>
      </c>
      <c r="AU61" s="12"/>
      <c r="AW61" s="11">
        <v>58</v>
      </c>
      <c r="AX61" s="12"/>
      <c r="AY61" s="12"/>
      <c r="AZ61" s="124"/>
      <c r="BA61" s="12"/>
      <c r="BB61" s="12"/>
      <c r="BC61" s="12"/>
      <c r="BD61" s="12"/>
      <c r="BE61" s="12"/>
      <c r="BF61" s="24"/>
      <c r="BG61" s="29"/>
      <c r="BH61" s="12"/>
      <c r="BI61" s="12"/>
      <c r="BK61" s="11">
        <v>58</v>
      </c>
      <c r="BL61" s="12"/>
      <c r="BM61" s="12"/>
      <c r="BN61" s="12"/>
      <c r="BP61" s="11">
        <v>58</v>
      </c>
      <c r="BQ61" s="12"/>
      <c r="BR61" s="12"/>
      <c r="BS61" s="12"/>
      <c r="BU61" s="11">
        <v>58</v>
      </c>
      <c r="BV61" s="12"/>
      <c r="BW61" s="12"/>
      <c r="BX61" s="12"/>
      <c r="BZ61" s="11">
        <v>58</v>
      </c>
      <c r="CA61" s="12"/>
      <c r="CC61" s="11">
        <v>58</v>
      </c>
      <c r="CD61" s="12"/>
    </row>
    <row r="62" spans="1:82" ht="16.8" thickBot="1">
      <c r="A62" s="22" t="s">
        <v>39</v>
      </c>
      <c r="B62" s="22">
        <v>11</v>
      </c>
      <c r="C62" s="17" t="s">
        <v>38</v>
      </c>
      <c r="D62" s="56">
        <f t="shared" si="5"/>
        <v>0</v>
      </c>
      <c r="E62" s="50">
        <f t="shared" si="5"/>
        <v>0</v>
      </c>
      <c r="F62" s="57">
        <f t="shared" si="15"/>
        <v>0</v>
      </c>
      <c r="G62" s="49">
        <f t="shared" si="6"/>
        <v>0</v>
      </c>
      <c r="H62" s="50">
        <f t="shared" si="7"/>
        <v>0</v>
      </c>
      <c r="I62" s="50">
        <f t="shared" si="8"/>
        <v>0</v>
      </c>
      <c r="J62" s="50">
        <f t="shared" si="9"/>
        <v>0</v>
      </c>
      <c r="K62" s="50">
        <f t="shared" si="10"/>
        <v>0</v>
      </c>
      <c r="L62" s="50">
        <f t="shared" si="11"/>
        <v>0</v>
      </c>
      <c r="M62" s="51">
        <f t="shared" si="12"/>
        <v>0</v>
      </c>
      <c r="N62" s="39">
        <f t="shared" si="13"/>
        <v>0</v>
      </c>
      <c r="O62" s="40">
        <f t="shared" si="14"/>
        <v>0</v>
      </c>
      <c r="R62" s="11">
        <v>59</v>
      </c>
      <c r="S62" s="12"/>
      <c r="T62" s="12"/>
      <c r="U62" s="12"/>
      <c r="W62" s="11">
        <v>59</v>
      </c>
      <c r="X62" s="12"/>
      <c r="Y62" s="12"/>
      <c r="Z62" s="12"/>
      <c r="AB62" s="11">
        <v>59</v>
      </c>
      <c r="AC62" s="12"/>
      <c r="AD62" s="12"/>
      <c r="AE62" s="12"/>
      <c r="AG62" s="11">
        <v>59</v>
      </c>
      <c r="AH62" s="12"/>
      <c r="AI62" s="12"/>
      <c r="AJ62" s="12"/>
      <c r="AL62" s="11">
        <v>59</v>
      </c>
      <c r="AM62" s="12"/>
      <c r="AN62" s="12"/>
      <c r="AO62" s="12"/>
      <c r="AQ62" s="11">
        <v>59</v>
      </c>
      <c r="AR62" s="12"/>
      <c r="AS62" s="12"/>
      <c r="AT62" s="11">
        <v>59</v>
      </c>
      <c r="AU62" s="12"/>
      <c r="AW62" s="11">
        <v>59</v>
      </c>
      <c r="AX62" s="12"/>
      <c r="AY62" s="12"/>
      <c r="AZ62" s="124"/>
      <c r="BA62" s="12"/>
      <c r="BB62" s="12"/>
      <c r="BC62" s="12"/>
      <c r="BD62" s="12"/>
      <c r="BE62" s="12"/>
      <c r="BF62" s="24"/>
      <c r="BG62" s="29"/>
      <c r="BH62" s="12"/>
      <c r="BI62" s="12"/>
      <c r="BK62" s="11">
        <v>59</v>
      </c>
      <c r="BL62" s="12"/>
      <c r="BM62" s="12"/>
      <c r="BN62" s="12"/>
      <c r="BP62" s="11">
        <v>59</v>
      </c>
      <c r="BQ62" s="12"/>
      <c r="BR62" s="12"/>
      <c r="BS62" s="12"/>
      <c r="BU62" s="11">
        <v>59</v>
      </c>
      <c r="BV62" s="12"/>
      <c r="BW62" s="12"/>
      <c r="BX62" s="12"/>
      <c r="BZ62" s="11">
        <v>59</v>
      </c>
      <c r="CA62" s="12"/>
      <c r="CC62" s="11">
        <v>59</v>
      </c>
      <c r="CD62" s="12"/>
    </row>
    <row r="63" spans="1:82">
      <c r="D63" s="115">
        <f>SUM(D51:D62)</f>
        <v>40</v>
      </c>
      <c r="E63" s="115">
        <f t="shared" ref="E63:O63" si="16">SUM(E51:E62)</f>
        <v>40</v>
      </c>
      <c r="F63" s="115">
        <f t="shared" si="16"/>
        <v>40</v>
      </c>
      <c r="G63" s="115">
        <f t="shared" si="16"/>
        <v>40</v>
      </c>
      <c r="H63" s="115">
        <f t="shared" si="16"/>
        <v>40</v>
      </c>
      <c r="I63" s="115">
        <f t="shared" si="16"/>
        <v>40</v>
      </c>
      <c r="J63" s="115">
        <f t="shared" si="16"/>
        <v>40</v>
      </c>
      <c r="K63" s="115">
        <f t="shared" si="16"/>
        <v>40</v>
      </c>
      <c r="L63" s="115">
        <f t="shared" si="16"/>
        <v>40</v>
      </c>
      <c r="M63" s="115">
        <f t="shared" si="16"/>
        <v>40</v>
      </c>
      <c r="N63" s="115">
        <f t="shared" si="16"/>
        <v>40</v>
      </c>
      <c r="O63" s="115">
        <f t="shared" si="16"/>
        <v>40</v>
      </c>
      <c r="R63" s="11">
        <v>60</v>
      </c>
      <c r="S63" s="12"/>
      <c r="T63" s="12"/>
      <c r="U63" s="12"/>
      <c r="W63" s="11">
        <v>60</v>
      </c>
      <c r="X63" s="12"/>
      <c r="Y63" s="12"/>
      <c r="Z63" s="12"/>
      <c r="AB63" s="11">
        <v>60</v>
      </c>
      <c r="AC63" s="12"/>
      <c r="AD63" s="12"/>
      <c r="AE63" s="12"/>
      <c r="AG63" s="11">
        <v>60</v>
      </c>
      <c r="AH63" s="12"/>
      <c r="AI63" s="12"/>
      <c r="AJ63" s="12"/>
      <c r="AL63" s="11">
        <v>60</v>
      </c>
      <c r="AM63" s="12"/>
      <c r="AN63" s="12"/>
      <c r="AO63" s="12"/>
      <c r="AQ63" s="11">
        <v>60</v>
      </c>
      <c r="AR63" s="13"/>
      <c r="AS63" s="13"/>
      <c r="AT63" s="11">
        <v>60</v>
      </c>
      <c r="AU63" s="12"/>
      <c r="AW63" s="11">
        <v>60</v>
      </c>
      <c r="AX63" s="12"/>
      <c r="AY63" s="12"/>
      <c r="AZ63" s="124"/>
      <c r="BA63" s="12"/>
      <c r="BB63" s="12"/>
      <c r="BC63" s="12"/>
      <c r="BD63" s="12"/>
      <c r="BE63" s="12"/>
      <c r="BF63" s="24"/>
      <c r="BG63" s="29"/>
      <c r="BH63" s="12"/>
      <c r="BI63" s="12"/>
      <c r="BK63" s="11">
        <v>60</v>
      </c>
      <c r="BL63" s="12"/>
      <c r="BM63" s="12"/>
      <c r="BN63" s="12"/>
      <c r="BP63" s="11">
        <v>60</v>
      </c>
      <c r="BQ63" s="12"/>
      <c r="BR63" s="12"/>
      <c r="BS63" s="12"/>
      <c r="BU63" s="11">
        <v>60</v>
      </c>
      <c r="BV63" s="12"/>
      <c r="BW63" s="12"/>
      <c r="BX63" s="12"/>
      <c r="BZ63" s="11">
        <v>60</v>
      </c>
      <c r="CA63" s="12"/>
      <c r="CC63" s="11">
        <v>60</v>
      </c>
      <c r="CD63" s="12"/>
    </row>
    <row r="64" spans="1:82">
      <c r="R64" s="11">
        <v>61</v>
      </c>
      <c r="S64" s="12"/>
      <c r="T64" s="13"/>
      <c r="U64" s="12"/>
      <c r="W64" s="11">
        <v>61</v>
      </c>
      <c r="X64" s="12"/>
      <c r="Y64" s="13"/>
      <c r="Z64" s="12"/>
      <c r="AB64" s="11">
        <v>61</v>
      </c>
      <c r="AC64" s="12"/>
      <c r="AD64" s="12"/>
      <c r="AE64" s="12"/>
      <c r="AG64" s="11">
        <v>61</v>
      </c>
      <c r="AH64" s="12"/>
      <c r="AI64" s="12"/>
      <c r="AJ64" s="12"/>
      <c r="AL64" s="11">
        <v>61</v>
      </c>
      <c r="AM64" s="12"/>
      <c r="AN64" s="12"/>
      <c r="AO64" s="12"/>
      <c r="AQ64" s="11">
        <v>61</v>
      </c>
      <c r="AR64" s="13"/>
      <c r="AS64" s="13"/>
      <c r="AT64" s="11">
        <v>61</v>
      </c>
      <c r="AU64" s="12"/>
      <c r="AW64" s="11">
        <v>61</v>
      </c>
      <c r="AX64" s="12"/>
      <c r="AY64" s="12"/>
      <c r="AZ64" s="124"/>
      <c r="BA64" s="12"/>
      <c r="BB64" s="12"/>
      <c r="BC64" s="12"/>
      <c r="BD64" s="12"/>
      <c r="BE64" s="12"/>
      <c r="BF64" s="24"/>
      <c r="BG64" s="29"/>
      <c r="BH64" s="12"/>
      <c r="BI64" s="12"/>
      <c r="BK64" s="11">
        <v>61</v>
      </c>
      <c r="BL64" s="12"/>
      <c r="BM64" s="13"/>
      <c r="BN64" s="12"/>
      <c r="BP64" s="11">
        <v>61</v>
      </c>
      <c r="BQ64" s="12"/>
      <c r="BR64" s="13"/>
      <c r="BS64" s="12"/>
      <c r="BU64" s="11">
        <v>61</v>
      </c>
      <c r="BV64" s="12"/>
      <c r="BW64" s="12"/>
      <c r="BX64" s="12"/>
      <c r="BZ64" s="11">
        <v>61</v>
      </c>
      <c r="CA64" s="12"/>
      <c r="CC64" s="11">
        <v>61</v>
      </c>
      <c r="CD64" s="12"/>
    </row>
    <row r="65" spans="1:82">
      <c r="A65" s="31" t="s">
        <v>42</v>
      </c>
      <c r="R65" s="11">
        <v>62</v>
      </c>
      <c r="S65" s="12"/>
      <c r="T65" s="13"/>
      <c r="U65" s="12"/>
      <c r="W65" s="11">
        <v>62</v>
      </c>
      <c r="X65" s="12"/>
      <c r="Y65" s="13"/>
      <c r="Z65" s="12"/>
      <c r="AB65" s="11">
        <v>62</v>
      </c>
      <c r="AC65" s="12"/>
      <c r="AD65" s="12"/>
      <c r="AE65" s="12"/>
      <c r="AG65" s="11">
        <v>62</v>
      </c>
      <c r="AH65" s="12"/>
      <c r="AI65" s="12"/>
      <c r="AJ65" s="12"/>
      <c r="AL65" s="11">
        <v>62</v>
      </c>
      <c r="AM65" s="12"/>
      <c r="AN65" s="12"/>
      <c r="AO65" s="12"/>
      <c r="AQ65" s="11">
        <v>62</v>
      </c>
      <c r="AR65" s="13"/>
      <c r="AS65" s="13"/>
      <c r="AT65" s="11">
        <v>62</v>
      </c>
      <c r="AU65" s="12"/>
      <c r="AW65" s="11">
        <v>62</v>
      </c>
      <c r="AX65" s="12"/>
      <c r="AY65" s="12"/>
      <c r="AZ65" s="124"/>
      <c r="BA65" s="12"/>
      <c r="BB65" s="12"/>
      <c r="BC65" s="12"/>
      <c r="BD65" s="12"/>
      <c r="BE65" s="12"/>
      <c r="BF65" s="24"/>
      <c r="BG65" s="29"/>
      <c r="BH65" s="12"/>
      <c r="BI65" s="12"/>
      <c r="BK65" s="11">
        <v>62</v>
      </c>
      <c r="BL65" s="12"/>
      <c r="BM65" s="13"/>
      <c r="BN65" s="12"/>
      <c r="BP65" s="11">
        <v>62</v>
      </c>
      <c r="BQ65" s="12"/>
      <c r="BR65" s="13"/>
      <c r="BS65" s="12"/>
      <c r="BU65" s="11">
        <v>62</v>
      </c>
      <c r="BV65" s="12"/>
      <c r="BW65" s="12"/>
      <c r="BX65" s="12"/>
      <c r="BZ65" s="11">
        <v>62</v>
      </c>
      <c r="CA65" s="12"/>
      <c r="CC65" s="11">
        <v>62</v>
      </c>
      <c r="CD65" s="12"/>
    </row>
    <row r="66" spans="1:82">
      <c r="A66" s="30" t="s">
        <v>42</v>
      </c>
      <c r="B66" s="1" t="s">
        <v>86</v>
      </c>
      <c r="C66" s="2" t="s">
        <v>114</v>
      </c>
      <c r="D66" s="3" t="s">
        <v>80</v>
      </c>
      <c r="E66" s="116" t="s">
        <v>1</v>
      </c>
      <c r="F66" s="4" t="s">
        <v>2</v>
      </c>
      <c r="R66" s="11">
        <v>63</v>
      </c>
      <c r="S66" s="12"/>
      <c r="T66" s="13"/>
      <c r="U66" s="13"/>
      <c r="W66" s="11">
        <v>63</v>
      </c>
      <c r="X66" s="12"/>
      <c r="Y66" s="13"/>
      <c r="Z66" s="13"/>
      <c r="AB66" s="11">
        <v>63</v>
      </c>
      <c r="AC66" s="12"/>
      <c r="AD66" s="12"/>
      <c r="AE66" s="12"/>
      <c r="AG66" s="11">
        <v>63</v>
      </c>
      <c r="AH66" s="12"/>
      <c r="AI66" s="12"/>
      <c r="AJ66" s="12"/>
      <c r="AL66" s="11">
        <v>63</v>
      </c>
      <c r="AM66" s="12"/>
      <c r="AN66" s="12"/>
      <c r="AO66" s="12"/>
      <c r="AQ66" s="11">
        <v>63</v>
      </c>
      <c r="AR66" s="13"/>
      <c r="AS66" s="13"/>
      <c r="AT66" s="11">
        <v>63</v>
      </c>
      <c r="AU66" s="13"/>
      <c r="AW66" s="11">
        <v>63</v>
      </c>
      <c r="AX66" s="12"/>
      <c r="AY66" s="12"/>
      <c r="AZ66" s="124"/>
      <c r="BA66" s="12"/>
      <c r="BB66" s="12"/>
      <c r="BC66" s="12"/>
      <c r="BD66" s="12"/>
      <c r="BE66" s="12"/>
      <c r="BF66" s="24"/>
      <c r="BG66" s="29"/>
      <c r="BH66" s="12"/>
      <c r="BI66" s="12"/>
      <c r="BK66" s="11">
        <v>63</v>
      </c>
      <c r="BL66" s="12"/>
      <c r="BM66" s="13"/>
      <c r="BN66" s="13"/>
      <c r="BP66" s="11">
        <v>63</v>
      </c>
      <c r="BQ66" s="12"/>
      <c r="BR66" s="13"/>
      <c r="BS66" s="13"/>
      <c r="BU66" s="11">
        <v>63</v>
      </c>
      <c r="BV66" s="12"/>
      <c r="BW66" s="12"/>
      <c r="BX66" s="12"/>
      <c r="BZ66" s="11">
        <v>63</v>
      </c>
      <c r="CA66" s="12"/>
      <c r="CC66" s="11">
        <v>63</v>
      </c>
      <c r="CD66" s="12"/>
    </row>
    <row r="67" spans="1:82">
      <c r="A67" s="1" t="s">
        <v>19</v>
      </c>
      <c r="B67" s="1">
        <v>0</v>
      </c>
      <c r="C67" s="3" t="s">
        <v>25</v>
      </c>
      <c r="D67" s="3">
        <f>SUMIF(BL$3:BL$38,$A67,BV$3:BV$38)</f>
        <v>18</v>
      </c>
      <c r="E67" s="129">
        <f t="shared" ref="E67:F78" si="17">SUMIF(BM$3:BM$38,$A67,BW$3:BW$38)</f>
        <v>18</v>
      </c>
      <c r="F67" s="4">
        <f t="shared" si="17"/>
        <v>18</v>
      </c>
      <c r="R67" s="11">
        <v>64</v>
      </c>
      <c r="S67" s="12"/>
      <c r="T67" s="13"/>
      <c r="U67" s="13"/>
      <c r="W67" s="11">
        <v>64</v>
      </c>
      <c r="X67" s="12"/>
      <c r="Y67" s="13"/>
      <c r="Z67" s="13"/>
      <c r="AB67" s="11">
        <v>64</v>
      </c>
      <c r="AC67" s="12"/>
      <c r="AD67" s="12"/>
      <c r="AE67" s="12"/>
      <c r="AG67" s="11">
        <v>64</v>
      </c>
      <c r="AH67" s="12"/>
      <c r="AI67" s="12"/>
      <c r="AJ67" s="12"/>
      <c r="AL67" s="11">
        <v>64</v>
      </c>
      <c r="AM67" s="12"/>
      <c r="AN67" s="12"/>
      <c r="AO67" s="12"/>
      <c r="AQ67" s="11">
        <v>64</v>
      </c>
      <c r="AR67" s="13"/>
      <c r="AS67" s="13"/>
      <c r="AT67" s="11">
        <v>64</v>
      </c>
      <c r="AU67" s="13"/>
      <c r="AW67" s="11">
        <v>64</v>
      </c>
      <c r="AX67" s="12"/>
      <c r="AY67" s="12"/>
      <c r="AZ67" s="124"/>
      <c r="BA67" s="12"/>
      <c r="BB67" s="12"/>
      <c r="BC67" s="12"/>
      <c r="BD67" s="12"/>
      <c r="BE67" s="12"/>
      <c r="BF67" s="24"/>
      <c r="BG67" s="29"/>
      <c r="BH67" s="12"/>
      <c r="BI67" s="12"/>
      <c r="BK67" s="11">
        <v>64</v>
      </c>
      <c r="BL67" s="12"/>
      <c r="BM67" s="13"/>
      <c r="BN67" s="13"/>
      <c r="BP67" s="11">
        <v>64</v>
      </c>
      <c r="BQ67" s="12"/>
      <c r="BR67" s="13"/>
      <c r="BS67" s="13"/>
      <c r="BU67" s="11">
        <v>64</v>
      </c>
      <c r="BV67" s="12"/>
      <c r="BW67" s="12"/>
      <c r="BX67" s="12"/>
      <c r="BZ67" s="11">
        <v>64</v>
      </c>
      <c r="CA67" s="12"/>
      <c r="CC67" s="11">
        <v>64</v>
      </c>
      <c r="CD67" s="12"/>
    </row>
    <row r="68" spans="1:82">
      <c r="A68" s="20">
        <v>0</v>
      </c>
      <c r="B68" s="20">
        <v>1</v>
      </c>
      <c r="C68" s="5">
        <v>0</v>
      </c>
      <c r="D68" s="37">
        <f t="shared" ref="D68:D78" si="18">SUMIF(BL$3:BL$38,$A68,BV$3:BV$38)</f>
        <v>0</v>
      </c>
      <c r="E68" s="128">
        <f t="shared" si="17"/>
        <v>6</v>
      </c>
      <c r="F68" s="7">
        <f t="shared" si="17"/>
        <v>6</v>
      </c>
      <c r="R68" s="11">
        <v>65</v>
      </c>
      <c r="S68" s="12"/>
      <c r="T68" s="13"/>
      <c r="U68" s="13"/>
      <c r="W68" s="11">
        <v>65</v>
      </c>
      <c r="X68" s="12"/>
      <c r="Y68" s="13"/>
      <c r="Z68" s="13"/>
      <c r="AB68" s="11">
        <v>65</v>
      </c>
      <c r="AC68" s="12"/>
      <c r="AD68" s="12"/>
      <c r="AE68" s="12"/>
      <c r="AG68" s="11">
        <v>65</v>
      </c>
      <c r="AH68" s="12"/>
      <c r="AI68" s="12"/>
      <c r="AJ68" s="12"/>
      <c r="AL68" s="11">
        <v>65</v>
      </c>
      <c r="AM68" s="12"/>
      <c r="AN68" s="12"/>
      <c r="AO68" s="12"/>
      <c r="AQ68" s="11">
        <v>65</v>
      </c>
      <c r="AR68" s="13"/>
      <c r="AS68" s="13"/>
      <c r="AT68" s="11">
        <v>65</v>
      </c>
      <c r="AU68" s="13"/>
      <c r="AW68" s="11">
        <v>65</v>
      </c>
      <c r="AX68" s="12"/>
      <c r="AY68" s="12"/>
      <c r="AZ68" s="124"/>
      <c r="BA68" s="12"/>
      <c r="BB68" s="12"/>
      <c r="BC68" s="12"/>
      <c r="BD68" s="12"/>
      <c r="BE68" s="12"/>
      <c r="BF68" s="24"/>
      <c r="BG68" s="29"/>
      <c r="BH68" s="12"/>
      <c r="BI68" s="12"/>
      <c r="BK68" s="11">
        <v>65</v>
      </c>
      <c r="BL68" s="12"/>
      <c r="BM68" s="13"/>
      <c r="BN68" s="13"/>
      <c r="BP68" s="11">
        <v>65</v>
      </c>
      <c r="BQ68" s="12"/>
      <c r="BR68" s="13"/>
      <c r="BS68" s="13"/>
      <c r="BU68" s="11">
        <v>65</v>
      </c>
      <c r="BV68" s="12"/>
      <c r="BW68" s="12"/>
      <c r="BX68" s="12"/>
      <c r="BZ68" s="11">
        <v>65</v>
      </c>
      <c r="CA68" s="12"/>
      <c r="CC68" s="11">
        <v>65</v>
      </c>
      <c r="CD68" s="12"/>
    </row>
    <row r="69" spans="1:82">
      <c r="A69" s="20">
        <v>1</v>
      </c>
      <c r="B69" s="20">
        <v>2</v>
      </c>
      <c r="C69" s="5">
        <v>1</v>
      </c>
      <c r="D69" s="6">
        <f t="shared" si="18"/>
        <v>6</v>
      </c>
      <c r="E69" s="128">
        <f t="shared" si="17"/>
        <v>6</v>
      </c>
      <c r="F69" s="7">
        <f t="shared" si="17"/>
        <v>6</v>
      </c>
      <c r="R69" s="11">
        <v>66</v>
      </c>
      <c r="S69" s="12"/>
      <c r="T69" s="13"/>
      <c r="U69" s="13"/>
      <c r="W69" s="11">
        <v>66</v>
      </c>
      <c r="X69" s="12"/>
      <c r="Y69" s="13"/>
      <c r="Z69" s="13"/>
      <c r="AB69" s="11">
        <v>66</v>
      </c>
      <c r="AC69" s="12"/>
      <c r="AD69" s="12"/>
      <c r="AE69" s="12"/>
      <c r="AG69" s="11">
        <v>66</v>
      </c>
      <c r="AH69" s="12"/>
      <c r="AI69" s="12"/>
      <c r="AJ69" s="12"/>
      <c r="AL69" s="11">
        <v>66</v>
      </c>
      <c r="AM69" s="12"/>
      <c r="AN69" s="12"/>
      <c r="AO69" s="12"/>
      <c r="AQ69" s="11">
        <v>66</v>
      </c>
      <c r="AR69" s="13"/>
      <c r="AS69" s="13"/>
      <c r="AT69" s="11">
        <v>66</v>
      </c>
      <c r="AU69" s="13"/>
      <c r="AW69" s="11">
        <v>66</v>
      </c>
      <c r="AX69" s="12"/>
      <c r="AY69" s="12"/>
      <c r="AZ69" s="124"/>
      <c r="BA69" s="12"/>
      <c r="BB69" s="12"/>
      <c r="BC69" s="12"/>
      <c r="BD69" s="12"/>
      <c r="BE69" s="12"/>
      <c r="BF69" s="24"/>
      <c r="BG69" s="29"/>
      <c r="BH69" s="12"/>
      <c r="BI69" s="12"/>
      <c r="BK69" s="11">
        <v>66</v>
      </c>
      <c r="BL69" s="12"/>
      <c r="BM69" s="13"/>
      <c r="BN69" s="13"/>
      <c r="BP69" s="11">
        <v>66</v>
      </c>
      <c r="BQ69" s="12"/>
      <c r="BR69" s="13"/>
      <c r="BS69" s="13"/>
      <c r="BU69" s="11">
        <v>66</v>
      </c>
      <c r="BV69" s="12"/>
      <c r="BW69" s="12"/>
      <c r="BX69" s="12"/>
      <c r="BZ69" s="11">
        <v>66</v>
      </c>
      <c r="CA69" s="12"/>
      <c r="CC69" s="11">
        <v>66</v>
      </c>
      <c r="CD69" s="12"/>
    </row>
    <row r="70" spans="1:82">
      <c r="A70" s="21">
        <v>5</v>
      </c>
      <c r="B70" s="21">
        <v>3</v>
      </c>
      <c r="C70" s="23">
        <v>5</v>
      </c>
      <c r="D70" s="6">
        <f t="shared" si="18"/>
        <v>6</v>
      </c>
      <c r="E70" s="128">
        <f t="shared" si="17"/>
        <v>6</v>
      </c>
      <c r="F70" s="7">
        <f t="shared" si="17"/>
        <v>6</v>
      </c>
      <c r="R70" s="11">
        <v>67</v>
      </c>
      <c r="S70" s="12"/>
      <c r="T70" s="13"/>
      <c r="U70" s="13"/>
      <c r="W70" s="11">
        <v>67</v>
      </c>
      <c r="X70" s="12"/>
      <c r="Y70" s="13"/>
      <c r="Z70" s="13"/>
      <c r="AB70" s="11">
        <v>67</v>
      </c>
      <c r="AC70" s="12"/>
      <c r="AD70" s="12"/>
      <c r="AE70" s="12"/>
      <c r="AG70" s="11">
        <v>67</v>
      </c>
      <c r="AH70" s="12"/>
      <c r="AI70" s="12"/>
      <c r="AJ70" s="12"/>
      <c r="AL70" s="11">
        <v>67</v>
      </c>
      <c r="AM70" s="12"/>
      <c r="AN70" s="12"/>
      <c r="AO70" s="12"/>
      <c r="AQ70" s="11">
        <v>67</v>
      </c>
      <c r="AR70" s="13"/>
      <c r="AS70" s="13"/>
      <c r="AT70" s="11">
        <v>67</v>
      </c>
      <c r="AU70" s="13"/>
      <c r="AW70" s="11">
        <v>67</v>
      </c>
      <c r="AX70" s="12"/>
      <c r="AY70" s="12"/>
      <c r="AZ70" s="124"/>
      <c r="BA70" s="12"/>
      <c r="BB70" s="12"/>
      <c r="BC70" s="12"/>
      <c r="BD70" s="12"/>
      <c r="BE70" s="12"/>
      <c r="BF70" s="24"/>
      <c r="BG70" s="29"/>
      <c r="BH70" s="12"/>
      <c r="BI70" s="12"/>
      <c r="BK70" s="11">
        <v>67</v>
      </c>
      <c r="BL70" s="12"/>
      <c r="BM70" s="13"/>
      <c r="BN70" s="13"/>
      <c r="BP70" s="11">
        <v>67</v>
      </c>
      <c r="BQ70" s="12"/>
      <c r="BR70" s="13"/>
      <c r="BS70" s="13"/>
      <c r="BU70" s="11">
        <v>67</v>
      </c>
      <c r="BV70" s="12"/>
      <c r="BW70" s="12"/>
      <c r="BX70" s="12"/>
      <c r="BZ70" s="11">
        <v>67</v>
      </c>
      <c r="CA70" s="12"/>
      <c r="CC70" s="11">
        <v>67</v>
      </c>
      <c r="CD70" s="12"/>
    </row>
    <row r="71" spans="1:82">
      <c r="A71" s="21">
        <v>10</v>
      </c>
      <c r="B71" s="21">
        <v>4</v>
      </c>
      <c r="C71" s="23">
        <v>10</v>
      </c>
      <c r="D71" s="6">
        <f t="shared" si="18"/>
        <v>6</v>
      </c>
      <c r="E71" s="59">
        <f t="shared" si="17"/>
        <v>0</v>
      </c>
      <c r="F71" s="38">
        <f t="shared" si="17"/>
        <v>0</v>
      </c>
      <c r="R71" s="11">
        <v>68</v>
      </c>
      <c r="S71" s="12"/>
      <c r="T71" s="13"/>
      <c r="U71" s="13"/>
      <c r="W71" s="11">
        <v>68</v>
      </c>
      <c r="X71" s="12"/>
      <c r="Y71" s="13"/>
      <c r="Z71" s="13"/>
      <c r="AB71" s="11">
        <v>68</v>
      </c>
      <c r="AC71" s="12"/>
      <c r="AD71" s="12"/>
      <c r="AE71" s="12"/>
      <c r="AG71" s="11">
        <v>68</v>
      </c>
      <c r="AH71" s="12"/>
      <c r="AI71" s="12"/>
      <c r="AJ71" s="12"/>
      <c r="AL71" s="11">
        <v>68</v>
      </c>
      <c r="AM71" s="12"/>
      <c r="AN71" s="12"/>
      <c r="AO71" s="12"/>
      <c r="AQ71" s="11">
        <v>68</v>
      </c>
      <c r="AR71" s="13"/>
      <c r="AS71" s="13"/>
      <c r="AT71" s="11">
        <v>68</v>
      </c>
      <c r="AU71" s="13"/>
      <c r="AW71" s="11">
        <v>68</v>
      </c>
      <c r="AX71" s="12"/>
      <c r="AY71" s="12"/>
      <c r="AZ71" s="124"/>
      <c r="BA71" s="12"/>
      <c r="BB71" s="12"/>
      <c r="BC71" s="12"/>
      <c r="BD71" s="12"/>
      <c r="BE71" s="12"/>
      <c r="BF71" s="24"/>
      <c r="BG71" s="29"/>
      <c r="BH71" s="12"/>
      <c r="BI71" s="12"/>
      <c r="BK71" s="11">
        <v>68</v>
      </c>
      <c r="BL71" s="12"/>
      <c r="BM71" s="13"/>
      <c r="BN71" s="13"/>
      <c r="BP71" s="11">
        <v>68</v>
      </c>
      <c r="BQ71" s="12"/>
      <c r="BR71" s="13"/>
      <c r="BS71" s="13"/>
      <c r="BU71" s="11">
        <v>68</v>
      </c>
      <c r="BV71" s="12"/>
      <c r="BW71" s="12"/>
      <c r="BX71" s="12"/>
      <c r="BZ71" s="11">
        <v>68</v>
      </c>
      <c r="CA71" s="12"/>
      <c r="CC71" s="11">
        <v>68</v>
      </c>
      <c r="CD71" s="12"/>
    </row>
    <row r="72" spans="1:82">
      <c r="A72" s="20" t="s">
        <v>20</v>
      </c>
      <c r="B72" s="20">
        <v>5</v>
      </c>
      <c r="C72" s="23" t="s">
        <v>29</v>
      </c>
      <c r="D72" s="37">
        <f t="shared" si="18"/>
        <v>0</v>
      </c>
      <c r="E72" s="59">
        <f t="shared" si="17"/>
        <v>0</v>
      </c>
      <c r="F72" s="38">
        <f t="shared" si="17"/>
        <v>0</v>
      </c>
      <c r="R72" s="11">
        <v>69</v>
      </c>
      <c r="S72" s="12"/>
      <c r="T72" s="13"/>
      <c r="U72" s="13"/>
      <c r="W72" s="11">
        <v>69</v>
      </c>
      <c r="X72" s="12"/>
      <c r="Y72" s="13"/>
      <c r="Z72" s="13"/>
      <c r="AB72" s="11">
        <v>69</v>
      </c>
      <c r="AC72" s="12"/>
      <c r="AD72" s="12"/>
      <c r="AE72" s="12"/>
      <c r="AG72" s="11">
        <v>69</v>
      </c>
      <c r="AH72" s="12"/>
      <c r="AI72" s="12"/>
      <c r="AJ72" s="12"/>
      <c r="AL72" s="11">
        <v>69</v>
      </c>
      <c r="AM72" s="12"/>
      <c r="AN72" s="12"/>
      <c r="AO72" s="12"/>
      <c r="AQ72" s="11">
        <v>69</v>
      </c>
      <c r="AR72" s="13"/>
      <c r="AS72" s="13"/>
      <c r="AT72" s="11">
        <v>69</v>
      </c>
      <c r="AU72" s="13"/>
      <c r="AW72" s="11">
        <v>69</v>
      </c>
      <c r="AX72" s="12"/>
      <c r="AY72" s="12"/>
      <c r="AZ72" s="124"/>
      <c r="BA72" s="12"/>
      <c r="BB72" s="12"/>
      <c r="BC72" s="12"/>
      <c r="BD72" s="12"/>
      <c r="BE72" s="12"/>
      <c r="BF72" s="24"/>
      <c r="BG72" s="29"/>
      <c r="BH72" s="12"/>
      <c r="BI72" s="12"/>
      <c r="BK72" s="11">
        <v>69</v>
      </c>
      <c r="BL72" s="12"/>
      <c r="BM72" s="13"/>
      <c r="BN72" s="13"/>
      <c r="BP72" s="11">
        <v>69</v>
      </c>
      <c r="BQ72" s="12"/>
      <c r="BR72" s="13"/>
      <c r="BS72" s="13"/>
      <c r="BU72" s="11">
        <v>69</v>
      </c>
      <c r="BV72" s="12"/>
      <c r="BW72" s="12"/>
      <c r="BX72" s="12"/>
      <c r="BZ72" s="11">
        <v>69</v>
      </c>
      <c r="CA72" s="12"/>
      <c r="CC72" s="11">
        <v>69</v>
      </c>
      <c r="CD72" s="12"/>
    </row>
    <row r="73" spans="1:82">
      <c r="A73" s="21" t="s">
        <v>21</v>
      </c>
      <c r="B73" s="21">
        <v>6</v>
      </c>
      <c r="C73" s="23" t="s">
        <v>26</v>
      </c>
      <c r="D73" s="37">
        <f t="shared" si="18"/>
        <v>0</v>
      </c>
      <c r="E73" s="59">
        <f t="shared" si="17"/>
        <v>0</v>
      </c>
      <c r="F73" s="38">
        <f t="shared" si="17"/>
        <v>0</v>
      </c>
      <c r="R73" s="11">
        <v>70</v>
      </c>
      <c r="S73" s="12"/>
      <c r="T73" s="13"/>
      <c r="U73" s="13"/>
      <c r="W73" s="11">
        <v>70</v>
      </c>
      <c r="X73" s="12"/>
      <c r="Y73" s="13"/>
      <c r="Z73" s="13"/>
      <c r="AB73" s="11">
        <v>70</v>
      </c>
      <c r="AC73" s="12"/>
      <c r="AD73" s="12"/>
      <c r="AE73" s="12"/>
      <c r="AG73" s="11">
        <v>70</v>
      </c>
      <c r="AH73" s="12"/>
      <c r="AI73" s="12"/>
      <c r="AJ73" s="12"/>
      <c r="AL73" s="11">
        <v>70</v>
      </c>
      <c r="AM73" s="12"/>
      <c r="AN73" s="12"/>
      <c r="AO73" s="12"/>
      <c r="AQ73" s="11">
        <v>70</v>
      </c>
      <c r="AR73" s="13"/>
      <c r="AS73" s="13"/>
      <c r="AT73" s="11">
        <v>70</v>
      </c>
      <c r="AU73" s="13"/>
      <c r="AW73" s="11">
        <v>70</v>
      </c>
      <c r="AX73" s="12"/>
      <c r="AY73" s="12"/>
      <c r="AZ73" s="124"/>
      <c r="BA73" s="12"/>
      <c r="BB73" s="12"/>
      <c r="BC73" s="12"/>
      <c r="BD73" s="12"/>
      <c r="BE73" s="12"/>
      <c r="BF73" s="24"/>
      <c r="BG73" s="29"/>
      <c r="BH73" s="12"/>
      <c r="BI73" s="12"/>
      <c r="BK73" s="11">
        <v>70</v>
      </c>
      <c r="BL73" s="12"/>
      <c r="BM73" s="13"/>
      <c r="BN73" s="13"/>
      <c r="BP73" s="11">
        <v>70</v>
      </c>
      <c r="BQ73" s="12"/>
      <c r="BR73" s="13"/>
      <c r="BS73" s="13"/>
      <c r="BU73" s="11">
        <v>70</v>
      </c>
      <c r="BV73" s="12"/>
      <c r="BW73" s="12"/>
      <c r="BX73" s="12"/>
      <c r="BZ73" s="11">
        <v>70</v>
      </c>
      <c r="CA73" s="12"/>
      <c r="CC73" s="11">
        <v>70</v>
      </c>
      <c r="CD73" s="12"/>
    </row>
    <row r="74" spans="1:82">
      <c r="A74" s="20" t="s">
        <v>22</v>
      </c>
      <c r="B74" s="20">
        <v>7</v>
      </c>
      <c r="C74" s="5" t="s">
        <v>27</v>
      </c>
      <c r="D74" s="37">
        <f t="shared" si="18"/>
        <v>0</v>
      </c>
      <c r="E74" s="59">
        <f t="shared" si="17"/>
        <v>0</v>
      </c>
      <c r="F74" s="38">
        <f t="shared" si="17"/>
        <v>0</v>
      </c>
      <c r="R74" s="11">
        <v>71</v>
      </c>
      <c r="S74" s="12"/>
      <c r="T74" s="13"/>
      <c r="U74" s="13"/>
      <c r="W74" s="11">
        <v>71</v>
      </c>
      <c r="X74" s="12"/>
      <c r="Y74" s="13"/>
      <c r="Z74" s="13"/>
      <c r="AB74" s="11">
        <v>71</v>
      </c>
      <c r="AC74" s="12"/>
      <c r="AD74" s="12"/>
      <c r="AE74" s="12"/>
      <c r="AG74" s="11">
        <v>71</v>
      </c>
      <c r="AH74" s="12"/>
      <c r="AI74" s="12"/>
      <c r="AJ74" s="12"/>
      <c r="AL74" s="11">
        <v>71</v>
      </c>
      <c r="AM74" s="12"/>
      <c r="AN74" s="12"/>
      <c r="AO74" s="12"/>
      <c r="AQ74" s="11">
        <v>71</v>
      </c>
      <c r="AR74" s="13"/>
      <c r="AS74" s="13"/>
      <c r="AT74" s="11">
        <v>71</v>
      </c>
      <c r="AU74" s="13"/>
      <c r="AW74" s="11">
        <v>71</v>
      </c>
      <c r="AX74" s="12"/>
      <c r="AY74" s="12"/>
      <c r="AZ74" s="124"/>
      <c r="BA74" s="12"/>
      <c r="BB74" s="12"/>
      <c r="BC74" s="12"/>
      <c r="BD74" s="12"/>
      <c r="BE74" s="12"/>
      <c r="BF74" s="24"/>
      <c r="BG74" s="29"/>
      <c r="BH74" s="12"/>
      <c r="BI74" s="12"/>
      <c r="BK74" s="11">
        <v>71</v>
      </c>
      <c r="BL74" s="12"/>
      <c r="BM74" s="13"/>
      <c r="BN74" s="13"/>
      <c r="BP74" s="11">
        <v>71</v>
      </c>
      <c r="BQ74" s="12"/>
      <c r="BR74" s="13"/>
      <c r="BS74" s="13"/>
      <c r="BU74" s="11">
        <v>71</v>
      </c>
      <c r="BV74" s="12"/>
      <c r="BW74" s="12"/>
      <c r="BX74" s="12"/>
      <c r="BZ74" s="11">
        <v>71</v>
      </c>
      <c r="CA74" s="12"/>
      <c r="CC74" s="11">
        <v>71</v>
      </c>
      <c r="CD74" s="12"/>
    </row>
    <row r="75" spans="1:82">
      <c r="A75" s="20" t="s">
        <v>23</v>
      </c>
      <c r="B75" s="20">
        <v>8</v>
      </c>
      <c r="C75" s="5" t="s">
        <v>28</v>
      </c>
      <c r="D75" s="37">
        <f t="shared" si="18"/>
        <v>0</v>
      </c>
      <c r="E75" s="59">
        <f t="shared" si="17"/>
        <v>0</v>
      </c>
      <c r="F75" s="38">
        <f t="shared" si="17"/>
        <v>0</v>
      </c>
      <c r="R75" s="11">
        <v>72</v>
      </c>
      <c r="S75" s="12"/>
      <c r="T75" s="13"/>
      <c r="U75" s="13"/>
      <c r="W75" s="11">
        <v>72</v>
      </c>
      <c r="X75" s="12"/>
      <c r="Y75" s="13"/>
      <c r="Z75" s="13"/>
      <c r="AB75" s="11">
        <v>72</v>
      </c>
      <c r="AC75" s="12"/>
      <c r="AD75" s="12"/>
      <c r="AE75" s="12"/>
      <c r="AG75" s="11">
        <v>72</v>
      </c>
      <c r="AH75" s="12"/>
      <c r="AI75" s="12"/>
      <c r="AJ75" s="12"/>
      <c r="AL75" s="11">
        <v>72</v>
      </c>
      <c r="AM75" s="12"/>
      <c r="AN75" s="12"/>
      <c r="AO75" s="12"/>
      <c r="AQ75" s="11">
        <v>72</v>
      </c>
      <c r="AR75" s="13"/>
      <c r="AS75" s="13"/>
      <c r="AT75" s="11">
        <v>72</v>
      </c>
      <c r="AU75" s="13"/>
      <c r="AW75" s="11">
        <v>72</v>
      </c>
      <c r="AX75" s="12"/>
      <c r="AY75" s="12"/>
      <c r="AZ75" s="124"/>
      <c r="BA75" s="12"/>
      <c r="BB75" s="12"/>
      <c r="BC75" s="12"/>
      <c r="BD75" s="12"/>
      <c r="BE75" s="12"/>
      <c r="BF75" s="24"/>
      <c r="BG75" s="29"/>
      <c r="BH75" s="12"/>
      <c r="BI75" s="12"/>
      <c r="BK75" s="11">
        <v>72</v>
      </c>
      <c r="BL75" s="12"/>
      <c r="BM75" s="13"/>
      <c r="BN75" s="13"/>
      <c r="BP75" s="11">
        <v>72</v>
      </c>
      <c r="BQ75" s="12"/>
      <c r="BR75" s="13"/>
      <c r="BS75" s="13"/>
      <c r="BU75" s="11">
        <v>72</v>
      </c>
      <c r="BV75" s="12"/>
      <c r="BW75" s="12"/>
      <c r="BX75" s="12"/>
      <c r="BZ75" s="11">
        <v>72</v>
      </c>
      <c r="CA75" s="12"/>
      <c r="CC75" s="11">
        <v>72</v>
      </c>
      <c r="CD75" s="12"/>
    </row>
    <row r="76" spans="1:82">
      <c r="A76" s="20" t="s">
        <v>24</v>
      </c>
      <c r="B76" s="20">
        <v>9</v>
      </c>
      <c r="C76" s="5" t="s">
        <v>16</v>
      </c>
      <c r="D76" s="37">
        <f t="shared" si="18"/>
        <v>0</v>
      </c>
      <c r="E76" s="59">
        <f t="shared" si="17"/>
        <v>0</v>
      </c>
      <c r="F76" s="38">
        <f t="shared" si="17"/>
        <v>0</v>
      </c>
      <c r="R76" s="11">
        <v>73</v>
      </c>
      <c r="S76" s="12"/>
      <c r="T76" s="13"/>
      <c r="U76" s="13"/>
      <c r="W76" s="11">
        <v>73</v>
      </c>
      <c r="X76" s="12"/>
      <c r="Y76" s="13"/>
      <c r="Z76" s="13"/>
      <c r="AB76" s="11">
        <v>73</v>
      </c>
      <c r="AC76" s="12"/>
      <c r="AD76" s="12"/>
      <c r="AE76" s="12"/>
      <c r="AG76" s="11">
        <v>73</v>
      </c>
      <c r="AH76" s="12"/>
      <c r="AI76" s="12"/>
      <c r="AJ76" s="12"/>
      <c r="AL76" s="11">
        <v>73</v>
      </c>
      <c r="AM76" s="12"/>
      <c r="AN76" s="12"/>
      <c r="AO76" s="12"/>
      <c r="AQ76" s="11">
        <v>73</v>
      </c>
      <c r="AR76" s="13"/>
      <c r="AS76" s="13"/>
      <c r="AT76" s="11">
        <v>73</v>
      </c>
      <c r="AU76" s="13"/>
      <c r="AW76" s="11">
        <v>73</v>
      </c>
      <c r="AX76" s="12"/>
      <c r="AY76" s="12"/>
      <c r="AZ76" s="124"/>
      <c r="BA76" s="12"/>
      <c r="BB76" s="12"/>
      <c r="BC76" s="12"/>
      <c r="BD76" s="12"/>
      <c r="BE76" s="12"/>
      <c r="BF76" s="24"/>
      <c r="BG76" s="29"/>
      <c r="BH76" s="12"/>
      <c r="BI76" s="12"/>
      <c r="BK76" s="11">
        <v>73</v>
      </c>
      <c r="BL76" s="12"/>
      <c r="BM76" s="13"/>
      <c r="BN76" s="13"/>
      <c r="BP76" s="11">
        <v>73</v>
      </c>
      <c r="BQ76" s="12"/>
      <c r="BR76" s="13"/>
      <c r="BS76" s="13"/>
      <c r="BU76" s="11">
        <v>73</v>
      </c>
      <c r="BV76" s="12"/>
      <c r="BW76" s="12"/>
      <c r="BX76" s="12"/>
      <c r="BZ76" s="11">
        <v>73</v>
      </c>
      <c r="CA76" s="12"/>
      <c r="CC76" s="11">
        <v>73</v>
      </c>
      <c r="CD76" s="12"/>
    </row>
    <row r="77" spans="1:82">
      <c r="A77" s="21" t="s">
        <v>35</v>
      </c>
      <c r="B77" s="21">
        <v>10</v>
      </c>
      <c r="C77" s="5" t="s">
        <v>37</v>
      </c>
      <c r="D77" s="37">
        <f t="shared" si="18"/>
        <v>0</v>
      </c>
      <c r="E77" s="59">
        <f t="shared" si="17"/>
        <v>0</v>
      </c>
      <c r="F77" s="38">
        <f t="shared" si="17"/>
        <v>0</v>
      </c>
      <c r="R77" s="11">
        <v>74</v>
      </c>
      <c r="S77" s="12"/>
      <c r="T77" s="13"/>
      <c r="U77" s="13"/>
      <c r="W77" s="11">
        <v>74</v>
      </c>
      <c r="X77" s="12"/>
      <c r="Y77" s="13"/>
      <c r="Z77" s="13"/>
      <c r="AB77" s="11">
        <v>74</v>
      </c>
      <c r="AC77" s="12"/>
      <c r="AD77" s="12"/>
      <c r="AE77" s="12"/>
      <c r="AG77" s="11">
        <v>74</v>
      </c>
      <c r="AH77" s="12"/>
      <c r="AI77" s="12"/>
      <c r="AJ77" s="12"/>
      <c r="AL77" s="11">
        <v>74</v>
      </c>
      <c r="AM77" s="12"/>
      <c r="AN77" s="12"/>
      <c r="AO77" s="12"/>
      <c r="AQ77" s="11">
        <v>74</v>
      </c>
      <c r="AR77" s="13"/>
      <c r="AS77" s="13"/>
      <c r="AT77" s="11">
        <v>74</v>
      </c>
      <c r="AU77" s="13"/>
      <c r="AW77" s="11">
        <v>74</v>
      </c>
      <c r="AX77" s="12"/>
      <c r="AY77" s="12"/>
      <c r="AZ77" s="124"/>
      <c r="BA77" s="12"/>
      <c r="BB77" s="12"/>
      <c r="BC77" s="12"/>
      <c r="BD77" s="12"/>
      <c r="BE77" s="12"/>
      <c r="BF77" s="24"/>
      <c r="BG77" s="29"/>
      <c r="BH77" s="12"/>
      <c r="BI77" s="12"/>
      <c r="BK77" s="11">
        <v>74</v>
      </c>
      <c r="BL77" s="12"/>
      <c r="BM77" s="13"/>
      <c r="BN77" s="13"/>
      <c r="BP77" s="11">
        <v>74</v>
      </c>
      <c r="BQ77" s="12"/>
      <c r="BR77" s="13"/>
      <c r="BS77" s="13"/>
      <c r="BU77" s="11">
        <v>74</v>
      </c>
      <c r="BV77" s="12"/>
      <c r="BW77" s="12"/>
      <c r="BX77" s="12"/>
      <c r="BZ77" s="11">
        <v>74</v>
      </c>
      <c r="CA77" s="12"/>
      <c r="CC77" s="11">
        <v>74</v>
      </c>
      <c r="CD77" s="12"/>
    </row>
    <row r="78" spans="1:82">
      <c r="A78" s="22" t="s">
        <v>39</v>
      </c>
      <c r="B78" s="22">
        <v>11</v>
      </c>
      <c r="C78" s="17" t="s">
        <v>38</v>
      </c>
      <c r="D78" s="60">
        <f t="shared" si="18"/>
        <v>0</v>
      </c>
      <c r="E78" s="39">
        <f t="shared" si="17"/>
        <v>0</v>
      </c>
      <c r="F78" s="40">
        <f t="shared" si="17"/>
        <v>0</v>
      </c>
      <c r="R78" s="11">
        <v>75</v>
      </c>
      <c r="S78" s="12"/>
      <c r="T78" s="13"/>
      <c r="U78" s="13"/>
      <c r="W78" s="11">
        <v>75</v>
      </c>
      <c r="X78" s="12"/>
      <c r="Y78" s="13"/>
      <c r="Z78" s="13"/>
      <c r="AB78" s="11">
        <v>75</v>
      </c>
      <c r="AC78" s="12"/>
      <c r="AD78" s="12"/>
      <c r="AE78" s="12"/>
      <c r="AG78" s="11">
        <v>75</v>
      </c>
      <c r="AH78" s="12"/>
      <c r="AI78" s="12"/>
      <c r="AJ78" s="12"/>
      <c r="AL78" s="11">
        <v>75</v>
      </c>
      <c r="AM78" s="12"/>
      <c r="AN78" s="12"/>
      <c r="AO78" s="12"/>
      <c r="AQ78" s="11">
        <v>75</v>
      </c>
      <c r="AR78" s="13"/>
      <c r="AS78" s="13"/>
      <c r="AT78" s="11">
        <v>75</v>
      </c>
      <c r="AU78" s="13"/>
      <c r="AW78" s="11">
        <v>75</v>
      </c>
      <c r="AX78" s="12"/>
      <c r="AY78" s="12"/>
      <c r="AZ78" s="124"/>
      <c r="BA78" s="12"/>
      <c r="BB78" s="12"/>
      <c r="BC78" s="12"/>
      <c r="BD78" s="12"/>
      <c r="BE78" s="12"/>
      <c r="BF78" s="24"/>
      <c r="BG78" s="29"/>
      <c r="BH78" s="12"/>
      <c r="BI78" s="12"/>
      <c r="BK78" s="11">
        <v>75</v>
      </c>
      <c r="BL78" s="12"/>
      <c r="BM78" s="13"/>
      <c r="BN78" s="13"/>
      <c r="BP78" s="11">
        <v>75</v>
      </c>
      <c r="BQ78" s="12"/>
      <c r="BR78" s="13"/>
      <c r="BS78" s="13"/>
      <c r="BU78" s="11">
        <v>75</v>
      </c>
      <c r="BV78" s="12"/>
      <c r="BW78" s="12"/>
      <c r="BX78" s="12"/>
      <c r="BZ78" s="11">
        <v>75</v>
      </c>
      <c r="CA78" s="12"/>
      <c r="CC78" s="11">
        <v>75</v>
      </c>
      <c r="CD78" s="12"/>
    </row>
    <row r="79" spans="1:82">
      <c r="R79" s="11">
        <v>76</v>
      </c>
      <c r="S79" s="12"/>
      <c r="T79" s="13"/>
      <c r="U79" s="13"/>
      <c r="W79" s="11">
        <v>76</v>
      </c>
      <c r="X79" s="12"/>
      <c r="Y79" s="13"/>
      <c r="Z79" s="13"/>
      <c r="AB79" s="11">
        <v>76</v>
      </c>
      <c r="AC79" s="12"/>
      <c r="AD79" s="12"/>
      <c r="AE79" s="12"/>
      <c r="AG79" s="11">
        <v>76</v>
      </c>
      <c r="AH79" s="12"/>
      <c r="AI79" s="12"/>
      <c r="AJ79" s="12"/>
      <c r="AL79" s="11">
        <v>76</v>
      </c>
      <c r="AM79" s="12"/>
      <c r="AN79" s="12"/>
      <c r="AO79" s="12"/>
      <c r="AQ79" s="11">
        <v>76</v>
      </c>
      <c r="AR79" s="13"/>
      <c r="AS79" s="13"/>
      <c r="AT79" s="11">
        <v>76</v>
      </c>
      <c r="AU79" s="13"/>
      <c r="AW79" s="11">
        <v>76</v>
      </c>
      <c r="AX79" s="12"/>
      <c r="AY79" s="12"/>
      <c r="AZ79" s="124"/>
      <c r="BA79" s="12"/>
      <c r="BB79" s="12"/>
      <c r="BC79" s="12"/>
      <c r="BD79" s="12"/>
      <c r="BE79" s="12"/>
      <c r="BF79" s="24"/>
      <c r="BG79" s="29"/>
      <c r="BH79" s="12"/>
      <c r="BI79" s="12"/>
      <c r="BK79" s="11">
        <v>76</v>
      </c>
      <c r="BL79" s="12"/>
      <c r="BM79" s="13"/>
      <c r="BN79" s="13"/>
      <c r="BP79" s="11">
        <v>76</v>
      </c>
      <c r="BQ79" s="12"/>
      <c r="BR79" s="13"/>
      <c r="BS79" s="13"/>
      <c r="BU79" s="11">
        <v>76</v>
      </c>
      <c r="BV79" s="12"/>
      <c r="BW79" s="12"/>
      <c r="BX79" s="12"/>
      <c r="BZ79" s="11">
        <v>76</v>
      </c>
      <c r="CA79" s="12"/>
      <c r="CC79" s="11">
        <v>76</v>
      </c>
      <c r="CD79" s="12"/>
    </row>
    <row r="80" spans="1:82">
      <c r="R80" s="11">
        <v>77</v>
      </c>
      <c r="S80" s="12"/>
      <c r="T80" s="13"/>
      <c r="U80" s="13"/>
      <c r="W80" s="11">
        <v>77</v>
      </c>
      <c r="X80" s="12"/>
      <c r="Y80" s="13"/>
      <c r="Z80" s="13"/>
      <c r="AB80" s="11">
        <v>77</v>
      </c>
      <c r="AC80" s="12"/>
      <c r="AD80" s="12"/>
      <c r="AE80" s="12"/>
      <c r="AG80" s="11">
        <v>77</v>
      </c>
      <c r="AH80" s="12"/>
      <c r="AI80" s="12"/>
      <c r="AJ80" s="12"/>
      <c r="AL80" s="11">
        <v>77</v>
      </c>
      <c r="AM80" s="12"/>
      <c r="AN80" s="12"/>
      <c r="AO80" s="12"/>
      <c r="AQ80" s="11">
        <v>77</v>
      </c>
      <c r="AR80" s="13"/>
      <c r="AS80" s="13"/>
      <c r="AT80" s="11">
        <v>77</v>
      </c>
      <c r="AU80" s="13"/>
      <c r="AW80" s="11">
        <v>77</v>
      </c>
      <c r="AX80" s="12"/>
      <c r="AY80" s="12"/>
      <c r="AZ80" s="124"/>
      <c r="BA80" s="12"/>
      <c r="BB80" s="12"/>
      <c r="BC80" s="12"/>
      <c r="BD80" s="12"/>
      <c r="BE80" s="12"/>
      <c r="BF80" s="24"/>
      <c r="BG80" s="29"/>
      <c r="BH80" s="12"/>
      <c r="BI80" s="12"/>
      <c r="BK80" s="11">
        <v>77</v>
      </c>
      <c r="BL80" s="12"/>
      <c r="BM80" s="13"/>
      <c r="BN80" s="13"/>
      <c r="BP80" s="11">
        <v>77</v>
      </c>
      <c r="BQ80" s="12"/>
      <c r="BR80" s="13"/>
      <c r="BS80" s="13"/>
      <c r="BU80" s="11">
        <v>77</v>
      </c>
      <c r="BV80" s="12"/>
      <c r="BW80" s="12"/>
      <c r="BX80" s="12"/>
      <c r="BZ80" s="11">
        <v>77</v>
      </c>
      <c r="CA80" s="12"/>
      <c r="CC80" s="11">
        <v>77</v>
      </c>
      <c r="CD80" s="12"/>
    </row>
    <row r="81" spans="18:82">
      <c r="R81" s="11">
        <v>78</v>
      </c>
      <c r="S81" s="12"/>
      <c r="T81" s="13"/>
      <c r="U81" s="13"/>
      <c r="W81" s="11">
        <v>78</v>
      </c>
      <c r="X81" s="12"/>
      <c r="Y81" s="13"/>
      <c r="Z81" s="13"/>
      <c r="AB81" s="11">
        <v>78</v>
      </c>
      <c r="AC81" s="12"/>
      <c r="AD81" s="12"/>
      <c r="AE81" s="12"/>
      <c r="AG81" s="11">
        <v>78</v>
      </c>
      <c r="AH81" s="12"/>
      <c r="AI81" s="12"/>
      <c r="AJ81" s="12"/>
      <c r="AL81" s="11">
        <v>78</v>
      </c>
      <c r="AM81" s="12"/>
      <c r="AN81" s="12"/>
      <c r="AO81" s="12"/>
      <c r="AQ81" s="11">
        <v>78</v>
      </c>
      <c r="AR81" s="13"/>
      <c r="AS81" s="13"/>
      <c r="AT81" s="11">
        <v>78</v>
      </c>
      <c r="AU81" s="13"/>
      <c r="AW81" s="11">
        <v>78</v>
      </c>
      <c r="AX81" s="12"/>
      <c r="AY81" s="12"/>
      <c r="AZ81" s="124"/>
      <c r="BA81" s="12"/>
      <c r="BB81" s="12"/>
      <c r="BC81" s="12"/>
      <c r="BD81" s="12"/>
      <c r="BE81" s="12"/>
      <c r="BF81" s="24"/>
      <c r="BG81" s="29"/>
      <c r="BH81" s="12"/>
      <c r="BI81" s="12"/>
      <c r="BK81" s="11">
        <v>78</v>
      </c>
      <c r="BL81" s="12"/>
      <c r="BM81" s="13"/>
      <c r="BN81" s="13"/>
      <c r="BP81" s="11">
        <v>78</v>
      </c>
      <c r="BQ81" s="12"/>
      <c r="BR81" s="13"/>
      <c r="BS81" s="13"/>
      <c r="BU81" s="11">
        <v>78</v>
      </c>
      <c r="BV81" s="12"/>
      <c r="BW81" s="12"/>
      <c r="BX81" s="12"/>
      <c r="BZ81" s="11">
        <v>78</v>
      </c>
      <c r="CA81" s="12"/>
      <c r="CC81" s="11">
        <v>78</v>
      </c>
      <c r="CD81" s="12"/>
    </row>
    <row r="82" spans="18:82">
      <c r="R82" s="11">
        <v>79</v>
      </c>
      <c r="S82" s="12"/>
      <c r="T82" s="13"/>
      <c r="U82" s="13"/>
      <c r="W82" s="11">
        <v>79</v>
      </c>
      <c r="X82" s="12"/>
      <c r="Y82" s="13"/>
      <c r="Z82" s="13"/>
      <c r="AB82" s="11">
        <v>79</v>
      </c>
      <c r="AC82" s="12"/>
      <c r="AD82" s="12"/>
      <c r="AE82" s="12"/>
      <c r="AG82" s="11">
        <v>79</v>
      </c>
      <c r="AH82" s="12"/>
      <c r="AI82" s="12"/>
      <c r="AJ82" s="12"/>
      <c r="AL82" s="11">
        <v>79</v>
      </c>
      <c r="AM82" s="12"/>
      <c r="AN82" s="12"/>
      <c r="AO82" s="12"/>
      <c r="AQ82" s="11">
        <v>79</v>
      </c>
      <c r="AR82" s="13"/>
      <c r="AS82" s="13"/>
      <c r="AT82" s="11">
        <v>79</v>
      </c>
      <c r="AU82" s="13"/>
      <c r="AW82" s="11">
        <v>79</v>
      </c>
      <c r="AX82" s="12"/>
      <c r="AY82" s="12"/>
      <c r="AZ82" s="124"/>
      <c r="BA82" s="12"/>
      <c r="BB82" s="12"/>
      <c r="BC82" s="12"/>
      <c r="BD82" s="12"/>
      <c r="BE82" s="12"/>
      <c r="BF82" s="24"/>
      <c r="BG82" s="29"/>
      <c r="BH82" s="12"/>
      <c r="BI82" s="12"/>
      <c r="BK82" s="11">
        <v>79</v>
      </c>
      <c r="BL82" s="12"/>
      <c r="BM82" s="13"/>
      <c r="BN82" s="13"/>
      <c r="BP82" s="11">
        <v>79</v>
      </c>
      <c r="BQ82" s="12"/>
      <c r="BR82" s="13"/>
      <c r="BS82" s="13"/>
      <c r="BU82" s="11">
        <v>79</v>
      </c>
      <c r="BV82" s="12"/>
      <c r="BW82" s="12"/>
      <c r="BX82" s="12"/>
      <c r="BZ82" s="11">
        <v>79</v>
      </c>
      <c r="CA82" s="12"/>
      <c r="CC82" s="11">
        <v>79</v>
      </c>
      <c r="CD82" s="12"/>
    </row>
    <row r="83" spans="18:82">
      <c r="R83" s="11">
        <v>80</v>
      </c>
      <c r="S83" s="12"/>
      <c r="T83" s="13"/>
      <c r="U83" s="13"/>
      <c r="W83" s="11">
        <v>80</v>
      </c>
      <c r="X83" s="12"/>
      <c r="Y83" s="13"/>
      <c r="Z83" s="13"/>
      <c r="AB83" s="11">
        <v>80</v>
      </c>
      <c r="AC83" s="12"/>
      <c r="AD83" s="12"/>
      <c r="AE83" s="12"/>
      <c r="AG83" s="11">
        <v>80</v>
      </c>
      <c r="AH83" s="12"/>
      <c r="AI83" s="12"/>
      <c r="AJ83" s="12"/>
      <c r="AL83" s="11">
        <v>80</v>
      </c>
      <c r="AM83" s="12"/>
      <c r="AN83" s="12"/>
      <c r="AO83" s="12"/>
      <c r="AQ83" s="11">
        <v>80</v>
      </c>
      <c r="AR83" s="13"/>
      <c r="AS83" s="13"/>
      <c r="AT83" s="11">
        <v>80</v>
      </c>
      <c r="AU83" s="13"/>
      <c r="AW83" s="11">
        <v>80</v>
      </c>
      <c r="AX83" s="12"/>
      <c r="AY83" s="12"/>
      <c r="AZ83" s="124"/>
      <c r="BA83" s="12"/>
      <c r="BB83" s="12"/>
      <c r="BC83" s="12"/>
      <c r="BD83" s="12"/>
      <c r="BE83" s="12"/>
      <c r="BF83" s="24"/>
      <c r="BG83" s="29"/>
      <c r="BH83" s="12"/>
      <c r="BI83" s="12"/>
      <c r="BK83" s="11">
        <v>80</v>
      </c>
      <c r="BL83" s="12"/>
      <c r="BM83" s="13"/>
      <c r="BN83" s="13"/>
      <c r="BP83" s="11">
        <v>80</v>
      </c>
      <c r="BQ83" s="12"/>
      <c r="BR83" s="13"/>
      <c r="BS83" s="13"/>
      <c r="BU83" s="11">
        <v>80</v>
      </c>
      <c r="BV83" s="12"/>
      <c r="BW83" s="12"/>
      <c r="BX83" s="12"/>
      <c r="BZ83" s="11">
        <v>80</v>
      </c>
      <c r="CA83" s="12"/>
      <c r="CC83" s="11">
        <v>80</v>
      </c>
      <c r="CD83" s="12"/>
    </row>
    <row r="84" spans="18:82">
      <c r="R84" s="11">
        <v>81</v>
      </c>
      <c r="S84" s="12"/>
      <c r="T84" s="13"/>
      <c r="U84" s="13"/>
      <c r="W84" s="11">
        <v>81</v>
      </c>
      <c r="X84" s="12"/>
      <c r="Y84" s="13"/>
      <c r="Z84" s="13"/>
      <c r="AB84" s="11">
        <v>81</v>
      </c>
      <c r="AC84" s="12"/>
      <c r="AD84" s="12"/>
      <c r="AE84" s="12"/>
      <c r="AG84" s="11">
        <v>81</v>
      </c>
      <c r="AH84" s="12"/>
      <c r="AI84" s="12"/>
      <c r="AJ84" s="12"/>
      <c r="AL84" s="11">
        <v>81</v>
      </c>
      <c r="AM84" s="12"/>
      <c r="AN84" s="12"/>
      <c r="AO84" s="12"/>
      <c r="AQ84" s="11">
        <v>81</v>
      </c>
      <c r="AR84" s="13"/>
      <c r="AS84" s="13"/>
      <c r="AT84" s="11">
        <v>81</v>
      </c>
      <c r="AU84" s="13"/>
      <c r="AW84" s="11">
        <v>81</v>
      </c>
      <c r="AX84" s="12"/>
      <c r="AY84" s="12"/>
      <c r="AZ84" s="124"/>
      <c r="BA84" s="12"/>
      <c r="BB84" s="12"/>
      <c r="BC84" s="12"/>
      <c r="BD84" s="12"/>
      <c r="BE84" s="12"/>
      <c r="BF84" s="24"/>
      <c r="BG84" s="29"/>
      <c r="BH84" s="12"/>
      <c r="BI84" s="12"/>
      <c r="BK84" s="11">
        <v>81</v>
      </c>
      <c r="BL84" s="12"/>
      <c r="BM84" s="13"/>
      <c r="BN84" s="13"/>
      <c r="BP84" s="11">
        <v>81</v>
      </c>
      <c r="BQ84" s="12"/>
      <c r="BR84" s="13"/>
      <c r="BS84" s="13"/>
      <c r="BU84" s="11">
        <v>81</v>
      </c>
      <c r="BV84" s="12"/>
      <c r="BW84" s="12"/>
      <c r="BX84" s="12"/>
      <c r="BZ84" s="11">
        <v>81</v>
      </c>
      <c r="CA84" s="12"/>
      <c r="CC84" s="11">
        <v>81</v>
      </c>
      <c r="CD84" s="12"/>
    </row>
    <row r="85" spans="18:82">
      <c r="R85" s="11">
        <v>82</v>
      </c>
      <c r="S85" s="12"/>
      <c r="T85" s="13"/>
      <c r="U85" s="13"/>
      <c r="W85" s="11">
        <v>82</v>
      </c>
      <c r="X85" s="12"/>
      <c r="Y85" s="13"/>
      <c r="Z85" s="13"/>
      <c r="AB85" s="11">
        <v>82</v>
      </c>
      <c r="AC85" s="12"/>
      <c r="AD85" s="12"/>
      <c r="AE85" s="12"/>
      <c r="AG85" s="11">
        <v>82</v>
      </c>
      <c r="AH85" s="12"/>
      <c r="AI85" s="12"/>
      <c r="AJ85" s="12"/>
      <c r="AL85" s="11">
        <v>82</v>
      </c>
      <c r="AM85" s="12"/>
      <c r="AN85" s="12"/>
      <c r="AO85" s="12"/>
      <c r="AQ85" s="11">
        <v>82</v>
      </c>
      <c r="AR85" s="13"/>
      <c r="AS85" s="13"/>
      <c r="AT85" s="11">
        <v>82</v>
      </c>
      <c r="AU85" s="13"/>
      <c r="AW85" s="11">
        <v>82</v>
      </c>
      <c r="AX85" s="12"/>
      <c r="AY85" s="12"/>
      <c r="AZ85" s="124"/>
      <c r="BA85" s="12"/>
      <c r="BB85" s="12"/>
      <c r="BC85" s="12"/>
      <c r="BD85" s="12"/>
      <c r="BE85" s="12"/>
      <c r="BF85" s="24"/>
      <c r="BG85" s="29"/>
      <c r="BH85" s="12"/>
      <c r="BI85" s="12"/>
      <c r="BK85" s="11">
        <v>82</v>
      </c>
      <c r="BL85" s="12"/>
      <c r="BM85" s="13"/>
      <c r="BN85" s="13"/>
      <c r="BP85" s="11">
        <v>82</v>
      </c>
      <c r="BQ85" s="12"/>
      <c r="BR85" s="13"/>
      <c r="BS85" s="13"/>
      <c r="BU85" s="11">
        <v>82</v>
      </c>
      <c r="BV85" s="12"/>
      <c r="BW85" s="12"/>
      <c r="BX85" s="12"/>
      <c r="BZ85" s="11">
        <v>82</v>
      </c>
      <c r="CA85" s="12"/>
      <c r="CC85" s="11">
        <v>82</v>
      </c>
      <c r="CD85" s="12"/>
    </row>
    <row r="86" spans="18:82">
      <c r="R86" s="11">
        <v>83</v>
      </c>
      <c r="S86" s="12"/>
      <c r="T86" s="13"/>
      <c r="U86" s="13"/>
      <c r="W86" s="11">
        <v>83</v>
      </c>
      <c r="X86" s="12"/>
      <c r="Y86" s="13"/>
      <c r="Z86" s="13"/>
      <c r="AB86" s="11">
        <v>83</v>
      </c>
      <c r="AC86" s="12"/>
      <c r="AD86" s="12"/>
      <c r="AE86" s="12"/>
      <c r="AG86" s="11">
        <v>83</v>
      </c>
      <c r="AH86" s="12"/>
      <c r="AI86" s="12"/>
      <c r="AJ86" s="12"/>
      <c r="AL86" s="11">
        <v>83</v>
      </c>
      <c r="AM86" s="12"/>
      <c r="AN86" s="12"/>
      <c r="AO86" s="12"/>
      <c r="AQ86" s="11">
        <v>83</v>
      </c>
      <c r="AR86" s="13"/>
      <c r="AS86" s="13"/>
      <c r="AT86" s="11">
        <v>83</v>
      </c>
      <c r="AU86" s="13"/>
      <c r="AW86" s="11">
        <v>83</v>
      </c>
      <c r="AX86" s="12"/>
      <c r="AY86" s="12"/>
      <c r="AZ86" s="124"/>
      <c r="BA86" s="12"/>
      <c r="BB86" s="12"/>
      <c r="BC86" s="12"/>
      <c r="BD86" s="12"/>
      <c r="BE86" s="12"/>
      <c r="BF86" s="24"/>
      <c r="BG86" s="29"/>
      <c r="BH86" s="12"/>
      <c r="BI86" s="12"/>
      <c r="BK86" s="11">
        <v>83</v>
      </c>
      <c r="BL86" s="12"/>
      <c r="BM86" s="13"/>
      <c r="BN86" s="13"/>
      <c r="BP86" s="11">
        <v>83</v>
      </c>
      <c r="BQ86" s="12"/>
      <c r="BR86" s="13"/>
      <c r="BS86" s="13"/>
      <c r="BU86" s="11">
        <v>83</v>
      </c>
      <c r="BV86" s="12"/>
      <c r="BW86" s="12"/>
      <c r="BX86" s="12"/>
      <c r="BZ86" s="11">
        <v>83</v>
      </c>
      <c r="CA86" s="12"/>
      <c r="CC86" s="11">
        <v>83</v>
      </c>
      <c r="CD86" s="12"/>
    </row>
    <row r="87" spans="18:82">
      <c r="R87" s="11">
        <v>84</v>
      </c>
      <c r="S87" s="12"/>
      <c r="T87" s="13"/>
      <c r="U87" s="13"/>
      <c r="W87" s="11">
        <v>84</v>
      </c>
      <c r="X87" s="12"/>
      <c r="Y87" s="13"/>
      <c r="Z87" s="13"/>
      <c r="AB87" s="11">
        <v>84</v>
      </c>
      <c r="AC87" s="12"/>
      <c r="AD87" s="12"/>
      <c r="AE87" s="12"/>
      <c r="AG87" s="11">
        <v>84</v>
      </c>
      <c r="AH87" s="12"/>
      <c r="AI87" s="12"/>
      <c r="AJ87" s="12"/>
      <c r="AL87" s="11">
        <v>84</v>
      </c>
      <c r="AM87" s="12"/>
      <c r="AN87" s="12"/>
      <c r="AO87" s="12"/>
      <c r="AQ87" s="11">
        <v>84</v>
      </c>
      <c r="AR87" s="13"/>
      <c r="AS87" s="13"/>
      <c r="AT87" s="11">
        <v>84</v>
      </c>
      <c r="AU87" s="13"/>
      <c r="AW87" s="11">
        <v>84</v>
      </c>
      <c r="AX87" s="12"/>
      <c r="AY87" s="12"/>
      <c r="AZ87" s="124"/>
      <c r="BA87" s="12"/>
      <c r="BB87" s="12"/>
      <c r="BC87" s="12"/>
      <c r="BD87" s="12"/>
      <c r="BE87" s="12"/>
      <c r="BF87" s="24"/>
      <c r="BG87" s="29"/>
      <c r="BH87" s="12"/>
      <c r="BI87" s="12"/>
      <c r="BK87" s="11">
        <v>84</v>
      </c>
      <c r="BL87" s="12"/>
      <c r="BM87" s="13"/>
      <c r="BN87" s="13"/>
      <c r="BP87" s="11">
        <v>84</v>
      </c>
      <c r="BQ87" s="12"/>
      <c r="BR87" s="13"/>
      <c r="BS87" s="13"/>
      <c r="BU87" s="11">
        <v>84</v>
      </c>
      <c r="BV87" s="12"/>
      <c r="BW87" s="12"/>
      <c r="BX87" s="12"/>
      <c r="BZ87" s="11">
        <v>84</v>
      </c>
      <c r="CA87" s="12"/>
      <c r="CC87" s="11">
        <v>84</v>
      </c>
      <c r="CD87" s="12"/>
    </row>
    <row r="88" spans="18:82">
      <c r="R88" s="11">
        <v>85</v>
      </c>
      <c r="S88" s="12"/>
      <c r="T88" s="13"/>
      <c r="U88" s="13"/>
      <c r="W88" s="11">
        <v>85</v>
      </c>
      <c r="X88" s="12"/>
      <c r="Y88" s="13"/>
      <c r="Z88" s="13"/>
      <c r="AB88" s="11">
        <v>85</v>
      </c>
      <c r="AC88" s="12"/>
      <c r="AD88" s="12"/>
      <c r="AE88" s="12"/>
      <c r="AG88" s="11">
        <v>85</v>
      </c>
      <c r="AH88" s="12"/>
      <c r="AI88" s="12"/>
      <c r="AJ88" s="12"/>
      <c r="AL88" s="11">
        <v>85</v>
      </c>
      <c r="AM88" s="12"/>
      <c r="AN88" s="12"/>
      <c r="AO88" s="12"/>
      <c r="AQ88" s="11">
        <v>85</v>
      </c>
      <c r="AR88" s="13"/>
      <c r="AS88" s="13"/>
      <c r="AT88" s="11">
        <v>85</v>
      </c>
      <c r="AU88" s="13"/>
      <c r="AW88" s="11">
        <v>85</v>
      </c>
      <c r="AX88" s="12"/>
      <c r="AY88" s="12"/>
      <c r="AZ88" s="124"/>
      <c r="BA88" s="12"/>
      <c r="BB88" s="12"/>
      <c r="BC88" s="12"/>
      <c r="BD88" s="12"/>
      <c r="BE88" s="12"/>
      <c r="BF88" s="24"/>
      <c r="BG88" s="29"/>
      <c r="BH88" s="12"/>
      <c r="BI88" s="12"/>
      <c r="BK88" s="11">
        <v>85</v>
      </c>
      <c r="BL88" s="12"/>
      <c r="BM88" s="13"/>
      <c r="BN88" s="13"/>
      <c r="BP88" s="11">
        <v>85</v>
      </c>
      <c r="BQ88" s="12"/>
      <c r="BR88" s="13"/>
      <c r="BS88" s="13"/>
      <c r="BU88" s="11">
        <v>85</v>
      </c>
      <c r="BV88" s="12"/>
      <c r="BW88" s="12"/>
      <c r="BX88" s="12"/>
      <c r="BZ88" s="11">
        <v>85</v>
      </c>
      <c r="CA88" s="12"/>
      <c r="CC88" s="11">
        <v>85</v>
      </c>
      <c r="CD88" s="12"/>
    </row>
    <row r="89" spans="18:82">
      <c r="R89" s="11">
        <v>86</v>
      </c>
      <c r="S89" s="12"/>
      <c r="T89" s="13"/>
      <c r="U89" s="13"/>
      <c r="W89" s="11">
        <v>86</v>
      </c>
      <c r="X89" s="12"/>
      <c r="Y89" s="13"/>
      <c r="Z89" s="13"/>
      <c r="AB89" s="11">
        <v>86</v>
      </c>
      <c r="AC89" s="12"/>
      <c r="AD89" s="12"/>
      <c r="AE89" s="12"/>
      <c r="AG89" s="11">
        <v>86</v>
      </c>
      <c r="AH89" s="12"/>
      <c r="AI89" s="12"/>
      <c r="AJ89" s="12"/>
      <c r="AL89" s="11">
        <v>86</v>
      </c>
      <c r="AM89" s="12"/>
      <c r="AN89" s="12"/>
      <c r="AO89" s="12"/>
      <c r="AQ89" s="11">
        <v>86</v>
      </c>
      <c r="AR89" s="13"/>
      <c r="AS89" s="13"/>
      <c r="AT89" s="11">
        <v>86</v>
      </c>
      <c r="AU89" s="13"/>
      <c r="AW89" s="11">
        <v>86</v>
      </c>
      <c r="AX89" s="12"/>
      <c r="AY89" s="12"/>
      <c r="AZ89" s="124"/>
      <c r="BA89" s="12"/>
      <c r="BB89" s="12"/>
      <c r="BC89" s="12"/>
      <c r="BD89" s="12"/>
      <c r="BE89" s="12"/>
      <c r="BF89" s="24"/>
      <c r="BG89" s="29"/>
      <c r="BH89" s="12"/>
      <c r="BI89" s="12"/>
      <c r="BK89" s="11">
        <v>86</v>
      </c>
      <c r="BL89" s="12"/>
      <c r="BM89" s="13"/>
      <c r="BN89" s="13"/>
      <c r="BP89" s="11">
        <v>86</v>
      </c>
      <c r="BQ89" s="12"/>
      <c r="BR89" s="13"/>
      <c r="BS89" s="13"/>
      <c r="BU89" s="11">
        <v>86</v>
      </c>
      <c r="BV89" s="12"/>
      <c r="BW89" s="12"/>
      <c r="BX89" s="12"/>
      <c r="BZ89" s="11">
        <v>86</v>
      </c>
      <c r="CA89" s="12"/>
      <c r="CC89" s="11">
        <v>86</v>
      </c>
      <c r="CD89" s="12"/>
    </row>
    <row r="90" spans="18:82">
      <c r="R90" s="11">
        <v>87</v>
      </c>
      <c r="S90" s="12"/>
      <c r="T90" s="13"/>
      <c r="U90" s="13"/>
      <c r="W90" s="11">
        <v>87</v>
      </c>
      <c r="X90" s="12"/>
      <c r="Y90" s="13"/>
      <c r="Z90" s="13"/>
      <c r="AB90" s="11">
        <v>87</v>
      </c>
      <c r="AC90" s="12"/>
      <c r="AD90" s="12"/>
      <c r="AE90" s="12"/>
      <c r="AG90" s="11">
        <v>87</v>
      </c>
      <c r="AH90" s="12"/>
      <c r="AI90" s="12"/>
      <c r="AJ90" s="12"/>
      <c r="AL90" s="11">
        <v>87</v>
      </c>
      <c r="AM90" s="12"/>
      <c r="AN90" s="12"/>
      <c r="AO90" s="12"/>
      <c r="AQ90" s="11">
        <v>87</v>
      </c>
      <c r="AR90" s="13"/>
      <c r="AS90" s="13"/>
      <c r="AT90" s="11">
        <v>87</v>
      </c>
      <c r="AU90" s="13"/>
      <c r="AW90" s="11">
        <v>87</v>
      </c>
      <c r="AX90" s="12"/>
      <c r="AY90" s="12"/>
      <c r="AZ90" s="124"/>
      <c r="BA90" s="12"/>
      <c r="BB90" s="12"/>
      <c r="BC90" s="12"/>
      <c r="BD90" s="12"/>
      <c r="BE90" s="12"/>
      <c r="BF90" s="24"/>
      <c r="BG90" s="29"/>
      <c r="BH90" s="12"/>
      <c r="BI90" s="12"/>
      <c r="BK90" s="11">
        <v>87</v>
      </c>
      <c r="BL90" s="12"/>
      <c r="BM90" s="13"/>
      <c r="BN90" s="13"/>
      <c r="BP90" s="11">
        <v>87</v>
      </c>
      <c r="BQ90" s="12"/>
      <c r="BR90" s="13"/>
      <c r="BS90" s="13"/>
      <c r="BU90" s="11">
        <v>87</v>
      </c>
      <c r="BV90" s="12"/>
      <c r="BW90" s="12"/>
      <c r="BX90" s="12"/>
      <c r="BZ90" s="11">
        <v>87</v>
      </c>
      <c r="CA90" s="12"/>
      <c r="CC90" s="11">
        <v>87</v>
      </c>
      <c r="CD90" s="12"/>
    </row>
    <row r="91" spans="18:82">
      <c r="R91" s="11">
        <v>88</v>
      </c>
      <c r="S91" s="12"/>
      <c r="T91" s="13"/>
      <c r="U91" s="13"/>
      <c r="W91" s="11">
        <v>88</v>
      </c>
      <c r="X91" s="12"/>
      <c r="Y91" s="13"/>
      <c r="Z91" s="13"/>
      <c r="AB91" s="11">
        <v>88</v>
      </c>
      <c r="AC91" s="12"/>
      <c r="AD91" s="12"/>
      <c r="AE91" s="12"/>
      <c r="AG91" s="11">
        <v>88</v>
      </c>
      <c r="AH91" s="12"/>
      <c r="AI91" s="12"/>
      <c r="AJ91" s="12"/>
      <c r="AL91" s="11">
        <v>88</v>
      </c>
      <c r="AM91" s="12"/>
      <c r="AN91" s="12"/>
      <c r="AO91" s="12"/>
      <c r="AQ91" s="11">
        <v>88</v>
      </c>
      <c r="AR91" s="13"/>
      <c r="AS91" s="13"/>
      <c r="AT91" s="11">
        <v>88</v>
      </c>
      <c r="AU91" s="13"/>
      <c r="AW91" s="11">
        <v>88</v>
      </c>
      <c r="AX91" s="12"/>
      <c r="AY91" s="12"/>
      <c r="AZ91" s="124"/>
      <c r="BA91" s="12"/>
      <c r="BB91" s="12"/>
      <c r="BC91" s="12"/>
      <c r="BD91" s="12"/>
      <c r="BE91" s="12"/>
      <c r="BF91" s="24"/>
      <c r="BG91" s="29"/>
      <c r="BH91" s="12"/>
      <c r="BI91" s="12"/>
      <c r="BK91" s="11">
        <v>88</v>
      </c>
      <c r="BL91" s="12"/>
      <c r="BM91" s="13"/>
      <c r="BN91" s="13"/>
      <c r="BP91" s="11">
        <v>88</v>
      </c>
      <c r="BQ91" s="12"/>
      <c r="BR91" s="13"/>
      <c r="BS91" s="13"/>
      <c r="BU91" s="11">
        <v>88</v>
      </c>
      <c r="BV91" s="12"/>
      <c r="BW91" s="12"/>
      <c r="BX91" s="12"/>
      <c r="BZ91" s="11">
        <v>88</v>
      </c>
      <c r="CA91" s="12"/>
      <c r="CC91" s="11">
        <v>88</v>
      </c>
      <c r="CD91" s="12"/>
    </row>
    <row r="92" spans="18:82">
      <c r="R92" s="11">
        <v>89</v>
      </c>
      <c r="S92" s="12"/>
      <c r="T92" s="13"/>
      <c r="U92" s="13"/>
      <c r="W92" s="11">
        <v>89</v>
      </c>
      <c r="X92" s="12"/>
      <c r="Y92" s="13"/>
      <c r="Z92" s="13"/>
      <c r="AB92" s="11">
        <v>89</v>
      </c>
      <c r="AC92" s="12"/>
      <c r="AD92" s="12"/>
      <c r="AE92" s="12"/>
      <c r="AG92" s="11">
        <v>89</v>
      </c>
      <c r="AH92" s="12"/>
      <c r="AI92" s="12"/>
      <c r="AJ92" s="12"/>
      <c r="AL92" s="11">
        <v>89</v>
      </c>
      <c r="AM92" s="12"/>
      <c r="AN92" s="12"/>
      <c r="AO92" s="12"/>
      <c r="AQ92" s="11">
        <v>89</v>
      </c>
      <c r="AR92" s="13"/>
      <c r="AS92" s="13"/>
      <c r="AT92" s="11">
        <v>89</v>
      </c>
      <c r="AU92" s="13"/>
      <c r="AW92" s="11">
        <v>89</v>
      </c>
      <c r="AX92" s="12"/>
      <c r="AY92" s="12"/>
      <c r="AZ92" s="124"/>
      <c r="BA92" s="12"/>
      <c r="BB92" s="12"/>
      <c r="BC92" s="12"/>
      <c r="BD92" s="12"/>
      <c r="BE92" s="12"/>
      <c r="BF92" s="24"/>
      <c r="BG92" s="29"/>
      <c r="BH92" s="12"/>
      <c r="BI92" s="12"/>
      <c r="BK92" s="11">
        <v>89</v>
      </c>
      <c r="BL92" s="12"/>
      <c r="BM92" s="13"/>
      <c r="BN92" s="13"/>
      <c r="BP92" s="11">
        <v>89</v>
      </c>
      <c r="BQ92" s="12"/>
      <c r="BR92" s="13"/>
      <c r="BS92" s="13"/>
      <c r="BU92" s="11">
        <v>89</v>
      </c>
      <c r="BV92" s="12"/>
      <c r="BW92" s="12"/>
      <c r="BX92" s="12"/>
      <c r="BZ92" s="11">
        <v>89</v>
      </c>
      <c r="CA92" s="12"/>
      <c r="CC92" s="11">
        <v>89</v>
      </c>
      <c r="CD92" s="12"/>
    </row>
    <row r="93" spans="18:82">
      <c r="R93" s="11">
        <v>90</v>
      </c>
      <c r="S93" s="12"/>
      <c r="T93" s="13"/>
      <c r="U93" s="13"/>
      <c r="W93" s="11">
        <v>90</v>
      </c>
      <c r="X93" s="12"/>
      <c r="Y93" s="13"/>
      <c r="Z93" s="13"/>
      <c r="AB93" s="11">
        <v>90</v>
      </c>
      <c r="AC93" s="12"/>
      <c r="AD93" s="12"/>
      <c r="AE93" s="12"/>
      <c r="AG93" s="11">
        <v>90</v>
      </c>
      <c r="AH93" s="12"/>
      <c r="AI93" s="12"/>
      <c r="AJ93" s="12"/>
      <c r="AL93" s="11">
        <v>90</v>
      </c>
      <c r="AM93" s="12"/>
      <c r="AN93" s="12"/>
      <c r="AO93" s="12"/>
      <c r="AQ93" s="11">
        <v>90</v>
      </c>
      <c r="AR93" s="13"/>
      <c r="AS93" s="13"/>
      <c r="AT93" s="11">
        <v>90</v>
      </c>
      <c r="AU93" s="13"/>
      <c r="AW93" s="11">
        <v>90</v>
      </c>
      <c r="AX93" s="12"/>
      <c r="AY93" s="12"/>
      <c r="AZ93" s="124"/>
      <c r="BA93" s="12"/>
      <c r="BB93" s="12"/>
      <c r="BC93" s="12"/>
      <c r="BD93" s="12"/>
      <c r="BE93" s="12"/>
      <c r="BF93" s="24"/>
      <c r="BG93" s="29"/>
      <c r="BH93" s="12"/>
      <c r="BI93" s="12"/>
      <c r="BK93" s="11">
        <v>90</v>
      </c>
      <c r="BL93" s="12"/>
      <c r="BM93" s="13"/>
      <c r="BN93" s="13"/>
      <c r="BP93" s="11">
        <v>90</v>
      </c>
      <c r="BQ93" s="12"/>
      <c r="BR93" s="13"/>
      <c r="BS93" s="13"/>
      <c r="BU93" s="11">
        <v>90</v>
      </c>
      <c r="BV93" s="12"/>
      <c r="BW93" s="12"/>
      <c r="BX93" s="12"/>
      <c r="BZ93" s="11">
        <v>90</v>
      </c>
      <c r="CA93" s="12"/>
      <c r="CC93" s="11">
        <v>90</v>
      </c>
      <c r="CD93" s="12"/>
    </row>
    <row r="94" spans="18:82">
      <c r="R94" s="11">
        <v>91</v>
      </c>
      <c r="S94" s="12"/>
      <c r="T94" s="13"/>
      <c r="U94" s="13"/>
      <c r="W94" s="11">
        <v>91</v>
      </c>
      <c r="X94" s="12"/>
      <c r="Y94" s="13"/>
      <c r="Z94" s="13"/>
      <c r="AB94" s="11">
        <v>91</v>
      </c>
      <c r="AC94" s="12"/>
      <c r="AD94" s="12"/>
      <c r="AE94" s="12"/>
      <c r="AG94" s="11">
        <v>91</v>
      </c>
      <c r="AH94" s="12"/>
      <c r="AI94" s="12"/>
      <c r="AJ94" s="12"/>
      <c r="AL94" s="11">
        <v>91</v>
      </c>
      <c r="AM94" s="12"/>
      <c r="AN94" s="12"/>
      <c r="AO94" s="12"/>
      <c r="AQ94" s="11">
        <v>91</v>
      </c>
      <c r="AR94" s="13"/>
      <c r="AS94" s="13"/>
      <c r="AT94" s="11">
        <v>91</v>
      </c>
      <c r="AU94" s="13"/>
      <c r="AW94" s="11">
        <v>91</v>
      </c>
      <c r="AX94" s="12"/>
      <c r="AY94" s="12"/>
      <c r="AZ94" s="124"/>
      <c r="BA94" s="12"/>
      <c r="BB94" s="12"/>
      <c r="BC94" s="12"/>
      <c r="BD94" s="12"/>
      <c r="BE94" s="12"/>
      <c r="BF94" s="24"/>
      <c r="BG94" s="29"/>
      <c r="BH94" s="12"/>
      <c r="BI94" s="12"/>
      <c r="BK94" s="11">
        <v>91</v>
      </c>
      <c r="BL94" s="12"/>
      <c r="BM94" s="13"/>
      <c r="BN94" s="13"/>
      <c r="BP94" s="11">
        <v>91</v>
      </c>
      <c r="BQ94" s="12"/>
      <c r="BR94" s="13"/>
      <c r="BS94" s="13"/>
      <c r="BU94" s="11">
        <v>91</v>
      </c>
      <c r="BV94" s="12"/>
      <c r="BW94" s="12"/>
      <c r="BX94" s="12"/>
      <c r="BZ94" s="11">
        <v>91</v>
      </c>
      <c r="CA94" s="12"/>
      <c r="CC94" s="11">
        <v>91</v>
      </c>
      <c r="CD94" s="12"/>
    </row>
    <row r="95" spans="18:82">
      <c r="R95" s="11">
        <v>92</v>
      </c>
      <c r="S95" s="12"/>
      <c r="T95" s="13"/>
      <c r="U95" s="13"/>
      <c r="W95" s="11">
        <v>92</v>
      </c>
      <c r="X95" s="12"/>
      <c r="Y95" s="13"/>
      <c r="Z95" s="13"/>
      <c r="AB95" s="11">
        <v>92</v>
      </c>
      <c r="AC95" s="12"/>
      <c r="AD95" s="12"/>
      <c r="AE95" s="12"/>
      <c r="AG95" s="11">
        <v>92</v>
      </c>
      <c r="AH95" s="12"/>
      <c r="AI95" s="12"/>
      <c r="AJ95" s="12"/>
      <c r="AL95" s="11">
        <v>92</v>
      </c>
      <c r="AM95" s="12"/>
      <c r="AN95" s="12"/>
      <c r="AO95" s="12"/>
      <c r="AQ95" s="11">
        <v>92</v>
      </c>
      <c r="AR95" s="13"/>
      <c r="AS95" s="13"/>
      <c r="AT95" s="11">
        <v>92</v>
      </c>
      <c r="AU95" s="13"/>
      <c r="AW95" s="11">
        <v>92</v>
      </c>
      <c r="AX95" s="12"/>
      <c r="AY95" s="12"/>
      <c r="AZ95" s="124"/>
      <c r="BA95" s="12"/>
      <c r="BB95" s="12"/>
      <c r="BC95" s="12"/>
      <c r="BD95" s="12"/>
      <c r="BE95" s="12"/>
      <c r="BF95" s="24"/>
      <c r="BG95" s="29"/>
      <c r="BH95" s="12"/>
      <c r="BI95" s="12"/>
      <c r="BK95" s="11">
        <v>92</v>
      </c>
      <c r="BL95" s="12"/>
      <c r="BM95" s="13"/>
      <c r="BN95" s="13"/>
      <c r="BP95" s="11">
        <v>92</v>
      </c>
      <c r="BQ95" s="12"/>
      <c r="BR95" s="13"/>
      <c r="BS95" s="13"/>
      <c r="BU95" s="11">
        <v>92</v>
      </c>
      <c r="BV95" s="12"/>
      <c r="BW95" s="12"/>
      <c r="BX95" s="12"/>
      <c r="BZ95" s="11">
        <v>92</v>
      </c>
      <c r="CA95" s="12"/>
      <c r="CC95" s="11">
        <v>92</v>
      </c>
      <c r="CD95" s="12"/>
    </row>
    <row r="96" spans="18:82">
      <c r="R96" s="11">
        <v>93</v>
      </c>
      <c r="S96" s="12"/>
      <c r="T96" s="13"/>
      <c r="U96" s="13"/>
      <c r="W96" s="11">
        <v>93</v>
      </c>
      <c r="X96" s="12"/>
      <c r="Y96" s="13"/>
      <c r="Z96" s="13"/>
      <c r="AB96" s="11">
        <v>93</v>
      </c>
      <c r="AC96" s="12"/>
      <c r="AD96" s="12"/>
      <c r="AE96" s="12"/>
      <c r="AG96" s="11">
        <v>93</v>
      </c>
      <c r="AH96" s="12"/>
      <c r="AI96" s="12"/>
      <c r="AJ96" s="12"/>
      <c r="AL96" s="11">
        <v>93</v>
      </c>
      <c r="AM96" s="12"/>
      <c r="AN96" s="12"/>
      <c r="AO96" s="12"/>
      <c r="AQ96" s="11">
        <v>93</v>
      </c>
      <c r="AR96" s="13"/>
      <c r="AS96" s="13"/>
      <c r="AT96" s="11">
        <v>93</v>
      </c>
      <c r="AU96" s="13"/>
      <c r="AW96" s="11">
        <v>93</v>
      </c>
      <c r="AX96" s="12"/>
      <c r="AY96" s="12"/>
      <c r="AZ96" s="124"/>
      <c r="BA96" s="12"/>
      <c r="BB96" s="12"/>
      <c r="BC96" s="12"/>
      <c r="BD96" s="12"/>
      <c r="BE96" s="12"/>
      <c r="BF96" s="24"/>
      <c r="BG96" s="29"/>
      <c r="BH96" s="12"/>
      <c r="BI96" s="12"/>
      <c r="BK96" s="11">
        <v>93</v>
      </c>
      <c r="BL96" s="12"/>
      <c r="BM96" s="13"/>
      <c r="BN96" s="13"/>
      <c r="BP96" s="11">
        <v>93</v>
      </c>
      <c r="BQ96" s="12"/>
      <c r="BR96" s="13"/>
      <c r="BS96" s="13"/>
      <c r="BU96" s="11">
        <v>93</v>
      </c>
      <c r="BV96" s="12"/>
      <c r="BW96" s="12"/>
      <c r="BX96" s="12"/>
      <c r="BZ96" s="11">
        <v>93</v>
      </c>
      <c r="CA96" s="12"/>
      <c r="CC96" s="11">
        <v>93</v>
      </c>
      <c r="CD96" s="12"/>
    </row>
    <row r="97" spans="18:82">
      <c r="R97" s="11">
        <v>94</v>
      </c>
      <c r="S97" s="12"/>
      <c r="T97" s="13"/>
      <c r="U97" s="13"/>
      <c r="W97" s="11">
        <v>94</v>
      </c>
      <c r="X97" s="12"/>
      <c r="Y97" s="13"/>
      <c r="Z97" s="13"/>
      <c r="AB97" s="11">
        <v>94</v>
      </c>
      <c r="AC97" s="12"/>
      <c r="AD97" s="12"/>
      <c r="AE97" s="12"/>
      <c r="AG97" s="11">
        <v>94</v>
      </c>
      <c r="AH97" s="12"/>
      <c r="AI97" s="12"/>
      <c r="AJ97" s="12"/>
      <c r="AL97" s="11">
        <v>94</v>
      </c>
      <c r="AM97" s="12"/>
      <c r="AN97" s="12"/>
      <c r="AO97" s="12"/>
      <c r="AQ97" s="11">
        <v>94</v>
      </c>
      <c r="AR97" s="13"/>
      <c r="AS97" s="13"/>
      <c r="AT97" s="11">
        <v>94</v>
      </c>
      <c r="AU97" s="13"/>
      <c r="AW97" s="11">
        <v>94</v>
      </c>
      <c r="AX97" s="12"/>
      <c r="AY97" s="12"/>
      <c r="AZ97" s="124"/>
      <c r="BA97" s="12"/>
      <c r="BB97" s="12"/>
      <c r="BC97" s="12"/>
      <c r="BD97" s="12"/>
      <c r="BE97" s="12"/>
      <c r="BF97" s="24"/>
      <c r="BG97" s="29"/>
      <c r="BH97" s="12"/>
      <c r="BI97" s="12"/>
      <c r="BK97" s="11">
        <v>94</v>
      </c>
      <c r="BL97" s="12"/>
      <c r="BM97" s="13"/>
      <c r="BN97" s="13"/>
      <c r="BP97" s="11">
        <v>94</v>
      </c>
      <c r="BQ97" s="12"/>
      <c r="BR97" s="13"/>
      <c r="BS97" s="13"/>
      <c r="BU97" s="11">
        <v>94</v>
      </c>
      <c r="BV97" s="12"/>
      <c r="BW97" s="12"/>
      <c r="BX97" s="12"/>
      <c r="BZ97" s="11">
        <v>94</v>
      </c>
      <c r="CA97" s="12"/>
      <c r="CC97" s="11">
        <v>94</v>
      </c>
      <c r="CD97" s="12"/>
    </row>
    <row r="98" spans="18:82">
      <c r="R98" s="11">
        <v>95</v>
      </c>
      <c r="S98" s="12"/>
      <c r="T98" s="13"/>
      <c r="U98" s="13"/>
      <c r="W98" s="11">
        <v>95</v>
      </c>
      <c r="X98" s="12"/>
      <c r="Y98" s="13"/>
      <c r="Z98" s="13"/>
      <c r="AB98" s="11">
        <v>95</v>
      </c>
      <c r="AC98" s="12"/>
      <c r="AD98" s="12"/>
      <c r="AE98" s="12"/>
      <c r="AG98" s="11">
        <v>95</v>
      </c>
      <c r="AH98" s="12"/>
      <c r="AI98" s="12"/>
      <c r="AJ98" s="12"/>
      <c r="AL98" s="11">
        <v>95</v>
      </c>
      <c r="AM98" s="12"/>
      <c r="AN98" s="12"/>
      <c r="AO98" s="12"/>
      <c r="AQ98" s="11">
        <v>95</v>
      </c>
      <c r="AR98" s="13"/>
      <c r="AS98" s="13"/>
      <c r="AT98" s="11">
        <v>95</v>
      </c>
      <c r="AU98" s="13"/>
      <c r="AW98" s="11">
        <v>95</v>
      </c>
      <c r="AX98" s="12"/>
      <c r="AY98" s="12"/>
      <c r="AZ98" s="124"/>
      <c r="BA98" s="12"/>
      <c r="BB98" s="12"/>
      <c r="BC98" s="12"/>
      <c r="BD98" s="12"/>
      <c r="BE98" s="12"/>
      <c r="BF98" s="24"/>
      <c r="BG98" s="29"/>
      <c r="BH98" s="12"/>
      <c r="BI98" s="12"/>
      <c r="BK98" s="11">
        <v>95</v>
      </c>
      <c r="BL98" s="12"/>
      <c r="BM98" s="13"/>
      <c r="BN98" s="13"/>
      <c r="BP98" s="11">
        <v>95</v>
      </c>
      <c r="BQ98" s="12"/>
      <c r="BR98" s="13"/>
      <c r="BS98" s="13"/>
      <c r="BU98" s="11">
        <v>95</v>
      </c>
      <c r="BV98" s="12"/>
      <c r="BW98" s="12"/>
      <c r="BX98" s="12"/>
      <c r="BZ98" s="11">
        <v>95</v>
      </c>
      <c r="CA98" s="12"/>
      <c r="CC98" s="11">
        <v>95</v>
      </c>
      <c r="CD98" s="12"/>
    </row>
    <row r="99" spans="18:82">
      <c r="R99" s="11">
        <v>96</v>
      </c>
      <c r="S99" s="12"/>
      <c r="T99" s="13"/>
      <c r="U99" s="13"/>
      <c r="W99" s="11">
        <v>96</v>
      </c>
      <c r="X99" s="12"/>
      <c r="Y99" s="13"/>
      <c r="Z99" s="13"/>
      <c r="AB99" s="11">
        <v>96</v>
      </c>
      <c r="AC99" s="12"/>
      <c r="AD99" s="12"/>
      <c r="AE99" s="12"/>
      <c r="AG99" s="11">
        <v>96</v>
      </c>
      <c r="AH99" s="12"/>
      <c r="AI99" s="12"/>
      <c r="AJ99" s="12"/>
      <c r="AL99" s="11">
        <v>96</v>
      </c>
      <c r="AM99" s="12"/>
      <c r="AN99" s="12"/>
      <c r="AO99" s="12"/>
      <c r="AQ99" s="11">
        <v>96</v>
      </c>
      <c r="AR99" s="13"/>
      <c r="AS99" s="13"/>
      <c r="AT99" s="11">
        <v>96</v>
      </c>
      <c r="AU99" s="13"/>
      <c r="AW99" s="11">
        <v>96</v>
      </c>
      <c r="AX99" s="12"/>
      <c r="AY99" s="12"/>
      <c r="AZ99" s="124"/>
      <c r="BA99" s="12"/>
      <c r="BB99" s="12"/>
      <c r="BC99" s="12"/>
      <c r="BD99" s="12"/>
      <c r="BE99" s="12"/>
      <c r="BF99" s="24"/>
      <c r="BG99" s="29"/>
      <c r="BH99" s="12"/>
      <c r="BI99" s="12"/>
      <c r="BK99" s="11">
        <v>96</v>
      </c>
      <c r="BL99" s="12"/>
      <c r="BM99" s="13"/>
      <c r="BN99" s="13"/>
      <c r="BP99" s="11">
        <v>96</v>
      </c>
      <c r="BQ99" s="12"/>
      <c r="BR99" s="13"/>
      <c r="BS99" s="13"/>
      <c r="BU99" s="11">
        <v>96</v>
      </c>
      <c r="BV99" s="12"/>
      <c r="BW99" s="12"/>
      <c r="BX99" s="12"/>
      <c r="BZ99" s="11">
        <v>96</v>
      </c>
      <c r="CA99" s="12"/>
      <c r="CC99" s="11">
        <v>96</v>
      </c>
      <c r="CD99" s="12"/>
    </row>
    <row r="100" spans="18:82">
      <c r="R100" s="11">
        <v>97</v>
      </c>
      <c r="S100" s="12"/>
      <c r="T100" s="13"/>
      <c r="U100" s="13"/>
      <c r="W100" s="11">
        <v>97</v>
      </c>
      <c r="X100" s="12"/>
      <c r="Y100" s="13"/>
      <c r="Z100" s="13"/>
      <c r="AB100" s="11">
        <v>97</v>
      </c>
      <c r="AC100" s="12"/>
      <c r="AD100" s="12"/>
      <c r="AE100" s="12"/>
      <c r="AG100" s="11">
        <v>97</v>
      </c>
      <c r="AH100" s="12"/>
      <c r="AI100" s="12"/>
      <c r="AJ100" s="12"/>
      <c r="AL100" s="11">
        <v>97</v>
      </c>
      <c r="AM100" s="12"/>
      <c r="AN100" s="12"/>
      <c r="AO100" s="12"/>
      <c r="AQ100" s="11">
        <v>97</v>
      </c>
      <c r="AR100" s="13"/>
      <c r="AS100" s="13"/>
      <c r="AT100" s="11">
        <v>97</v>
      </c>
      <c r="AU100" s="13"/>
      <c r="AW100" s="11">
        <v>97</v>
      </c>
      <c r="AX100" s="12"/>
      <c r="AY100" s="12"/>
      <c r="AZ100" s="124"/>
      <c r="BA100" s="12"/>
      <c r="BB100" s="12"/>
      <c r="BC100" s="12"/>
      <c r="BD100" s="12"/>
      <c r="BE100" s="12"/>
      <c r="BF100" s="24"/>
      <c r="BG100" s="29"/>
      <c r="BH100" s="12"/>
      <c r="BI100" s="12"/>
      <c r="BK100" s="11">
        <v>97</v>
      </c>
      <c r="BL100" s="12"/>
      <c r="BM100" s="13"/>
      <c r="BN100" s="13"/>
      <c r="BP100" s="11">
        <v>97</v>
      </c>
      <c r="BQ100" s="12"/>
      <c r="BR100" s="13"/>
      <c r="BS100" s="13"/>
      <c r="BU100" s="11">
        <v>97</v>
      </c>
      <c r="BV100" s="12"/>
      <c r="BW100" s="12"/>
      <c r="BX100" s="12"/>
      <c r="BZ100" s="11">
        <v>97</v>
      </c>
      <c r="CA100" s="12"/>
      <c r="CC100" s="11">
        <v>97</v>
      </c>
      <c r="CD100" s="12"/>
    </row>
    <row r="101" spans="18:82">
      <c r="R101" s="11">
        <v>98</v>
      </c>
      <c r="S101" s="12"/>
      <c r="T101" s="13"/>
      <c r="U101" s="13"/>
      <c r="W101" s="11">
        <v>98</v>
      </c>
      <c r="X101" s="12"/>
      <c r="Y101" s="13"/>
      <c r="Z101" s="13"/>
      <c r="AB101" s="11">
        <v>98</v>
      </c>
      <c r="AC101" s="12"/>
      <c r="AD101" s="12"/>
      <c r="AE101" s="12"/>
      <c r="AG101" s="11">
        <v>98</v>
      </c>
      <c r="AH101" s="12"/>
      <c r="AI101" s="12"/>
      <c r="AJ101" s="12"/>
      <c r="AL101" s="11">
        <v>98</v>
      </c>
      <c r="AM101" s="12"/>
      <c r="AN101" s="12"/>
      <c r="AO101" s="12"/>
      <c r="AQ101" s="11">
        <v>98</v>
      </c>
      <c r="AR101" s="13"/>
      <c r="AS101" s="13"/>
      <c r="AT101" s="11">
        <v>98</v>
      </c>
      <c r="AU101" s="13"/>
      <c r="AW101" s="11">
        <v>98</v>
      </c>
      <c r="AX101" s="12"/>
      <c r="AY101" s="12"/>
      <c r="AZ101" s="124"/>
      <c r="BA101" s="12"/>
      <c r="BB101" s="12"/>
      <c r="BC101" s="12"/>
      <c r="BD101" s="12"/>
      <c r="BE101" s="12"/>
      <c r="BF101" s="24"/>
      <c r="BG101" s="29"/>
      <c r="BH101" s="12"/>
      <c r="BI101" s="12"/>
      <c r="BK101" s="11">
        <v>98</v>
      </c>
      <c r="BL101" s="12"/>
      <c r="BM101" s="13"/>
      <c r="BN101" s="13"/>
      <c r="BP101" s="11">
        <v>98</v>
      </c>
      <c r="BQ101" s="12"/>
      <c r="BR101" s="13"/>
      <c r="BS101" s="13"/>
      <c r="BU101" s="11">
        <v>98</v>
      </c>
      <c r="BV101" s="12"/>
      <c r="BW101" s="12"/>
      <c r="BX101" s="12"/>
      <c r="BZ101" s="11">
        <v>98</v>
      </c>
      <c r="CA101" s="12"/>
      <c r="CC101" s="11">
        <v>98</v>
      </c>
      <c r="CD101" s="12"/>
    </row>
    <row r="102" spans="18:82">
      <c r="R102" s="11">
        <v>99</v>
      </c>
      <c r="S102" s="12"/>
      <c r="T102" s="13"/>
      <c r="U102" s="13"/>
      <c r="W102" s="11">
        <v>99</v>
      </c>
      <c r="X102" s="12"/>
      <c r="Y102" s="13"/>
      <c r="Z102" s="13"/>
      <c r="AB102" s="11">
        <v>99</v>
      </c>
      <c r="AC102" s="12"/>
      <c r="AD102" s="12"/>
      <c r="AE102" s="12"/>
      <c r="AG102" s="11">
        <v>99</v>
      </c>
      <c r="AH102" s="12"/>
      <c r="AI102" s="12"/>
      <c r="AJ102" s="12"/>
      <c r="AL102" s="11">
        <v>99</v>
      </c>
      <c r="AM102" s="12"/>
      <c r="AN102" s="12"/>
      <c r="AO102" s="12"/>
      <c r="AQ102" s="11">
        <v>99</v>
      </c>
      <c r="AR102" s="13"/>
      <c r="AS102" s="13"/>
      <c r="AT102" s="11">
        <v>99</v>
      </c>
      <c r="AU102" s="13"/>
      <c r="AW102" s="11">
        <v>99</v>
      </c>
      <c r="AX102" s="12"/>
      <c r="AY102" s="12"/>
      <c r="AZ102" s="124"/>
      <c r="BA102" s="12"/>
      <c r="BB102" s="12"/>
      <c r="BC102" s="12"/>
      <c r="BD102" s="12"/>
      <c r="BE102" s="12"/>
      <c r="BF102" s="24"/>
      <c r="BG102" s="29"/>
      <c r="BH102" s="12"/>
      <c r="BI102" s="12"/>
      <c r="BK102" s="11">
        <v>99</v>
      </c>
      <c r="BL102" s="12"/>
      <c r="BM102" s="13"/>
      <c r="BN102" s="13"/>
      <c r="BP102" s="11">
        <v>99</v>
      </c>
      <c r="BQ102" s="12"/>
      <c r="BR102" s="13"/>
      <c r="BS102" s="13"/>
      <c r="BU102" s="11">
        <v>99</v>
      </c>
      <c r="BV102" s="12"/>
      <c r="BW102" s="12"/>
      <c r="BX102" s="12"/>
      <c r="BZ102" s="11">
        <v>99</v>
      </c>
      <c r="CA102" s="12"/>
      <c r="CC102" s="11">
        <v>99</v>
      </c>
      <c r="CD102" s="12"/>
    </row>
    <row r="103" spans="18:82">
      <c r="R103" s="11">
        <v>100</v>
      </c>
      <c r="S103" s="12"/>
      <c r="T103" s="13"/>
      <c r="U103" s="13"/>
      <c r="W103" s="11">
        <v>100</v>
      </c>
      <c r="X103" s="12"/>
      <c r="Y103" s="13"/>
      <c r="Z103" s="13"/>
      <c r="AB103" s="11">
        <v>100</v>
      </c>
      <c r="AC103" s="12"/>
      <c r="AD103" s="12"/>
      <c r="AE103" s="12"/>
      <c r="AG103" s="11">
        <v>100</v>
      </c>
      <c r="AH103" s="12"/>
      <c r="AI103" s="12"/>
      <c r="AJ103" s="12"/>
      <c r="AL103" s="11">
        <v>100</v>
      </c>
      <c r="AM103" s="12"/>
      <c r="AN103" s="12"/>
      <c r="AO103" s="12"/>
      <c r="AQ103" s="11">
        <v>100</v>
      </c>
      <c r="AR103" s="13"/>
      <c r="AS103" s="13"/>
      <c r="AT103" s="11">
        <v>100</v>
      </c>
      <c r="AU103" s="13"/>
      <c r="AW103" s="11">
        <v>100</v>
      </c>
      <c r="AX103" s="12"/>
      <c r="AY103" s="12"/>
      <c r="AZ103" s="124"/>
      <c r="BA103" s="12"/>
      <c r="BB103" s="12"/>
      <c r="BC103" s="12"/>
      <c r="BD103" s="12"/>
      <c r="BE103" s="12"/>
      <c r="BF103" s="24"/>
      <c r="BG103" s="29"/>
      <c r="BH103" s="12"/>
      <c r="BI103" s="12"/>
      <c r="BK103" s="11">
        <v>100</v>
      </c>
      <c r="BL103" s="12"/>
      <c r="BM103" s="13"/>
      <c r="BN103" s="13"/>
      <c r="BP103" s="11">
        <v>100</v>
      </c>
      <c r="BQ103" s="12"/>
      <c r="BR103" s="13"/>
      <c r="BS103" s="13"/>
      <c r="BU103" s="11">
        <v>100</v>
      </c>
      <c r="BV103" s="12"/>
      <c r="BW103" s="12"/>
      <c r="BX103" s="12"/>
      <c r="BZ103" s="11">
        <v>100</v>
      </c>
      <c r="CA103" s="12"/>
      <c r="CC103" s="11">
        <v>100</v>
      </c>
      <c r="CD103" s="12"/>
    </row>
    <row r="111" spans="18:82">
      <c r="U111"/>
      <c r="AC111"/>
      <c r="AD111"/>
      <c r="AE111"/>
    </row>
    <row r="112" spans="18:82">
      <c r="U112" s="15"/>
      <c r="V112" s="15"/>
      <c r="W112" s="15"/>
      <c r="X112" s="15"/>
      <c r="Y112" s="15"/>
      <c r="Z112" s="15"/>
      <c r="AA112" s="15"/>
      <c r="AB112" s="15"/>
      <c r="AC112" s="15"/>
      <c r="AD112" s="15"/>
      <c r="AE112" s="15"/>
      <c r="AF112" s="15"/>
      <c r="AP112" s="15"/>
    </row>
    <row r="113" spans="9:42">
      <c r="V113" s="16"/>
      <c r="W113" s="16"/>
      <c r="X113" s="16"/>
      <c r="Y113" s="16"/>
      <c r="Z113" s="16"/>
      <c r="AA113" s="16"/>
      <c r="AB113" s="16"/>
      <c r="AF113" s="16"/>
      <c r="AP113" s="16"/>
    </row>
    <row r="120" spans="9:42">
      <c r="I120" s="34"/>
    </row>
  </sheetData>
  <mergeCells count="2">
    <mergeCell ref="J2:N2"/>
    <mergeCell ref="L5:N5"/>
  </mergeCells>
  <phoneticPr fontId="1" type="noConversion"/>
  <conditionalFormatting sqref="AE3">
    <cfRule type="cellIs" dxfId="1480" priority="164" operator="equal">
      <formula>"E"</formula>
    </cfRule>
  </conditionalFormatting>
  <conditionalFormatting sqref="AD3:AD38">
    <cfRule type="cellIs" dxfId="1479" priority="163" operator="equal">
      <formula>"E"</formula>
    </cfRule>
  </conditionalFormatting>
  <conditionalFormatting sqref="AU43:AU103">
    <cfRule type="cellIs" dxfId="1478" priority="106" operator="equal">
      <formula>"E"</formula>
    </cfRule>
  </conditionalFormatting>
  <conditionalFormatting sqref="AY2">
    <cfRule type="cellIs" dxfId="1477" priority="99" operator="equal">
      <formula>"E"</formula>
    </cfRule>
  </conditionalFormatting>
  <conditionalFormatting sqref="AF113">
    <cfRule type="cellIs" dxfId="1476" priority="211" operator="equal">
      <formula>"E"</formula>
    </cfRule>
  </conditionalFormatting>
  <conditionalFormatting sqref="BG2">
    <cfRule type="cellIs" dxfId="1475" priority="75" operator="equal">
      <formula>"E"</formula>
    </cfRule>
  </conditionalFormatting>
  <conditionalFormatting sqref="AX2">
    <cfRule type="cellIs" dxfId="1474" priority="52" operator="equal">
      <formula>"E"</formula>
    </cfRule>
  </conditionalFormatting>
  <conditionalFormatting sqref="BI43:BI103">
    <cfRule type="cellIs" dxfId="1473" priority="51" operator="equal">
      <formula>"E"</formula>
    </cfRule>
  </conditionalFormatting>
  <conditionalFormatting sqref="R1:R70">
    <cfRule type="cellIs" dxfId="1472" priority="346" stopIfTrue="1" operator="equal">
      <formula>"WW"</formula>
    </cfRule>
    <cfRule type="cellIs" dxfId="1471" priority="347" stopIfTrue="1" operator="equal">
      <formula>"C2"</formula>
    </cfRule>
  </conditionalFormatting>
  <conditionalFormatting sqref="S39:U103 Y3:Z52 S3:S38">
    <cfRule type="cellIs" dxfId="1470" priority="342" operator="equal">
      <formula>"M4"</formula>
    </cfRule>
    <cfRule type="cellIs" dxfId="1469" priority="343" operator="equal">
      <formula>"M3"</formula>
    </cfRule>
    <cfRule type="cellIs" dxfId="1468" priority="344" operator="equal">
      <formula>"M2"</formula>
    </cfRule>
    <cfRule type="cellIs" dxfId="1467" priority="345" operator="equal">
      <formula>"M1"</formula>
    </cfRule>
  </conditionalFormatting>
  <conditionalFormatting sqref="AD1:AE1 AB1 S1:U2 X2:Z103 S114:U1048576 S111:T113 S39:U110 S3:S38">
    <cfRule type="cellIs" dxfId="1466" priority="340" operator="equal">
      <formula>"E"</formula>
    </cfRule>
  </conditionalFormatting>
  <conditionalFormatting sqref="AC39:AE110 AC114:AE1048576 AC3:AC38">
    <cfRule type="cellIs" dxfId="1465" priority="328" operator="equal">
      <formula>"E"</formula>
    </cfRule>
  </conditionalFormatting>
  <conditionalFormatting sqref="AC2:AE2">
    <cfRule type="cellIs" dxfId="1464" priority="327" operator="equal">
      <formula>"E"</formula>
    </cfRule>
  </conditionalFormatting>
  <conditionalFormatting sqref="AB2:AB70">
    <cfRule type="cellIs" dxfId="1463" priority="325" stopIfTrue="1" operator="equal">
      <formula>"WW"</formula>
    </cfRule>
    <cfRule type="cellIs" dxfId="1462" priority="326" stopIfTrue="1" operator="equal">
      <formula>"C2"</formula>
    </cfRule>
  </conditionalFormatting>
  <conditionalFormatting sqref="W2:W70">
    <cfRule type="cellIs" dxfId="1461" priority="323" stopIfTrue="1" operator="equal">
      <formula>"WW"</formula>
    </cfRule>
    <cfRule type="cellIs" dxfId="1460" priority="324" stopIfTrue="1" operator="equal">
      <formula>"C2"</formula>
    </cfRule>
  </conditionalFormatting>
  <conditionalFormatting sqref="X3:Z103">
    <cfRule type="cellIs" dxfId="1459" priority="319" operator="equal">
      <formula>"M4"</formula>
    </cfRule>
    <cfRule type="cellIs" dxfId="1458" priority="320" operator="equal">
      <formula>"M3"</formula>
    </cfRule>
    <cfRule type="cellIs" dxfId="1457" priority="321" operator="equal">
      <formula>"M2"</formula>
    </cfRule>
    <cfRule type="cellIs" dxfId="1456" priority="322" operator="equal">
      <formula>"M1"</formula>
    </cfRule>
  </conditionalFormatting>
  <conditionalFormatting sqref="BE2">
    <cfRule type="cellIs" dxfId="1455" priority="83" operator="equal">
      <formula>"E"</formula>
    </cfRule>
  </conditionalFormatting>
  <conditionalFormatting sqref="AW1">
    <cfRule type="cellIs" dxfId="1454" priority="101" operator="equal">
      <formula>"E"</formula>
    </cfRule>
  </conditionalFormatting>
  <conditionalFormatting sqref="AY3:AY103">
    <cfRule type="cellIs" dxfId="1453" priority="100" operator="equal">
      <formula>"E"</formula>
    </cfRule>
  </conditionalFormatting>
  <conditionalFormatting sqref="AQ1">
    <cfRule type="cellIs" dxfId="1452" priority="96" operator="equal">
      <formula>"E"</formula>
    </cfRule>
  </conditionalFormatting>
  <conditionalFormatting sqref="AT1">
    <cfRule type="cellIs" dxfId="1451" priority="95" operator="equal">
      <formula>"E"</formula>
    </cfRule>
  </conditionalFormatting>
  <conditionalFormatting sqref="AZ3:AZ103">
    <cfRule type="cellIs" dxfId="1450" priority="94" operator="equal">
      <formula>"E"</formula>
    </cfRule>
  </conditionalFormatting>
  <conditionalFormatting sqref="AI1:AJ1 AG1">
    <cfRule type="cellIs" dxfId="1449" priority="210" operator="equal">
      <formula>"E"</formula>
    </cfRule>
  </conditionalFormatting>
  <conditionalFormatting sqref="AH39:AJ103">
    <cfRule type="cellIs" dxfId="1448" priority="209" operator="equal">
      <formula>"E"</formula>
    </cfRule>
  </conditionalFormatting>
  <conditionalFormatting sqref="AH2:AJ2">
    <cfRule type="cellIs" dxfId="1447" priority="208" operator="equal">
      <formula>"E"</formula>
    </cfRule>
  </conditionalFormatting>
  <conditionalFormatting sqref="AN1:AO1 AL1">
    <cfRule type="cellIs" dxfId="1446" priority="205" operator="equal">
      <formula>"E"</formula>
    </cfRule>
  </conditionalFormatting>
  <conditionalFormatting sqref="AM39:AO103">
    <cfRule type="cellIs" dxfId="1445" priority="204" operator="equal">
      <formula>"E"</formula>
    </cfRule>
  </conditionalFormatting>
  <conditionalFormatting sqref="AM2:AO2">
    <cfRule type="cellIs" dxfId="1444" priority="203" operator="equal">
      <formula>"E"</formula>
    </cfRule>
  </conditionalFormatting>
  <conditionalFormatting sqref="BF13:BF22">
    <cfRule type="cellIs" dxfId="1443" priority="79" operator="equal">
      <formula>"E"</formula>
    </cfRule>
  </conditionalFormatting>
  <conditionalFormatting sqref="BF23:BF32">
    <cfRule type="cellIs" dxfId="1442" priority="78" operator="equal">
      <formula>"E"</formula>
    </cfRule>
  </conditionalFormatting>
  <conditionalFormatting sqref="BF33:BF42">
    <cfRule type="cellIs" dxfId="1441" priority="77" operator="equal">
      <formula>"E"</formula>
    </cfRule>
  </conditionalFormatting>
  <conditionalFormatting sqref="BG43:BG103">
    <cfRule type="cellIs" dxfId="1440" priority="76" operator="equal">
      <formula>"E"</formula>
    </cfRule>
  </conditionalFormatting>
  <conditionalFormatting sqref="BG3:BG10">
    <cfRule type="cellIs" dxfId="1439" priority="74" operator="equal">
      <formula>"E"</formula>
    </cfRule>
  </conditionalFormatting>
  <conditionalFormatting sqref="BH43:BH103">
    <cfRule type="cellIs" dxfId="1438" priority="73" operator="equal">
      <formula>"E"</formula>
    </cfRule>
  </conditionalFormatting>
  <conditionalFormatting sqref="BH2">
    <cfRule type="cellIs" dxfId="1437" priority="72" operator="equal">
      <formula>"E"</formula>
    </cfRule>
  </conditionalFormatting>
  <conditionalFormatting sqref="BH3:BH10">
    <cfRule type="cellIs" dxfId="1436" priority="71" operator="equal">
      <formula>"E"</formula>
    </cfRule>
  </conditionalFormatting>
  <conditionalFormatting sqref="BW1:BX1 BU1 BL1:BN2 BQ2:BS103 BL39:BN1048576 BL3:BL38">
    <cfRule type="cellIs" dxfId="1435" priority="64" operator="equal">
      <formula>"E"</formula>
    </cfRule>
  </conditionalFormatting>
  <conditionalFormatting sqref="BV3:BX1048576">
    <cfRule type="cellIs" dxfId="1434" priority="63" operator="equal">
      <formula>"E"</formula>
    </cfRule>
  </conditionalFormatting>
  <conditionalFormatting sqref="BV2:BX2">
    <cfRule type="cellIs" dxfId="1433" priority="62" operator="equal">
      <formula>"E"</formula>
    </cfRule>
  </conditionalFormatting>
  <conditionalFormatting sqref="BI2">
    <cfRule type="cellIs" dxfId="1432" priority="50" operator="equal">
      <formula>"E"</formula>
    </cfRule>
  </conditionalFormatting>
  <conditionalFormatting sqref="U113:AE113 AP113">
    <cfRule type="cellIs" dxfId="1431" priority="258" operator="equal">
      <formula>"E"</formula>
    </cfRule>
  </conditionalFormatting>
  <conditionalFormatting sqref="T3:T38">
    <cfRule type="cellIs" dxfId="1430" priority="249" operator="equal">
      <formula>"M4"</formula>
    </cfRule>
    <cfRule type="cellIs" dxfId="1429" priority="250" operator="equal">
      <formula>"M3"</formula>
    </cfRule>
    <cfRule type="cellIs" dxfId="1428" priority="251" operator="equal">
      <formula>"M2"</formula>
    </cfRule>
    <cfRule type="cellIs" dxfId="1427" priority="252" operator="equal">
      <formula>"M1"</formula>
    </cfRule>
  </conditionalFormatting>
  <conditionalFormatting sqref="T3:T38">
    <cfRule type="cellIs" dxfId="1426" priority="248" operator="equal">
      <formula>"E"</formula>
    </cfRule>
  </conditionalFormatting>
  <conditionalFormatting sqref="U3:U38">
    <cfRule type="cellIs" dxfId="1425" priority="239" operator="equal">
      <formula>"M4"</formula>
    </cfRule>
    <cfRule type="cellIs" dxfId="1424" priority="240" operator="equal">
      <formula>"M3"</formula>
    </cfRule>
    <cfRule type="cellIs" dxfId="1423" priority="241" operator="equal">
      <formula>"M2"</formula>
    </cfRule>
    <cfRule type="cellIs" dxfId="1422" priority="242" operator="equal">
      <formula>"M1"</formula>
    </cfRule>
  </conditionalFormatting>
  <conditionalFormatting sqref="U3:U38">
    <cfRule type="cellIs" dxfId="1421" priority="238" operator="equal">
      <formula>"E"</formula>
    </cfRule>
  </conditionalFormatting>
  <conditionalFormatting sqref="AE4:AE38">
    <cfRule type="cellIs" dxfId="1420" priority="232" operator="equal">
      <formula>"E"</formula>
    </cfRule>
  </conditionalFormatting>
  <conditionalFormatting sqref="AG2:AG70">
    <cfRule type="cellIs" dxfId="1419" priority="206" stopIfTrue="1" operator="equal">
      <formula>"WW"</formula>
    </cfRule>
    <cfRule type="cellIs" dxfId="1418" priority="207" stopIfTrue="1" operator="equal">
      <formula>"C2"</formula>
    </cfRule>
  </conditionalFormatting>
  <conditionalFormatting sqref="AL2:AL70">
    <cfRule type="cellIs" dxfId="1417" priority="201" stopIfTrue="1" operator="equal">
      <formula>"WW"</formula>
    </cfRule>
    <cfRule type="cellIs" dxfId="1416" priority="202" stopIfTrue="1" operator="equal">
      <formula>"C2"</formula>
    </cfRule>
  </conditionalFormatting>
  <conditionalFormatting sqref="AX3:AX103">
    <cfRule type="cellIs" dxfId="1415" priority="53" operator="equal">
      <formula>"E"</formula>
    </cfRule>
  </conditionalFormatting>
  <conditionalFormatting sqref="BA3:BA42">
    <cfRule type="cellIs" dxfId="1414" priority="39" operator="equal">
      <formula>"E"</formula>
    </cfRule>
  </conditionalFormatting>
  <conditionalFormatting sqref="BG27:BG34">
    <cfRule type="cellIs" dxfId="1413" priority="32" operator="equal">
      <formula>"E"</formula>
    </cfRule>
  </conditionalFormatting>
  <conditionalFormatting sqref="BG35:BG42">
    <cfRule type="cellIs" dxfId="1412" priority="31" operator="equal">
      <formula>"E"</formula>
    </cfRule>
  </conditionalFormatting>
  <conditionalFormatting sqref="BH11:BH18">
    <cfRule type="cellIs" dxfId="1411" priority="30" operator="equal">
      <formula>"E"</formula>
    </cfRule>
  </conditionalFormatting>
  <conditionalFormatting sqref="BH35:BH42">
    <cfRule type="cellIs" dxfId="1410" priority="27" operator="equal">
      <formula>"E"</formula>
    </cfRule>
  </conditionalFormatting>
  <conditionalFormatting sqref="CA3:CA103">
    <cfRule type="cellIs" dxfId="1409" priority="16" operator="equal">
      <formula>"M4"</formula>
    </cfRule>
    <cfRule type="cellIs" dxfId="1408" priority="17" operator="equal">
      <formula>"M3"</formula>
    </cfRule>
    <cfRule type="cellIs" dxfId="1407" priority="18" operator="equal">
      <formula>"M2"</formula>
    </cfRule>
    <cfRule type="cellIs" dxfId="1406" priority="19" operator="equal">
      <formula>"M1"</formula>
    </cfRule>
  </conditionalFormatting>
  <conditionalFormatting sqref="CA1:CA1048576">
    <cfRule type="cellIs" dxfId="1405" priority="15" operator="equal">
      <formula>"E"</formula>
    </cfRule>
  </conditionalFormatting>
  <conditionalFormatting sqref="CD2">
    <cfRule type="cellIs" dxfId="1404" priority="10" operator="equal">
      <formula>"E"</formula>
    </cfRule>
  </conditionalFormatting>
  <conditionalFormatting sqref="BF3:BF12">
    <cfRule type="cellIs" dxfId="1403" priority="80" operator="equal">
      <formula>"E"</formula>
    </cfRule>
  </conditionalFormatting>
  <conditionalFormatting sqref="AZ2">
    <cfRule type="cellIs" dxfId="1402" priority="93" operator="equal">
      <formula>"E"</formula>
    </cfRule>
  </conditionalFormatting>
  <conditionalFormatting sqref="BA43:BA103">
    <cfRule type="cellIs" dxfId="1401" priority="92" operator="equal">
      <formula>"E"</formula>
    </cfRule>
  </conditionalFormatting>
  <conditionalFormatting sqref="BA2">
    <cfRule type="cellIs" dxfId="1400" priority="91" operator="equal">
      <formula>"E"</formula>
    </cfRule>
  </conditionalFormatting>
  <conditionalFormatting sqref="BD43:BD103">
    <cfRule type="cellIs" dxfId="1399" priority="86" operator="equal">
      <formula>"E"</formula>
    </cfRule>
  </conditionalFormatting>
  <conditionalFormatting sqref="BD2">
    <cfRule type="cellIs" dxfId="1398" priority="85" operator="equal">
      <formula>"E"</formula>
    </cfRule>
  </conditionalFormatting>
  <conditionalFormatting sqref="BE43:BE103">
    <cfRule type="cellIs" dxfId="1397" priority="84" operator="equal">
      <formula>"E"</formula>
    </cfRule>
  </conditionalFormatting>
  <conditionalFormatting sqref="BB43:BB103">
    <cfRule type="cellIs" dxfId="1396" priority="90" operator="equal">
      <formula>"E"</formula>
    </cfRule>
  </conditionalFormatting>
  <conditionalFormatting sqref="BB2">
    <cfRule type="cellIs" dxfId="1395" priority="89" operator="equal">
      <formula>"E"</formula>
    </cfRule>
  </conditionalFormatting>
  <conditionalFormatting sqref="BC43:BC103">
    <cfRule type="cellIs" dxfId="1394" priority="88" operator="equal">
      <formula>"E"</formula>
    </cfRule>
  </conditionalFormatting>
  <conditionalFormatting sqref="BC2">
    <cfRule type="cellIs" dxfId="1393" priority="87" operator="equal">
      <formula>"E"</formula>
    </cfRule>
  </conditionalFormatting>
  <conditionalFormatting sqref="BF43:BF103">
    <cfRule type="cellIs" dxfId="1392" priority="82" operator="equal">
      <formula>"E"</formula>
    </cfRule>
  </conditionalFormatting>
  <conditionalFormatting sqref="BF2">
    <cfRule type="cellIs" dxfId="1391" priority="81" operator="equal">
      <formula>"E"</formula>
    </cfRule>
  </conditionalFormatting>
  <conditionalFormatting sqref="BB3:BB42">
    <cfRule type="cellIs" dxfId="1390" priority="38" operator="equal">
      <formula>"E"</formula>
    </cfRule>
  </conditionalFormatting>
  <conditionalFormatting sqref="BG19:BG26">
    <cfRule type="cellIs" dxfId="1389" priority="33" operator="equal">
      <formula>"E"</formula>
    </cfRule>
  </conditionalFormatting>
  <conditionalFormatting sqref="BI27:BI34">
    <cfRule type="cellIs" dxfId="1388" priority="23" operator="equal">
      <formula>"E"</formula>
    </cfRule>
  </conditionalFormatting>
  <conditionalFormatting sqref="CC1">
    <cfRule type="cellIs" dxfId="1387" priority="14" operator="equal">
      <formula>"E"</formula>
    </cfRule>
  </conditionalFormatting>
  <conditionalFormatting sqref="CD3:CD1048576">
    <cfRule type="cellIs" dxfId="1386" priority="13" operator="equal">
      <formula>"E"</formula>
    </cfRule>
  </conditionalFormatting>
  <conditionalFormatting sqref="CC2:CC70">
    <cfRule type="cellIs" dxfId="1385" priority="11" stopIfTrue="1" operator="equal">
      <formula>"WW"</formula>
    </cfRule>
    <cfRule type="cellIs" dxfId="1384" priority="12" stopIfTrue="1" operator="equal">
      <formula>"C2"</formula>
    </cfRule>
  </conditionalFormatting>
  <conditionalFormatting sqref="AU3:AU42">
    <cfRule type="cellIs" dxfId="1383" priority="124" operator="equal">
      <formula>"M4"</formula>
    </cfRule>
    <cfRule type="cellIs" dxfId="1382" priority="125" operator="equal">
      <formula>"M3"</formula>
    </cfRule>
    <cfRule type="cellIs" dxfId="1381" priority="126" operator="equal">
      <formula>"M2"</formula>
    </cfRule>
    <cfRule type="cellIs" dxfId="1380" priority="127" operator="equal">
      <formula>"M1"</formula>
    </cfRule>
  </conditionalFormatting>
  <conditionalFormatting sqref="AS39:AS103 AU2:AU42 AR1:AR1048576">
    <cfRule type="cellIs" dxfId="1379" priority="122" operator="equal">
      <formula>"E"</formula>
    </cfRule>
  </conditionalFormatting>
  <conditionalFormatting sqref="AS39:AS103 AU3:AU42 AR3:AR103">
    <cfRule type="cellIs" dxfId="1378" priority="111" operator="equal">
      <formula>"RE"</formula>
    </cfRule>
    <cfRule type="cellIs" dxfId="1377" priority="112" operator="equal">
      <formula>"3000"</formula>
    </cfRule>
    <cfRule type="cellIs" dxfId="1376" priority="113" operator="equal">
      <formula>"300"</formula>
    </cfRule>
    <cfRule type="cellIs" dxfId="1375" priority="114" operator="equal">
      <formula>"100"</formula>
    </cfRule>
    <cfRule type="cellIs" dxfId="1374" priority="115" operator="equal">
      <formula>"50"</formula>
    </cfRule>
    <cfRule type="cellIs" dxfId="1373" priority="116" operator="equal">
      <formula>"40"</formula>
    </cfRule>
    <cfRule type="cellIs" dxfId="1372" priority="117" operator="equal">
      <formula>"20"</formula>
    </cfRule>
  </conditionalFormatting>
  <conditionalFormatting sqref="AR1 AR104:AR1048576">
    <cfRule type="cellIs" dxfId="1371" priority="118" operator="equal">
      <formula>"M4"</formula>
    </cfRule>
    <cfRule type="cellIs" dxfId="1370" priority="119" operator="equal">
      <formula>"M3"</formula>
    </cfRule>
    <cfRule type="cellIs" dxfId="1369" priority="120" operator="equal">
      <formula>"M1"</formula>
    </cfRule>
    <cfRule type="cellIs" dxfId="1368" priority="121" operator="equal">
      <formula>"M2"</formula>
    </cfRule>
    <cfRule type="cellIs" dxfId="1367" priority="123" stopIfTrue="1" operator="between">
      <formula>"C1"</formula>
      <formula>"C2"</formula>
    </cfRule>
  </conditionalFormatting>
  <conditionalFormatting sqref="AQ2:AQ70">
    <cfRule type="cellIs" dxfId="1366" priority="109" stopIfTrue="1" operator="equal">
      <formula>"WW"</formula>
    </cfRule>
    <cfRule type="cellIs" dxfId="1365" priority="110" stopIfTrue="1" operator="equal">
      <formula>"C2"</formula>
    </cfRule>
  </conditionalFormatting>
  <conditionalFormatting sqref="AT2:AT70">
    <cfRule type="cellIs" dxfId="1364" priority="107" stopIfTrue="1" operator="equal">
      <formula>"WW"</formula>
    </cfRule>
    <cfRule type="cellIs" dxfId="1363" priority="108" stopIfTrue="1" operator="equal">
      <formula>"C2"</formula>
    </cfRule>
  </conditionalFormatting>
  <conditionalFormatting sqref="AU43:AU103">
    <cfRule type="cellIs" dxfId="1362" priority="102" operator="equal">
      <formula>"M4"</formula>
    </cfRule>
    <cfRule type="cellIs" dxfId="1361" priority="103" operator="equal">
      <formula>"M3"</formula>
    </cfRule>
    <cfRule type="cellIs" dxfId="1360" priority="104" operator="equal">
      <formula>"M2"</formula>
    </cfRule>
    <cfRule type="cellIs" dxfId="1359" priority="105" operator="equal">
      <formula>"M1"</formula>
    </cfRule>
  </conditionalFormatting>
  <conditionalFormatting sqref="AW2:AW70">
    <cfRule type="cellIs" dxfId="1358" priority="97" stopIfTrue="1" operator="equal">
      <formula>"WW"</formula>
    </cfRule>
    <cfRule type="cellIs" dxfId="1357" priority="98" stopIfTrue="1" operator="equal">
      <formula>"C2"</formula>
    </cfRule>
  </conditionalFormatting>
  <conditionalFormatting sqref="BK1:BK70">
    <cfRule type="cellIs" dxfId="1356" priority="69" stopIfTrue="1" operator="equal">
      <formula>"WW"</formula>
    </cfRule>
    <cfRule type="cellIs" dxfId="1355" priority="70" stopIfTrue="1" operator="equal">
      <formula>"C2"</formula>
    </cfRule>
  </conditionalFormatting>
  <conditionalFormatting sqref="BL39:BN103 BR3:BS52 BL3:BL38">
    <cfRule type="cellIs" dxfId="1354" priority="65" operator="equal">
      <formula>"M4"</formula>
    </cfRule>
    <cfRule type="cellIs" dxfId="1353" priority="66" operator="equal">
      <formula>"M3"</formula>
    </cfRule>
    <cfRule type="cellIs" dxfId="1352" priority="67" operator="equal">
      <formula>"M2"</formula>
    </cfRule>
    <cfRule type="cellIs" dxfId="1351" priority="68" operator="equal">
      <formula>"M1"</formula>
    </cfRule>
  </conditionalFormatting>
  <conditionalFormatting sqref="BU2:BU70">
    <cfRule type="cellIs" dxfId="1350" priority="60" stopIfTrue="1" operator="equal">
      <formula>"WW"</formula>
    </cfRule>
    <cfRule type="cellIs" dxfId="1349" priority="61" stopIfTrue="1" operator="equal">
      <formula>"C2"</formula>
    </cfRule>
  </conditionalFormatting>
  <conditionalFormatting sqref="BP2:BP70">
    <cfRule type="cellIs" dxfId="1348" priority="58" stopIfTrue="1" operator="equal">
      <formula>"WW"</formula>
    </cfRule>
    <cfRule type="cellIs" dxfId="1347" priority="59" stopIfTrue="1" operator="equal">
      <formula>"C2"</formula>
    </cfRule>
  </conditionalFormatting>
  <conditionalFormatting sqref="BQ3:BS103">
    <cfRule type="cellIs" dxfId="1346" priority="54" operator="equal">
      <formula>"M4"</formula>
    </cfRule>
    <cfRule type="cellIs" dxfId="1345" priority="55" operator="equal">
      <formula>"M3"</formula>
    </cfRule>
    <cfRule type="cellIs" dxfId="1344" priority="56" operator="equal">
      <formula>"M2"</formula>
    </cfRule>
    <cfRule type="cellIs" dxfId="1343" priority="57" operator="equal">
      <formula>"M1"</formula>
    </cfRule>
  </conditionalFormatting>
  <conditionalFormatting sqref="BM3:BM38">
    <cfRule type="cellIs" dxfId="1342" priority="46" operator="equal">
      <formula>"M4"</formula>
    </cfRule>
    <cfRule type="cellIs" dxfId="1341" priority="47" operator="equal">
      <formula>"M3"</formula>
    </cfRule>
    <cfRule type="cellIs" dxfId="1340" priority="48" operator="equal">
      <formula>"M2"</formula>
    </cfRule>
    <cfRule type="cellIs" dxfId="1339" priority="49" operator="equal">
      <formula>"M1"</formula>
    </cfRule>
  </conditionalFormatting>
  <conditionalFormatting sqref="BM3:BM38">
    <cfRule type="cellIs" dxfId="1338" priority="45" operator="equal">
      <formula>"E"</formula>
    </cfRule>
  </conditionalFormatting>
  <conditionalFormatting sqref="BN3:BN38">
    <cfRule type="cellIs" dxfId="1337" priority="41" operator="equal">
      <formula>"M4"</formula>
    </cfRule>
    <cfRule type="cellIs" dxfId="1336" priority="42" operator="equal">
      <formula>"M3"</formula>
    </cfRule>
    <cfRule type="cellIs" dxfId="1335" priority="43" operator="equal">
      <formula>"M2"</formula>
    </cfRule>
    <cfRule type="cellIs" dxfId="1334" priority="44" operator="equal">
      <formula>"M1"</formula>
    </cfRule>
  </conditionalFormatting>
  <conditionalFormatting sqref="BN3:BN38">
    <cfRule type="cellIs" dxfId="1333" priority="40" operator="equal">
      <formula>"E"</formula>
    </cfRule>
  </conditionalFormatting>
  <conditionalFormatting sqref="BC3:BC42">
    <cfRule type="cellIs" dxfId="1332" priority="37" operator="equal">
      <formula>"E"</formula>
    </cfRule>
  </conditionalFormatting>
  <conditionalFormatting sqref="BD3:BD42">
    <cfRule type="cellIs" dxfId="1331" priority="36" operator="equal">
      <formula>"E"</formula>
    </cfRule>
  </conditionalFormatting>
  <conditionalFormatting sqref="BE3:BE42">
    <cfRule type="cellIs" dxfId="1330" priority="35" operator="equal">
      <formula>"E"</formula>
    </cfRule>
  </conditionalFormatting>
  <conditionalFormatting sqref="BG11:BG18">
    <cfRule type="cellIs" dxfId="1329" priority="34" operator="equal">
      <formula>"E"</formula>
    </cfRule>
  </conditionalFormatting>
  <conditionalFormatting sqref="BI35:BI42">
    <cfRule type="cellIs" dxfId="1328" priority="22" operator="equal">
      <formula>"E"</formula>
    </cfRule>
  </conditionalFormatting>
  <conditionalFormatting sqref="BH19:BH26">
    <cfRule type="cellIs" dxfId="1327" priority="29" operator="equal">
      <formula>"E"</formula>
    </cfRule>
  </conditionalFormatting>
  <conditionalFormatting sqref="BH27:BH34">
    <cfRule type="cellIs" dxfId="1326" priority="28" operator="equal">
      <formula>"E"</formula>
    </cfRule>
  </conditionalFormatting>
  <conditionalFormatting sqref="BI3:BI10">
    <cfRule type="cellIs" dxfId="1325" priority="26" operator="equal">
      <formula>"E"</formula>
    </cfRule>
  </conditionalFormatting>
  <conditionalFormatting sqref="BI11:BI18">
    <cfRule type="cellIs" dxfId="1324" priority="25" operator="equal">
      <formula>"E"</formula>
    </cfRule>
  </conditionalFormatting>
  <conditionalFormatting sqref="BI19:BI26">
    <cfRule type="cellIs" dxfId="1323" priority="24" operator="equal">
      <formula>"E"</formula>
    </cfRule>
  </conditionalFormatting>
  <conditionalFormatting sqref="BZ1:BZ70">
    <cfRule type="cellIs" dxfId="1322" priority="20" stopIfTrue="1" operator="equal">
      <formula>"WW"</formula>
    </cfRule>
    <cfRule type="cellIs" dxfId="1321" priority="21" stopIfTrue="1" operator="equal">
      <formula>"C2"</formula>
    </cfRule>
  </conditionalFormatting>
  <conditionalFormatting sqref="AJ3">
    <cfRule type="cellIs" dxfId="1320" priority="7" operator="equal">
      <formula>"E"</formula>
    </cfRule>
  </conditionalFormatting>
  <conditionalFormatting sqref="AI3:AI38">
    <cfRule type="cellIs" dxfId="1319" priority="6" operator="equal">
      <formula>"E"</formula>
    </cfRule>
  </conditionalFormatting>
  <conditionalFormatting sqref="AH3:AH38">
    <cfRule type="cellIs" dxfId="1318" priority="9" operator="equal">
      <formula>"E"</formula>
    </cfRule>
  </conditionalFormatting>
  <conditionalFormatting sqref="AJ4:AJ38">
    <cfRule type="cellIs" dxfId="1317" priority="8" operator="equal">
      <formula>"E"</formula>
    </cfRule>
  </conditionalFormatting>
  <conditionalFormatting sqref="AO3">
    <cfRule type="cellIs" dxfId="1316" priority="3" operator="equal">
      <formula>"E"</formula>
    </cfRule>
  </conditionalFormatting>
  <conditionalFormatting sqref="AN3:AN38">
    <cfRule type="cellIs" dxfId="1315" priority="2" operator="equal">
      <formula>"E"</formula>
    </cfRule>
  </conditionalFormatting>
  <conditionalFormatting sqref="AM3:AM38">
    <cfRule type="cellIs" dxfId="1314" priority="5" operator="equal">
      <formula>"E"</formula>
    </cfRule>
  </conditionalFormatting>
  <conditionalFormatting sqref="AO4:AO38">
    <cfRule type="cellIs" dxfId="1313" priority="4" operator="equal">
      <formula>"E"</formula>
    </cfRule>
  </conditionalFormatting>
  <conditionalFormatting sqref="J13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{262EDD75-B065-4ACF-828B-6891F918D5BA}</x14:id>
        </ext>
      </extLst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62EDD75-B065-4ACF-828B-6891F918D5B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J13</xm:sqref>
        </x14:conditionalFormatting>
      </x14:conditionalFormatting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81E3E2-AF59-49FD-A379-4608FDD3B196}">
  <dimension ref="A1:CD126"/>
  <sheetViews>
    <sheetView workbookViewId="0">
      <selection sqref="A1:C1"/>
    </sheetView>
  </sheetViews>
  <sheetFormatPr defaultRowHeight="16.2"/>
  <cols>
    <col min="1" max="1" width="14.44140625" customWidth="1"/>
    <col min="2" max="2" width="5.77734375" customWidth="1"/>
    <col min="3" max="3" width="20.109375" customWidth="1"/>
    <col min="4" max="4" width="8.77734375" customWidth="1"/>
    <col min="5" max="5" width="8.88671875" bestFit="1" customWidth="1"/>
    <col min="6" max="6" width="7.77734375" customWidth="1"/>
    <col min="10" max="10" width="12.88671875" customWidth="1"/>
    <col min="13" max="15" width="8.6640625" customWidth="1"/>
    <col min="16" max="16" width="10.44140625" bestFit="1" customWidth="1"/>
    <col min="18" max="18" width="10.6640625" style="15" customWidth="1"/>
    <col min="19" max="21" width="9.77734375" style="16" customWidth="1"/>
    <col min="22" max="22" width="3.77734375" customWidth="1"/>
    <col min="23" max="23" width="8.88671875" customWidth="1"/>
    <col min="24" max="26" width="4.44140625" customWidth="1"/>
    <col min="27" max="27" width="3.77734375" customWidth="1"/>
    <col min="28" max="28" width="9.88671875" customWidth="1"/>
    <col min="29" max="31" width="5.44140625" style="16" customWidth="1"/>
    <col min="32" max="32" width="3.6640625" customWidth="1"/>
    <col min="34" max="36" width="5.33203125" customWidth="1"/>
    <col min="37" max="37" width="3.44140625" customWidth="1"/>
    <col min="39" max="41" width="5.33203125" customWidth="1"/>
    <col min="42" max="42" width="13.44140625" customWidth="1"/>
    <col min="44" max="44" width="13.44140625" style="16" customWidth="1"/>
    <col min="45" max="45" width="3.77734375" customWidth="1"/>
    <col min="48" max="48" width="3.77734375" customWidth="1"/>
    <col min="49" max="49" width="12.44140625" customWidth="1"/>
    <col min="59" max="59" width="9.44140625" style="26" customWidth="1"/>
    <col min="60" max="60" width="8.88671875" customWidth="1"/>
    <col min="61" max="61" width="15.33203125" customWidth="1"/>
    <col min="63" max="63" width="10.6640625" style="15" bestFit="1" customWidth="1"/>
    <col min="64" max="66" width="9.77734375" style="16" customWidth="1"/>
    <col min="67" max="67" width="3.77734375" customWidth="1"/>
    <col min="69" max="71" width="4.44140625" customWidth="1"/>
    <col min="72" max="72" width="3.77734375" customWidth="1"/>
    <col min="73" max="73" width="9.88671875" customWidth="1"/>
    <col min="74" max="76" width="5.44140625" style="16" customWidth="1"/>
    <col min="78" max="78" width="10.6640625" style="15" bestFit="1" customWidth="1"/>
    <col min="79" max="79" width="9.77734375" style="16" customWidth="1"/>
    <col min="80" max="80" width="6.44140625" customWidth="1"/>
    <col min="81" max="81" width="9.88671875" customWidth="1"/>
    <col min="82" max="82" width="11.88671875" style="16" customWidth="1"/>
  </cols>
  <sheetData>
    <row r="1" spans="1:82">
      <c r="A1" s="30" t="s">
        <v>115</v>
      </c>
      <c r="D1" s="119"/>
      <c r="E1" s="119"/>
      <c r="F1" s="119"/>
      <c r="R1" s="9" t="s">
        <v>41</v>
      </c>
      <c r="S1" s="10"/>
      <c r="T1" s="10"/>
      <c r="U1" s="10"/>
      <c r="W1" s="18" t="s">
        <v>30</v>
      </c>
      <c r="AB1" s="10" t="s">
        <v>93</v>
      </c>
      <c r="AD1" s="10"/>
      <c r="AE1" s="10"/>
      <c r="AG1" s="10" t="s">
        <v>94</v>
      </c>
      <c r="AH1" s="16"/>
      <c r="AI1" s="10"/>
      <c r="AJ1" s="10"/>
      <c r="AL1" s="10" t="s">
        <v>95</v>
      </c>
      <c r="AM1" s="16"/>
      <c r="AN1" s="10"/>
      <c r="AO1" s="10"/>
      <c r="AQ1" s="19" t="s">
        <v>31</v>
      </c>
      <c r="AR1" s="10"/>
      <c r="AT1" s="19" t="s">
        <v>32</v>
      </c>
      <c r="AW1" s="19" t="s">
        <v>33</v>
      </c>
      <c r="AX1" s="16" t="s">
        <v>60</v>
      </c>
      <c r="AY1" s="16" t="s">
        <v>48</v>
      </c>
      <c r="AZ1" s="16" t="s">
        <v>49</v>
      </c>
      <c r="BA1" s="16" t="s">
        <v>50</v>
      </c>
      <c r="BB1" s="16" t="s">
        <v>51</v>
      </c>
      <c r="BC1" s="16" t="s">
        <v>52</v>
      </c>
      <c r="BD1" s="16" t="s">
        <v>53</v>
      </c>
      <c r="BE1" s="16" t="s">
        <v>54</v>
      </c>
      <c r="BF1" s="16" t="s">
        <v>55</v>
      </c>
      <c r="BG1" s="25" t="s">
        <v>87</v>
      </c>
      <c r="BH1" s="16" t="s">
        <v>88</v>
      </c>
      <c r="BI1" s="41" t="s">
        <v>89</v>
      </c>
      <c r="BK1" s="9" t="s">
        <v>43</v>
      </c>
      <c r="BL1" s="10"/>
      <c r="BM1" s="10"/>
      <c r="BN1" s="10"/>
      <c r="BP1" s="18" t="s">
        <v>45</v>
      </c>
      <c r="BU1" s="19" t="s">
        <v>44</v>
      </c>
      <c r="BW1" s="10"/>
      <c r="BX1" s="10"/>
      <c r="BZ1" s="9" t="s">
        <v>70</v>
      </c>
      <c r="CA1" s="10"/>
      <c r="CC1" s="19" t="s">
        <v>71</v>
      </c>
    </row>
    <row r="2" spans="1:82" ht="18" customHeight="1">
      <c r="D2" s="119"/>
      <c r="E2" s="119"/>
      <c r="F2" s="119"/>
      <c r="J2" s="301" t="s">
        <v>112</v>
      </c>
      <c r="K2" s="318"/>
      <c r="L2" s="318"/>
      <c r="M2" s="318"/>
      <c r="N2" s="319"/>
      <c r="R2" s="11" t="s">
        <v>17</v>
      </c>
      <c r="S2" s="12" t="s">
        <v>0</v>
      </c>
      <c r="T2" s="13" t="s">
        <v>1</v>
      </c>
      <c r="U2" s="12" t="s">
        <v>2</v>
      </c>
      <c r="W2" s="11" t="s">
        <v>17</v>
      </c>
      <c r="X2" s="12" t="s">
        <v>0</v>
      </c>
      <c r="Y2" s="13" t="s">
        <v>1</v>
      </c>
      <c r="Z2" s="12" t="s">
        <v>2</v>
      </c>
      <c r="AB2" s="11" t="s">
        <v>17</v>
      </c>
      <c r="AC2" s="12" t="s">
        <v>0</v>
      </c>
      <c r="AD2" s="13" t="s">
        <v>1</v>
      </c>
      <c r="AE2" s="12" t="s">
        <v>2</v>
      </c>
      <c r="AG2" s="11" t="s">
        <v>17</v>
      </c>
      <c r="AH2" s="12" t="s">
        <v>0</v>
      </c>
      <c r="AI2" s="13" t="s">
        <v>1</v>
      </c>
      <c r="AJ2" s="12" t="s">
        <v>2</v>
      </c>
      <c r="AL2" s="11" t="s">
        <v>17</v>
      </c>
      <c r="AM2" s="12" t="s">
        <v>0</v>
      </c>
      <c r="AN2" s="13" t="s">
        <v>1</v>
      </c>
      <c r="AO2" s="12" t="s">
        <v>2</v>
      </c>
      <c r="AQ2" s="11" t="s">
        <v>17</v>
      </c>
      <c r="AR2" s="13" t="s">
        <v>3</v>
      </c>
      <c r="AT2" s="11" t="s">
        <v>17</v>
      </c>
      <c r="AU2" s="13" t="s">
        <v>4</v>
      </c>
      <c r="AW2" s="11" t="s">
        <v>17</v>
      </c>
      <c r="AX2" s="12" t="s">
        <v>4</v>
      </c>
      <c r="AY2" s="12" t="s">
        <v>4</v>
      </c>
      <c r="AZ2" s="12" t="s">
        <v>4</v>
      </c>
      <c r="BA2" s="12" t="s">
        <v>4</v>
      </c>
      <c r="BB2" s="12" t="s">
        <v>4</v>
      </c>
      <c r="BC2" s="12" t="s">
        <v>4</v>
      </c>
      <c r="BD2" s="12" t="s">
        <v>4</v>
      </c>
      <c r="BE2" s="12" t="s">
        <v>4</v>
      </c>
      <c r="BF2" s="24" t="s">
        <v>4</v>
      </c>
      <c r="BG2" s="29" t="s">
        <v>4</v>
      </c>
      <c r="BH2" s="12" t="s">
        <v>4</v>
      </c>
      <c r="BI2" s="12" t="s">
        <v>4</v>
      </c>
      <c r="BK2" s="11" t="s">
        <v>17</v>
      </c>
      <c r="BL2" s="12" t="s">
        <v>0</v>
      </c>
      <c r="BM2" s="13" t="s">
        <v>1</v>
      </c>
      <c r="BN2" s="12" t="s">
        <v>2</v>
      </c>
      <c r="BP2" s="11" t="s">
        <v>17</v>
      </c>
      <c r="BQ2" s="12" t="s">
        <v>0</v>
      </c>
      <c r="BR2" s="13" t="s">
        <v>1</v>
      </c>
      <c r="BS2" s="12" t="s">
        <v>2</v>
      </c>
      <c r="BU2" s="11" t="s">
        <v>17</v>
      </c>
      <c r="BV2" s="12" t="s">
        <v>0</v>
      </c>
      <c r="BW2" s="13" t="s">
        <v>1</v>
      </c>
      <c r="BX2" s="12" t="s">
        <v>2</v>
      </c>
      <c r="BZ2" s="11" t="s">
        <v>17</v>
      </c>
      <c r="CA2" s="12" t="s">
        <v>69</v>
      </c>
      <c r="CC2" s="11" t="s">
        <v>17</v>
      </c>
      <c r="CD2" s="12" t="s">
        <v>58</v>
      </c>
    </row>
    <row r="3" spans="1:82" ht="16.8">
      <c r="D3" s="119"/>
      <c r="E3" s="119"/>
      <c r="F3" s="119"/>
      <c r="H3" s="27"/>
      <c r="I3" s="27"/>
      <c r="J3" s="64" t="s">
        <v>79</v>
      </c>
      <c r="K3" s="64" t="s">
        <v>78</v>
      </c>
      <c r="L3" s="2" t="s">
        <v>80</v>
      </c>
      <c r="M3" s="2" t="s">
        <v>72</v>
      </c>
      <c r="N3" s="2" t="s">
        <v>73</v>
      </c>
      <c r="R3" s="11">
        <v>0</v>
      </c>
      <c r="S3" s="12">
        <v>1</v>
      </c>
      <c r="T3" s="12" t="s">
        <v>15</v>
      </c>
      <c r="U3" s="12" t="s">
        <v>15</v>
      </c>
      <c r="W3" s="11">
        <v>0</v>
      </c>
      <c r="X3" s="12">
        <v>2</v>
      </c>
      <c r="Y3" s="12">
        <v>0</v>
      </c>
      <c r="Z3" s="12">
        <v>0</v>
      </c>
      <c r="AB3" s="11">
        <v>0</v>
      </c>
      <c r="AC3" s="12">
        <v>1172</v>
      </c>
      <c r="AD3" s="69">
        <v>56</v>
      </c>
      <c r="AE3" s="69">
        <v>556</v>
      </c>
      <c r="AG3" s="11">
        <v>0</v>
      </c>
      <c r="AH3" s="12">
        <v>632</v>
      </c>
      <c r="AI3" s="12">
        <v>306</v>
      </c>
      <c r="AJ3" s="12">
        <v>0</v>
      </c>
      <c r="AL3" s="11">
        <v>0</v>
      </c>
      <c r="AM3" s="12">
        <v>5</v>
      </c>
      <c r="AN3" s="12">
        <v>242</v>
      </c>
      <c r="AO3" s="12">
        <v>255</v>
      </c>
      <c r="AQ3" s="11">
        <v>0</v>
      </c>
      <c r="AR3" s="14" t="s">
        <v>5</v>
      </c>
      <c r="AT3" s="11">
        <v>0</v>
      </c>
      <c r="AU3" s="12">
        <v>6</v>
      </c>
      <c r="AW3" s="11">
        <v>0</v>
      </c>
      <c r="AX3" s="12">
        <v>148</v>
      </c>
      <c r="AY3" s="12">
        <v>18</v>
      </c>
      <c r="AZ3" s="12">
        <v>1381</v>
      </c>
      <c r="BA3" s="12">
        <v>96</v>
      </c>
      <c r="BB3" s="12">
        <v>7</v>
      </c>
      <c r="BC3" s="12">
        <v>49</v>
      </c>
      <c r="BD3" s="12">
        <v>366</v>
      </c>
      <c r="BE3" s="12">
        <v>14</v>
      </c>
      <c r="BF3" s="24">
        <v>734</v>
      </c>
      <c r="BG3" s="29">
        <v>526</v>
      </c>
      <c r="BH3" s="12">
        <v>346</v>
      </c>
      <c r="BI3" s="12">
        <v>346</v>
      </c>
      <c r="BK3" s="11">
        <v>0</v>
      </c>
      <c r="BL3" s="12">
        <v>1</v>
      </c>
      <c r="BM3" s="12" t="s">
        <v>15</v>
      </c>
      <c r="BN3" s="12" t="s">
        <v>15</v>
      </c>
      <c r="BP3" s="11">
        <v>0</v>
      </c>
      <c r="BQ3" s="12">
        <v>2</v>
      </c>
      <c r="BR3" s="12">
        <v>0</v>
      </c>
      <c r="BS3" s="12">
        <v>0</v>
      </c>
      <c r="BU3" s="11">
        <v>0</v>
      </c>
      <c r="BV3" s="12">
        <v>1103</v>
      </c>
      <c r="BW3" s="12">
        <v>40</v>
      </c>
      <c r="BX3" s="12">
        <v>57</v>
      </c>
      <c r="BZ3" s="11">
        <v>0</v>
      </c>
      <c r="CA3" s="12">
        <v>30</v>
      </c>
      <c r="CC3" s="11">
        <v>0</v>
      </c>
      <c r="CD3" s="12">
        <v>345</v>
      </c>
    </row>
    <row r="4" spans="1:82" ht="16.8">
      <c r="A4" s="30" t="s">
        <v>46</v>
      </c>
      <c r="B4" s="1" t="s">
        <v>86</v>
      </c>
      <c r="C4" s="2" t="s">
        <v>114</v>
      </c>
      <c r="D4" s="3" t="s">
        <v>80</v>
      </c>
      <c r="E4" s="122" t="s">
        <v>1</v>
      </c>
      <c r="F4" s="4" t="s">
        <v>2</v>
      </c>
      <c r="H4" s="27"/>
      <c r="J4" s="61" t="s">
        <v>77</v>
      </c>
      <c r="K4" s="61" t="s">
        <v>7</v>
      </c>
      <c r="L4" s="2">
        <v>6</v>
      </c>
      <c r="M4" s="2">
        <v>7</v>
      </c>
      <c r="N4" s="2">
        <v>7</v>
      </c>
      <c r="O4" s="6"/>
      <c r="R4" s="11">
        <v>1</v>
      </c>
      <c r="S4" s="12" t="s">
        <v>15</v>
      </c>
      <c r="T4" s="12">
        <v>0</v>
      </c>
      <c r="U4" s="12">
        <v>0</v>
      </c>
      <c r="W4" s="11">
        <v>1</v>
      </c>
      <c r="X4" s="12">
        <v>0</v>
      </c>
      <c r="Y4" s="12">
        <v>1</v>
      </c>
      <c r="Z4" s="12">
        <v>1</v>
      </c>
      <c r="AB4" s="11">
        <v>1</v>
      </c>
      <c r="AC4" s="12">
        <v>5</v>
      </c>
      <c r="AD4" s="69">
        <v>365</v>
      </c>
      <c r="AE4" s="69">
        <v>0</v>
      </c>
      <c r="AG4" s="11">
        <v>1</v>
      </c>
      <c r="AH4" s="12">
        <v>280</v>
      </c>
      <c r="AI4" s="12">
        <v>76</v>
      </c>
      <c r="AJ4" s="12">
        <v>542</v>
      </c>
      <c r="AL4" s="11">
        <v>1</v>
      </c>
      <c r="AM4" s="12">
        <v>547</v>
      </c>
      <c r="AN4" s="12">
        <v>899</v>
      </c>
      <c r="AO4" s="12">
        <v>897</v>
      </c>
      <c r="AQ4" s="11">
        <v>1</v>
      </c>
      <c r="AR4" s="12" t="s">
        <v>15</v>
      </c>
      <c r="AT4" s="11">
        <v>1</v>
      </c>
      <c r="AU4" s="12">
        <v>0</v>
      </c>
      <c r="AW4" s="11">
        <v>1</v>
      </c>
      <c r="AX4" s="12">
        <v>403</v>
      </c>
      <c r="AY4" s="12">
        <v>27</v>
      </c>
      <c r="AZ4" s="12">
        <v>13</v>
      </c>
      <c r="BA4" s="12">
        <v>212</v>
      </c>
      <c r="BB4" s="12">
        <v>347</v>
      </c>
      <c r="BC4" s="12">
        <v>440</v>
      </c>
      <c r="BD4" s="12">
        <v>268</v>
      </c>
      <c r="BE4" s="12">
        <v>458</v>
      </c>
      <c r="BF4" s="24">
        <v>261</v>
      </c>
      <c r="BG4" s="29">
        <v>137</v>
      </c>
      <c r="BH4" s="12">
        <v>248</v>
      </c>
      <c r="BI4" s="12">
        <v>248</v>
      </c>
      <c r="BK4" s="11">
        <v>1</v>
      </c>
      <c r="BL4" s="12" t="s">
        <v>15</v>
      </c>
      <c r="BM4" s="12">
        <v>0</v>
      </c>
      <c r="BN4" s="12">
        <v>0</v>
      </c>
      <c r="BP4" s="11">
        <v>1</v>
      </c>
      <c r="BQ4" s="12">
        <v>0</v>
      </c>
      <c r="BR4" s="12">
        <v>1</v>
      </c>
      <c r="BS4" s="12">
        <v>1</v>
      </c>
      <c r="BU4" s="11">
        <v>1</v>
      </c>
      <c r="BV4" s="12">
        <v>5</v>
      </c>
      <c r="BW4" s="12">
        <v>525</v>
      </c>
      <c r="BX4" s="12">
        <v>801</v>
      </c>
      <c r="BZ4" s="11">
        <v>1</v>
      </c>
      <c r="CA4" s="12">
        <v>15</v>
      </c>
      <c r="CC4" s="11">
        <v>1</v>
      </c>
      <c r="CD4" s="12">
        <v>1702</v>
      </c>
    </row>
    <row r="5" spans="1:82" ht="16.8">
      <c r="A5" s="1" t="s">
        <v>19</v>
      </c>
      <c r="B5" s="1">
        <v>0</v>
      </c>
      <c r="C5" s="3" t="s">
        <v>25</v>
      </c>
      <c r="D5" s="3">
        <f>SUMIF(S$3:S$38,$A5,AC$3:AC$38)</f>
        <v>74</v>
      </c>
      <c r="E5" s="122">
        <f t="shared" ref="E5:F16" si="0">SUMIF(T$3:T$38,$A5,AD$3:AD$38)</f>
        <v>1000</v>
      </c>
      <c r="F5" s="4">
        <f t="shared" si="0"/>
        <v>10000</v>
      </c>
      <c r="H5" s="27"/>
      <c r="I5" s="27"/>
      <c r="J5" s="91"/>
      <c r="K5" s="91"/>
      <c r="L5" s="320" t="s">
        <v>84</v>
      </c>
      <c r="M5" s="320"/>
      <c r="N5" s="320"/>
      <c r="R5" s="11">
        <v>2</v>
      </c>
      <c r="S5" s="12">
        <v>5</v>
      </c>
      <c r="T5" s="12" t="s">
        <v>15</v>
      </c>
      <c r="U5" s="12" t="s">
        <v>15</v>
      </c>
      <c r="W5" s="11">
        <v>2</v>
      </c>
      <c r="X5" s="12">
        <v>3</v>
      </c>
      <c r="Y5" s="12">
        <v>0</v>
      </c>
      <c r="Z5" s="12">
        <v>0</v>
      </c>
      <c r="AB5" s="11">
        <v>2</v>
      </c>
      <c r="AC5" s="12">
        <v>402</v>
      </c>
      <c r="AD5" s="69">
        <v>56</v>
      </c>
      <c r="AE5" s="69">
        <v>556</v>
      </c>
      <c r="AG5" s="11">
        <v>2</v>
      </c>
      <c r="AH5" s="12">
        <v>181</v>
      </c>
      <c r="AI5" s="12">
        <v>306</v>
      </c>
      <c r="AJ5" s="12">
        <v>0</v>
      </c>
      <c r="AL5" s="11">
        <v>2</v>
      </c>
      <c r="AM5" s="12">
        <v>9</v>
      </c>
      <c r="AN5" s="12">
        <v>242</v>
      </c>
      <c r="AO5" s="12">
        <v>255</v>
      </c>
      <c r="AQ5" s="11">
        <v>2</v>
      </c>
      <c r="AR5" s="14" t="s">
        <v>7</v>
      </c>
      <c r="AT5" s="11">
        <v>2</v>
      </c>
      <c r="AU5" s="12">
        <v>9</v>
      </c>
      <c r="AW5" s="11">
        <v>2</v>
      </c>
      <c r="AX5" s="12">
        <v>15</v>
      </c>
      <c r="AY5" s="12">
        <v>45</v>
      </c>
      <c r="AZ5" s="12">
        <v>137</v>
      </c>
      <c r="BA5" s="12">
        <v>92</v>
      </c>
      <c r="BB5" s="12">
        <v>2</v>
      </c>
      <c r="BC5" s="12">
        <v>51</v>
      </c>
      <c r="BD5" s="12">
        <v>127</v>
      </c>
      <c r="BE5" s="12">
        <v>5</v>
      </c>
      <c r="BF5" s="24">
        <v>215</v>
      </c>
      <c r="BG5" s="29">
        <v>569</v>
      </c>
      <c r="BH5" s="12">
        <v>113</v>
      </c>
      <c r="BI5" s="12">
        <v>113</v>
      </c>
      <c r="BK5" s="11">
        <v>2</v>
      </c>
      <c r="BL5" s="12">
        <v>5</v>
      </c>
      <c r="BM5" s="12" t="s">
        <v>15</v>
      </c>
      <c r="BN5" s="12" t="s">
        <v>15</v>
      </c>
      <c r="BP5" s="11">
        <v>2</v>
      </c>
      <c r="BQ5" s="12">
        <v>3</v>
      </c>
      <c r="BR5" s="12">
        <v>0</v>
      </c>
      <c r="BS5" s="12">
        <v>0</v>
      </c>
      <c r="BU5" s="11">
        <v>2</v>
      </c>
      <c r="BV5" s="12">
        <v>276</v>
      </c>
      <c r="BW5" s="12">
        <v>40</v>
      </c>
      <c r="BX5" s="12">
        <v>57</v>
      </c>
      <c r="BZ5" s="11">
        <v>2</v>
      </c>
      <c r="CA5" s="12">
        <v>100</v>
      </c>
      <c r="CC5" s="11">
        <v>2</v>
      </c>
      <c r="CD5" s="12">
        <v>136</v>
      </c>
    </row>
    <row r="6" spans="1:82">
      <c r="A6" s="20">
        <v>0</v>
      </c>
      <c r="B6" s="20">
        <v>1</v>
      </c>
      <c r="C6" s="5">
        <v>0</v>
      </c>
      <c r="D6" s="37">
        <f t="shared" ref="D6:D16" si="1">SUMIF(S$3:S$38,$A6,AC$3:AC$38)</f>
        <v>0</v>
      </c>
      <c r="E6" s="121">
        <f t="shared" si="0"/>
        <v>2188</v>
      </c>
      <c r="F6" s="7">
        <f t="shared" si="0"/>
        <v>0</v>
      </c>
      <c r="H6" s="27"/>
      <c r="I6" s="27"/>
      <c r="J6" s="27"/>
      <c r="R6" s="11">
        <v>3</v>
      </c>
      <c r="S6" s="12" t="s">
        <v>15</v>
      </c>
      <c r="T6" s="12">
        <v>1</v>
      </c>
      <c r="U6" s="12">
        <v>1</v>
      </c>
      <c r="W6" s="11">
        <v>3</v>
      </c>
      <c r="X6" s="12">
        <v>0</v>
      </c>
      <c r="Y6" s="12">
        <v>2</v>
      </c>
      <c r="Z6" s="12">
        <v>2</v>
      </c>
      <c r="AB6" s="11">
        <v>3</v>
      </c>
      <c r="AC6" s="12">
        <v>5</v>
      </c>
      <c r="AD6" s="69">
        <v>685</v>
      </c>
      <c r="AE6" s="69">
        <v>0</v>
      </c>
      <c r="AG6" s="11">
        <v>3</v>
      </c>
      <c r="AH6" s="12">
        <v>280</v>
      </c>
      <c r="AI6" s="12">
        <v>506</v>
      </c>
      <c r="AJ6" s="12">
        <v>592</v>
      </c>
      <c r="AL6" s="11">
        <v>3</v>
      </c>
      <c r="AM6" s="12">
        <v>547</v>
      </c>
      <c r="AN6" s="12">
        <v>17</v>
      </c>
      <c r="AO6" s="12">
        <v>0</v>
      </c>
      <c r="AQ6" s="11">
        <v>3</v>
      </c>
      <c r="AR6" s="12" t="s">
        <v>15</v>
      </c>
      <c r="AT6" s="11">
        <v>3</v>
      </c>
      <c r="AU6" s="12">
        <v>0</v>
      </c>
      <c r="AW6" s="11">
        <v>3</v>
      </c>
      <c r="AX6" s="12">
        <v>394</v>
      </c>
      <c r="AY6" s="12">
        <v>23</v>
      </c>
      <c r="AZ6" s="12">
        <v>20</v>
      </c>
      <c r="BA6" s="12">
        <v>210</v>
      </c>
      <c r="BB6" s="12">
        <v>347</v>
      </c>
      <c r="BC6" s="12">
        <v>444</v>
      </c>
      <c r="BD6" s="12">
        <v>264</v>
      </c>
      <c r="BE6" s="12">
        <v>458</v>
      </c>
      <c r="BF6" s="24">
        <v>257</v>
      </c>
      <c r="BG6" s="29">
        <v>140</v>
      </c>
      <c r="BH6" s="12">
        <v>243</v>
      </c>
      <c r="BI6" s="12">
        <v>243</v>
      </c>
      <c r="BK6" s="11">
        <v>3</v>
      </c>
      <c r="BL6" s="12" t="s">
        <v>15</v>
      </c>
      <c r="BM6" s="12">
        <v>1</v>
      </c>
      <c r="BN6" s="12">
        <v>1</v>
      </c>
      <c r="BP6" s="11">
        <v>3</v>
      </c>
      <c r="BQ6" s="12">
        <v>0</v>
      </c>
      <c r="BR6" s="12">
        <v>2</v>
      </c>
      <c r="BS6" s="12">
        <v>2</v>
      </c>
      <c r="BU6" s="11">
        <v>3</v>
      </c>
      <c r="BV6" s="12">
        <v>5</v>
      </c>
      <c r="BW6" s="12">
        <v>512</v>
      </c>
      <c r="BX6" s="12">
        <v>263</v>
      </c>
      <c r="BZ6" s="11">
        <v>3</v>
      </c>
      <c r="CA6" s="12">
        <v>5</v>
      </c>
      <c r="CC6" s="11">
        <v>3</v>
      </c>
      <c r="CD6" s="12">
        <v>2543</v>
      </c>
    </row>
    <row r="7" spans="1:82" ht="16.8">
      <c r="A7" s="20">
        <v>1</v>
      </c>
      <c r="B7" s="20">
        <v>2</v>
      </c>
      <c r="C7" s="5">
        <v>1</v>
      </c>
      <c r="D7" s="6">
        <f t="shared" si="1"/>
        <v>7029</v>
      </c>
      <c r="E7" s="121">
        <f t="shared" si="0"/>
        <v>4107</v>
      </c>
      <c r="F7" s="7">
        <f t="shared" si="0"/>
        <v>0</v>
      </c>
      <c r="H7" s="27"/>
      <c r="J7" s="64" t="s">
        <v>81</v>
      </c>
      <c r="K7" s="64" t="s">
        <v>82</v>
      </c>
      <c r="L7" s="64" t="s">
        <v>83</v>
      </c>
      <c r="M7" s="64" t="s">
        <v>113</v>
      </c>
      <c r="R7" s="11">
        <v>4</v>
      </c>
      <c r="S7" s="12">
        <v>10</v>
      </c>
      <c r="T7" s="12" t="s">
        <v>15</v>
      </c>
      <c r="U7" s="12" t="s">
        <v>15</v>
      </c>
      <c r="W7" s="11">
        <v>4</v>
      </c>
      <c r="X7" s="12">
        <v>4</v>
      </c>
      <c r="Y7" s="12">
        <v>0</v>
      </c>
      <c r="Z7" s="12">
        <v>0</v>
      </c>
      <c r="AB7" s="11">
        <v>4</v>
      </c>
      <c r="AC7" s="12">
        <v>81</v>
      </c>
      <c r="AD7" s="69">
        <v>56</v>
      </c>
      <c r="AE7" s="69">
        <v>556</v>
      </c>
      <c r="AG7" s="11">
        <v>4</v>
      </c>
      <c r="AH7" s="12">
        <v>17</v>
      </c>
      <c r="AI7" s="12">
        <v>306</v>
      </c>
      <c r="AJ7" s="12">
        <v>0</v>
      </c>
      <c r="AL7" s="11">
        <v>4</v>
      </c>
      <c r="AM7" s="12">
        <v>14</v>
      </c>
      <c r="AN7" s="12">
        <v>242</v>
      </c>
      <c r="AO7" s="12">
        <v>255</v>
      </c>
      <c r="AQ7" s="11">
        <v>4</v>
      </c>
      <c r="AR7" s="14" t="s">
        <v>6</v>
      </c>
      <c r="AT7" s="11">
        <v>4</v>
      </c>
      <c r="AU7" s="12">
        <v>7</v>
      </c>
      <c r="AW7" s="11">
        <v>4</v>
      </c>
      <c r="AX7" s="12">
        <v>155</v>
      </c>
      <c r="AY7" s="12">
        <v>19</v>
      </c>
      <c r="AZ7" s="12">
        <v>24</v>
      </c>
      <c r="BA7" s="12">
        <v>878</v>
      </c>
      <c r="BB7" s="12">
        <v>647</v>
      </c>
      <c r="BC7" s="12">
        <v>7</v>
      </c>
      <c r="BD7" s="12">
        <v>366</v>
      </c>
      <c r="BE7" s="12">
        <v>14</v>
      </c>
      <c r="BF7" s="24">
        <v>30</v>
      </c>
      <c r="BG7" s="29">
        <v>392</v>
      </c>
      <c r="BH7" s="12">
        <v>363</v>
      </c>
      <c r="BI7" s="12">
        <v>363</v>
      </c>
      <c r="BK7" s="11">
        <v>4</v>
      </c>
      <c r="BL7" s="12">
        <v>10</v>
      </c>
      <c r="BM7" s="12" t="s">
        <v>15</v>
      </c>
      <c r="BN7" s="12" t="s">
        <v>15</v>
      </c>
      <c r="BP7" s="11">
        <v>4</v>
      </c>
      <c r="BQ7" s="12">
        <v>4</v>
      </c>
      <c r="BR7" s="12">
        <v>0</v>
      </c>
      <c r="BS7" s="12">
        <v>0</v>
      </c>
      <c r="BU7" s="11">
        <v>4</v>
      </c>
      <c r="BV7" s="12">
        <v>276</v>
      </c>
      <c r="BW7" s="12">
        <v>40</v>
      </c>
      <c r="BX7" s="12">
        <v>57</v>
      </c>
      <c r="BZ7" s="11">
        <v>4</v>
      </c>
      <c r="CA7" s="12">
        <v>20</v>
      </c>
      <c r="CC7" s="11">
        <v>4</v>
      </c>
      <c r="CD7" s="12">
        <v>1640</v>
      </c>
    </row>
    <row r="8" spans="1:82" ht="16.8">
      <c r="A8" s="21">
        <v>5</v>
      </c>
      <c r="B8" s="21">
        <v>3</v>
      </c>
      <c r="C8" s="23">
        <v>5</v>
      </c>
      <c r="D8" s="6">
        <f t="shared" si="1"/>
        <v>2410</v>
      </c>
      <c r="E8" s="121">
        <f t="shared" si="0"/>
        <v>2705</v>
      </c>
      <c r="F8" s="7">
        <f t="shared" si="0"/>
        <v>0</v>
      </c>
      <c r="H8" s="27"/>
      <c r="J8" s="64" t="s">
        <v>80</v>
      </c>
      <c r="K8" s="64">
        <v>3</v>
      </c>
      <c r="L8" s="64">
        <v>3</v>
      </c>
      <c r="M8" s="64">
        <v>94</v>
      </c>
      <c r="R8" s="11">
        <v>5</v>
      </c>
      <c r="S8" s="12" t="s">
        <v>15</v>
      </c>
      <c r="T8" s="12">
        <v>5</v>
      </c>
      <c r="U8" s="12">
        <v>5</v>
      </c>
      <c r="W8" s="11">
        <v>5</v>
      </c>
      <c r="X8" s="12">
        <v>0</v>
      </c>
      <c r="Y8" s="12">
        <v>3</v>
      </c>
      <c r="Z8" s="12">
        <v>3</v>
      </c>
      <c r="AB8" s="11">
        <v>5</v>
      </c>
      <c r="AC8" s="12">
        <v>4</v>
      </c>
      <c r="AD8" s="69">
        <v>451</v>
      </c>
      <c r="AE8" s="69">
        <v>0</v>
      </c>
      <c r="AG8" s="11">
        <v>5</v>
      </c>
      <c r="AH8" s="12">
        <v>280</v>
      </c>
      <c r="AI8" s="12">
        <v>170</v>
      </c>
      <c r="AJ8" s="12">
        <v>535</v>
      </c>
      <c r="AL8" s="11">
        <v>5</v>
      </c>
      <c r="AM8" s="12">
        <v>547</v>
      </c>
      <c r="AN8" s="12">
        <v>26</v>
      </c>
      <c r="AO8" s="12">
        <v>6</v>
      </c>
      <c r="AQ8" s="11">
        <v>5</v>
      </c>
      <c r="AR8" s="12" t="s">
        <v>15</v>
      </c>
      <c r="AT8" s="11">
        <v>5</v>
      </c>
      <c r="AU8" s="12">
        <v>0</v>
      </c>
      <c r="AW8" s="11">
        <v>5</v>
      </c>
      <c r="AX8" s="12">
        <v>404</v>
      </c>
      <c r="AY8" s="12">
        <v>23</v>
      </c>
      <c r="AZ8" s="12">
        <v>20</v>
      </c>
      <c r="BA8" s="12">
        <v>210</v>
      </c>
      <c r="BB8" s="12">
        <v>347</v>
      </c>
      <c r="BC8" s="12">
        <v>444</v>
      </c>
      <c r="BD8" s="12">
        <v>264</v>
      </c>
      <c r="BE8" s="12">
        <v>457</v>
      </c>
      <c r="BF8" s="24">
        <v>257</v>
      </c>
      <c r="BG8" s="29">
        <v>140</v>
      </c>
      <c r="BH8" s="12">
        <v>243</v>
      </c>
      <c r="BI8" s="12">
        <v>243</v>
      </c>
      <c r="BK8" s="11">
        <v>5</v>
      </c>
      <c r="BL8" s="12" t="s">
        <v>15</v>
      </c>
      <c r="BM8" s="12">
        <v>5</v>
      </c>
      <c r="BN8" s="12">
        <v>5</v>
      </c>
      <c r="BP8" s="11">
        <v>5</v>
      </c>
      <c r="BQ8" s="12">
        <v>0</v>
      </c>
      <c r="BR8" s="12">
        <v>3</v>
      </c>
      <c r="BS8" s="12">
        <v>3</v>
      </c>
      <c r="BU8" s="11">
        <v>5</v>
      </c>
      <c r="BV8" s="12">
        <v>5</v>
      </c>
      <c r="BW8" s="12">
        <v>512</v>
      </c>
      <c r="BX8" s="12">
        <v>433</v>
      </c>
      <c r="BZ8" s="11">
        <v>5</v>
      </c>
      <c r="CA8" s="12">
        <v>200</v>
      </c>
      <c r="CC8" s="11">
        <v>5</v>
      </c>
      <c r="CD8" s="12">
        <v>15</v>
      </c>
    </row>
    <row r="9" spans="1:82" ht="15.6" customHeight="1">
      <c r="A9" s="21">
        <v>10</v>
      </c>
      <c r="B9" s="21">
        <v>4</v>
      </c>
      <c r="C9" s="23">
        <v>10</v>
      </c>
      <c r="D9" s="6">
        <f t="shared" si="1"/>
        <v>486</v>
      </c>
      <c r="E9" s="59">
        <f t="shared" si="0"/>
        <v>0</v>
      </c>
      <c r="F9" s="38">
        <f t="shared" si="0"/>
        <v>0</v>
      </c>
      <c r="H9" s="27"/>
      <c r="J9" s="64" t="s">
        <v>72</v>
      </c>
      <c r="K9" s="64">
        <v>0</v>
      </c>
      <c r="L9" s="64">
        <v>0</v>
      </c>
      <c r="M9" s="64">
        <v>0</v>
      </c>
      <c r="N9" s="92"/>
      <c r="O9" s="92"/>
      <c r="R9" s="11">
        <v>6</v>
      </c>
      <c r="S9" s="12">
        <v>1</v>
      </c>
      <c r="T9" s="12" t="s">
        <v>15</v>
      </c>
      <c r="U9" s="12" t="s">
        <v>15</v>
      </c>
      <c r="W9" s="11">
        <v>6</v>
      </c>
      <c r="X9" s="12">
        <v>2</v>
      </c>
      <c r="Y9" s="12">
        <v>0</v>
      </c>
      <c r="Z9" s="12">
        <v>0</v>
      </c>
      <c r="AB9" s="11">
        <v>6</v>
      </c>
      <c r="AC9" s="12">
        <v>1172</v>
      </c>
      <c r="AD9" s="69">
        <v>56</v>
      </c>
      <c r="AE9" s="69">
        <v>556</v>
      </c>
      <c r="AG9" s="11">
        <v>6</v>
      </c>
      <c r="AH9" s="12">
        <v>632</v>
      </c>
      <c r="AI9" s="12">
        <v>306</v>
      </c>
      <c r="AJ9" s="12">
        <v>0</v>
      </c>
      <c r="AL9" s="11">
        <v>6</v>
      </c>
      <c r="AM9" s="12">
        <v>5</v>
      </c>
      <c r="AN9" s="12">
        <v>242</v>
      </c>
      <c r="AO9" s="12">
        <v>255</v>
      </c>
      <c r="AQ9" s="11">
        <v>6</v>
      </c>
      <c r="AR9" s="14" t="s">
        <v>36</v>
      </c>
      <c r="AT9" s="11">
        <v>6</v>
      </c>
      <c r="AU9" s="12">
        <v>10</v>
      </c>
      <c r="AW9" s="11">
        <v>6</v>
      </c>
      <c r="AX9" s="12">
        <v>12</v>
      </c>
      <c r="AY9" s="12">
        <v>197</v>
      </c>
      <c r="AZ9" s="12">
        <v>403</v>
      </c>
      <c r="BA9" s="12">
        <v>227</v>
      </c>
      <c r="BB9" s="12">
        <v>57</v>
      </c>
      <c r="BC9" s="12">
        <v>33</v>
      </c>
      <c r="BD9" s="12">
        <v>203</v>
      </c>
      <c r="BE9" s="12">
        <v>144</v>
      </c>
      <c r="BF9" s="24">
        <v>96</v>
      </c>
      <c r="BG9" s="29">
        <v>308</v>
      </c>
      <c r="BH9" s="12">
        <v>170</v>
      </c>
      <c r="BI9" s="12">
        <v>170</v>
      </c>
      <c r="BK9" s="11">
        <v>6</v>
      </c>
      <c r="BL9" s="12">
        <v>1</v>
      </c>
      <c r="BM9" s="12" t="s">
        <v>15</v>
      </c>
      <c r="BN9" s="12" t="s">
        <v>15</v>
      </c>
      <c r="BP9" s="11">
        <v>6</v>
      </c>
      <c r="BQ9" s="12">
        <v>2</v>
      </c>
      <c r="BR9" s="12">
        <v>0</v>
      </c>
      <c r="BS9" s="12">
        <v>0</v>
      </c>
      <c r="BU9" s="11">
        <v>6</v>
      </c>
      <c r="BV9" s="12">
        <v>1103</v>
      </c>
      <c r="BW9" s="12">
        <v>40</v>
      </c>
      <c r="BX9" s="12">
        <v>57</v>
      </c>
      <c r="BZ9" s="11">
        <v>6</v>
      </c>
      <c r="CA9" s="12">
        <v>50</v>
      </c>
      <c r="CC9" s="11">
        <v>6</v>
      </c>
      <c r="CD9" s="12">
        <v>1170</v>
      </c>
    </row>
    <row r="10" spans="1:82" ht="16.8">
      <c r="A10" s="20" t="s">
        <v>20</v>
      </c>
      <c r="B10" s="20">
        <v>5</v>
      </c>
      <c r="C10" s="23" t="s">
        <v>29</v>
      </c>
      <c r="D10" s="37">
        <f t="shared" si="1"/>
        <v>0</v>
      </c>
      <c r="E10" s="59">
        <f t="shared" si="0"/>
        <v>0</v>
      </c>
      <c r="F10" s="38">
        <f t="shared" si="0"/>
        <v>0</v>
      </c>
      <c r="H10" s="27"/>
      <c r="J10" s="64" t="s">
        <v>73</v>
      </c>
      <c r="K10" s="64">
        <v>0</v>
      </c>
      <c r="L10" s="64">
        <v>0</v>
      </c>
      <c r="M10" s="64">
        <v>0</v>
      </c>
      <c r="N10" s="93"/>
      <c r="O10" s="93"/>
      <c r="R10" s="11">
        <v>7</v>
      </c>
      <c r="S10" s="12" t="s">
        <v>15</v>
      </c>
      <c r="T10" s="12">
        <v>0</v>
      </c>
      <c r="U10" s="12">
        <v>0</v>
      </c>
      <c r="W10" s="11">
        <v>7</v>
      </c>
      <c r="X10" s="12">
        <v>0</v>
      </c>
      <c r="Y10" s="12">
        <v>1</v>
      </c>
      <c r="Z10" s="12">
        <v>1</v>
      </c>
      <c r="AB10" s="11">
        <v>7</v>
      </c>
      <c r="AC10" s="12">
        <v>4</v>
      </c>
      <c r="AD10" s="69">
        <v>365</v>
      </c>
      <c r="AE10" s="69">
        <v>0</v>
      </c>
      <c r="AG10" s="11">
        <v>7</v>
      </c>
      <c r="AH10" s="12">
        <v>280</v>
      </c>
      <c r="AI10" s="12">
        <v>76</v>
      </c>
      <c r="AJ10" s="12">
        <v>542</v>
      </c>
      <c r="AL10" s="11">
        <v>7</v>
      </c>
      <c r="AM10" s="12">
        <v>547</v>
      </c>
      <c r="AN10" s="12">
        <v>898</v>
      </c>
      <c r="AO10" s="12">
        <v>897</v>
      </c>
      <c r="AQ10" s="11">
        <v>7</v>
      </c>
      <c r="AR10" s="12" t="s">
        <v>15</v>
      </c>
      <c r="AT10" s="11">
        <v>7</v>
      </c>
      <c r="AU10" s="12">
        <v>0</v>
      </c>
      <c r="AW10" s="11">
        <v>7</v>
      </c>
      <c r="AX10" s="12">
        <v>405</v>
      </c>
      <c r="AY10" s="12">
        <v>23</v>
      </c>
      <c r="AZ10" s="12">
        <v>20</v>
      </c>
      <c r="BA10" s="12">
        <v>210</v>
      </c>
      <c r="BB10" s="12">
        <v>347</v>
      </c>
      <c r="BC10" s="12">
        <v>443</v>
      </c>
      <c r="BD10" s="12">
        <v>264</v>
      </c>
      <c r="BE10" s="12">
        <v>457</v>
      </c>
      <c r="BF10" s="24">
        <v>257</v>
      </c>
      <c r="BG10" s="29">
        <v>140</v>
      </c>
      <c r="BH10" s="12">
        <v>243</v>
      </c>
      <c r="BI10" s="12">
        <v>243</v>
      </c>
      <c r="BK10" s="11">
        <v>7</v>
      </c>
      <c r="BL10" s="12" t="s">
        <v>15</v>
      </c>
      <c r="BM10" s="12">
        <v>0</v>
      </c>
      <c r="BN10" s="12">
        <v>0</v>
      </c>
      <c r="BP10" s="11">
        <v>7</v>
      </c>
      <c r="BQ10" s="12">
        <v>0</v>
      </c>
      <c r="BR10" s="12">
        <v>1</v>
      </c>
      <c r="BS10" s="12">
        <v>1</v>
      </c>
      <c r="BU10" s="11">
        <v>7</v>
      </c>
      <c r="BV10" s="12">
        <v>5</v>
      </c>
      <c r="BW10" s="12">
        <v>525</v>
      </c>
      <c r="BX10" s="12">
        <v>801</v>
      </c>
      <c r="BZ10" s="11">
        <v>7</v>
      </c>
      <c r="CA10" s="12">
        <v>10</v>
      </c>
      <c r="CC10" s="11">
        <v>7</v>
      </c>
      <c r="CD10" s="12">
        <v>2465</v>
      </c>
    </row>
    <row r="11" spans="1:82" ht="16.8">
      <c r="A11" s="21" t="s">
        <v>21</v>
      </c>
      <c r="B11" s="21">
        <v>6</v>
      </c>
      <c r="C11" s="23" t="s">
        <v>26</v>
      </c>
      <c r="D11" s="37">
        <f t="shared" si="1"/>
        <v>0</v>
      </c>
      <c r="E11" s="59">
        <f t="shared" si="0"/>
        <v>0</v>
      </c>
      <c r="F11" s="38">
        <f t="shared" si="0"/>
        <v>0</v>
      </c>
      <c r="H11" s="27"/>
      <c r="J11" s="64" t="s">
        <v>4</v>
      </c>
      <c r="K11" s="64">
        <v>7</v>
      </c>
      <c r="L11" s="64">
        <v>7</v>
      </c>
      <c r="M11" s="64">
        <v>86</v>
      </c>
      <c r="N11" s="93"/>
      <c r="O11" s="93"/>
      <c r="R11" s="11">
        <v>8</v>
      </c>
      <c r="S11" s="12">
        <v>5</v>
      </c>
      <c r="T11" s="12" t="s">
        <v>15</v>
      </c>
      <c r="U11" s="12" t="s">
        <v>15</v>
      </c>
      <c r="W11" s="11">
        <v>8</v>
      </c>
      <c r="X11" s="12">
        <v>3</v>
      </c>
      <c r="Y11" s="12">
        <v>0</v>
      </c>
      <c r="Z11" s="12">
        <v>0</v>
      </c>
      <c r="AB11" s="11">
        <v>8</v>
      </c>
      <c r="AC11" s="12">
        <v>402</v>
      </c>
      <c r="AD11" s="69">
        <v>56</v>
      </c>
      <c r="AE11" s="69">
        <v>556</v>
      </c>
      <c r="AG11" s="11">
        <v>8</v>
      </c>
      <c r="AH11" s="12">
        <v>181</v>
      </c>
      <c r="AI11" s="12">
        <v>305</v>
      </c>
      <c r="AJ11" s="12">
        <v>0</v>
      </c>
      <c r="AL11" s="11">
        <v>8</v>
      </c>
      <c r="AM11" s="12">
        <v>9</v>
      </c>
      <c r="AN11" s="12">
        <v>242</v>
      </c>
      <c r="AO11" s="12">
        <v>255</v>
      </c>
      <c r="AQ11" s="11">
        <v>8</v>
      </c>
      <c r="AR11" s="14" t="s">
        <v>9</v>
      </c>
      <c r="AT11" s="11">
        <v>8</v>
      </c>
      <c r="AU11" s="12">
        <v>8</v>
      </c>
      <c r="AW11" s="11">
        <v>8</v>
      </c>
      <c r="AX11" s="12">
        <v>150</v>
      </c>
      <c r="AY11" s="12">
        <v>2110</v>
      </c>
      <c r="AZ11" s="12">
        <v>459</v>
      </c>
      <c r="BA11" s="12">
        <v>159</v>
      </c>
      <c r="BB11" s="12">
        <v>57</v>
      </c>
      <c r="BC11" s="12">
        <v>146</v>
      </c>
      <c r="BD11" s="12">
        <v>119</v>
      </c>
      <c r="BE11" s="12">
        <v>40</v>
      </c>
      <c r="BF11" s="24">
        <v>142</v>
      </c>
      <c r="BG11" s="29">
        <v>11</v>
      </c>
      <c r="BH11" s="12">
        <v>297</v>
      </c>
      <c r="BI11" s="12">
        <v>297</v>
      </c>
      <c r="BK11" s="11">
        <v>8</v>
      </c>
      <c r="BL11" s="12">
        <v>5</v>
      </c>
      <c r="BM11" s="12" t="s">
        <v>15</v>
      </c>
      <c r="BN11" s="12" t="s">
        <v>15</v>
      </c>
      <c r="BP11" s="11">
        <v>8</v>
      </c>
      <c r="BQ11" s="12">
        <v>3</v>
      </c>
      <c r="BR11" s="12">
        <v>0</v>
      </c>
      <c r="BS11" s="12">
        <v>0</v>
      </c>
      <c r="BU11" s="11">
        <v>8</v>
      </c>
      <c r="BV11" s="12">
        <v>276</v>
      </c>
      <c r="BW11" s="12">
        <v>40</v>
      </c>
      <c r="BX11" s="12">
        <v>57</v>
      </c>
      <c r="BZ11" s="11">
        <v>8</v>
      </c>
      <c r="CA11" s="12"/>
      <c r="CC11" s="11">
        <v>8</v>
      </c>
      <c r="CD11" s="12"/>
    </row>
    <row r="12" spans="1:82">
      <c r="A12" s="20" t="s">
        <v>22</v>
      </c>
      <c r="B12" s="20">
        <v>7</v>
      </c>
      <c r="C12" s="5" t="s">
        <v>27</v>
      </c>
      <c r="D12" s="37">
        <f t="shared" si="1"/>
        <v>0</v>
      </c>
      <c r="E12" s="59">
        <f t="shared" si="0"/>
        <v>0</v>
      </c>
      <c r="F12" s="38">
        <f t="shared" si="0"/>
        <v>0</v>
      </c>
      <c r="H12" s="27"/>
      <c r="J12" s="27"/>
      <c r="K12" s="27"/>
      <c r="R12" s="11">
        <v>9</v>
      </c>
      <c r="S12" s="12" t="s">
        <v>15</v>
      </c>
      <c r="T12" s="12">
        <v>1</v>
      </c>
      <c r="U12" s="12">
        <v>1</v>
      </c>
      <c r="W12" s="11">
        <v>9</v>
      </c>
      <c r="X12" s="12">
        <v>0</v>
      </c>
      <c r="Y12" s="12">
        <v>2</v>
      </c>
      <c r="Z12" s="12">
        <v>2</v>
      </c>
      <c r="AB12" s="11">
        <v>9</v>
      </c>
      <c r="AC12" s="12">
        <v>4</v>
      </c>
      <c r="AD12" s="69">
        <v>685</v>
      </c>
      <c r="AE12" s="69">
        <v>0</v>
      </c>
      <c r="AG12" s="11">
        <v>9</v>
      </c>
      <c r="AH12" s="12">
        <v>280</v>
      </c>
      <c r="AI12" s="12">
        <v>505</v>
      </c>
      <c r="AJ12" s="12">
        <v>591</v>
      </c>
      <c r="AL12" s="11">
        <v>9</v>
      </c>
      <c r="AM12" s="12">
        <v>547</v>
      </c>
      <c r="AN12" s="12">
        <v>17</v>
      </c>
      <c r="AO12" s="12">
        <v>0</v>
      </c>
      <c r="AQ12" s="11">
        <v>9</v>
      </c>
      <c r="AR12" s="12" t="s">
        <v>15</v>
      </c>
      <c r="AT12" s="11">
        <v>9</v>
      </c>
      <c r="AU12" s="12">
        <v>0</v>
      </c>
      <c r="AW12" s="11">
        <v>9</v>
      </c>
      <c r="AX12" s="12">
        <v>405</v>
      </c>
      <c r="AY12" s="12">
        <v>23</v>
      </c>
      <c r="AZ12" s="12">
        <v>20</v>
      </c>
      <c r="BA12" s="12">
        <v>210</v>
      </c>
      <c r="BB12" s="12">
        <v>347</v>
      </c>
      <c r="BC12" s="12">
        <v>443</v>
      </c>
      <c r="BD12" s="12">
        <v>264</v>
      </c>
      <c r="BE12" s="12">
        <v>457</v>
      </c>
      <c r="BF12" s="24">
        <v>257</v>
      </c>
      <c r="BG12" s="29">
        <v>140</v>
      </c>
      <c r="BH12" s="12">
        <v>243</v>
      </c>
      <c r="BI12" s="12">
        <v>243</v>
      </c>
      <c r="BK12" s="11">
        <v>9</v>
      </c>
      <c r="BL12" s="12" t="s">
        <v>15</v>
      </c>
      <c r="BM12" s="12">
        <v>1</v>
      </c>
      <c r="BN12" s="12">
        <v>1</v>
      </c>
      <c r="BP12" s="11">
        <v>9</v>
      </c>
      <c r="BQ12" s="12">
        <v>0</v>
      </c>
      <c r="BR12" s="12">
        <v>2</v>
      </c>
      <c r="BS12" s="12">
        <v>2</v>
      </c>
      <c r="BU12" s="11">
        <v>9</v>
      </c>
      <c r="BV12" s="12">
        <v>5</v>
      </c>
      <c r="BW12" s="12">
        <v>512</v>
      </c>
      <c r="BX12" s="12">
        <v>263</v>
      </c>
      <c r="BZ12" s="11">
        <v>9</v>
      </c>
      <c r="CA12" s="12"/>
      <c r="CC12" s="11">
        <v>9</v>
      </c>
      <c r="CD12" s="12"/>
    </row>
    <row r="13" spans="1:82" ht="18" customHeight="1">
      <c r="A13" s="20" t="s">
        <v>23</v>
      </c>
      <c r="B13" s="20">
        <v>8</v>
      </c>
      <c r="C13" s="5" t="s">
        <v>28</v>
      </c>
      <c r="D13" s="37">
        <f t="shared" si="1"/>
        <v>0</v>
      </c>
      <c r="E13" s="59">
        <f t="shared" si="0"/>
        <v>0</v>
      </c>
      <c r="F13" s="38">
        <f t="shared" si="0"/>
        <v>0</v>
      </c>
      <c r="H13" s="27"/>
      <c r="J13" s="66"/>
      <c r="K13" s="64" t="s">
        <v>90</v>
      </c>
      <c r="L13" s="64" t="s">
        <v>91</v>
      </c>
      <c r="M13" s="64" t="s">
        <v>92</v>
      </c>
      <c r="R13" s="11">
        <v>10</v>
      </c>
      <c r="S13" s="12">
        <v>10</v>
      </c>
      <c r="T13" s="12" t="s">
        <v>15</v>
      </c>
      <c r="U13" s="12" t="s">
        <v>15</v>
      </c>
      <c r="W13" s="11">
        <v>10</v>
      </c>
      <c r="X13" s="12">
        <v>4</v>
      </c>
      <c r="Y13" s="12">
        <v>0</v>
      </c>
      <c r="Z13" s="12">
        <v>0</v>
      </c>
      <c r="AB13" s="11">
        <v>10</v>
      </c>
      <c r="AC13" s="12">
        <v>81</v>
      </c>
      <c r="AD13" s="69">
        <v>56</v>
      </c>
      <c r="AE13" s="69">
        <v>556</v>
      </c>
      <c r="AG13" s="11">
        <v>10</v>
      </c>
      <c r="AH13" s="12">
        <v>17</v>
      </c>
      <c r="AI13" s="12">
        <v>305</v>
      </c>
      <c r="AJ13" s="12">
        <v>0</v>
      </c>
      <c r="AL13" s="11">
        <v>10</v>
      </c>
      <c r="AM13" s="12">
        <v>14</v>
      </c>
      <c r="AN13" s="12">
        <v>242</v>
      </c>
      <c r="AO13" s="12">
        <v>255</v>
      </c>
      <c r="AQ13" s="11">
        <v>10</v>
      </c>
      <c r="AR13" s="14" t="s">
        <v>5</v>
      </c>
      <c r="AT13" s="11">
        <v>10</v>
      </c>
      <c r="AU13" s="12">
        <v>6</v>
      </c>
      <c r="AW13" s="11">
        <v>10</v>
      </c>
      <c r="AX13" s="12">
        <v>148</v>
      </c>
      <c r="AY13" s="12">
        <v>18</v>
      </c>
      <c r="AZ13" s="12">
        <v>1380</v>
      </c>
      <c r="BA13" s="12">
        <v>96</v>
      </c>
      <c r="BB13" s="12">
        <v>6</v>
      </c>
      <c r="BC13" s="12">
        <v>49</v>
      </c>
      <c r="BD13" s="12">
        <v>366</v>
      </c>
      <c r="BE13" s="12">
        <v>14</v>
      </c>
      <c r="BF13" s="24">
        <v>734</v>
      </c>
      <c r="BG13" s="29">
        <v>525</v>
      </c>
      <c r="BH13" s="12">
        <v>344</v>
      </c>
      <c r="BI13" s="12">
        <v>344</v>
      </c>
      <c r="BK13" s="11">
        <v>10</v>
      </c>
      <c r="BL13" s="12">
        <v>10</v>
      </c>
      <c r="BM13" s="12" t="s">
        <v>15</v>
      </c>
      <c r="BN13" s="12" t="s">
        <v>15</v>
      </c>
      <c r="BP13" s="11">
        <v>10</v>
      </c>
      <c r="BQ13" s="12">
        <v>4</v>
      </c>
      <c r="BR13" s="12">
        <v>0</v>
      </c>
      <c r="BS13" s="12">
        <v>0</v>
      </c>
      <c r="BU13" s="11">
        <v>10</v>
      </c>
      <c r="BV13" s="12">
        <v>276</v>
      </c>
      <c r="BW13" s="12">
        <v>40</v>
      </c>
      <c r="BX13" s="12">
        <v>57</v>
      </c>
      <c r="BZ13" s="11">
        <v>10</v>
      </c>
      <c r="CA13" s="12"/>
      <c r="CC13" s="11">
        <v>10</v>
      </c>
      <c r="CD13" s="12"/>
    </row>
    <row r="14" spans="1:82" ht="16.8">
      <c r="A14" s="20" t="s">
        <v>24</v>
      </c>
      <c r="B14" s="20">
        <v>9</v>
      </c>
      <c r="C14" s="5" t="s">
        <v>16</v>
      </c>
      <c r="D14" s="37">
        <f t="shared" si="1"/>
        <v>0</v>
      </c>
      <c r="E14" s="59">
        <f t="shared" si="0"/>
        <v>0</v>
      </c>
      <c r="F14" s="38">
        <f t="shared" si="0"/>
        <v>0</v>
      </c>
      <c r="H14" s="27"/>
      <c r="J14" s="64" t="s">
        <v>96</v>
      </c>
      <c r="K14" s="64">
        <v>29</v>
      </c>
      <c r="L14" s="64">
        <v>69</v>
      </c>
      <c r="M14" s="64">
        <v>902</v>
      </c>
      <c r="R14" s="11">
        <v>11</v>
      </c>
      <c r="S14" s="12" t="s">
        <v>15</v>
      </c>
      <c r="T14" s="12">
        <v>5</v>
      </c>
      <c r="U14" s="12">
        <v>5</v>
      </c>
      <c r="W14" s="11">
        <v>11</v>
      </c>
      <c r="X14" s="12">
        <v>0</v>
      </c>
      <c r="Y14" s="12">
        <v>3</v>
      </c>
      <c r="Z14" s="12">
        <v>3</v>
      </c>
      <c r="AB14" s="11">
        <v>11</v>
      </c>
      <c r="AC14" s="12">
        <v>4</v>
      </c>
      <c r="AD14" s="69">
        <v>451</v>
      </c>
      <c r="AE14" s="69">
        <v>0</v>
      </c>
      <c r="AG14" s="11">
        <v>11</v>
      </c>
      <c r="AH14" s="12">
        <v>280</v>
      </c>
      <c r="AI14" s="12">
        <v>170</v>
      </c>
      <c r="AJ14" s="12">
        <v>534</v>
      </c>
      <c r="AL14" s="11">
        <v>11</v>
      </c>
      <c r="AM14" s="12">
        <v>547</v>
      </c>
      <c r="AN14" s="12">
        <v>26</v>
      </c>
      <c r="AO14" s="12">
        <v>6</v>
      </c>
      <c r="AQ14" s="11">
        <v>11</v>
      </c>
      <c r="AR14" s="12" t="s">
        <v>15</v>
      </c>
      <c r="AT14" s="11">
        <v>11</v>
      </c>
      <c r="AU14" s="12">
        <v>0</v>
      </c>
      <c r="AW14" s="11">
        <v>11</v>
      </c>
      <c r="AX14" s="12">
        <v>405</v>
      </c>
      <c r="AY14" s="12">
        <v>23</v>
      </c>
      <c r="AZ14" s="12">
        <v>20</v>
      </c>
      <c r="BA14" s="12">
        <v>210</v>
      </c>
      <c r="BB14" s="12">
        <v>347</v>
      </c>
      <c r="BC14" s="12">
        <v>443</v>
      </c>
      <c r="BD14" s="12">
        <v>264</v>
      </c>
      <c r="BE14" s="12">
        <v>457</v>
      </c>
      <c r="BF14" s="24">
        <v>257</v>
      </c>
      <c r="BG14" s="29">
        <v>140</v>
      </c>
      <c r="BH14" s="12">
        <v>243</v>
      </c>
      <c r="BI14" s="12">
        <v>243</v>
      </c>
      <c r="BK14" s="11">
        <v>11</v>
      </c>
      <c r="BL14" s="12" t="s">
        <v>15</v>
      </c>
      <c r="BM14" s="12">
        <v>5</v>
      </c>
      <c r="BN14" s="12">
        <v>5</v>
      </c>
      <c r="BP14" s="11">
        <v>11</v>
      </c>
      <c r="BQ14" s="12">
        <v>0</v>
      </c>
      <c r="BR14" s="12">
        <v>3</v>
      </c>
      <c r="BS14" s="12">
        <v>3</v>
      </c>
      <c r="BU14" s="11">
        <v>11</v>
      </c>
      <c r="BV14" s="12">
        <v>5</v>
      </c>
      <c r="BW14" s="12">
        <v>512</v>
      </c>
      <c r="BX14" s="12">
        <v>433</v>
      </c>
      <c r="BZ14" s="11">
        <v>11</v>
      </c>
      <c r="CA14" s="12"/>
      <c r="CC14" s="11">
        <v>11</v>
      </c>
      <c r="CD14" s="12"/>
    </row>
    <row r="15" spans="1:82">
      <c r="A15" s="21" t="s">
        <v>35</v>
      </c>
      <c r="B15" s="21">
        <v>10</v>
      </c>
      <c r="C15" s="5" t="s">
        <v>37</v>
      </c>
      <c r="D15" s="37">
        <f t="shared" si="1"/>
        <v>0</v>
      </c>
      <c r="E15" s="59">
        <f t="shared" si="0"/>
        <v>0</v>
      </c>
      <c r="F15" s="38">
        <f t="shared" si="0"/>
        <v>0</v>
      </c>
      <c r="R15" s="11">
        <v>12</v>
      </c>
      <c r="S15" s="12">
        <v>1</v>
      </c>
      <c r="T15" s="12" t="s">
        <v>15</v>
      </c>
      <c r="U15" s="12" t="s">
        <v>15</v>
      </c>
      <c r="W15" s="11">
        <v>12</v>
      </c>
      <c r="X15" s="12">
        <v>2</v>
      </c>
      <c r="Y15" s="12">
        <v>0</v>
      </c>
      <c r="Z15" s="12">
        <v>0</v>
      </c>
      <c r="AB15" s="11">
        <v>12</v>
      </c>
      <c r="AC15" s="12">
        <v>1172</v>
      </c>
      <c r="AD15" s="69">
        <v>56</v>
      </c>
      <c r="AE15" s="69">
        <v>556</v>
      </c>
      <c r="AG15" s="11">
        <v>12</v>
      </c>
      <c r="AH15" s="12">
        <v>631</v>
      </c>
      <c r="AI15" s="12">
        <v>305</v>
      </c>
      <c r="AJ15" s="12">
        <v>0</v>
      </c>
      <c r="AL15" s="11">
        <v>12</v>
      </c>
      <c r="AM15" s="12">
        <v>5</v>
      </c>
      <c r="AN15" s="12">
        <v>242</v>
      </c>
      <c r="AO15" s="12">
        <v>255</v>
      </c>
      <c r="AQ15" s="11">
        <v>12</v>
      </c>
      <c r="AR15" s="14" t="s">
        <v>7</v>
      </c>
      <c r="AT15" s="11">
        <v>12</v>
      </c>
      <c r="AU15" s="12">
        <v>9</v>
      </c>
      <c r="AW15" s="11">
        <v>12</v>
      </c>
      <c r="AX15" s="12">
        <v>15</v>
      </c>
      <c r="AY15" s="12">
        <v>45</v>
      </c>
      <c r="AZ15" s="12">
        <v>136</v>
      </c>
      <c r="BA15" s="12">
        <v>91</v>
      </c>
      <c r="BB15" s="12">
        <v>2</v>
      </c>
      <c r="BC15" s="12">
        <v>51</v>
      </c>
      <c r="BD15" s="12">
        <v>127</v>
      </c>
      <c r="BE15" s="12">
        <v>5</v>
      </c>
      <c r="BF15" s="24">
        <v>214</v>
      </c>
      <c r="BG15" s="29">
        <v>568</v>
      </c>
      <c r="BH15" s="12">
        <v>113</v>
      </c>
      <c r="BI15" s="12">
        <v>113</v>
      </c>
      <c r="BK15" s="11">
        <v>12</v>
      </c>
      <c r="BL15" s="12">
        <v>1</v>
      </c>
      <c r="BM15" s="12" t="s">
        <v>15</v>
      </c>
      <c r="BN15" s="12" t="s">
        <v>15</v>
      </c>
      <c r="BP15" s="11">
        <v>12</v>
      </c>
      <c r="BQ15" s="12">
        <v>2</v>
      </c>
      <c r="BR15" s="12">
        <v>0</v>
      </c>
      <c r="BS15" s="12">
        <v>0</v>
      </c>
      <c r="BU15" s="11">
        <v>12</v>
      </c>
      <c r="BV15" s="12">
        <v>1102</v>
      </c>
      <c r="BW15" s="12">
        <v>40</v>
      </c>
      <c r="BX15" s="12">
        <v>57</v>
      </c>
      <c r="BZ15" s="11">
        <v>12</v>
      </c>
      <c r="CA15" s="12"/>
      <c r="CC15" s="11">
        <v>12</v>
      </c>
      <c r="CD15" s="12"/>
    </row>
    <row r="16" spans="1:82" ht="16.8">
      <c r="A16" s="22" t="s">
        <v>39</v>
      </c>
      <c r="B16" s="22">
        <v>11</v>
      </c>
      <c r="C16" s="17" t="s">
        <v>38</v>
      </c>
      <c r="D16" s="60">
        <f t="shared" si="1"/>
        <v>0</v>
      </c>
      <c r="E16" s="39">
        <f t="shared" si="0"/>
        <v>0</v>
      </c>
      <c r="F16" s="40">
        <f t="shared" si="0"/>
        <v>0</v>
      </c>
      <c r="J16" s="2"/>
      <c r="K16" s="2" t="s">
        <v>119</v>
      </c>
      <c r="L16" s="2" t="s">
        <v>120</v>
      </c>
      <c r="R16" s="11">
        <v>13</v>
      </c>
      <c r="S16" s="12" t="s">
        <v>15</v>
      </c>
      <c r="T16" s="12">
        <v>0</v>
      </c>
      <c r="U16" s="12">
        <v>0</v>
      </c>
      <c r="W16" s="11">
        <v>13</v>
      </c>
      <c r="X16" s="12">
        <v>0</v>
      </c>
      <c r="Y16" s="12">
        <v>1</v>
      </c>
      <c r="Z16" s="12">
        <v>1</v>
      </c>
      <c r="AB16" s="11">
        <v>13</v>
      </c>
      <c r="AC16" s="12">
        <v>4</v>
      </c>
      <c r="AD16" s="69">
        <v>365</v>
      </c>
      <c r="AE16" s="69">
        <v>0</v>
      </c>
      <c r="AG16" s="11">
        <v>13</v>
      </c>
      <c r="AH16" s="12">
        <v>280</v>
      </c>
      <c r="AI16" s="12">
        <v>76</v>
      </c>
      <c r="AJ16" s="12">
        <v>541</v>
      </c>
      <c r="AL16" s="11">
        <v>13</v>
      </c>
      <c r="AM16" s="12">
        <v>547</v>
      </c>
      <c r="AN16" s="12">
        <v>898</v>
      </c>
      <c r="AO16" s="12">
        <v>897</v>
      </c>
      <c r="AQ16" s="11">
        <v>13</v>
      </c>
      <c r="AR16" s="12" t="s">
        <v>15</v>
      </c>
      <c r="AT16" s="11">
        <v>13</v>
      </c>
      <c r="AU16" s="12">
        <v>0</v>
      </c>
      <c r="AW16" s="11">
        <v>13</v>
      </c>
      <c r="AX16" s="12">
        <v>405</v>
      </c>
      <c r="AY16" s="12">
        <v>22</v>
      </c>
      <c r="AZ16" s="12">
        <v>20</v>
      </c>
      <c r="BA16" s="12">
        <v>210</v>
      </c>
      <c r="BB16" s="12">
        <v>347</v>
      </c>
      <c r="BC16" s="12">
        <v>443</v>
      </c>
      <c r="BD16" s="12">
        <v>264</v>
      </c>
      <c r="BE16" s="12">
        <v>457</v>
      </c>
      <c r="BF16" s="24">
        <v>257</v>
      </c>
      <c r="BG16" s="29">
        <v>140</v>
      </c>
      <c r="BH16" s="12">
        <v>243</v>
      </c>
      <c r="BI16" s="12">
        <v>243</v>
      </c>
      <c r="BK16" s="11">
        <v>13</v>
      </c>
      <c r="BL16" s="12" t="s">
        <v>15</v>
      </c>
      <c r="BM16" s="12">
        <v>0</v>
      </c>
      <c r="BN16" s="12">
        <v>0</v>
      </c>
      <c r="BP16" s="11">
        <v>13</v>
      </c>
      <c r="BQ16" s="12">
        <v>0</v>
      </c>
      <c r="BR16" s="12">
        <v>1</v>
      </c>
      <c r="BS16" s="12">
        <v>1</v>
      </c>
      <c r="BU16" s="11">
        <v>13</v>
      </c>
      <c r="BV16" s="12">
        <v>5</v>
      </c>
      <c r="BW16" s="12">
        <v>525</v>
      </c>
      <c r="BX16" s="12">
        <v>801</v>
      </c>
      <c r="BZ16" s="11">
        <v>13</v>
      </c>
      <c r="CA16" s="12"/>
      <c r="CC16" s="11">
        <v>13</v>
      </c>
      <c r="CD16" s="12"/>
    </row>
    <row r="17" spans="1:82" ht="16.8">
      <c r="D17" s="121">
        <f>SUM(D5:D16)</f>
        <v>9999</v>
      </c>
      <c r="E17" s="121">
        <f>SUM(E5:E16)</f>
        <v>10000</v>
      </c>
      <c r="F17" s="121">
        <f>SUM(F5:F16)</f>
        <v>10000</v>
      </c>
      <c r="J17" s="2" t="s">
        <v>118</v>
      </c>
      <c r="K17" s="33">
        <v>100</v>
      </c>
      <c r="L17" s="33">
        <v>0</v>
      </c>
      <c r="R17" s="11">
        <v>14</v>
      </c>
      <c r="S17" s="12">
        <v>5</v>
      </c>
      <c r="T17" s="12" t="s">
        <v>15</v>
      </c>
      <c r="U17" s="12" t="s">
        <v>15</v>
      </c>
      <c r="W17" s="11">
        <v>14</v>
      </c>
      <c r="X17" s="12">
        <v>3</v>
      </c>
      <c r="Y17" s="12">
        <v>0</v>
      </c>
      <c r="Z17" s="12">
        <v>0</v>
      </c>
      <c r="AB17" s="11">
        <v>14</v>
      </c>
      <c r="AC17" s="12">
        <v>402</v>
      </c>
      <c r="AD17" s="69">
        <v>56</v>
      </c>
      <c r="AE17" s="69">
        <v>556</v>
      </c>
      <c r="AG17" s="11">
        <v>14</v>
      </c>
      <c r="AH17" s="12">
        <v>181</v>
      </c>
      <c r="AI17" s="12">
        <v>305</v>
      </c>
      <c r="AJ17" s="12">
        <v>0</v>
      </c>
      <c r="AL17" s="11">
        <v>14</v>
      </c>
      <c r="AM17" s="12">
        <v>9</v>
      </c>
      <c r="AN17" s="12">
        <v>242</v>
      </c>
      <c r="AO17" s="12">
        <v>255</v>
      </c>
      <c r="AQ17" s="11">
        <v>14</v>
      </c>
      <c r="AR17" s="14" t="s">
        <v>6</v>
      </c>
      <c r="AT17" s="11">
        <v>14</v>
      </c>
      <c r="AU17" s="12">
        <v>7</v>
      </c>
      <c r="AW17" s="11">
        <v>14</v>
      </c>
      <c r="AX17" s="12">
        <v>154</v>
      </c>
      <c r="AY17" s="12">
        <v>19</v>
      </c>
      <c r="AZ17" s="12">
        <v>24</v>
      </c>
      <c r="BA17" s="12">
        <v>878</v>
      </c>
      <c r="BB17" s="12">
        <v>647</v>
      </c>
      <c r="BC17" s="12">
        <v>7</v>
      </c>
      <c r="BD17" s="12">
        <v>366</v>
      </c>
      <c r="BE17" s="12">
        <v>14</v>
      </c>
      <c r="BF17" s="24">
        <v>30</v>
      </c>
      <c r="BG17" s="29">
        <v>392</v>
      </c>
      <c r="BH17" s="12">
        <v>363</v>
      </c>
      <c r="BI17" s="12">
        <v>363</v>
      </c>
      <c r="BK17" s="11">
        <v>14</v>
      </c>
      <c r="BL17" s="12">
        <v>5</v>
      </c>
      <c r="BM17" s="12" t="s">
        <v>15</v>
      </c>
      <c r="BN17" s="12" t="s">
        <v>15</v>
      </c>
      <c r="BP17" s="11">
        <v>14</v>
      </c>
      <c r="BQ17" s="12">
        <v>3</v>
      </c>
      <c r="BR17" s="12">
        <v>0</v>
      </c>
      <c r="BS17" s="12">
        <v>0</v>
      </c>
      <c r="BU17" s="11">
        <v>14</v>
      </c>
      <c r="BV17" s="12">
        <v>276</v>
      </c>
      <c r="BW17" s="12">
        <v>39</v>
      </c>
      <c r="BX17" s="12">
        <v>57</v>
      </c>
      <c r="BZ17" s="11">
        <v>14</v>
      </c>
      <c r="CA17" s="12"/>
      <c r="CC17" s="11">
        <v>14</v>
      </c>
      <c r="CD17" s="12"/>
    </row>
    <row r="18" spans="1:82">
      <c r="C18" s="8"/>
      <c r="R18" s="11">
        <v>15</v>
      </c>
      <c r="S18" s="12" t="s">
        <v>15</v>
      </c>
      <c r="T18" s="12">
        <v>1</v>
      </c>
      <c r="U18" s="12">
        <v>1</v>
      </c>
      <c r="W18" s="11">
        <v>15</v>
      </c>
      <c r="X18" s="12">
        <v>0</v>
      </c>
      <c r="Y18" s="12">
        <v>2</v>
      </c>
      <c r="Z18" s="12">
        <v>2</v>
      </c>
      <c r="AB18" s="11">
        <v>15</v>
      </c>
      <c r="AC18" s="12">
        <v>4</v>
      </c>
      <c r="AD18" s="69">
        <v>685</v>
      </c>
      <c r="AE18" s="69">
        <v>0</v>
      </c>
      <c r="AG18" s="11">
        <v>15</v>
      </c>
      <c r="AH18" s="12">
        <v>279</v>
      </c>
      <c r="AI18" s="12">
        <v>505</v>
      </c>
      <c r="AJ18" s="12">
        <v>591</v>
      </c>
      <c r="AL18" s="11">
        <v>15</v>
      </c>
      <c r="AM18" s="12">
        <v>547</v>
      </c>
      <c r="AN18" s="12">
        <v>17</v>
      </c>
      <c r="AO18" s="12">
        <v>0</v>
      </c>
      <c r="AQ18" s="11">
        <v>15</v>
      </c>
      <c r="AR18" s="12" t="s">
        <v>15</v>
      </c>
      <c r="AT18" s="11">
        <v>15</v>
      </c>
      <c r="AU18" s="12">
        <v>0</v>
      </c>
      <c r="AW18" s="11">
        <v>15</v>
      </c>
      <c r="AX18" s="12">
        <v>405</v>
      </c>
      <c r="AY18" s="12">
        <v>22</v>
      </c>
      <c r="AZ18" s="12">
        <v>20</v>
      </c>
      <c r="BA18" s="12">
        <v>210</v>
      </c>
      <c r="BB18" s="12">
        <v>346</v>
      </c>
      <c r="BC18" s="12">
        <v>443</v>
      </c>
      <c r="BD18" s="12">
        <v>264</v>
      </c>
      <c r="BE18" s="12">
        <v>457</v>
      </c>
      <c r="BF18" s="24">
        <v>257</v>
      </c>
      <c r="BG18" s="29">
        <v>140</v>
      </c>
      <c r="BH18" s="12">
        <v>243</v>
      </c>
      <c r="BI18" s="12">
        <v>243</v>
      </c>
      <c r="BK18" s="11">
        <v>15</v>
      </c>
      <c r="BL18" s="12" t="s">
        <v>15</v>
      </c>
      <c r="BM18" s="12">
        <v>1</v>
      </c>
      <c r="BN18" s="12">
        <v>1</v>
      </c>
      <c r="BP18" s="11">
        <v>15</v>
      </c>
      <c r="BQ18" s="12">
        <v>0</v>
      </c>
      <c r="BR18" s="12">
        <v>2</v>
      </c>
      <c r="BS18" s="12">
        <v>2</v>
      </c>
      <c r="BU18" s="11">
        <v>15</v>
      </c>
      <c r="BV18" s="12">
        <v>4</v>
      </c>
      <c r="BW18" s="12">
        <v>512</v>
      </c>
      <c r="BX18" s="12">
        <v>263</v>
      </c>
      <c r="BZ18" s="11">
        <v>15</v>
      </c>
      <c r="CA18" s="12"/>
      <c r="CC18" s="11">
        <v>15</v>
      </c>
      <c r="CD18" s="12"/>
    </row>
    <row r="19" spans="1:82">
      <c r="A19" s="30" t="s">
        <v>116</v>
      </c>
      <c r="D19" s="119"/>
      <c r="E19" s="119"/>
      <c r="F19" s="119"/>
      <c r="J19" s="94" t="s">
        <v>125</v>
      </c>
      <c r="K19" s="121"/>
      <c r="R19" s="11">
        <v>16</v>
      </c>
      <c r="S19" s="12">
        <v>10</v>
      </c>
      <c r="T19" s="12" t="s">
        <v>15</v>
      </c>
      <c r="U19" s="12" t="s">
        <v>15</v>
      </c>
      <c r="W19" s="11">
        <v>16</v>
      </c>
      <c r="X19" s="12">
        <v>4</v>
      </c>
      <c r="Y19" s="12">
        <v>0</v>
      </c>
      <c r="Z19" s="12">
        <v>0</v>
      </c>
      <c r="AB19" s="11">
        <v>16</v>
      </c>
      <c r="AC19" s="12">
        <v>81</v>
      </c>
      <c r="AD19" s="69">
        <v>56</v>
      </c>
      <c r="AE19" s="69">
        <v>556</v>
      </c>
      <c r="AG19" s="11">
        <v>16</v>
      </c>
      <c r="AH19" s="12">
        <v>16</v>
      </c>
      <c r="AI19" s="12">
        <v>305</v>
      </c>
      <c r="AJ19" s="12">
        <v>0</v>
      </c>
      <c r="AL19" s="11">
        <v>16</v>
      </c>
      <c r="AM19" s="12">
        <v>14</v>
      </c>
      <c r="AN19" s="12">
        <v>242</v>
      </c>
      <c r="AO19" s="12">
        <v>255</v>
      </c>
      <c r="AQ19" s="11">
        <v>16</v>
      </c>
      <c r="AR19" s="14" t="s">
        <v>36</v>
      </c>
      <c r="AT19" s="11">
        <v>16</v>
      </c>
      <c r="AU19" s="12">
        <v>10</v>
      </c>
      <c r="AW19" s="11">
        <v>16</v>
      </c>
      <c r="AX19" s="12">
        <v>12</v>
      </c>
      <c r="AY19" s="12">
        <v>196</v>
      </c>
      <c r="AZ19" s="12">
        <v>403</v>
      </c>
      <c r="BA19" s="12">
        <v>226</v>
      </c>
      <c r="BB19" s="12">
        <v>57</v>
      </c>
      <c r="BC19" s="12">
        <v>33</v>
      </c>
      <c r="BD19" s="12">
        <v>203</v>
      </c>
      <c r="BE19" s="12">
        <v>143</v>
      </c>
      <c r="BF19" s="24">
        <v>96</v>
      </c>
      <c r="BG19" s="29">
        <v>307</v>
      </c>
      <c r="BH19" s="12">
        <v>170</v>
      </c>
      <c r="BI19" s="12">
        <v>170</v>
      </c>
      <c r="BK19" s="11">
        <v>16</v>
      </c>
      <c r="BL19" s="12">
        <v>10</v>
      </c>
      <c r="BM19" s="12" t="s">
        <v>15</v>
      </c>
      <c r="BN19" s="12" t="s">
        <v>15</v>
      </c>
      <c r="BP19" s="11">
        <v>16</v>
      </c>
      <c r="BQ19" s="12">
        <v>4</v>
      </c>
      <c r="BR19" s="12">
        <v>0</v>
      </c>
      <c r="BS19" s="12">
        <v>0</v>
      </c>
      <c r="BU19" s="11">
        <v>16</v>
      </c>
      <c r="BV19" s="12">
        <v>276</v>
      </c>
      <c r="BW19" s="12">
        <v>39</v>
      </c>
      <c r="BX19" s="12">
        <v>57</v>
      </c>
      <c r="BZ19" s="11">
        <v>16</v>
      </c>
      <c r="CA19" s="12"/>
      <c r="CC19" s="11">
        <v>16</v>
      </c>
      <c r="CD19" s="12"/>
    </row>
    <row r="20" spans="1:82">
      <c r="D20" s="119"/>
      <c r="E20" s="119"/>
      <c r="F20" s="119"/>
      <c r="J20" s="2" t="s">
        <v>66</v>
      </c>
      <c r="K20" s="2" t="s">
        <v>67</v>
      </c>
      <c r="R20" s="11">
        <v>17</v>
      </c>
      <c r="S20" s="12" t="s">
        <v>15</v>
      </c>
      <c r="T20" s="12">
        <v>5</v>
      </c>
      <c r="U20" s="12">
        <v>5</v>
      </c>
      <c r="W20" s="11">
        <v>17</v>
      </c>
      <c r="X20" s="12">
        <v>0</v>
      </c>
      <c r="Y20" s="12">
        <v>3</v>
      </c>
      <c r="Z20" s="12">
        <v>3</v>
      </c>
      <c r="AB20" s="11">
        <v>17</v>
      </c>
      <c r="AC20" s="12">
        <v>4</v>
      </c>
      <c r="AD20" s="69">
        <v>451</v>
      </c>
      <c r="AE20" s="69">
        <v>0</v>
      </c>
      <c r="AG20" s="11">
        <v>17</v>
      </c>
      <c r="AH20" s="12">
        <v>279</v>
      </c>
      <c r="AI20" s="12">
        <v>170</v>
      </c>
      <c r="AJ20" s="12">
        <v>534</v>
      </c>
      <c r="AL20" s="11">
        <v>17</v>
      </c>
      <c r="AM20" s="12">
        <v>547</v>
      </c>
      <c r="AN20" s="12">
        <v>26</v>
      </c>
      <c r="AO20" s="12">
        <v>6</v>
      </c>
      <c r="AQ20" s="11">
        <v>17</v>
      </c>
      <c r="AR20" s="12" t="s">
        <v>15</v>
      </c>
      <c r="AT20" s="11">
        <v>17</v>
      </c>
      <c r="AU20" s="12">
        <v>0</v>
      </c>
      <c r="AW20" s="11">
        <v>17</v>
      </c>
      <c r="AX20" s="12">
        <v>405</v>
      </c>
      <c r="AY20" s="12">
        <v>22</v>
      </c>
      <c r="AZ20" s="12">
        <v>20</v>
      </c>
      <c r="BA20" s="12">
        <v>210</v>
      </c>
      <c r="BB20" s="12">
        <v>346</v>
      </c>
      <c r="BC20" s="12">
        <v>443</v>
      </c>
      <c r="BD20" s="12">
        <v>264</v>
      </c>
      <c r="BE20" s="12">
        <v>457</v>
      </c>
      <c r="BF20" s="24">
        <v>257</v>
      </c>
      <c r="BG20" s="29">
        <v>140</v>
      </c>
      <c r="BH20" s="12">
        <v>243</v>
      </c>
      <c r="BI20" s="12">
        <v>243</v>
      </c>
      <c r="BK20" s="11">
        <v>17</v>
      </c>
      <c r="BL20" s="12" t="s">
        <v>15</v>
      </c>
      <c r="BM20" s="12">
        <v>5</v>
      </c>
      <c r="BN20" s="12">
        <v>5</v>
      </c>
      <c r="BP20" s="11">
        <v>17</v>
      </c>
      <c r="BQ20" s="12">
        <v>0</v>
      </c>
      <c r="BR20" s="12">
        <v>3</v>
      </c>
      <c r="BS20" s="12">
        <v>3</v>
      </c>
      <c r="BU20" s="11">
        <v>17</v>
      </c>
      <c r="BV20" s="12">
        <v>4</v>
      </c>
      <c r="BW20" s="12">
        <v>512</v>
      </c>
      <c r="BX20" s="12">
        <v>433</v>
      </c>
      <c r="BZ20" s="11">
        <v>17</v>
      </c>
      <c r="CA20" s="12"/>
      <c r="CC20" s="11">
        <v>17</v>
      </c>
      <c r="CD20" s="12"/>
    </row>
    <row r="21" spans="1:82">
      <c r="D21" s="119"/>
      <c r="E21" s="119"/>
      <c r="F21" s="119"/>
      <c r="J21" s="2">
        <v>0</v>
      </c>
      <c r="K21" s="2">
        <v>1</v>
      </c>
      <c r="R21" s="11">
        <v>18</v>
      </c>
      <c r="S21" s="12">
        <v>1</v>
      </c>
      <c r="T21" s="12" t="s">
        <v>15</v>
      </c>
      <c r="U21" s="12" t="s">
        <v>15</v>
      </c>
      <c r="W21" s="11">
        <v>18</v>
      </c>
      <c r="X21" s="12">
        <v>2</v>
      </c>
      <c r="Y21" s="12">
        <v>0</v>
      </c>
      <c r="Z21" s="12">
        <v>0</v>
      </c>
      <c r="AB21" s="11">
        <v>18</v>
      </c>
      <c r="AC21" s="12">
        <v>1171</v>
      </c>
      <c r="AD21" s="69">
        <v>56</v>
      </c>
      <c r="AE21" s="69">
        <v>556</v>
      </c>
      <c r="AG21" s="11">
        <v>18</v>
      </c>
      <c r="AH21" s="12">
        <v>631</v>
      </c>
      <c r="AI21" s="12">
        <v>305</v>
      </c>
      <c r="AJ21" s="12">
        <v>0</v>
      </c>
      <c r="AL21" s="11">
        <v>18</v>
      </c>
      <c r="AM21" s="12">
        <v>5</v>
      </c>
      <c r="AN21" s="12">
        <v>242</v>
      </c>
      <c r="AO21" s="12">
        <v>255</v>
      </c>
      <c r="AQ21" s="11">
        <v>18</v>
      </c>
      <c r="AR21" s="14" t="s">
        <v>9</v>
      </c>
      <c r="AT21" s="11">
        <v>18</v>
      </c>
      <c r="AU21" s="12">
        <v>8</v>
      </c>
      <c r="AW21" s="11">
        <v>18</v>
      </c>
      <c r="AX21" s="12">
        <v>150</v>
      </c>
      <c r="AY21" s="12">
        <v>2110</v>
      </c>
      <c r="AZ21" s="12">
        <v>459</v>
      </c>
      <c r="BA21" s="12">
        <v>159</v>
      </c>
      <c r="BB21" s="12">
        <v>57</v>
      </c>
      <c r="BC21" s="12">
        <v>146</v>
      </c>
      <c r="BD21" s="12">
        <v>119</v>
      </c>
      <c r="BE21" s="12">
        <v>40</v>
      </c>
      <c r="BF21" s="24">
        <v>142</v>
      </c>
      <c r="BG21" s="29">
        <v>11</v>
      </c>
      <c r="BH21" s="12">
        <v>297</v>
      </c>
      <c r="BI21" s="12">
        <v>297</v>
      </c>
      <c r="BK21" s="11">
        <v>18</v>
      </c>
      <c r="BL21" s="12">
        <v>1</v>
      </c>
      <c r="BM21" s="12" t="s">
        <v>15</v>
      </c>
      <c r="BN21" s="12" t="s">
        <v>15</v>
      </c>
      <c r="BP21" s="11">
        <v>18</v>
      </c>
      <c r="BQ21" s="12">
        <v>2</v>
      </c>
      <c r="BR21" s="12">
        <v>0</v>
      </c>
      <c r="BS21" s="12">
        <v>0</v>
      </c>
      <c r="BU21" s="11">
        <v>18</v>
      </c>
      <c r="BV21" s="12">
        <v>1102</v>
      </c>
      <c r="BW21" s="12">
        <v>39</v>
      </c>
      <c r="BX21" s="12">
        <v>57</v>
      </c>
      <c r="BZ21" s="11">
        <v>18</v>
      </c>
      <c r="CA21" s="12"/>
      <c r="CC21" s="11">
        <v>18</v>
      </c>
      <c r="CD21" s="12"/>
    </row>
    <row r="22" spans="1:82">
      <c r="A22" s="30" t="s">
        <v>46</v>
      </c>
      <c r="B22" s="1" t="s">
        <v>10</v>
      </c>
      <c r="C22" s="2" t="s">
        <v>11</v>
      </c>
      <c r="D22" s="3" t="s">
        <v>80</v>
      </c>
      <c r="E22" s="122" t="s">
        <v>1</v>
      </c>
      <c r="F22" s="4" t="s">
        <v>2</v>
      </c>
      <c r="R22" s="11">
        <v>19</v>
      </c>
      <c r="S22" s="12" t="s">
        <v>15</v>
      </c>
      <c r="T22" s="12">
        <v>0</v>
      </c>
      <c r="U22" s="12">
        <v>0</v>
      </c>
      <c r="W22" s="11">
        <v>19</v>
      </c>
      <c r="X22" s="12">
        <v>0</v>
      </c>
      <c r="Y22" s="12">
        <v>1</v>
      </c>
      <c r="Z22" s="12">
        <v>1</v>
      </c>
      <c r="AB22" s="11">
        <v>19</v>
      </c>
      <c r="AC22" s="12">
        <v>4</v>
      </c>
      <c r="AD22" s="69">
        <v>365</v>
      </c>
      <c r="AE22" s="69">
        <v>0</v>
      </c>
      <c r="AG22" s="11">
        <v>19</v>
      </c>
      <c r="AH22" s="12">
        <v>279</v>
      </c>
      <c r="AI22" s="12">
        <v>76</v>
      </c>
      <c r="AJ22" s="12">
        <v>541</v>
      </c>
      <c r="AL22" s="11">
        <v>19</v>
      </c>
      <c r="AM22" s="12">
        <v>547</v>
      </c>
      <c r="AN22" s="12">
        <v>898</v>
      </c>
      <c r="AO22" s="12">
        <v>897</v>
      </c>
      <c r="AQ22" s="11">
        <v>19</v>
      </c>
      <c r="AR22" s="12" t="s">
        <v>15</v>
      </c>
      <c r="AT22" s="11">
        <v>19</v>
      </c>
      <c r="AU22" s="12">
        <v>0</v>
      </c>
      <c r="AW22" s="11">
        <v>19</v>
      </c>
      <c r="AX22" s="12">
        <v>405</v>
      </c>
      <c r="AY22" s="12">
        <v>22</v>
      </c>
      <c r="AZ22" s="12">
        <v>20</v>
      </c>
      <c r="BA22" s="12">
        <v>210</v>
      </c>
      <c r="BB22" s="12">
        <v>346</v>
      </c>
      <c r="BC22" s="12">
        <v>443</v>
      </c>
      <c r="BD22" s="12">
        <v>264</v>
      </c>
      <c r="BE22" s="12">
        <v>457</v>
      </c>
      <c r="BF22" s="24">
        <v>257</v>
      </c>
      <c r="BG22" s="29">
        <v>140</v>
      </c>
      <c r="BH22" s="12">
        <v>243</v>
      </c>
      <c r="BI22" s="12">
        <v>243</v>
      </c>
      <c r="BK22" s="11">
        <v>19</v>
      </c>
      <c r="BL22" s="12" t="s">
        <v>15</v>
      </c>
      <c r="BM22" s="12">
        <v>0</v>
      </c>
      <c r="BN22" s="12">
        <v>0</v>
      </c>
      <c r="BP22" s="11">
        <v>19</v>
      </c>
      <c r="BQ22" s="12">
        <v>0</v>
      </c>
      <c r="BR22" s="12">
        <v>1</v>
      </c>
      <c r="BS22" s="12">
        <v>1</v>
      </c>
      <c r="BU22" s="11">
        <v>19</v>
      </c>
      <c r="BV22" s="12">
        <v>4</v>
      </c>
      <c r="BW22" s="12">
        <v>525</v>
      </c>
      <c r="BX22" s="12">
        <v>800</v>
      </c>
      <c r="BZ22" s="11">
        <v>19</v>
      </c>
      <c r="CA22" s="12"/>
      <c r="CC22" s="11">
        <v>19</v>
      </c>
      <c r="CD22" s="12"/>
    </row>
    <row r="23" spans="1:82">
      <c r="A23" s="1" t="s">
        <v>19</v>
      </c>
      <c r="B23" s="1">
        <v>0</v>
      </c>
      <c r="C23" s="3" t="s">
        <v>25</v>
      </c>
      <c r="D23" s="3">
        <f>SUMIF(S$3:S$38,$A23,AH$3:AH$38)</f>
        <v>5029</v>
      </c>
      <c r="E23" s="122">
        <f t="shared" ref="E23:F34" si="2">SUMIF(T$3:T$38,$A23,AI$3:AI$38)</f>
        <v>5494</v>
      </c>
      <c r="F23" s="4">
        <f t="shared" si="2"/>
        <v>0</v>
      </c>
      <c r="R23" s="11">
        <v>20</v>
      </c>
      <c r="S23" s="12">
        <v>5</v>
      </c>
      <c r="T23" s="12" t="s">
        <v>15</v>
      </c>
      <c r="U23" s="12" t="s">
        <v>15</v>
      </c>
      <c r="W23" s="11">
        <v>20</v>
      </c>
      <c r="X23" s="12">
        <v>3</v>
      </c>
      <c r="Y23" s="12">
        <v>0</v>
      </c>
      <c r="Z23" s="12">
        <v>0</v>
      </c>
      <c r="AB23" s="11">
        <v>20</v>
      </c>
      <c r="AC23" s="12">
        <v>402</v>
      </c>
      <c r="AD23" s="69">
        <v>55</v>
      </c>
      <c r="AE23" s="69">
        <v>555</v>
      </c>
      <c r="AG23" s="11">
        <v>20</v>
      </c>
      <c r="AH23" s="12">
        <v>181</v>
      </c>
      <c r="AI23" s="12">
        <v>305</v>
      </c>
      <c r="AJ23" s="12">
        <v>0</v>
      </c>
      <c r="AL23" s="11">
        <v>20</v>
      </c>
      <c r="AM23" s="12">
        <v>8</v>
      </c>
      <c r="AN23" s="12">
        <v>242</v>
      </c>
      <c r="AO23" s="12">
        <v>255</v>
      </c>
      <c r="AQ23" s="11">
        <v>20</v>
      </c>
      <c r="AR23" s="14" t="s">
        <v>5</v>
      </c>
      <c r="AT23" s="11">
        <v>20</v>
      </c>
      <c r="AU23" s="12">
        <v>6</v>
      </c>
      <c r="AW23" s="11">
        <v>20</v>
      </c>
      <c r="AX23" s="12">
        <v>148</v>
      </c>
      <c r="AY23" s="12">
        <v>18</v>
      </c>
      <c r="AZ23" s="12">
        <v>1380</v>
      </c>
      <c r="BA23" s="12">
        <v>96</v>
      </c>
      <c r="BB23" s="12">
        <v>6</v>
      </c>
      <c r="BC23" s="12">
        <v>49</v>
      </c>
      <c r="BD23" s="12">
        <v>364</v>
      </c>
      <c r="BE23" s="12">
        <v>13</v>
      </c>
      <c r="BF23" s="24">
        <v>733</v>
      </c>
      <c r="BG23" s="29">
        <v>525</v>
      </c>
      <c r="BH23" s="12">
        <v>344</v>
      </c>
      <c r="BI23" s="12">
        <v>344</v>
      </c>
      <c r="BK23" s="11">
        <v>20</v>
      </c>
      <c r="BL23" s="12">
        <v>5</v>
      </c>
      <c r="BM23" s="12" t="s">
        <v>15</v>
      </c>
      <c r="BN23" s="12" t="s">
        <v>15</v>
      </c>
      <c r="BP23" s="11">
        <v>20</v>
      </c>
      <c r="BQ23" s="12">
        <v>3</v>
      </c>
      <c r="BR23" s="12">
        <v>0</v>
      </c>
      <c r="BS23" s="12">
        <v>0</v>
      </c>
      <c r="BU23" s="11">
        <v>20</v>
      </c>
      <c r="BV23" s="12">
        <v>276</v>
      </c>
      <c r="BW23" s="12">
        <v>39</v>
      </c>
      <c r="BX23" s="12">
        <v>57</v>
      </c>
      <c r="BZ23" s="11">
        <v>20</v>
      </c>
      <c r="CA23" s="12"/>
      <c r="CC23" s="11">
        <v>20</v>
      </c>
      <c r="CD23" s="12"/>
    </row>
    <row r="24" spans="1:82">
      <c r="A24" s="20">
        <v>0</v>
      </c>
      <c r="B24" s="20">
        <v>1</v>
      </c>
      <c r="C24" s="5">
        <v>0</v>
      </c>
      <c r="D24" s="37">
        <f t="shared" ref="D24:D34" si="3">SUMIF(S$3:S$38,$A24,AH$3:AH$38)</f>
        <v>0</v>
      </c>
      <c r="E24" s="121">
        <f t="shared" si="2"/>
        <v>455</v>
      </c>
      <c r="F24" s="7">
        <f t="shared" si="2"/>
        <v>3248</v>
      </c>
      <c r="R24" s="11">
        <v>21</v>
      </c>
      <c r="S24" s="12" t="s">
        <v>15</v>
      </c>
      <c r="T24" s="12">
        <v>1</v>
      </c>
      <c r="U24" s="12">
        <v>1</v>
      </c>
      <c r="W24" s="11">
        <v>21</v>
      </c>
      <c r="X24" s="12">
        <v>0</v>
      </c>
      <c r="Y24" s="12">
        <v>2</v>
      </c>
      <c r="Z24" s="12">
        <v>2</v>
      </c>
      <c r="AB24" s="11">
        <v>21</v>
      </c>
      <c r="AC24" s="12">
        <v>4</v>
      </c>
      <c r="AD24" s="69">
        <v>684</v>
      </c>
      <c r="AE24" s="69">
        <v>0</v>
      </c>
      <c r="AG24" s="11">
        <v>21</v>
      </c>
      <c r="AH24" s="12">
        <v>279</v>
      </c>
      <c r="AI24" s="12">
        <v>505</v>
      </c>
      <c r="AJ24" s="12">
        <v>591</v>
      </c>
      <c r="AL24" s="11">
        <v>21</v>
      </c>
      <c r="AM24" s="12">
        <v>547</v>
      </c>
      <c r="AN24" s="12">
        <v>17</v>
      </c>
      <c r="AO24" s="12">
        <v>0</v>
      </c>
      <c r="AQ24" s="11">
        <v>21</v>
      </c>
      <c r="AR24" s="12" t="s">
        <v>15</v>
      </c>
      <c r="AT24" s="11">
        <v>21</v>
      </c>
      <c r="AU24" s="12">
        <v>0</v>
      </c>
      <c r="AW24" s="11">
        <v>21</v>
      </c>
      <c r="AX24" s="12">
        <v>405</v>
      </c>
      <c r="AY24" s="12">
        <v>22</v>
      </c>
      <c r="AZ24" s="12">
        <v>20</v>
      </c>
      <c r="BA24" s="12">
        <v>210</v>
      </c>
      <c r="BB24" s="12">
        <v>346</v>
      </c>
      <c r="BC24" s="12">
        <v>443</v>
      </c>
      <c r="BD24" s="12">
        <v>264</v>
      </c>
      <c r="BE24" s="12">
        <v>457</v>
      </c>
      <c r="BF24" s="24">
        <v>257</v>
      </c>
      <c r="BG24" s="29">
        <v>140</v>
      </c>
      <c r="BH24" s="12">
        <v>243</v>
      </c>
      <c r="BI24" s="12">
        <v>243</v>
      </c>
      <c r="BK24" s="11">
        <v>21</v>
      </c>
      <c r="BL24" s="12" t="s">
        <v>15</v>
      </c>
      <c r="BM24" s="12">
        <v>1</v>
      </c>
      <c r="BN24" s="12">
        <v>1</v>
      </c>
      <c r="BP24" s="11">
        <v>21</v>
      </c>
      <c r="BQ24" s="12">
        <v>0</v>
      </c>
      <c r="BR24" s="12">
        <v>2</v>
      </c>
      <c r="BS24" s="12">
        <v>2</v>
      </c>
      <c r="BU24" s="11">
        <v>21</v>
      </c>
      <c r="BV24" s="12">
        <v>4</v>
      </c>
      <c r="BW24" s="12">
        <v>512</v>
      </c>
      <c r="BX24" s="12">
        <v>262</v>
      </c>
      <c r="BZ24" s="11">
        <v>21</v>
      </c>
      <c r="CA24" s="12"/>
      <c r="CC24" s="11">
        <v>21</v>
      </c>
      <c r="CD24" s="12"/>
    </row>
    <row r="25" spans="1:82">
      <c r="A25" s="20">
        <v>1</v>
      </c>
      <c r="B25" s="20">
        <v>2</v>
      </c>
      <c r="C25" s="5">
        <v>1</v>
      </c>
      <c r="D25" s="6">
        <f t="shared" si="3"/>
        <v>3788</v>
      </c>
      <c r="E25" s="121">
        <f t="shared" si="2"/>
        <v>3031</v>
      </c>
      <c r="F25" s="7">
        <f t="shared" si="2"/>
        <v>3547</v>
      </c>
      <c r="R25" s="11">
        <v>22</v>
      </c>
      <c r="S25" s="12">
        <v>10</v>
      </c>
      <c r="T25" s="12" t="s">
        <v>15</v>
      </c>
      <c r="U25" s="12" t="s">
        <v>15</v>
      </c>
      <c r="W25" s="11">
        <v>22</v>
      </c>
      <c r="X25" s="12">
        <v>4</v>
      </c>
      <c r="Y25" s="12">
        <v>0</v>
      </c>
      <c r="Z25" s="12">
        <v>0</v>
      </c>
      <c r="AB25" s="11">
        <v>22</v>
      </c>
      <c r="AC25" s="12">
        <v>81</v>
      </c>
      <c r="AD25" s="69">
        <v>55</v>
      </c>
      <c r="AE25" s="69">
        <v>555</v>
      </c>
      <c r="AG25" s="11">
        <v>22</v>
      </c>
      <c r="AH25" s="12">
        <v>16</v>
      </c>
      <c r="AI25" s="12">
        <v>305</v>
      </c>
      <c r="AJ25" s="12">
        <v>0</v>
      </c>
      <c r="AL25" s="11">
        <v>22</v>
      </c>
      <c r="AM25" s="12">
        <v>13</v>
      </c>
      <c r="AN25" s="12">
        <v>242</v>
      </c>
      <c r="AO25" s="12">
        <v>255</v>
      </c>
      <c r="AQ25" s="11">
        <v>22</v>
      </c>
      <c r="AR25" s="14" t="s">
        <v>7</v>
      </c>
      <c r="AT25" s="11">
        <v>22</v>
      </c>
      <c r="AU25" s="12">
        <v>9</v>
      </c>
      <c r="AW25" s="11">
        <v>22</v>
      </c>
      <c r="AX25" s="12">
        <v>15</v>
      </c>
      <c r="AY25" s="12">
        <v>45</v>
      </c>
      <c r="AZ25" s="12">
        <v>136</v>
      </c>
      <c r="BA25" s="12">
        <v>91</v>
      </c>
      <c r="BB25" s="12">
        <v>2</v>
      </c>
      <c r="BC25" s="12">
        <v>51</v>
      </c>
      <c r="BD25" s="12">
        <v>127</v>
      </c>
      <c r="BE25" s="12">
        <v>4</v>
      </c>
      <c r="BF25" s="24">
        <v>214</v>
      </c>
      <c r="BG25" s="29">
        <v>568</v>
      </c>
      <c r="BH25" s="12">
        <v>113</v>
      </c>
      <c r="BI25" s="12">
        <v>113</v>
      </c>
      <c r="BK25" s="11">
        <v>22</v>
      </c>
      <c r="BL25" s="12">
        <v>10</v>
      </c>
      <c r="BM25" s="12" t="s">
        <v>15</v>
      </c>
      <c r="BN25" s="12" t="s">
        <v>15</v>
      </c>
      <c r="BP25" s="11">
        <v>22</v>
      </c>
      <c r="BQ25" s="12">
        <v>4</v>
      </c>
      <c r="BR25" s="12">
        <v>0</v>
      </c>
      <c r="BS25" s="12">
        <v>0</v>
      </c>
      <c r="BU25" s="11">
        <v>22</v>
      </c>
      <c r="BV25" s="12">
        <v>276</v>
      </c>
      <c r="BW25" s="12">
        <v>39</v>
      </c>
      <c r="BX25" s="12">
        <v>57</v>
      </c>
      <c r="BZ25" s="11">
        <v>22</v>
      </c>
      <c r="CA25" s="12"/>
      <c r="CC25" s="11">
        <v>22</v>
      </c>
      <c r="CD25" s="12"/>
    </row>
    <row r="26" spans="1:82">
      <c r="A26" s="21">
        <v>5</v>
      </c>
      <c r="B26" s="21">
        <v>3</v>
      </c>
      <c r="C26" s="23">
        <v>5</v>
      </c>
      <c r="D26" s="6">
        <f t="shared" si="3"/>
        <v>1085</v>
      </c>
      <c r="E26" s="121">
        <f t="shared" si="2"/>
        <v>1020</v>
      </c>
      <c r="F26" s="7">
        <f t="shared" si="2"/>
        <v>3205</v>
      </c>
      <c r="R26" s="11">
        <v>23</v>
      </c>
      <c r="S26" s="12" t="s">
        <v>15</v>
      </c>
      <c r="T26" s="12">
        <v>5</v>
      </c>
      <c r="U26" s="12">
        <v>5</v>
      </c>
      <c r="W26" s="11">
        <v>23</v>
      </c>
      <c r="X26" s="12">
        <v>0</v>
      </c>
      <c r="Y26" s="12">
        <v>3</v>
      </c>
      <c r="Z26" s="12">
        <v>3</v>
      </c>
      <c r="AB26" s="11">
        <v>23</v>
      </c>
      <c r="AC26" s="12">
        <v>4</v>
      </c>
      <c r="AD26" s="69">
        <v>451</v>
      </c>
      <c r="AE26" s="69">
        <v>0</v>
      </c>
      <c r="AG26" s="11">
        <v>23</v>
      </c>
      <c r="AH26" s="12">
        <v>279</v>
      </c>
      <c r="AI26" s="12">
        <v>170</v>
      </c>
      <c r="AJ26" s="12">
        <v>534</v>
      </c>
      <c r="AL26" s="11">
        <v>23</v>
      </c>
      <c r="AM26" s="12">
        <v>546</v>
      </c>
      <c r="AN26" s="12">
        <v>26</v>
      </c>
      <c r="AO26" s="12">
        <v>6</v>
      </c>
      <c r="AQ26" s="11">
        <v>23</v>
      </c>
      <c r="AR26" s="12" t="s">
        <v>15</v>
      </c>
      <c r="AT26" s="11">
        <v>23</v>
      </c>
      <c r="AU26" s="12">
        <v>0</v>
      </c>
      <c r="AW26" s="11">
        <v>23</v>
      </c>
      <c r="AX26" s="12">
        <v>405</v>
      </c>
      <c r="AY26" s="12">
        <v>22</v>
      </c>
      <c r="AZ26" s="12">
        <v>20</v>
      </c>
      <c r="BA26" s="12">
        <v>210</v>
      </c>
      <c r="BB26" s="12">
        <v>346</v>
      </c>
      <c r="BC26" s="12">
        <v>443</v>
      </c>
      <c r="BD26" s="12">
        <v>264</v>
      </c>
      <c r="BE26" s="12">
        <v>457</v>
      </c>
      <c r="BF26" s="24">
        <v>257</v>
      </c>
      <c r="BG26" s="29">
        <v>140</v>
      </c>
      <c r="BH26" s="12">
        <v>242</v>
      </c>
      <c r="BI26" s="12">
        <v>242</v>
      </c>
      <c r="BK26" s="11">
        <v>23</v>
      </c>
      <c r="BL26" s="12" t="s">
        <v>15</v>
      </c>
      <c r="BM26" s="12">
        <v>5</v>
      </c>
      <c r="BN26" s="12">
        <v>5</v>
      </c>
      <c r="BP26" s="11">
        <v>23</v>
      </c>
      <c r="BQ26" s="12">
        <v>0</v>
      </c>
      <c r="BR26" s="12">
        <v>3</v>
      </c>
      <c r="BS26" s="12">
        <v>3</v>
      </c>
      <c r="BU26" s="11">
        <v>23</v>
      </c>
      <c r="BV26" s="12">
        <v>4</v>
      </c>
      <c r="BW26" s="12">
        <v>512</v>
      </c>
      <c r="BX26" s="12">
        <v>433</v>
      </c>
      <c r="BZ26" s="11">
        <v>23</v>
      </c>
      <c r="CA26" s="12"/>
      <c r="CC26" s="11">
        <v>23</v>
      </c>
      <c r="CD26" s="12"/>
    </row>
    <row r="27" spans="1:82">
      <c r="A27" s="21">
        <v>10</v>
      </c>
      <c r="B27" s="21">
        <v>4</v>
      </c>
      <c r="C27" s="23">
        <v>10</v>
      </c>
      <c r="D27" s="6">
        <f t="shared" si="3"/>
        <v>98</v>
      </c>
      <c r="E27" s="59">
        <f t="shared" si="2"/>
        <v>0</v>
      </c>
      <c r="F27" s="38">
        <f t="shared" si="2"/>
        <v>0</v>
      </c>
      <c r="R27" s="11">
        <v>24</v>
      </c>
      <c r="S27" s="12">
        <v>1</v>
      </c>
      <c r="T27" s="12" t="s">
        <v>15</v>
      </c>
      <c r="U27" s="12" t="s">
        <v>15</v>
      </c>
      <c r="W27" s="11">
        <v>24</v>
      </c>
      <c r="X27" s="12">
        <v>2</v>
      </c>
      <c r="Y27" s="12">
        <v>0</v>
      </c>
      <c r="Z27" s="12">
        <v>0</v>
      </c>
      <c r="AB27" s="11">
        <v>24</v>
      </c>
      <c r="AC27" s="12">
        <v>1171</v>
      </c>
      <c r="AD27" s="69">
        <v>55</v>
      </c>
      <c r="AE27" s="69">
        <v>555</v>
      </c>
      <c r="AG27" s="11">
        <v>24</v>
      </c>
      <c r="AH27" s="12">
        <v>631</v>
      </c>
      <c r="AI27" s="12">
        <v>305</v>
      </c>
      <c r="AJ27" s="12">
        <v>0</v>
      </c>
      <c r="AL27" s="11">
        <v>24</v>
      </c>
      <c r="AM27" s="12">
        <v>5</v>
      </c>
      <c r="AN27" s="12">
        <v>242</v>
      </c>
      <c r="AO27" s="12">
        <v>255</v>
      </c>
      <c r="AQ27" s="11">
        <v>24</v>
      </c>
      <c r="AR27" s="14" t="s">
        <v>6</v>
      </c>
      <c r="AT27" s="11">
        <v>24</v>
      </c>
      <c r="AU27" s="12">
        <v>7</v>
      </c>
      <c r="AW27" s="11">
        <v>24</v>
      </c>
      <c r="AX27" s="12">
        <v>154</v>
      </c>
      <c r="AY27" s="12">
        <v>18</v>
      </c>
      <c r="AZ27" s="12">
        <v>24</v>
      </c>
      <c r="BA27" s="12">
        <v>878</v>
      </c>
      <c r="BB27" s="12">
        <v>647</v>
      </c>
      <c r="BC27" s="12">
        <v>7</v>
      </c>
      <c r="BD27" s="12">
        <v>366</v>
      </c>
      <c r="BE27" s="12">
        <v>14</v>
      </c>
      <c r="BF27" s="24">
        <v>30</v>
      </c>
      <c r="BG27" s="29">
        <v>392</v>
      </c>
      <c r="BH27" s="12">
        <v>363</v>
      </c>
      <c r="BI27" s="12">
        <v>363</v>
      </c>
      <c r="BK27" s="11">
        <v>24</v>
      </c>
      <c r="BL27" s="12">
        <v>1</v>
      </c>
      <c r="BM27" s="12" t="s">
        <v>15</v>
      </c>
      <c r="BN27" s="12" t="s">
        <v>15</v>
      </c>
      <c r="BP27" s="11">
        <v>24</v>
      </c>
      <c r="BQ27" s="12">
        <v>2</v>
      </c>
      <c r="BR27" s="12">
        <v>0</v>
      </c>
      <c r="BS27" s="12">
        <v>0</v>
      </c>
      <c r="BU27" s="11">
        <v>24</v>
      </c>
      <c r="BV27" s="12">
        <v>1102</v>
      </c>
      <c r="BW27" s="12">
        <v>39</v>
      </c>
      <c r="BX27" s="12">
        <v>57</v>
      </c>
      <c r="BZ27" s="11">
        <v>24</v>
      </c>
      <c r="CA27" s="12"/>
      <c r="CC27" s="11">
        <v>24</v>
      </c>
      <c r="CD27" s="12"/>
    </row>
    <row r="28" spans="1:82">
      <c r="A28" s="20" t="s">
        <v>20</v>
      </c>
      <c r="B28" s="20">
        <v>5</v>
      </c>
      <c r="C28" s="23" t="s">
        <v>29</v>
      </c>
      <c r="D28" s="37">
        <f t="shared" si="3"/>
        <v>0</v>
      </c>
      <c r="E28" s="59">
        <f t="shared" si="2"/>
        <v>0</v>
      </c>
      <c r="F28" s="38">
        <f t="shared" si="2"/>
        <v>0</v>
      </c>
      <c r="R28" s="11">
        <v>25</v>
      </c>
      <c r="S28" s="12" t="s">
        <v>15</v>
      </c>
      <c r="T28" s="12">
        <v>0</v>
      </c>
      <c r="U28" s="12">
        <v>0</v>
      </c>
      <c r="W28" s="11">
        <v>25</v>
      </c>
      <c r="X28" s="12">
        <v>0</v>
      </c>
      <c r="Y28" s="12">
        <v>1</v>
      </c>
      <c r="Z28" s="12">
        <v>1</v>
      </c>
      <c r="AB28" s="11">
        <v>25</v>
      </c>
      <c r="AC28" s="12">
        <v>4</v>
      </c>
      <c r="AD28" s="69">
        <v>364</v>
      </c>
      <c r="AE28" s="69">
        <v>0</v>
      </c>
      <c r="AG28" s="11">
        <v>25</v>
      </c>
      <c r="AH28" s="12">
        <v>279</v>
      </c>
      <c r="AI28" s="12">
        <v>76</v>
      </c>
      <c r="AJ28" s="12">
        <v>541</v>
      </c>
      <c r="AL28" s="11">
        <v>25</v>
      </c>
      <c r="AM28" s="12">
        <v>546</v>
      </c>
      <c r="AN28" s="12">
        <v>898</v>
      </c>
      <c r="AO28" s="12">
        <v>897</v>
      </c>
      <c r="AQ28" s="11">
        <v>25</v>
      </c>
      <c r="AR28" s="12" t="s">
        <v>15</v>
      </c>
      <c r="AT28" s="11">
        <v>25</v>
      </c>
      <c r="AU28" s="12">
        <v>0</v>
      </c>
      <c r="AW28" s="11">
        <v>25</v>
      </c>
      <c r="AX28" s="12">
        <v>405</v>
      </c>
      <c r="AY28" s="12">
        <v>22</v>
      </c>
      <c r="AZ28" s="12">
        <v>20</v>
      </c>
      <c r="BA28" s="12">
        <v>210</v>
      </c>
      <c r="BB28" s="12">
        <v>346</v>
      </c>
      <c r="BC28" s="12">
        <v>443</v>
      </c>
      <c r="BD28" s="12">
        <v>264</v>
      </c>
      <c r="BE28" s="12">
        <v>457</v>
      </c>
      <c r="BF28" s="24">
        <v>257</v>
      </c>
      <c r="BG28" s="29">
        <v>139</v>
      </c>
      <c r="BH28" s="12">
        <v>242</v>
      </c>
      <c r="BI28" s="12">
        <v>242</v>
      </c>
      <c r="BK28" s="11">
        <v>25</v>
      </c>
      <c r="BL28" s="12" t="s">
        <v>15</v>
      </c>
      <c r="BM28" s="12">
        <v>0</v>
      </c>
      <c r="BN28" s="12">
        <v>0</v>
      </c>
      <c r="BP28" s="11">
        <v>25</v>
      </c>
      <c r="BQ28" s="12">
        <v>0</v>
      </c>
      <c r="BR28" s="12">
        <v>1</v>
      </c>
      <c r="BS28" s="12">
        <v>1</v>
      </c>
      <c r="BU28" s="11">
        <v>25</v>
      </c>
      <c r="BV28" s="12">
        <v>4</v>
      </c>
      <c r="BW28" s="12">
        <v>525</v>
      </c>
      <c r="BX28" s="12">
        <v>800</v>
      </c>
      <c r="BZ28" s="11">
        <v>25</v>
      </c>
      <c r="CA28" s="12"/>
      <c r="CC28" s="11">
        <v>25</v>
      </c>
      <c r="CD28" s="12"/>
    </row>
    <row r="29" spans="1:82">
      <c r="A29" s="21" t="s">
        <v>21</v>
      </c>
      <c r="B29" s="21">
        <v>6</v>
      </c>
      <c r="C29" s="23" t="s">
        <v>26</v>
      </c>
      <c r="D29" s="37">
        <f t="shared" si="3"/>
        <v>0</v>
      </c>
      <c r="E29" s="59">
        <f t="shared" si="2"/>
        <v>0</v>
      </c>
      <c r="F29" s="38">
        <f t="shared" si="2"/>
        <v>0</v>
      </c>
      <c r="R29" s="11">
        <v>26</v>
      </c>
      <c r="S29" s="12">
        <v>5</v>
      </c>
      <c r="T29" s="12" t="s">
        <v>15</v>
      </c>
      <c r="U29" s="12" t="s">
        <v>15</v>
      </c>
      <c r="W29" s="11">
        <v>26</v>
      </c>
      <c r="X29" s="12">
        <v>3</v>
      </c>
      <c r="Y29" s="12">
        <v>0</v>
      </c>
      <c r="Z29" s="12">
        <v>0</v>
      </c>
      <c r="AB29" s="11">
        <v>26</v>
      </c>
      <c r="AC29" s="12">
        <v>401</v>
      </c>
      <c r="AD29" s="69">
        <v>55</v>
      </c>
      <c r="AE29" s="69">
        <v>555</v>
      </c>
      <c r="AG29" s="11">
        <v>26</v>
      </c>
      <c r="AH29" s="12">
        <v>181</v>
      </c>
      <c r="AI29" s="12">
        <v>305</v>
      </c>
      <c r="AJ29" s="12">
        <v>0</v>
      </c>
      <c r="AL29" s="11">
        <v>26</v>
      </c>
      <c r="AM29" s="12">
        <v>8</v>
      </c>
      <c r="AN29" s="12">
        <v>242</v>
      </c>
      <c r="AO29" s="12">
        <v>254</v>
      </c>
      <c r="AQ29" s="11">
        <v>26</v>
      </c>
      <c r="AR29" s="14" t="s">
        <v>36</v>
      </c>
      <c r="AT29" s="11">
        <v>26</v>
      </c>
      <c r="AU29" s="12">
        <v>10</v>
      </c>
      <c r="AW29" s="11">
        <v>26</v>
      </c>
      <c r="AX29" s="12">
        <v>12</v>
      </c>
      <c r="AY29" s="12">
        <v>196</v>
      </c>
      <c r="AZ29" s="12">
        <v>403</v>
      </c>
      <c r="BA29" s="12">
        <v>226</v>
      </c>
      <c r="BB29" s="12">
        <v>56</v>
      </c>
      <c r="BC29" s="12">
        <v>32</v>
      </c>
      <c r="BD29" s="12">
        <v>202</v>
      </c>
      <c r="BE29" s="12">
        <v>143</v>
      </c>
      <c r="BF29" s="24">
        <v>96</v>
      </c>
      <c r="BG29" s="29">
        <v>307</v>
      </c>
      <c r="BH29" s="12">
        <v>169</v>
      </c>
      <c r="BI29" s="12">
        <v>169</v>
      </c>
      <c r="BK29" s="11">
        <v>26</v>
      </c>
      <c r="BL29" s="12">
        <v>5</v>
      </c>
      <c r="BM29" s="12" t="s">
        <v>15</v>
      </c>
      <c r="BN29" s="12" t="s">
        <v>15</v>
      </c>
      <c r="BP29" s="11">
        <v>26</v>
      </c>
      <c r="BQ29" s="12">
        <v>3</v>
      </c>
      <c r="BR29" s="12">
        <v>0</v>
      </c>
      <c r="BS29" s="12">
        <v>0</v>
      </c>
      <c r="BU29" s="11">
        <v>26</v>
      </c>
      <c r="BV29" s="12">
        <v>275</v>
      </c>
      <c r="BW29" s="12">
        <v>39</v>
      </c>
      <c r="BX29" s="12">
        <v>57</v>
      </c>
      <c r="BZ29" s="11">
        <v>26</v>
      </c>
      <c r="CA29" s="12"/>
      <c r="CC29" s="11">
        <v>26</v>
      </c>
      <c r="CD29" s="12"/>
    </row>
    <row r="30" spans="1:82">
      <c r="A30" s="20" t="s">
        <v>22</v>
      </c>
      <c r="B30" s="20">
        <v>7</v>
      </c>
      <c r="C30" s="5" t="s">
        <v>27</v>
      </c>
      <c r="D30" s="37">
        <f t="shared" si="3"/>
        <v>0</v>
      </c>
      <c r="E30" s="59">
        <f t="shared" si="2"/>
        <v>0</v>
      </c>
      <c r="F30" s="38">
        <f t="shared" si="2"/>
        <v>0</v>
      </c>
      <c r="R30" s="11">
        <v>27</v>
      </c>
      <c r="S30" s="12" t="s">
        <v>15</v>
      </c>
      <c r="T30" s="12">
        <v>1</v>
      </c>
      <c r="U30" s="12">
        <v>1</v>
      </c>
      <c r="W30" s="11">
        <v>27</v>
      </c>
      <c r="X30" s="12">
        <v>0</v>
      </c>
      <c r="Y30" s="12">
        <v>2</v>
      </c>
      <c r="Z30" s="12">
        <v>2</v>
      </c>
      <c r="AB30" s="11">
        <v>27</v>
      </c>
      <c r="AC30" s="12">
        <v>4</v>
      </c>
      <c r="AD30" s="69">
        <v>684</v>
      </c>
      <c r="AE30" s="69">
        <v>0</v>
      </c>
      <c r="AG30" s="11">
        <v>27</v>
      </c>
      <c r="AH30" s="12">
        <v>279</v>
      </c>
      <c r="AI30" s="12">
        <v>505</v>
      </c>
      <c r="AJ30" s="12">
        <v>591</v>
      </c>
      <c r="AL30" s="11">
        <v>27</v>
      </c>
      <c r="AM30" s="12">
        <v>546</v>
      </c>
      <c r="AN30" s="12">
        <v>16</v>
      </c>
      <c r="AO30" s="12">
        <v>0</v>
      </c>
      <c r="AQ30" s="11">
        <v>27</v>
      </c>
      <c r="AR30" s="12" t="s">
        <v>15</v>
      </c>
      <c r="AT30" s="11">
        <v>27</v>
      </c>
      <c r="AU30" s="12">
        <v>0</v>
      </c>
      <c r="AW30" s="11">
        <v>27</v>
      </c>
      <c r="AX30" s="12">
        <v>405</v>
      </c>
      <c r="AY30" s="12">
        <v>22</v>
      </c>
      <c r="AZ30" s="12">
        <v>20</v>
      </c>
      <c r="BA30" s="12">
        <v>210</v>
      </c>
      <c r="BB30" s="12">
        <v>346</v>
      </c>
      <c r="BC30" s="12">
        <v>443</v>
      </c>
      <c r="BD30" s="12">
        <v>264</v>
      </c>
      <c r="BE30" s="12">
        <v>457</v>
      </c>
      <c r="BF30" s="24">
        <v>257</v>
      </c>
      <c r="BG30" s="29">
        <v>139</v>
      </c>
      <c r="BH30" s="12">
        <v>242</v>
      </c>
      <c r="BI30" s="12">
        <v>242</v>
      </c>
      <c r="BK30" s="11">
        <v>27</v>
      </c>
      <c r="BL30" s="12" t="s">
        <v>15</v>
      </c>
      <c r="BM30" s="12">
        <v>1</v>
      </c>
      <c r="BN30" s="12">
        <v>1</v>
      </c>
      <c r="BP30" s="11">
        <v>27</v>
      </c>
      <c r="BQ30" s="12">
        <v>0</v>
      </c>
      <c r="BR30" s="12">
        <v>2</v>
      </c>
      <c r="BS30" s="12">
        <v>2</v>
      </c>
      <c r="BU30" s="11">
        <v>27</v>
      </c>
      <c r="BV30" s="12">
        <v>4</v>
      </c>
      <c r="BW30" s="12">
        <v>512</v>
      </c>
      <c r="BX30" s="12">
        <v>262</v>
      </c>
      <c r="BZ30" s="11">
        <v>27</v>
      </c>
      <c r="CA30" s="12"/>
      <c r="CC30" s="11">
        <v>27</v>
      </c>
      <c r="CD30" s="12"/>
    </row>
    <row r="31" spans="1:82">
      <c r="A31" s="20" t="s">
        <v>23</v>
      </c>
      <c r="B31" s="20">
        <v>8</v>
      </c>
      <c r="C31" s="5" t="s">
        <v>28</v>
      </c>
      <c r="D31" s="37">
        <f t="shared" si="3"/>
        <v>0</v>
      </c>
      <c r="E31" s="59">
        <f t="shared" si="2"/>
        <v>0</v>
      </c>
      <c r="F31" s="38">
        <f t="shared" si="2"/>
        <v>0</v>
      </c>
      <c r="R31" s="11">
        <v>28</v>
      </c>
      <c r="S31" s="12">
        <v>10</v>
      </c>
      <c r="T31" s="12" t="s">
        <v>15</v>
      </c>
      <c r="U31" s="12" t="s">
        <v>15</v>
      </c>
      <c r="W31" s="11">
        <v>28</v>
      </c>
      <c r="X31" s="12">
        <v>4</v>
      </c>
      <c r="Y31" s="12">
        <v>0</v>
      </c>
      <c r="Z31" s="12">
        <v>0</v>
      </c>
      <c r="AB31" s="11">
        <v>28</v>
      </c>
      <c r="AC31" s="12">
        <v>81</v>
      </c>
      <c r="AD31" s="69">
        <v>55</v>
      </c>
      <c r="AE31" s="69">
        <v>555</v>
      </c>
      <c r="AG31" s="11">
        <v>28</v>
      </c>
      <c r="AH31" s="12">
        <v>16</v>
      </c>
      <c r="AI31" s="12">
        <v>305</v>
      </c>
      <c r="AJ31" s="12">
        <v>0</v>
      </c>
      <c r="AL31" s="11">
        <v>28</v>
      </c>
      <c r="AM31" s="12">
        <v>13</v>
      </c>
      <c r="AN31" s="12">
        <v>242</v>
      </c>
      <c r="AO31" s="12">
        <v>254</v>
      </c>
      <c r="AQ31" s="11">
        <v>28</v>
      </c>
      <c r="AR31" s="14" t="s">
        <v>9</v>
      </c>
      <c r="AT31" s="11">
        <v>28</v>
      </c>
      <c r="AU31" s="12">
        <v>8</v>
      </c>
      <c r="AW31" s="11">
        <v>28</v>
      </c>
      <c r="AX31" s="12">
        <v>150</v>
      </c>
      <c r="AY31" s="12">
        <v>2110</v>
      </c>
      <c r="AZ31" s="12">
        <v>458</v>
      </c>
      <c r="BA31" s="12">
        <v>159</v>
      </c>
      <c r="BB31" s="12">
        <v>56</v>
      </c>
      <c r="BC31" s="12">
        <v>146</v>
      </c>
      <c r="BD31" s="12">
        <v>119</v>
      </c>
      <c r="BE31" s="12">
        <v>39</v>
      </c>
      <c r="BF31" s="24">
        <v>142</v>
      </c>
      <c r="BG31" s="29">
        <v>11</v>
      </c>
      <c r="BH31" s="12">
        <v>297</v>
      </c>
      <c r="BI31" s="12">
        <v>297</v>
      </c>
      <c r="BK31" s="11">
        <v>28</v>
      </c>
      <c r="BL31" s="12">
        <v>10</v>
      </c>
      <c r="BM31" s="12" t="s">
        <v>15</v>
      </c>
      <c r="BN31" s="12" t="s">
        <v>15</v>
      </c>
      <c r="BP31" s="11">
        <v>28</v>
      </c>
      <c r="BQ31" s="12">
        <v>4</v>
      </c>
      <c r="BR31" s="12">
        <v>0</v>
      </c>
      <c r="BS31" s="12">
        <v>0</v>
      </c>
      <c r="BU31" s="11">
        <v>28</v>
      </c>
      <c r="BV31" s="12">
        <v>275</v>
      </c>
      <c r="BW31" s="12">
        <v>39</v>
      </c>
      <c r="BX31" s="12">
        <v>57</v>
      </c>
      <c r="BZ31" s="11">
        <v>28</v>
      </c>
      <c r="CA31" s="12"/>
      <c r="CC31" s="11">
        <v>28</v>
      </c>
      <c r="CD31" s="12"/>
    </row>
    <row r="32" spans="1:82">
      <c r="A32" s="20" t="s">
        <v>24</v>
      </c>
      <c r="B32" s="20">
        <v>9</v>
      </c>
      <c r="C32" s="5" t="s">
        <v>16</v>
      </c>
      <c r="D32" s="37">
        <f t="shared" si="3"/>
        <v>0</v>
      </c>
      <c r="E32" s="59">
        <f t="shared" si="2"/>
        <v>0</v>
      </c>
      <c r="F32" s="38">
        <f t="shared" si="2"/>
        <v>0</v>
      </c>
      <c r="R32" s="11">
        <v>29</v>
      </c>
      <c r="S32" s="12" t="s">
        <v>15</v>
      </c>
      <c r="T32" s="12">
        <v>5</v>
      </c>
      <c r="U32" s="12">
        <v>5</v>
      </c>
      <c r="W32" s="11">
        <v>29</v>
      </c>
      <c r="X32" s="12">
        <v>0</v>
      </c>
      <c r="Y32" s="12">
        <v>3</v>
      </c>
      <c r="Z32" s="12">
        <v>3</v>
      </c>
      <c r="AB32" s="11">
        <v>29</v>
      </c>
      <c r="AC32" s="12">
        <v>4</v>
      </c>
      <c r="AD32" s="69">
        <v>451</v>
      </c>
      <c r="AE32" s="69">
        <v>0</v>
      </c>
      <c r="AG32" s="11">
        <v>29</v>
      </c>
      <c r="AH32" s="12">
        <v>279</v>
      </c>
      <c r="AI32" s="12">
        <v>170</v>
      </c>
      <c r="AJ32" s="12">
        <v>534</v>
      </c>
      <c r="AL32" s="11">
        <v>29</v>
      </c>
      <c r="AM32" s="12">
        <v>546</v>
      </c>
      <c r="AN32" s="12">
        <v>26</v>
      </c>
      <c r="AO32" s="12">
        <v>5</v>
      </c>
      <c r="AQ32" s="11">
        <v>29</v>
      </c>
      <c r="AR32" s="12" t="s">
        <v>15</v>
      </c>
      <c r="AT32" s="11">
        <v>29</v>
      </c>
      <c r="AU32" s="12">
        <v>0</v>
      </c>
      <c r="AW32" s="11">
        <v>29</v>
      </c>
      <c r="AX32" s="12">
        <v>405</v>
      </c>
      <c r="AY32" s="12">
        <v>22</v>
      </c>
      <c r="AZ32" s="12">
        <v>20</v>
      </c>
      <c r="BA32" s="12">
        <v>210</v>
      </c>
      <c r="BB32" s="12">
        <v>346</v>
      </c>
      <c r="BC32" s="12">
        <v>443</v>
      </c>
      <c r="BD32" s="12">
        <v>264</v>
      </c>
      <c r="BE32" s="12">
        <v>457</v>
      </c>
      <c r="BF32" s="24">
        <v>257</v>
      </c>
      <c r="BG32" s="29">
        <v>139</v>
      </c>
      <c r="BH32" s="12">
        <v>242</v>
      </c>
      <c r="BI32" s="12">
        <v>242</v>
      </c>
      <c r="BK32" s="11">
        <v>29</v>
      </c>
      <c r="BL32" s="12" t="s">
        <v>15</v>
      </c>
      <c r="BM32" s="12">
        <v>5</v>
      </c>
      <c r="BN32" s="12">
        <v>5</v>
      </c>
      <c r="BP32" s="11">
        <v>29</v>
      </c>
      <c r="BQ32" s="12">
        <v>0</v>
      </c>
      <c r="BR32" s="12">
        <v>3</v>
      </c>
      <c r="BS32" s="12">
        <v>3</v>
      </c>
      <c r="BU32" s="11">
        <v>29</v>
      </c>
      <c r="BV32" s="12">
        <v>4</v>
      </c>
      <c r="BW32" s="12">
        <v>512</v>
      </c>
      <c r="BX32" s="12">
        <v>433</v>
      </c>
      <c r="BZ32" s="11">
        <v>29</v>
      </c>
      <c r="CA32" s="12"/>
      <c r="CC32" s="11">
        <v>29</v>
      </c>
      <c r="CD32" s="12"/>
    </row>
    <row r="33" spans="1:82">
      <c r="A33" s="21" t="s">
        <v>35</v>
      </c>
      <c r="B33" s="21">
        <v>10</v>
      </c>
      <c r="C33" s="5" t="s">
        <v>37</v>
      </c>
      <c r="D33" s="37">
        <f t="shared" si="3"/>
        <v>0</v>
      </c>
      <c r="E33" s="59">
        <f t="shared" si="2"/>
        <v>0</v>
      </c>
      <c r="F33" s="38">
        <f t="shared" si="2"/>
        <v>0</v>
      </c>
      <c r="G33" s="121"/>
      <c r="H33" s="94" t="s">
        <v>34</v>
      </c>
      <c r="J33" s="121"/>
      <c r="R33" s="11">
        <v>30</v>
      </c>
      <c r="S33" s="12">
        <v>1</v>
      </c>
      <c r="T33" s="12" t="s">
        <v>15</v>
      </c>
      <c r="U33" s="12" t="s">
        <v>15</v>
      </c>
      <c r="W33" s="11">
        <v>30</v>
      </c>
      <c r="X33" s="12">
        <v>2</v>
      </c>
      <c r="Y33" s="12">
        <v>0</v>
      </c>
      <c r="Z33" s="12">
        <v>0</v>
      </c>
      <c r="AB33" s="11">
        <v>30</v>
      </c>
      <c r="AC33" s="12">
        <v>1171</v>
      </c>
      <c r="AD33" s="69">
        <v>55</v>
      </c>
      <c r="AE33" s="69">
        <v>555</v>
      </c>
      <c r="AG33" s="11">
        <v>30</v>
      </c>
      <c r="AH33" s="12">
        <v>631</v>
      </c>
      <c r="AI33" s="12">
        <v>305</v>
      </c>
      <c r="AJ33" s="12">
        <v>0</v>
      </c>
      <c r="AL33" s="11">
        <v>30</v>
      </c>
      <c r="AM33" s="12">
        <v>4</v>
      </c>
      <c r="AN33" s="12">
        <v>242</v>
      </c>
      <c r="AO33" s="12">
        <v>254</v>
      </c>
      <c r="AQ33" s="11">
        <v>30</v>
      </c>
      <c r="AR33" s="14" t="s">
        <v>5</v>
      </c>
      <c r="AT33" s="11">
        <v>30</v>
      </c>
      <c r="AU33" s="12">
        <v>6</v>
      </c>
      <c r="AW33" s="11">
        <v>30</v>
      </c>
      <c r="AX33" s="12">
        <v>148</v>
      </c>
      <c r="AY33" s="12">
        <v>17</v>
      </c>
      <c r="AZ33" s="12">
        <v>1380</v>
      </c>
      <c r="BA33" s="12">
        <v>95</v>
      </c>
      <c r="BB33" s="12">
        <v>6</v>
      </c>
      <c r="BC33" s="12">
        <v>49</v>
      </c>
      <c r="BD33" s="12">
        <v>364</v>
      </c>
      <c r="BE33" s="12">
        <v>13</v>
      </c>
      <c r="BF33" s="24">
        <v>733</v>
      </c>
      <c r="BG33" s="29">
        <v>525</v>
      </c>
      <c r="BH33" s="12">
        <v>344</v>
      </c>
      <c r="BI33" s="12">
        <v>344</v>
      </c>
      <c r="BK33" s="11">
        <v>30</v>
      </c>
      <c r="BL33" s="12">
        <v>1</v>
      </c>
      <c r="BM33" s="12" t="s">
        <v>15</v>
      </c>
      <c r="BN33" s="12" t="s">
        <v>15</v>
      </c>
      <c r="BP33" s="11">
        <v>30</v>
      </c>
      <c r="BQ33" s="12">
        <v>2</v>
      </c>
      <c r="BR33" s="12">
        <v>0</v>
      </c>
      <c r="BS33" s="12">
        <v>0</v>
      </c>
      <c r="BU33" s="11">
        <v>30</v>
      </c>
      <c r="BV33" s="12">
        <v>1102</v>
      </c>
      <c r="BW33" s="12">
        <v>39</v>
      </c>
      <c r="BX33" s="12">
        <v>57</v>
      </c>
      <c r="BZ33" s="11">
        <v>30</v>
      </c>
      <c r="CA33" s="12"/>
      <c r="CC33" s="11">
        <v>30</v>
      </c>
      <c r="CD33" s="12"/>
    </row>
    <row r="34" spans="1:82">
      <c r="A34" s="22" t="s">
        <v>39</v>
      </c>
      <c r="B34" s="22">
        <v>11</v>
      </c>
      <c r="C34" s="17" t="s">
        <v>38</v>
      </c>
      <c r="D34" s="60">
        <f t="shared" si="3"/>
        <v>0</v>
      </c>
      <c r="E34" s="39">
        <f t="shared" si="2"/>
        <v>0</v>
      </c>
      <c r="F34" s="40">
        <f t="shared" si="2"/>
        <v>0</v>
      </c>
      <c r="G34" s="121"/>
      <c r="H34" s="95" t="s">
        <v>57</v>
      </c>
      <c r="I34" s="58" t="s">
        <v>58</v>
      </c>
      <c r="R34" s="11">
        <v>31</v>
      </c>
      <c r="S34" s="12" t="s">
        <v>15</v>
      </c>
      <c r="T34" s="12">
        <v>0</v>
      </c>
      <c r="U34" s="12">
        <v>0</v>
      </c>
      <c r="W34" s="11">
        <v>31</v>
      </c>
      <c r="X34" s="12">
        <v>0</v>
      </c>
      <c r="Y34" s="12">
        <v>1</v>
      </c>
      <c r="Z34" s="12">
        <v>1</v>
      </c>
      <c r="AB34" s="11">
        <v>31</v>
      </c>
      <c r="AC34" s="12">
        <v>4</v>
      </c>
      <c r="AD34" s="69">
        <v>364</v>
      </c>
      <c r="AE34" s="69">
        <v>0</v>
      </c>
      <c r="AG34" s="11">
        <v>31</v>
      </c>
      <c r="AH34" s="12">
        <v>279</v>
      </c>
      <c r="AI34" s="12">
        <v>75</v>
      </c>
      <c r="AJ34" s="12">
        <v>541</v>
      </c>
      <c r="AL34" s="11">
        <v>31</v>
      </c>
      <c r="AM34" s="12">
        <v>546</v>
      </c>
      <c r="AN34" s="12">
        <v>898</v>
      </c>
      <c r="AO34" s="12">
        <v>896</v>
      </c>
      <c r="AQ34" s="11">
        <v>31</v>
      </c>
      <c r="AR34" s="12" t="s">
        <v>15</v>
      </c>
      <c r="AT34" s="11">
        <v>31</v>
      </c>
      <c r="AU34" s="12">
        <v>0</v>
      </c>
      <c r="AW34" s="11">
        <v>31</v>
      </c>
      <c r="AX34" s="12">
        <v>405</v>
      </c>
      <c r="AY34" s="12">
        <v>22</v>
      </c>
      <c r="AZ34" s="12">
        <v>20</v>
      </c>
      <c r="BA34" s="12">
        <v>210</v>
      </c>
      <c r="BB34" s="12">
        <v>346</v>
      </c>
      <c r="BC34" s="12">
        <v>443</v>
      </c>
      <c r="BD34" s="12">
        <v>264</v>
      </c>
      <c r="BE34" s="12">
        <v>457</v>
      </c>
      <c r="BF34" s="24">
        <v>256</v>
      </c>
      <c r="BG34" s="29">
        <v>139</v>
      </c>
      <c r="BH34" s="12">
        <v>242</v>
      </c>
      <c r="BI34" s="12">
        <v>242</v>
      </c>
      <c r="BK34" s="11">
        <v>31</v>
      </c>
      <c r="BL34" s="12" t="s">
        <v>15</v>
      </c>
      <c r="BM34" s="12">
        <v>0</v>
      </c>
      <c r="BN34" s="12">
        <v>0</v>
      </c>
      <c r="BP34" s="11">
        <v>31</v>
      </c>
      <c r="BQ34" s="12">
        <v>0</v>
      </c>
      <c r="BR34" s="12">
        <v>1</v>
      </c>
      <c r="BS34" s="12">
        <v>1</v>
      </c>
      <c r="BU34" s="11">
        <v>31</v>
      </c>
      <c r="BV34" s="12">
        <v>4</v>
      </c>
      <c r="BW34" s="12">
        <v>525</v>
      </c>
      <c r="BX34" s="12">
        <v>800</v>
      </c>
      <c r="BZ34" s="11">
        <v>31</v>
      </c>
      <c r="CA34" s="12"/>
      <c r="CC34" s="11">
        <v>31</v>
      </c>
      <c r="CD34" s="12"/>
    </row>
    <row r="35" spans="1:82">
      <c r="D35" s="121">
        <f>SUM(D23:D34)</f>
        <v>10000</v>
      </c>
      <c r="E35" s="121">
        <f>SUM(E23:E34)</f>
        <v>10000</v>
      </c>
      <c r="F35" s="121">
        <f>SUM(F23:F34)</f>
        <v>10000</v>
      </c>
      <c r="G35" s="121"/>
      <c r="H35" s="21">
        <v>5</v>
      </c>
      <c r="I35" s="7">
        <f>SUMIF(CA$3:CA$38,$H35,$CD$3:$CD$38)</f>
        <v>2543</v>
      </c>
      <c r="R35" s="11">
        <v>32</v>
      </c>
      <c r="S35" s="12">
        <v>5</v>
      </c>
      <c r="T35" s="12" t="s">
        <v>15</v>
      </c>
      <c r="U35" s="12" t="s">
        <v>15</v>
      </c>
      <c r="W35" s="11">
        <v>32</v>
      </c>
      <c r="X35" s="12">
        <v>3</v>
      </c>
      <c r="Y35" s="12">
        <v>0</v>
      </c>
      <c r="Z35" s="12">
        <v>0</v>
      </c>
      <c r="AB35" s="11">
        <v>32</v>
      </c>
      <c r="AC35" s="12">
        <v>401</v>
      </c>
      <c r="AD35" s="69">
        <v>55</v>
      </c>
      <c r="AE35" s="69">
        <v>555</v>
      </c>
      <c r="AG35" s="11">
        <v>32</v>
      </c>
      <c r="AH35" s="12">
        <v>180</v>
      </c>
      <c r="AI35" s="12">
        <v>305</v>
      </c>
      <c r="AJ35" s="12">
        <v>0</v>
      </c>
      <c r="AL35" s="11">
        <v>32</v>
      </c>
      <c r="AM35" s="12">
        <v>8</v>
      </c>
      <c r="AN35" s="12">
        <v>242</v>
      </c>
      <c r="AO35" s="12">
        <v>254</v>
      </c>
      <c r="AQ35" s="11">
        <v>32</v>
      </c>
      <c r="AR35" s="14" t="s">
        <v>7</v>
      </c>
      <c r="AT35" s="11">
        <v>32</v>
      </c>
      <c r="AU35" s="12">
        <v>9</v>
      </c>
      <c r="AW35" s="11">
        <v>32</v>
      </c>
      <c r="AX35" s="12">
        <v>14</v>
      </c>
      <c r="AY35" s="12">
        <v>45</v>
      </c>
      <c r="AZ35" s="12">
        <v>136</v>
      </c>
      <c r="BA35" s="12">
        <v>91</v>
      </c>
      <c r="BB35" s="12">
        <v>2</v>
      </c>
      <c r="BC35" s="12">
        <v>51</v>
      </c>
      <c r="BD35" s="12">
        <v>126</v>
      </c>
      <c r="BE35" s="12">
        <v>4</v>
      </c>
      <c r="BF35" s="24">
        <v>214</v>
      </c>
      <c r="BG35" s="29">
        <v>568</v>
      </c>
      <c r="BH35" s="12">
        <v>113</v>
      </c>
      <c r="BI35" s="12">
        <v>113</v>
      </c>
      <c r="BK35" s="11">
        <v>32</v>
      </c>
      <c r="BL35" s="12">
        <v>5</v>
      </c>
      <c r="BM35" s="12" t="s">
        <v>15</v>
      </c>
      <c r="BN35" s="12" t="s">
        <v>15</v>
      </c>
      <c r="BP35" s="11">
        <v>32</v>
      </c>
      <c r="BQ35" s="12">
        <v>3</v>
      </c>
      <c r="BR35" s="12">
        <v>0</v>
      </c>
      <c r="BS35" s="12">
        <v>0</v>
      </c>
      <c r="BU35" s="11">
        <v>32</v>
      </c>
      <c r="BV35" s="12">
        <v>275</v>
      </c>
      <c r="BW35" s="12">
        <v>39</v>
      </c>
      <c r="BX35" s="12">
        <v>56</v>
      </c>
      <c r="BZ35" s="11">
        <v>32</v>
      </c>
      <c r="CA35" s="12"/>
      <c r="CC35" s="11">
        <v>32</v>
      </c>
      <c r="CD35" s="12"/>
    </row>
    <row r="36" spans="1:82">
      <c r="G36" s="121"/>
      <c r="H36" s="21">
        <v>10</v>
      </c>
      <c r="I36" s="7">
        <f t="shared" ref="I36:I42" si="4">SUMIF(CA$3:CA$38,$H36,$CD$3:$CD$38)</f>
        <v>2465</v>
      </c>
      <c r="K36" s="121"/>
      <c r="L36" s="121"/>
      <c r="M36" s="121"/>
      <c r="N36" s="121"/>
      <c r="O36" s="121"/>
      <c r="R36" s="11">
        <v>33</v>
      </c>
      <c r="S36" s="12" t="s">
        <v>15</v>
      </c>
      <c r="T36" s="12">
        <v>1</v>
      </c>
      <c r="U36" s="12">
        <v>1</v>
      </c>
      <c r="W36" s="11">
        <v>33</v>
      </c>
      <c r="X36" s="12">
        <v>0</v>
      </c>
      <c r="Y36" s="12">
        <v>2</v>
      </c>
      <c r="Z36" s="12">
        <v>2</v>
      </c>
      <c r="AB36" s="11">
        <v>33</v>
      </c>
      <c r="AC36" s="12">
        <v>4</v>
      </c>
      <c r="AD36" s="69">
        <v>684</v>
      </c>
      <c r="AE36" s="69">
        <v>0</v>
      </c>
      <c r="AG36" s="11">
        <v>33</v>
      </c>
      <c r="AH36" s="12">
        <v>279</v>
      </c>
      <c r="AI36" s="12">
        <v>505</v>
      </c>
      <c r="AJ36" s="12">
        <v>591</v>
      </c>
      <c r="AL36" s="11">
        <v>33</v>
      </c>
      <c r="AM36" s="12">
        <v>546</v>
      </c>
      <c r="AN36" s="12">
        <v>16</v>
      </c>
      <c r="AO36" s="12">
        <v>0</v>
      </c>
      <c r="AQ36" s="11">
        <v>33</v>
      </c>
      <c r="AR36" s="12" t="s">
        <v>15</v>
      </c>
      <c r="AT36" s="11">
        <v>33</v>
      </c>
      <c r="AU36" s="12">
        <v>0</v>
      </c>
      <c r="AW36" s="11">
        <v>33</v>
      </c>
      <c r="AX36" s="12">
        <v>405</v>
      </c>
      <c r="AY36" s="12">
        <v>22</v>
      </c>
      <c r="AZ36" s="12">
        <v>20</v>
      </c>
      <c r="BA36" s="12">
        <v>210</v>
      </c>
      <c r="BB36" s="12">
        <v>346</v>
      </c>
      <c r="BC36" s="12">
        <v>443</v>
      </c>
      <c r="BD36" s="12">
        <v>264</v>
      </c>
      <c r="BE36" s="12">
        <v>457</v>
      </c>
      <c r="BF36" s="24">
        <v>256</v>
      </c>
      <c r="BG36" s="29">
        <v>139</v>
      </c>
      <c r="BH36" s="12">
        <v>242</v>
      </c>
      <c r="BI36" s="12">
        <v>242</v>
      </c>
      <c r="BK36" s="11">
        <v>33</v>
      </c>
      <c r="BL36" s="12" t="s">
        <v>15</v>
      </c>
      <c r="BM36" s="12">
        <v>1</v>
      </c>
      <c r="BN36" s="12">
        <v>1</v>
      </c>
      <c r="BP36" s="11">
        <v>33</v>
      </c>
      <c r="BQ36" s="12">
        <v>0</v>
      </c>
      <c r="BR36" s="12">
        <v>2</v>
      </c>
      <c r="BS36" s="12">
        <v>2</v>
      </c>
      <c r="BU36" s="11">
        <v>33</v>
      </c>
      <c r="BV36" s="12">
        <v>4</v>
      </c>
      <c r="BW36" s="12">
        <v>511</v>
      </c>
      <c r="BX36" s="12">
        <v>262</v>
      </c>
      <c r="BZ36" s="11">
        <v>33</v>
      </c>
      <c r="CA36" s="12"/>
      <c r="CC36" s="11">
        <v>33</v>
      </c>
      <c r="CD36" s="12"/>
    </row>
    <row r="37" spans="1:82">
      <c r="A37" s="30" t="s">
        <v>117</v>
      </c>
      <c r="D37" s="119"/>
      <c r="E37" s="119"/>
      <c r="F37" s="119"/>
      <c r="G37" s="121"/>
      <c r="H37" s="21">
        <v>15</v>
      </c>
      <c r="I37" s="7">
        <f t="shared" si="4"/>
        <v>1702</v>
      </c>
      <c r="K37" s="121"/>
      <c r="L37" s="121"/>
      <c r="M37" s="121"/>
      <c r="N37" s="121"/>
      <c r="O37" s="121"/>
      <c r="R37" s="11">
        <v>34</v>
      </c>
      <c r="S37" s="12">
        <v>10</v>
      </c>
      <c r="T37" s="12" t="s">
        <v>15</v>
      </c>
      <c r="U37" s="12" t="s">
        <v>15</v>
      </c>
      <c r="W37" s="11">
        <v>34</v>
      </c>
      <c r="X37" s="12">
        <v>4</v>
      </c>
      <c r="Y37" s="12">
        <v>0</v>
      </c>
      <c r="Z37" s="12">
        <v>0</v>
      </c>
      <c r="AB37" s="11">
        <v>34</v>
      </c>
      <c r="AC37" s="12">
        <v>81</v>
      </c>
      <c r="AD37" s="69">
        <v>55</v>
      </c>
      <c r="AE37" s="69">
        <v>555</v>
      </c>
      <c r="AG37" s="11">
        <v>34</v>
      </c>
      <c r="AH37" s="12">
        <v>16</v>
      </c>
      <c r="AI37" s="12">
        <v>305</v>
      </c>
      <c r="AJ37" s="12">
        <v>0</v>
      </c>
      <c r="AL37" s="11">
        <v>34</v>
      </c>
      <c r="AM37" s="12">
        <v>13</v>
      </c>
      <c r="AN37" s="12">
        <v>242</v>
      </c>
      <c r="AO37" s="12">
        <v>254</v>
      </c>
      <c r="AQ37" s="11">
        <v>34</v>
      </c>
      <c r="AR37" s="14" t="s">
        <v>6</v>
      </c>
      <c r="AT37" s="11">
        <v>34</v>
      </c>
      <c r="AU37" s="12">
        <v>7</v>
      </c>
      <c r="AW37" s="11">
        <v>34</v>
      </c>
      <c r="AX37" s="12">
        <v>154</v>
      </c>
      <c r="AY37" s="12">
        <v>18</v>
      </c>
      <c r="AZ37" s="12">
        <v>24</v>
      </c>
      <c r="BA37" s="12">
        <v>876</v>
      </c>
      <c r="BB37" s="12">
        <v>647</v>
      </c>
      <c r="BC37" s="12">
        <v>7</v>
      </c>
      <c r="BD37" s="12">
        <v>366</v>
      </c>
      <c r="BE37" s="12">
        <v>13</v>
      </c>
      <c r="BF37" s="24">
        <v>29</v>
      </c>
      <c r="BG37" s="29">
        <v>390</v>
      </c>
      <c r="BH37" s="12">
        <v>361</v>
      </c>
      <c r="BI37" s="12">
        <v>361</v>
      </c>
      <c r="BK37" s="11">
        <v>34</v>
      </c>
      <c r="BL37" s="12">
        <v>10</v>
      </c>
      <c r="BM37" s="12" t="s">
        <v>15</v>
      </c>
      <c r="BN37" s="12" t="s">
        <v>15</v>
      </c>
      <c r="BP37" s="11">
        <v>34</v>
      </c>
      <c r="BQ37" s="12">
        <v>4</v>
      </c>
      <c r="BR37" s="12">
        <v>0</v>
      </c>
      <c r="BS37" s="12">
        <v>0</v>
      </c>
      <c r="BU37" s="11">
        <v>34</v>
      </c>
      <c r="BV37" s="12">
        <v>275</v>
      </c>
      <c r="BW37" s="12">
        <v>39</v>
      </c>
      <c r="BX37" s="12">
        <v>56</v>
      </c>
      <c r="BZ37" s="11">
        <v>34</v>
      </c>
      <c r="CA37" s="12"/>
      <c r="CC37" s="11">
        <v>34</v>
      </c>
      <c r="CD37" s="12"/>
    </row>
    <row r="38" spans="1:82">
      <c r="D38" s="119"/>
      <c r="E38" s="119"/>
      <c r="F38" s="119"/>
      <c r="G38" s="121"/>
      <c r="H38" s="21">
        <v>20</v>
      </c>
      <c r="I38" s="7">
        <f t="shared" si="4"/>
        <v>1640</v>
      </c>
      <c r="K38" s="121"/>
      <c r="L38" s="121"/>
      <c r="M38" s="121"/>
      <c r="N38" s="121"/>
      <c r="O38" s="121"/>
      <c r="R38" s="11">
        <v>35</v>
      </c>
      <c r="S38" s="12" t="s">
        <v>8</v>
      </c>
      <c r="T38" s="12">
        <v>5</v>
      </c>
      <c r="U38" s="12">
        <v>5</v>
      </c>
      <c r="W38" s="11">
        <v>35</v>
      </c>
      <c r="X38" s="12">
        <v>0</v>
      </c>
      <c r="Y38" s="12">
        <v>3</v>
      </c>
      <c r="Z38" s="12">
        <v>3</v>
      </c>
      <c r="AB38" s="11">
        <v>35</v>
      </c>
      <c r="AC38" s="12">
        <v>4</v>
      </c>
      <c r="AD38" s="69">
        <v>450</v>
      </c>
      <c r="AE38" s="69">
        <v>0</v>
      </c>
      <c r="AG38" s="11">
        <v>35</v>
      </c>
      <c r="AH38" s="12">
        <v>279</v>
      </c>
      <c r="AI38" s="12">
        <v>170</v>
      </c>
      <c r="AJ38" s="12">
        <v>534</v>
      </c>
      <c r="AL38" s="11">
        <v>35</v>
      </c>
      <c r="AM38" s="12">
        <v>546</v>
      </c>
      <c r="AN38" s="12">
        <v>26</v>
      </c>
      <c r="AO38" s="12">
        <v>5</v>
      </c>
      <c r="AQ38" s="11">
        <v>35</v>
      </c>
      <c r="AR38" s="12" t="s">
        <v>15</v>
      </c>
      <c r="AT38" s="11">
        <v>35</v>
      </c>
      <c r="AU38" s="12">
        <v>0</v>
      </c>
      <c r="AW38" s="11">
        <v>35</v>
      </c>
      <c r="AX38" s="12">
        <v>405</v>
      </c>
      <c r="AY38" s="12">
        <v>22</v>
      </c>
      <c r="AZ38" s="12">
        <v>20</v>
      </c>
      <c r="BA38" s="12">
        <v>210</v>
      </c>
      <c r="BB38" s="12">
        <v>346</v>
      </c>
      <c r="BC38" s="12">
        <v>443</v>
      </c>
      <c r="BD38" s="12">
        <v>264</v>
      </c>
      <c r="BE38" s="12">
        <v>457</v>
      </c>
      <c r="BF38" s="24">
        <v>256</v>
      </c>
      <c r="BG38" s="29">
        <v>139</v>
      </c>
      <c r="BH38" s="12">
        <v>242</v>
      </c>
      <c r="BI38" s="12">
        <v>242</v>
      </c>
      <c r="BK38" s="11">
        <v>35</v>
      </c>
      <c r="BL38" s="12" t="s">
        <v>8</v>
      </c>
      <c r="BM38" s="12">
        <v>5</v>
      </c>
      <c r="BN38" s="12">
        <v>5</v>
      </c>
      <c r="BP38" s="11">
        <v>35</v>
      </c>
      <c r="BQ38" s="12">
        <v>0</v>
      </c>
      <c r="BR38" s="12">
        <v>3</v>
      </c>
      <c r="BS38" s="12">
        <v>3</v>
      </c>
      <c r="BU38" s="11">
        <v>35</v>
      </c>
      <c r="BV38" s="12">
        <v>4</v>
      </c>
      <c r="BW38" s="12">
        <v>511</v>
      </c>
      <c r="BX38" s="12">
        <v>433</v>
      </c>
      <c r="BZ38" s="11">
        <v>35</v>
      </c>
      <c r="CA38" s="12"/>
      <c r="CC38" s="11">
        <v>35</v>
      </c>
      <c r="CD38" s="12"/>
    </row>
    <row r="39" spans="1:82">
      <c r="D39" s="119"/>
      <c r="E39" s="119"/>
      <c r="F39" s="119"/>
      <c r="G39" s="121"/>
      <c r="H39" s="21">
        <v>30</v>
      </c>
      <c r="I39" s="7">
        <f t="shared" si="4"/>
        <v>345</v>
      </c>
      <c r="K39" s="121"/>
      <c r="L39" s="121"/>
      <c r="M39" s="121"/>
      <c r="N39" s="121"/>
      <c r="O39" s="121"/>
      <c r="R39" s="11">
        <v>36</v>
      </c>
      <c r="S39" s="12"/>
      <c r="T39" s="12"/>
      <c r="U39" s="12"/>
      <c r="W39" s="11">
        <v>36</v>
      </c>
      <c r="X39" s="12"/>
      <c r="Y39" s="12"/>
      <c r="Z39" s="12"/>
      <c r="AB39" s="11">
        <v>36</v>
      </c>
      <c r="AC39" s="12"/>
      <c r="AD39" s="12"/>
      <c r="AE39" s="12"/>
      <c r="AG39" s="11">
        <v>36</v>
      </c>
      <c r="AH39" s="12"/>
      <c r="AI39" s="12"/>
      <c r="AJ39" s="12"/>
      <c r="AL39" s="11">
        <v>36</v>
      </c>
      <c r="AM39" s="12"/>
      <c r="AN39" s="12"/>
      <c r="AO39" s="12"/>
      <c r="AQ39" s="11">
        <v>36</v>
      </c>
      <c r="AR39" s="14" t="s">
        <v>36</v>
      </c>
      <c r="AS39" s="14"/>
      <c r="AT39" s="11">
        <v>36</v>
      </c>
      <c r="AU39" s="12">
        <v>10</v>
      </c>
      <c r="AW39" s="11">
        <v>36</v>
      </c>
      <c r="AX39" s="12">
        <v>11</v>
      </c>
      <c r="AY39" s="12">
        <v>196</v>
      </c>
      <c r="AZ39" s="12">
        <v>403</v>
      </c>
      <c r="BA39" s="12">
        <v>226</v>
      </c>
      <c r="BB39" s="12">
        <v>56</v>
      </c>
      <c r="BC39" s="12">
        <v>32</v>
      </c>
      <c r="BD39" s="12">
        <v>202</v>
      </c>
      <c r="BE39" s="12">
        <v>143</v>
      </c>
      <c r="BF39" s="24">
        <v>95</v>
      </c>
      <c r="BG39" s="29">
        <v>307</v>
      </c>
      <c r="BH39" s="12">
        <v>169</v>
      </c>
      <c r="BI39" s="12">
        <v>169</v>
      </c>
      <c r="BK39" s="11">
        <v>36</v>
      </c>
      <c r="BL39" s="12"/>
      <c r="BM39" s="12"/>
      <c r="BN39" s="12"/>
      <c r="BP39" s="11">
        <v>36</v>
      </c>
      <c r="BQ39" s="12"/>
      <c r="BR39" s="12"/>
      <c r="BS39" s="12"/>
      <c r="BU39" s="11">
        <v>36</v>
      </c>
      <c r="BV39" s="12"/>
      <c r="BW39" s="12"/>
      <c r="BX39" s="12"/>
      <c r="BZ39" s="11">
        <v>36</v>
      </c>
      <c r="CA39" s="12"/>
      <c r="CC39" s="11">
        <v>36</v>
      </c>
      <c r="CD39" s="12"/>
    </row>
    <row r="40" spans="1:82">
      <c r="A40" s="30" t="s">
        <v>46</v>
      </c>
      <c r="B40" s="1" t="s">
        <v>10</v>
      </c>
      <c r="C40" s="2" t="s">
        <v>11</v>
      </c>
      <c r="D40" s="3" t="s">
        <v>80</v>
      </c>
      <c r="E40" s="122" t="s">
        <v>13</v>
      </c>
      <c r="F40" s="4" t="s">
        <v>14</v>
      </c>
      <c r="G40" s="121"/>
      <c r="H40" s="21">
        <v>50</v>
      </c>
      <c r="I40" s="7">
        <f t="shared" si="4"/>
        <v>1170</v>
      </c>
      <c r="K40" s="121"/>
      <c r="L40" s="121"/>
      <c r="M40" s="121"/>
      <c r="N40" s="121"/>
      <c r="O40" s="121"/>
      <c r="R40" s="11">
        <v>37</v>
      </c>
      <c r="S40" s="12"/>
      <c r="T40" s="12"/>
      <c r="U40" s="12"/>
      <c r="W40" s="11">
        <v>37</v>
      </c>
      <c r="X40" s="12"/>
      <c r="Y40" s="12"/>
      <c r="Z40" s="12"/>
      <c r="AB40" s="11">
        <v>37</v>
      </c>
      <c r="AC40" s="12"/>
      <c r="AD40" s="12"/>
      <c r="AE40" s="12"/>
      <c r="AG40" s="11">
        <v>37</v>
      </c>
      <c r="AH40" s="12"/>
      <c r="AI40" s="12"/>
      <c r="AJ40" s="12"/>
      <c r="AL40" s="11">
        <v>37</v>
      </c>
      <c r="AM40" s="12"/>
      <c r="AN40" s="12"/>
      <c r="AO40" s="12"/>
      <c r="AQ40" s="11">
        <v>37</v>
      </c>
      <c r="AR40" s="12" t="s">
        <v>15</v>
      </c>
      <c r="AS40" s="12"/>
      <c r="AT40" s="11">
        <v>37</v>
      </c>
      <c r="AU40" s="12">
        <v>0</v>
      </c>
      <c r="AW40" s="11">
        <v>37</v>
      </c>
      <c r="AX40" s="12">
        <v>405</v>
      </c>
      <c r="AY40" s="12">
        <v>22</v>
      </c>
      <c r="AZ40" s="12">
        <v>20</v>
      </c>
      <c r="BA40" s="12">
        <v>210</v>
      </c>
      <c r="BB40" s="12">
        <v>346</v>
      </c>
      <c r="BC40" s="12">
        <v>443</v>
      </c>
      <c r="BD40" s="12">
        <v>264</v>
      </c>
      <c r="BE40" s="12">
        <v>457</v>
      </c>
      <c r="BF40" s="24">
        <v>256</v>
      </c>
      <c r="BG40" s="29">
        <v>139</v>
      </c>
      <c r="BH40" s="12">
        <v>242</v>
      </c>
      <c r="BI40" s="12">
        <v>242</v>
      </c>
      <c r="BK40" s="11">
        <v>37</v>
      </c>
      <c r="BL40" s="12"/>
      <c r="BM40" s="12"/>
      <c r="BN40" s="12"/>
      <c r="BP40" s="11">
        <v>37</v>
      </c>
      <c r="BQ40" s="12"/>
      <c r="BR40" s="12"/>
      <c r="BS40" s="12"/>
      <c r="BU40" s="11">
        <v>37</v>
      </c>
      <c r="BV40" s="12"/>
      <c r="BW40" s="12"/>
      <c r="BX40" s="12"/>
      <c r="BZ40" s="11">
        <v>37</v>
      </c>
      <c r="CA40" s="12"/>
      <c r="CC40" s="11">
        <v>37</v>
      </c>
      <c r="CD40" s="12"/>
    </row>
    <row r="41" spans="1:82">
      <c r="A41" s="1" t="s">
        <v>19</v>
      </c>
      <c r="B41" s="1">
        <v>0</v>
      </c>
      <c r="C41" s="3" t="s">
        <v>25</v>
      </c>
      <c r="D41" s="3">
        <f>SUMIF(S$3:S$38,$A41,AM$3:AM$38)</f>
        <v>9839</v>
      </c>
      <c r="E41" s="122">
        <f t="shared" ref="E41:F52" si="5">SUMIF(T$3:T$38,$A41,AN$3:AN$38)</f>
        <v>4356</v>
      </c>
      <c r="F41" s="4">
        <f t="shared" si="5"/>
        <v>4585</v>
      </c>
      <c r="G41" s="121"/>
      <c r="H41" s="21">
        <v>100</v>
      </c>
      <c r="I41" s="7">
        <f t="shared" si="4"/>
        <v>136</v>
      </c>
      <c r="K41" s="121"/>
      <c r="L41" s="121"/>
      <c r="M41" s="121"/>
      <c r="N41" s="121"/>
      <c r="O41" s="121"/>
      <c r="R41" s="11">
        <v>38</v>
      </c>
      <c r="S41" s="12"/>
      <c r="T41" s="12"/>
      <c r="U41" s="12"/>
      <c r="W41" s="11">
        <v>38</v>
      </c>
      <c r="X41" s="12"/>
      <c r="Y41" s="12"/>
      <c r="Z41" s="12"/>
      <c r="AB41" s="11">
        <v>38</v>
      </c>
      <c r="AC41" s="12"/>
      <c r="AD41" s="12"/>
      <c r="AE41" s="12"/>
      <c r="AG41" s="11">
        <v>38</v>
      </c>
      <c r="AH41" s="12"/>
      <c r="AI41" s="12"/>
      <c r="AJ41" s="12"/>
      <c r="AL41" s="11">
        <v>38</v>
      </c>
      <c r="AM41" s="12"/>
      <c r="AN41" s="12"/>
      <c r="AO41" s="12"/>
      <c r="AQ41" s="11">
        <v>38</v>
      </c>
      <c r="AR41" s="14" t="s">
        <v>9</v>
      </c>
      <c r="AS41" s="14"/>
      <c r="AT41" s="11">
        <v>38</v>
      </c>
      <c r="AU41" s="12">
        <v>8</v>
      </c>
      <c r="AW41" s="11">
        <v>38</v>
      </c>
      <c r="AX41" s="12">
        <v>150</v>
      </c>
      <c r="AY41" s="12">
        <v>2109</v>
      </c>
      <c r="AZ41" s="12">
        <v>458</v>
      </c>
      <c r="BA41" s="12">
        <v>158</v>
      </c>
      <c r="BB41" s="12">
        <v>56</v>
      </c>
      <c r="BC41" s="12">
        <v>145</v>
      </c>
      <c r="BD41" s="12">
        <v>118</v>
      </c>
      <c r="BE41" s="12">
        <v>39</v>
      </c>
      <c r="BF41" s="24">
        <v>142</v>
      </c>
      <c r="BG41" s="29">
        <v>10</v>
      </c>
      <c r="BH41" s="12">
        <v>295</v>
      </c>
      <c r="BI41" s="12">
        <v>295</v>
      </c>
      <c r="BK41" s="11">
        <v>38</v>
      </c>
      <c r="BL41" s="12"/>
      <c r="BM41" s="12"/>
      <c r="BN41" s="12"/>
      <c r="BP41" s="11">
        <v>38</v>
      </c>
      <c r="BQ41" s="12"/>
      <c r="BR41" s="12"/>
      <c r="BS41" s="12"/>
      <c r="BU41" s="11">
        <v>38</v>
      </c>
      <c r="BV41" s="12"/>
      <c r="BW41" s="12"/>
      <c r="BX41" s="12"/>
      <c r="BZ41" s="11">
        <v>38</v>
      </c>
      <c r="CA41" s="12"/>
      <c r="CC41" s="11">
        <v>38</v>
      </c>
      <c r="CD41" s="12"/>
    </row>
    <row r="42" spans="1:82">
      <c r="A42" s="20">
        <v>0</v>
      </c>
      <c r="B42" s="20">
        <v>1</v>
      </c>
      <c r="C42" s="5">
        <v>0</v>
      </c>
      <c r="D42" s="37">
        <f t="shared" ref="D42:D52" si="6">SUMIF(S$3:S$38,$A42,AM$3:AM$38)</f>
        <v>0</v>
      </c>
      <c r="E42" s="121">
        <f t="shared" si="5"/>
        <v>5389</v>
      </c>
      <c r="F42" s="7">
        <f t="shared" si="5"/>
        <v>5381</v>
      </c>
      <c r="H42" s="22">
        <v>200</v>
      </c>
      <c r="I42" s="96">
        <f t="shared" si="4"/>
        <v>15</v>
      </c>
      <c r="R42" s="11">
        <v>39</v>
      </c>
      <c r="S42" s="12"/>
      <c r="T42" s="12"/>
      <c r="U42" s="12"/>
      <c r="W42" s="11">
        <v>39</v>
      </c>
      <c r="X42" s="12"/>
      <c r="Y42" s="12"/>
      <c r="Z42" s="12"/>
      <c r="AB42" s="11">
        <v>39</v>
      </c>
      <c r="AC42" s="12"/>
      <c r="AD42" s="12"/>
      <c r="AE42" s="12"/>
      <c r="AG42" s="11">
        <v>39</v>
      </c>
      <c r="AH42" s="12"/>
      <c r="AI42" s="12"/>
      <c r="AJ42" s="12"/>
      <c r="AL42" s="11">
        <v>39</v>
      </c>
      <c r="AM42" s="12"/>
      <c r="AN42" s="12"/>
      <c r="AO42" s="12"/>
      <c r="AQ42" s="11">
        <v>39</v>
      </c>
      <c r="AR42" s="12" t="s">
        <v>15</v>
      </c>
      <c r="AS42" s="12"/>
      <c r="AT42" s="11">
        <v>39</v>
      </c>
      <c r="AU42" s="12">
        <v>0</v>
      </c>
      <c r="AW42" s="11">
        <v>39</v>
      </c>
      <c r="AX42" s="12">
        <v>405</v>
      </c>
      <c r="AY42" s="12">
        <v>22</v>
      </c>
      <c r="AZ42" s="12">
        <v>20</v>
      </c>
      <c r="BA42" s="12">
        <v>210</v>
      </c>
      <c r="BB42" s="12">
        <v>346</v>
      </c>
      <c r="BC42" s="12">
        <v>443</v>
      </c>
      <c r="BD42" s="12">
        <v>264</v>
      </c>
      <c r="BE42" s="12">
        <v>457</v>
      </c>
      <c r="BF42" s="24">
        <v>256</v>
      </c>
      <c r="BG42" s="29">
        <v>139</v>
      </c>
      <c r="BH42" s="12">
        <v>242</v>
      </c>
      <c r="BI42" s="12">
        <v>242</v>
      </c>
      <c r="BK42" s="11">
        <v>39</v>
      </c>
      <c r="BL42" s="12"/>
      <c r="BM42" s="12"/>
      <c r="BN42" s="12"/>
      <c r="BP42" s="11">
        <v>39</v>
      </c>
      <c r="BQ42" s="12"/>
      <c r="BR42" s="12"/>
      <c r="BS42" s="12"/>
      <c r="BU42" s="11">
        <v>39</v>
      </c>
      <c r="BV42" s="12"/>
      <c r="BW42" s="12"/>
      <c r="BX42" s="12"/>
      <c r="BZ42" s="11">
        <v>39</v>
      </c>
      <c r="CA42" s="12"/>
      <c r="CC42" s="11">
        <v>39</v>
      </c>
      <c r="CD42" s="12"/>
    </row>
    <row r="43" spans="1:82">
      <c r="A43" s="20">
        <v>1</v>
      </c>
      <c r="B43" s="20">
        <v>2</v>
      </c>
      <c r="C43" s="5">
        <v>1</v>
      </c>
      <c r="D43" s="6">
        <f t="shared" si="6"/>
        <v>29</v>
      </c>
      <c r="E43" s="121">
        <f t="shared" si="5"/>
        <v>100</v>
      </c>
      <c r="F43" s="7">
        <f t="shared" si="5"/>
        <v>0</v>
      </c>
      <c r="R43" s="11">
        <v>40</v>
      </c>
      <c r="S43" s="12"/>
      <c r="T43" s="12"/>
      <c r="U43" s="12"/>
      <c r="W43" s="11">
        <v>40</v>
      </c>
      <c r="X43" s="12"/>
      <c r="Y43" s="12"/>
      <c r="Z43" s="12"/>
      <c r="AB43" s="11">
        <v>40</v>
      </c>
      <c r="AC43" s="12"/>
      <c r="AD43" s="12"/>
      <c r="AE43" s="12"/>
      <c r="AG43" s="11">
        <v>40</v>
      </c>
      <c r="AH43" s="12"/>
      <c r="AI43" s="12"/>
      <c r="AJ43" s="12"/>
      <c r="AL43" s="11">
        <v>40</v>
      </c>
      <c r="AM43" s="12"/>
      <c r="AN43" s="12"/>
      <c r="AO43" s="12"/>
      <c r="AQ43" s="11">
        <v>40</v>
      </c>
      <c r="AR43" s="14"/>
      <c r="AS43" s="14"/>
      <c r="AT43" s="11">
        <v>40</v>
      </c>
      <c r="AU43" s="12"/>
      <c r="AW43" s="11">
        <v>40</v>
      </c>
      <c r="AX43" s="12"/>
      <c r="AY43" s="12"/>
      <c r="AZ43" s="12"/>
      <c r="BA43" s="12"/>
      <c r="BB43" s="12"/>
      <c r="BC43" s="12"/>
      <c r="BD43" s="12"/>
      <c r="BE43" s="12"/>
      <c r="BF43" s="24"/>
      <c r="BG43" s="29"/>
      <c r="BH43" s="12"/>
      <c r="BI43" s="12"/>
      <c r="BK43" s="11">
        <v>40</v>
      </c>
      <c r="BL43" s="12"/>
      <c r="BM43" s="12"/>
      <c r="BN43" s="12"/>
      <c r="BP43" s="11">
        <v>40</v>
      </c>
      <c r="BQ43" s="12"/>
      <c r="BR43" s="12"/>
      <c r="BS43" s="12"/>
      <c r="BU43" s="11">
        <v>40</v>
      </c>
      <c r="BV43" s="12"/>
      <c r="BW43" s="12"/>
      <c r="BX43" s="12"/>
      <c r="BZ43" s="11">
        <v>40</v>
      </c>
      <c r="CA43" s="12"/>
      <c r="CC43" s="11">
        <v>40</v>
      </c>
      <c r="CD43" s="12"/>
    </row>
    <row r="44" spans="1:82">
      <c r="A44" s="21">
        <v>5</v>
      </c>
      <c r="B44" s="21">
        <v>3</v>
      </c>
      <c r="C44" s="23">
        <v>5</v>
      </c>
      <c r="D44" s="6">
        <f t="shared" si="6"/>
        <v>51</v>
      </c>
      <c r="E44" s="121">
        <f t="shared" si="5"/>
        <v>156</v>
      </c>
      <c r="F44" s="7">
        <f t="shared" si="5"/>
        <v>34</v>
      </c>
      <c r="R44" s="11">
        <v>41</v>
      </c>
      <c r="S44" s="12"/>
      <c r="T44" s="12"/>
      <c r="U44" s="12"/>
      <c r="W44" s="11">
        <v>41</v>
      </c>
      <c r="X44" s="12"/>
      <c r="Y44" s="12"/>
      <c r="Z44" s="12"/>
      <c r="AB44" s="11">
        <v>41</v>
      </c>
      <c r="AC44" s="12"/>
      <c r="AD44" s="12"/>
      <c r="AE44" s="12"/>
      <c r="AG44" s="11">
        <v>41</v>
      </c>
      <c r="AH44" s="12"/>
      <c r="AI44" s="12"/>
      <c r="AJ44" s="12"/>
      <c r="AL44" s="11">
        <v>41</v>
      </c>
      <c r="AM44" s="12"/>
      <c r="AN44" s="12"/>
      <c r="AO44" s="12"/>
      <c r="AQ44" s="11">
        <v>41</v>
      </c>
      <c r="AR44" s="12"/>
      <c r="AS44" s="12"/>
      <c r="AT44" s="11">
        <v>41</v>
      </c>
      <c r="AU44" s="12"/>
      <c r="AW44" s="11">
        <v>41</v>
      </c>
      <c r="AX44" s="12"/>
      <c r="AY44" s="12"/>
      <c r="AZ44" s="12"/>
      <c r="BA44" s="12"/>
      <c r="BB44" s="12"/>
      <c r="BC44" s="12"/>
      <c r="BD44" s="12"/>
      <c r="BE44" s="12"/>
      <c r="BF44" s="24"/>
      <c r="BG44" s="29"/>
      <c r="BH44" s="12"/>
      <c r="BI44" s="12"/>
      <c r="BK44" s="11">
        <v>41</v>
      </c>
      <c r="BL44" s="12"/>
      <c r="BM44" s="12"/>
      <c r="BN44" s="12"/>
      <c r="BP44" s="11">
        <v>41</v>
      </c>
      <c r="BQ44" s="12"/>
      <c r="BR44" s="12"/>
      <c r="BS44" s="12"/>
      <c r="BU44" s="11">
        <v>41</v>
      </c>
      <c r="BV44" s="12"/>
      <c r="BW44" s="12"/>
      <c r="BX44" s="12"/>
      <c r="BZ44" s="11">
        <v>41</v>
      </c>
      <c r="CA44" s="12"/>
      <c r="CC44" s="11">
        <v>41</v>
      </c>
      <c r="CD44" s="12"/>
    </row>
    <row r="45" spans="1:82">
      <c r="A45" s="21">
        <v>10</v>
      </c>
      <c r="B45" s="21">
        <v>4</v>
      </c>
      <c r="C45" s="23">
        <v>10</v>
      </c>
      <c r="D45" s="6">
        <f t="shared" si="6"/>
        <v>81</v>
      </c>
      <c r="E45" s="59">
        <f t="shared" si="5"/>
        <v>0</v>
      </c>
      <c r="F45" s="38">
        <f t="shared" si="5"/>
        <v>0</v>
      </c>
      <c r="R45" s="11">
        <v>42</v>
      </c>
      <c r="S45" s="12"/>
      <c r="T45" s="12"/>
      <c r="U45" s="12"/>
      <c r="W45" s="11">
        <v>42</v>
      </c>
      <c r="X45" s="12"/>
      <c r="Y45" s="12"/>
      <c r="Z45" s="12"/>
      <c r="AB45" s="11">
        <v>42</v>
      </c>
      <c r="AC45" s="12"/>
      <c r="AD45" s="12"/>
      <c r="AE45" s="12"/>
      <c r="AG45" s="11">
        <v>42</v>
      </c>
      <c r="AH45" s="12"/>
      <c r="AI45" s="12"/>
      <c r="AJ45" s="12"/>
      <c r="AL45" s="11">
        <v>42</v>
      </c>
      <c r="AM45" s="12"/>
      <c r="AN45" s="12"/>
      <c r="AO45" s="12"/>
      <c r="AQ45" s="11">
        <v>42</v>
      </c>
      <c r="AR45" s="14"/>
      <c r="AS45" s="14"/>
      <c r="AT45" s="11">
        <v>42</v>
      </c>
      <c r="AU45" s="12"/>
      <c r="AW45" s="11">
        <v>42</v>
      </c>
      <c r="AX45" s="12"/>
      <c r="AY45" s="12"/>
      <c r="AZ45" s="12"/>
      <c r="BA45" s="12"/>
      <c r="BB45" s="12"/>
      <c r="BC45" s="12"/>
      <c r="BD45" s="12"/>
      <c r="BE45" s="12"/>
      <c r="BF45" s="24"/>
      <c r="BG45" s="29"/>
      <c r="BH45" s="12"/>
      <c r="BI45" s="12"/>
      <c r="BK45" s="11">
        <v>42</v>
      </c>
      <c r="BL45" s="12"/>
      <c r="BM45" s="12"/>
      <c r="BN45" s="12"/>
      <c r="BP45" s="11">
        <v>42</v>
      </c>
      <c r="BQ45" s="12"/>
      <c r="BR45" s="12"/>
      <c r="BS45" s="12"/>
      <c r="BU45" s="11">
        <v>42</v>
      </c>
      <c r="BV45" s="12"/>
      <c r="BW45" s="12"/>
      <c r="BX45" s="12"/>
      <c r="BZ45" s="11">
        <v>42</v>
      </c>
      <c r="CA45" s="12"/>
      <c r="CC45" s="11">
        <v>42</v>
      </c>
      <c r="CD45" s="12"/>
    </row>
    <row r="46" spans="1:82">
      <c r="A46" s="20" t="s">
        <v>20</v>
      </c>
      <c r="B46" s="20">
        <v>5</v>
      </c>
      <c r="C46" s="23" t="s">
        <v>29</v>
      </c>
      <c r="D46" s="37">
        <f t="shared" si="6"/>
        <v>0</v>
      </c>
      <c r="E46" s="59">
        <f t="shared" si="5"/>
        <v>0</v>
      </c>
      <c r="F46" s="38">
        <f t="shared" si="5"/>
        <v>0</v>
      </c>
      <c r="R46" s="11">
        <v>43</v>
      </c>
      <c r="S46" s="12"/>
      <c r="T46" s="12"/>
      <c r="U46" s="12"/>
      <c r="W46" s="11">
        <v>43</v>
      </c>
      <c r="X46" s="12"/>
      <c r="Y46" s="12"/>
      <c r="Z46" s="12"/>
      <c r="AB46" s="11">
        <v>43</v>
      </c>
      <c r="AC46" s="12"/>
      <c r="AD46" s="12"/>
      <c r="AE46" s="12"/>
      <c r="AG46" s="11">
        <v>43</v>
      </c>
      <c r="AH46" s="12"/>
      <c r="AI46" s="12"/>
      <c r="AJ46" s="12"/>
      <c r="AL46" s="11">
        <v>43</v>
      </c>
      <c r="AM46" s="12"/>
      <c r="AN46" s="12"/>
      <c r="AO46" s="12"/>
      <c r="AQ46" s="11">
        <v>43</v>
      </c>
      <c r="AR46" s="12"/>
      <c r="AS46" s="12"/>
      <c r="AT46" s="11">
        <v>43</v>
      </c>
      <c r="AU46" s="12"/>
      <c r="AW46" s="11">
        <v>43</v>
      </c>
      <c r="AX46" s="12"/>
      <c r="AY46" s="12"/>
      <c r="AZ46" s="12"/>
      <c r="BA46" s="12"/>
      <c r="BB46" s="12"/>
      <c r="BC46" s="12"/>
      <c r="BD46" s="12"/>
      <c r="BE46" s="12"/>
      <c r="BF46" s="24"/>
      <c r="BG46" s="29"/>
      <c r="BH46" s="12"/>
      <c r="BI46" s="12"/>
      <c r="BK46" s="11">
        <v>43</v>
      </c>
      <c r="BL46" s="12"/>
      <c r="BM46" s="12"/>
      <c r="BN46" s="12"/>
      <c r="BP46" s="11">
        <v>43</v>
      </c>
      <c r="BQ46" s="12"/>
      <c r="BR46" s="12"/>
      <c r="BS46" s="12"/>
      <c r="BU46" s="11">
        <v>43</v>
      </c>
      <c r="BV46" s="12"/>
      <c r="BW46" s="12"/>
      <c r="BX46" s="12"/>
      <c r="BZ46" s="11">
        <v>43</v>
      </c>
      <c r="CA46" s="12"/>
      <c r="CC46" s="11">
        <v>43</v>
      </c>
      <c r="CD46" s="12"/>
    </row>
    <row r="47" spans="1:82">
      <c r="A47" s="21" t="s">
        <v>21</v>
      </c>
      <c r="B47" s="21">
        <v>6</v>
      </c>
      <c r="C47" s="23" t="s">
        <v>26</v>
      </c>
      <c r="D47" s="37">
        <f t="shared" si="6"/>
        <v>0</v>
      </c>
      <c r="E47" s="59">
        <f t="shared" si="5"/>
        <v>0</v>
      </c>
      <c r="F47" s="38">
        <f t="shared" si="5"/>
        <v>0</v>
      </c>
      <c r="R47" s="11">
        <v>44</v>
      </c>
      <c r="S47" s="12"/>
      <c r="T47" s="12"/>
      <c r="U47" s="12"/>
      <c r="W47" s="11">
        <v>44</v>
      </c>
      <c r="X47" s="12"/>
      <c r="Y47" s="12"/>
      <c r="Z47" s="12"/>
      <c r="AB47" s="11">
        <v>44</v>
      </c>
      <c r="AC47" s="12"/>
      <c r="AD47" s="12"/>
      <c r="AE47" s="12"/>
      <c r="AG47" s="11">
        <v>44</v>
      </c>
      <c r="AH47" s="12"/>
      <c r="AI47" s="12"/>
      <c r="AJ47" s="12"/>
      <c r="AL47" s="11">
        <v>44</v>
      </c>
      <c r="AM47" s="12"/>
      <c r="AN47" s="12"/>
      <c r="AO47" s="12"/>
      <c r="AQ47" s="11">
        <v>44</v>
      </c>
      <c r="AR47" s="14"/>
      <c r="AS47" s="14"/>
      <c r="AT47" s="11">
        <v>44</v>
      </c>
      <c r="AU47" s="12"/>
      <c r="AW47" s="11">
        <v>44</v>
      </c>
      <c r="AX47" s="12"/>
      <c r="AY47" s="12"/>
      <c r="AZ47" s="12"/>
      <c r="BA47" s="12"/>
      <c r="BB47" s="12"/>
      <c r="BC47" s="12"/>
      <c r="BD47" s="12"/>
      <c r="BE47" s="12"/>
      <c r="BF47" s="24"/>
      <c r="BG47" s="29"/>
      <c r="BH47" s="12"/>
      <c r="BI47" s="12"/>
      <c r="BK47" s="11">
        <v>44</v>
      </c>
      <c r="BL47" s="12"/>
      <c r="BM47" s="12"/>
      <c r="BN47" s="12"/>
      <c r="BP47" s="11">
        <v>44</v>
      </c>
      <c r="BQ47" s="12"/>
      <c r="BR47" s="12"/>
      <c r="BS47" s="12"/>
      <c r="BU47" s="11">
        <v>44</v>
      </c>
      <c r="BV47" s="12"/>
      <c r="BW47" s="12"/>
      <c r="BX47" s="12"/>
      <c r="BZ47" s="11">
        <v>44</v>
      </c>
      <c r="CA47" s="12"/>
      <c r="CC47" s="11">
        <v>44</v>
      </c>
      <c r="CD47" s="12"/>
    </row>
    <row r="48" spans="1:82">
      <c r="A48" s="20" t="s">
        <v>22</v>
      </c>
      <c r="B48" s="20">
        <v>7</v>
      </c>
      <c r="C48" s="5" t="s">
        <v>27</v>
      </c>
      <c r="D48" s="37">
        <f t="shared" si="6"/>
        <v>0</v>
      </c>
      <c r="E48" s="59">
        <f t="shared" si="5"/>
        <v>0</v>
      </c>
      <c r="F48" s="38">
        <f t="shared" si="5"/>
        <v>0</v>
      </c>
      <c r="R48" s="11">
        <v>45</v>
      </c>
      <c r="S48" s="12"/>
      <c r="T48" s="12"/>
      <c r="U48" s="12"/>
      <c r="W48" s="11">
        <v>45</v>
      </c>
      <c r="X48" s="12"/>
      <c r="Y48" s="12"/>
      <c r="Z48" s="12"/>
      <c r="AB48" s="11">
        <v>45</v>
      </c>
      <c r="AC48" s="12"/>
      <c r="AD48" s="12"/>
      <c r="AE48" s="12"/>
      <c r="AG48" s="11">
        <v>45</v>
      </c>
      <c r="AH48" s="12"/>
      <c r="AI48" s="12"/>
      <c r="AJ48" s="12"/>
      <c r="AL48" s="11">
        <v>45</v>
      </c>
      <c r="AM48" s="12"/>
      <c r="AN48" s="12"/>
      <c r="AO48" s="12"/>
      <c r="AQ48" s="11">
        <v>45</v>
      </c>
      <c r="AR48" s="12"/>
      <c r="AS48" s="12"/>
      <c r="AT48" s="11">
        <v>45</v>
      </c>
      <c r="AU48" s="12"/>
      <c r="AW48" s="11">
        <v>45</v>
      </c>
      <c r="AX48" s="12"/>
      <c r="AY48" s="12"/>
      <c r="AZ48" s="12"/>
      <c r="BA48" s="12"/>
      <c r="BB48" s="12"/>
      <c r="BC48" s="12"/>
      <c r="BD48" s="12"/>
      <c r="BE48" s="12"/>
      <c r="BF48" s="24"/>
      <c r="BG48" s="29"/>
      <c r="BH48" s="12"/>
      <c r="BI48" s="12"/>
      <c r="BK48" s="11">
        <v>45</v>
      </c>
      <c r="BL48" s="12"/>
      <c r="BM48" s="12"/>
      <c r="BN48" s="12"/>
      <c r="BP48" s="11">
        <v>45</v>
      </c>
      <c r="BQ48" s="12"/>
      <c r="BR48" s="12"/>
      <c r="BS48" s="12"/>
      <c r="BU48" s="11">
        <v>45</v>
      </c>
      <c r="BV48" s="12"/>
      <c r="BW48" s="12"/>
      <c r="BX48" s="12"/>
      <c r="BZ48" s="11">
        <v>45</v>
      </c>
      <c r="CA48" s="12"/>
      <c r="CC48" s="11">
        <v>45</v>
      </c>
      <c r="CD48" s="12"/>
    </row>
    <row r="49" spans="1:82">
      <c r="A49" s="20" t="s">
        <v>23</v>
      </c>
      <c r="B49" s="20">
        <v>8</v>
      </c>
      <c r="C49" s="5" t="s">
        <v>28</v>
      </c>
      <c r="D49" s="37">
        <f t="shared" si="6"/>
        <v>0</v>
      </c>
      <c r="E49" s="59">
        <f t="shared" si="5"/>
        <v>0</v>
      </c>
      <c r="F49" s="38">
        <f t="shared" si="5"/>
        <v>0</v>
      </c>
      <c r="R49" s="11">
        <v>46</v>
      </c>
      <c r="S49" s="12"/>
      <c r="T49" s="12"/>
      <c r="U49" s="12"/>
      <c r="W49" s="11">
        <v>46</v>
      </c>
      <c r="X49" s="12"/>
      <c r="Y49" s="12"/>
      <c r="Z49" s="12"/>
      <c r="AB49" s="11">
        <v>46</v>
      </c>
      <c r="AC49" s="12"/>
      <c r="AD49" s="12"/>
      <c r="AE49" s="12"/>
      <c r="AG49" s="11">
        <v>46</v>
      </c>
      <c r="AH49" s="12"/>
      <c r="AI49" s="12"/>
      <c r="AJ49" s="12"/>
      <c r="AL49" s="11">
        <v>46</v>
      </c>
      <c r="AM49" s="12"/>
      <c r="AN49" s="12"/>
      <c r="AO49" s="12"/>
      <c r="AQ49" s="11">
        <v>46</v>
      </c>
      <c r="AR49" s="14"/>
      <c r="AS49" s="14"/>
      <c r="AT49" s="11">
        <v>46</v>
      </c>
      <c r="AU49" s="12"/>
      <c r="AW49" s="11">
        <v>46</v>
      </c>
      <c r="AX49" s="12"/>
      <c r="AY49" s="12"/>
      <c r="AZ49" s="12"/>
      <c r="BA49" s="12"/>
      <c r="BB49" s="12"/>
      <c r="BC49" s="12"/>
      <c r="BD49" s="12"/>
      <c r="BE49" s="12"/>
      <c r="BF49" s="24"/>
      <c r="BG49" s="29"/>
      <c r="BH49" s="12"/>
      <c r="BI49" s="12"/>
      <c r="BK49" s="11">
        <v>46</v>
      </c>
      <c r="BL49" s="12"/>
      <c r="BM49" s="12"/>
      <c r="BN49" s="12"/>
      <c r="BP49" s="11">
        <v>46</v>
      </c>
      <c r="BQ49" s="12"/>
      <c r="BR49" s="12"/>
      <c r="BS49" s="12"/>
      <c r="BU49" s="11">
        <v>46</v>
      </c>
      <c r="BV49" s="12"/>
      <c r="BW49" s="12"/>
      <c r="BX49" s="12"/>
      <c r="BZ49" s="11">
        <v>46</v>
      </c>
      <c r="CA49" s="12"/>
      <c r="CC49" s="11">
        <v>46</v>
      </c>
      <c r="CD49" s="12"/>
    </row>
    <row r="50" spans="1:82">
      <c r="A50" s="20" t="s">
        <v>24</v>
      </c>
      <c r="B50" s="20">
        <v>9</v>
      </c>
      <c r="C50" s="5" t="s">
        <v>16</v>
      </c>
      <c r="D50" s="37">
        <f t="shared" si="6"/>
        <v>0</v>
      </c>
      <c r="E50" s="59">
        <f t="shared" si="5"/>
        <v>0</v>
      </c>
      <c r="F50" s="38">
        <f t="shared" si="5"/>
        <v>0</v>
      </c>
      <c r="R50" s="11">
        <v>47</v>
      </c>
      <c r="S50" s="12"/>
      <c r="T50" s="12"/>
      <c r="U50" s="12"/>
      <c r="W50" s="11">
        <v>47</v>
      </c>
      <c r="X50" s="12"/>
      <c r="Y50" s="12"/>
      <c r="Z50" s="12"/>
      <c r="AB50" s="11">
        <v>47</v>
      </c>
      <c r="AC50" s="12"/>
      <c r="AD50" s="12"/>
      <c r="AE50" s="12"/>
      <c r="AG50" s="11">
        <v>47</v>
      </c>
      <c r="AH50" s="12"/>
      <c r="AI50" s="12"/>
      <c r="AJ50" s="12"/>
      <c r="AL50" s="11">
        <v>47</v>
      </c>
      <c r="AM50" s="12"/>
      <c r="AN50" s="12"/>
      <c r="AO50" s="12"/>
      <c r="AQ50" s="11">
        <v>47</v>
      </c>
      <c r="AR50" s="12"/>
      <c r="AS50" s="12"/>
      <c r="AT50" s="11">
        <v>47</v>
      </c>
      <c r="AU50" s="12"/>
      <c r="AW50" s="11">
        <v>47</v>
      </c>
      <c r="AX50" s="12"/>
      <c r="AY50" s="12"/>
      <c r="AZ50" s="12"/>
      <c r="BA50" s="12"/>
      <c r="BB50" s="12"/>
      <c r="BC50" s="12"/>
      <c r="BD50" s="12"/>
      <c r="BE50" s="12"/>
      <c r="BF50" s="24"/>
      <c r="BG50" s="29"/>
      <c r="BH50" s="12"/>
      <c r="BI50" s="12"/>
      <c r="BK50" s="11">
        <v>47</v>
      </c>
      <c r="BL50" s="12"/>
      <c r="BM50" s="12"/>
      <c r="BN50" s="12"/>
      <c r="BP50" s="11">
        <v>47</v>
      </c>
      <c r="BQ50" s="12"/>
      <c r="BR50" s="12"/>
      <c r="BS50" s="12"/>
      <c r="BU50" s="11">
        <v>47</v>
      </c>
      <c r="BV50" s="12"/>
      <c r="BW50" s="12"/>
      <c r="BX50" s="12"/>
      <c r="BZ50" s="11">
        <v>47</v>
      </c>
      <c r="CA50" s="12"/>
      <c r="CC50" s="11">
        <v>47</v>
      </c>
      <c r="CD50" s="12"/>
    </row>
    <row r="51" spans="1:82">
      <c r="A51" s="21" t="s">
        <v>35</v>
      </c>
      <c r="B51" s="21">
        <v>10</v>
      </c>
      <c r="C51" s="5" t="s">
        <v>37</v>
      </c>
      <c r="D51" s="37">
        <f t="shared" si="6"/>
        <v>0</v>
      </c>
      <c r="E51" s="59">
        <f t="shared" si="5"/>
        <v>0</v>
      </c>
      <c r="F51" s="38">
        <f t="shared" si="5"/>
        <v>0</v>
      </c>
      <c r="R51" s="11">
        <v>48</v>
      </c>
      <c r="S51" s="12"/>
      <c r="T51" s="12"/>
      <c r="U51" s="12"/>
      <c r="W51" s="11">
        <v>48</v>
      </c>
      <c r="X51" s="12"/>
      <c r="Y51" s="12"/>
      <c r="Z51" s="12"/>
      <c r="AB51" s="11">
        <v>48</v>
      </c>
      <c r="AC51" s="12"/>
      <c r="AD51" s="12"/>
      <c r="AE51" s="12"/>
      <c r="AG51" s="11">
        <v>48</v>
      </c>
      <c r="AH51" s="12"/>
      <c r="AI51" s="12"/>
      <c r="AJ51" s="12"/>
      <c r="AL51" s="11">
        <v>48</v>
      </c>
      <c r="AM51" s="12"/>
      <c r="AN51" s="12"/>
      <c r="AO51" s="12"/>
      <c r="AQ51" s="11">
        <v>48</v>
      </c>
      <c r="AR51" s="12"/>
      <c r="AS51" s="12"/>
      <c r="AT51" s="11">
        <v>48</v>
      </c>
      <c r="AU51" s="12"/>
      <c r="AW51" s="11">
        <v>48</v>
      </c>
      <c r="AX51" s="12"/>
      <c r="AY51" s="12"/>
      <c r="AZ51" s="12"/>
      <c r="BA51" s="12"/>
      <c r="BB51" s="12"/>
      <c r="BC51" s="12"/>
      <c r="BD51" s="12"/>
      <c r="BE51" s="12"/>
      <c r="BF51" s="24"/>
      <c r="BG51" s="29"/>
      <c r="BH51" s="12"/>
      <c r="BI51" s="12"/>
      <c r="BK51" s="11">
        <v>48</v>
      </c>
      <c r="BL51" s="12"/>
      <c r="BM51" s="12"/>
      <c r="BN51" s="12"/>
      <c r="BP51" s="11">
        <v>48</v>
      </c>
      <c r="BQ51" s="12"/>
      <c r="BR51" s="12"/>
      <c r="BS51" s="12"/>
      <c r="BU51" s="11">
        <v>48</v>
      </c>
      <c r="BV51" s="12"/>
      <c r="BW51" s="12"/>
      <c r="BX51" s="12"/>
      <c r="BZ51" s="11">
        <v>48</v>
      </c>
      <c r="CA51" s="12"/>
      <c r="CC51" s="11">
        <v>48</v>
      </c>
      <c r="CD51" s="12"/>
    </row>
    <row r="52" spans="1:82">
      <c r="A52" s="22" t="s">
        <v>39</v>
      </c>
      <c r="B52" s="22">
        <v>11</v>
      </c>
      <c r="C52" s="17" t="s">
        <v>38</v>
      </c>
      <c r="D52" s="60">
        <f t="shared" si="6"/>
        <v>0</v>
      </c>
      <c r="E52" s="39">
        <f t="shared" si="5"/>
        <v>0</v>
      </c>
      <c r="F52" s="40">
        <f t="shared" si="5"/>
        <v>0</v>
      </c>
      <c r="R52" s="11">
        <v>49</v>
      </c>
      <c r="S52" s="12"/>
      <c r="T52" s="12"/>
      <c r="U52" s="12"/>
      <c r="W52" s="11">
        <v>49</v>
      </c>
      <c r="X52" s="12"/>
      <c r="Y52" s="12"/>
      <c r="Z52" s="12"/>
      <c r="AB52" s="11">
        <v>49</v>
      </c>
      <c r="AC52" s="12"/>
      <c r="AD52" s="12"/>
      <c r="AE52" s="12"/>
      <c r="AG52" s="11">
        <v>49</v>
      </c>
      <c r="AH52" s="12"/>
      <c r="AI52" s="12"/>
      <c r="AJ52" s="12"/>
      <c r="AL52" s="11">
        <v>49</v>
      </c>
      <c r="AM52" s="12"/>
      <c r="AN52" s="12"/>
      <c r="AO52" s="12"/>
      <c r="AQ52" s="11">
        <v>49</v>
      </c>
      <c r="AR52" s="12"/>
      <c r="AS52" s="12"/>
      <c r="AT52" s="11">
        <v>49</v>
      </c>
      <c r="AU52" s="12"/>
      <c r="AW52" s="11">
        <v>49</v>
      </c>
      <c r="AX52" s="12"/>
      <c r="AY52" s="12"/>
      <c r="AZ52" s="12"/>
      <c r="BA52" s="12"/>
      <c r="BB52" s="12"/>
      <c r="BC52" s="12"/>
      <c r="BD52" s="12"/>
      <c r="BE52" s="12"/>
      <c r="BF52" s="24"/>
      <c r="BG52" s="29"/>
      <c r="BH52" s="12"/>
      <c r="BI52" s="12"/>
      <c r="BK52" s="11">
        <v>49</v>
      </c>
      <c r="BL52" s="12"/>
      <c r="BM52" s="12"/>
      <c r="BN52" s="12"/>
      <c r="BP52" s="11">
        <v>49</v>
      </c>
      <c r="BQ52" s="12"/>
      <c r="BR52" s="12"/>
      <c r="BS52" s="12"/>
      <c r="BU52" s="11">
        <v>49</v>
      </c>
      <c r="BV52" s="12"/>
      <c r="BW52" s="12"/>
      <c r="BX52" s="12"/>
      <c r="BZ52" s="11">
        <v>49</v>
      </c>
      <c r="CA52" s="12"/>
      <c r="CC52" s="11">
        <v>49</v>
      </c>
      <c r="CD52" s="12"/>
    </row>
    <row r="53" spans="1:82">
      <c r="D53" s="121">
        <f>SUM(D41:D52)</f>
        <v>10000</v>
      </c>
      <c r="E53" s="121">
        <f>SUM(E41:E52)</f>
        <v>10001</v>
      </c>
      <c r="F53" s="121">
        <f>SUM(F41:F52)</f>
        <v>10000</v>
      </c>
      <c r="R53" s="11">
        <v>50</v>
      </c>
      <c r="S53" s="12"/>
      <c r="T53" s="12"/>
      <c r="U53" s="12"/>
      <c r="W53" s="11">
        <v>50</v>
      </c>
      <c r="X53" s="12"/>
      <c r="Y53" s="12"/>
      <c r="Z53" s="12"/>
      <c r="AB53" s="11">
        <v>50</v>
      </c>
      <c r="AC53" s="12"/>
      <c r="AD53" s="12"/>
      <c r="AE53" s="12"/>
      <c r="AG53" s="11">
        <v>50</v>
      </c>
      <c r="AH53" s="12"/>
      <c r="AI53" s="12"/>
      <c r="AJ53" s="12"/>
      <c r="AL53" s="11">
        <v>50</v>
      </c>
      <c r="AM53" s="12"/>
      <c r="AN53" s="12"/>
      <c r="AO53" s="12"/>
      <c r="AQ53" s="11">
        <v>50</v>
      </c>
      <c r="AR53" s="12"/>
      <c r="AS53" s="12"/>
      <c r="AT53" s="11">
        <v>50</v>
      </c>
      <c r="AU53" s="12"/>
      <c r="AW53" s="11">
        <v>50</v>
      </c>
      <c r="AX53" s="12"/>
      <c r="AY53" s="12"/>
      <c r="AZ53" s="12"/>
      <c r="BA53" s="12"/>
      <c r="BB53" s="12"/>
      <c r="BC53" s="12"/>
      <c r="BD53" s="12"/>
      <c r="BE53" s="12"/>
      <c r="BF53" s="24"/>
      <c r="BG53" s="29"/>
      <c r="BH53" s="12"/>
      <c r="BI53" s="12"/>
      <c r="BK53" s="11">
        <v>50</v>
      </c>
      <c r="BL53" s="12"/>
      <c r="BM53" s="12"/>
      <c r="BN53" s="12"/>
      <c r="BP53" s="11">
        <v>50</v>
      </c>
      <c r="BQ53" s="12"/>
      <c r="BR53" s="12"/>
      <c r="BS53" s="12"/>
      <c r="BU53" s="11">
        <v>50</v>
      </c>
      <c r="BV53" s="12"/>
      <c r="BW53" s="12"/>
      <c r="BX53" s="12"/>
      <c r="BZ53" s="11">
        <v>50</v>
      </c>
      <c r="CA53" s="12"/>
      <c r="CC53" s="11">
        <v>50</v>
      </c>
      <c r="CD53" s="12"/>
    </row>
    <row r="54" spans="1:82">
      <c r="R54" s="11">
        <v>51</v>
      </c>
      <c r="S54" s="12"/>
      <c r="T54" s="12"/>
      <c r="U54" s="12"/>
      <c r="W54" s="11">
        <v>51</v>
      </c>
      <c r="X54" s="12"/>
      <c r="Y54" s="12"/>
      <c r="Z54" s="12"/>
      <c r="AB54" s="11">
        <v>51</v>
      </c>
      <c r="AC54" s="12"/>
      <c r="AD54" s="12"/>
      <c r="AE54" s="12"/>
      <c r="AG54" s="11">
        <v>51</v>
      </c>
      <c r="AH54" s="12"/>
      <c r="AI54" s="12"/>
      <c r="AJ54" s="12"/>
      <c r="AL54" s="11">
        <v>51</v>
      </c>
      <c r="AM54" s="12"/>
      <c r="AN54" s="12"/>
      <c r="AO54" s="12"/>
      <c r="AQ54" s="11">
        <v>51</v>
      </c>
      <c r="AR54" s="12"/>
      <c r="AS54" s="12"/>
      <c r="AT54" s="11">
        <v>51</v>
      </c>
      <c r="AU54" s="12"/>
      <c r="AW54" s="11">
        <v>51</v>
      </c>
      <c r="AX54" s="12"/>
      <c r="AY54" s="12"/>
      <c r="AZ54" s="12"/>
      <c r="BA54" s="12"/>
      <c r="BB54" s="12"/>
      <c r="BC54" s="12"/>
      <c r="BD54" s="12"/>
      <c r="BE54" s="12"/>
      <c r="BF54" s="24"/>
      <c r="BG54" s="29"/>
      <c r="BH54" s="12"/>
      <c r="BI54" s="12"/>
      <c r="BK54" s="11">
        <v>51</v>
      </c>
      <c r="BL54" s="12"/>
      <c r="BM54" s="12"/>
      <c r="BN54" s="12"/>
      <c r="BP54" s="11">
        <v>51</v>
      </c>
      <c r="BQ54" s="12"/>
      <c r="BR54" s="12"/>
      <c r="BS54" s="12"/>
      <c r="BU54" s="11">
        <v>51</v>
      </c>
      <c r="BV54" s="12"/>
      <c r="BW54" s="12"/>
      <c r="BX54" s="12"/>
      <c r="BZ54" s="11">
        <v>51</v>
      </c>
      <c r="CA54" s="12"/>
      <c r="CC54" s="11">
        <v>51</v>
      </c>
      <c r="CD54" s="12"/>
    </row>
    <row r="55" spans="1:82" ht="16.8" thickBot="1">
      <c r="A55" s="31" t="s">
        <v>47</v>
      </c>
      <c r="R55" s="11">
        <v>52</v>
      </c>
      <c r="S55" s="12"/>
      <c r="T55" s="12"/>
      <c r="U55" s="12"/>
      <c r="W55" s="11">
        <v>52</v>
      </c>
      <c r="X55" s="12"/>
      <c r="Y55" s="12"/>
      <c r="Z55" s="12"/>
      <c r="AB55" s="11">
        <v>52</v>
      </c>
      <c r="AC55" s="12"/>
      <c r="AD55" s="12"/>
      <c r="AE55" s="12"/>
      <c r="AG55" s="11">
        <v>52</v>
      </c>
      <c r="AH55" s="12"/>
      <c r="AI55" s="12"/>
      <c r="AJ55" s="12"/>
      <c r="AL55" s="11">
        <v>52</v>
      </c>
      <c r="AM55" s="12"/>
      <c r="AN55" s="12"/>
      <c r="AO55" s="12"/>
      <c r="AQ55" s="11">
        <v>52</v>
      </c>
      <c r="AR55" s="12"/>
      <c r="AS55" s="12"/>
      <c r="AT55" s="11">
        <v>52</v>
      </c>
      <c r="AU55" s="12"/>
      <c r="AW55" s="11">
        <v>52</v>
      </c>
      <c r="AX55" s="12"/>
      <c r="AY55" s="12"/>
      <c r="AZ55" s="12"/>
      <c r="BA55" s="12"/>
      <c r="BB55" s="12"/>
      <c r="BC55" s="12"/>
      <c r="BD55" s="12"/>
      <c r="BE55" s="12"/>
      <c r="BF55" s="24"/>
      <c r="BG55" s="29"/>
      <c r="BH55" s="12"/>
      <c r="BI55" s="12"/>
      <c r="BK55" s="11">
        <v>52</v>
      </c>
      <c r="BL55" s="12"/>
      <c r="BM55" s="12"/>
      <c r="BN55" s="12"/>
      <c r="BP55" s="11">
        <v>52</v>
      </c>
      <c r="BQ55" s="12"/>
      <c r="BR55" s="12"/>
      <c r="BS55" s="12"/>
      <c r="BU55" s="11">
        <v>52</v>
      </c>
      <c r="BV55" s="12"/>
      <c r="BW55" s="12"/>
      <c r="BX55" s="12"/>
      <c r="BZ55" s="11">
        <v>52</v>
      </c>
      <c r="CA55" s="12"/>
      <c r="CC55" s="11">
        <v>52</v>
      </c>
      <c r="CD55" s="12"/>
    </row>
    <row r="56" spans="1:82">
      <c r="A56" s="30" t="s">
        <v>42</v>
      </c>
      <c r="B56" s="1" t="s">
        <v>10</v>
      </c>
      <c r="C56" s="42" t="s">
        <v>11</v>
      </c>
      <c r="D56" s="67" t="s">
        <v>56</v>
      </c>
      <c r="E56" s="52" t="s">
        <v>48</v>
      </c>
      <c r="F56" s="43" t="s">
        <v>49</v>
      </c>
      <c r="G56" s="44" t="s">
        <v>50</v>
      </c>
      <c r="H56" s="44" t="s">
        <v>51</v>
      </c>
      <c r="I56" s="44" t="s">
        <v>52</v>
      </c>
      <c r="J56" s="44" t="s">
        <v>53</v>
      </c>
      <c r="K56" s="44" t="s">
        <v>54</v>
      </c>
      <c r="L56" s="44" t="s">
        <v>55</v>
      </c>
      <c r="M56" s="45" t="s">
        <v>74</v>
      </c>
      <c r="N56" s="35" t="s">
        <v>75</v>
      </c>
      <c r="O56" s="36" t="s">
        <v>76</v>
      </c>
      <c r="R56" s="11">
        <v>53</v>
      </c>
      <c r="S56" s="12"/>
      <c r="T56" s="12"/>
      <c r="U56" s="12"/>
      <c r="W56" s="11">
        <v>53</v>
      </c>
      <c r="X56" s="12"/>
      <c r="Y56" s="12"/>
      <c r="Z56" s="12"/>
      <c r="AB56" s="11">
        <v>53</v>
      </c>
      <c r="AC56" s="12"/>
      <c r="AD56" s="12"/>
      <c r="AE56" s="12"/>
      <c r="AG56" s="11">
        <v>53</v>
      </c>
      <c r="AH56" s="12"/>
      <c r="AI56" s="12"/>
      <c r="AJ56" s="12"/>
      <c r="AL56" s="11">
        <v>53</v>
      </c>
      <c r="AM56" s="12"/>
      <c r="AN56" s="12"/>
      <c r="AO56" s="12"/>
      <c r="AQ56" s="11">
        <v>53</v>
      </c>
      <c r="AR56" s="12"/>
      <c r="AS56" s="12"/>
      <c r="AT56" s="11">
        <v>53</v>
      </c>
      <c r="AU56" s="12"/>
      <c r="AW56" s="11">
        <v>53</v>
      </c>
      <c r="AX56" s="12"/>
      <c r="AY56" s="12"/>
      <c r="AZ56" s="12"/>
      <c r="BA56" s="12"/>
      <c r="BB56" s="12"/>
      <c r="BC56" s="12"/>
      <c r="BD56" s="12"/>
      <c r="BE56" s="12"/>
      <c r="BF56" s="24"/>
      <c r="BG56" s="29"/>
      <c r="BH56" s="12"/>
      <c r="BI56" s="12"/>
      <c r="BK56" s="11">
        <v>53</v>
      </c>
      <c r="BL56" s="12"/>
      <c r="BM56" s="12"/>
      <c r="BN56" s="12"/>
      <c r="BP56" s="11">
        <v>53</v>
      </c>
      <c r="BQ56" s="12"/>
      <c r="BR56" s="12"/>
      <c r="BS56" s="12"/>
      <c r="BU56" s="11">
        <v>53</v>
      </c>
      <c r="BV56" s="12"/>
      <c r="BW56" s="12"/>
      <c r="BX56" s="12"/>
      <c r="BZ56" s="11">
        <v>53</v>
      </c>
      <c r="CA56" s="12"/>
      <c r="CC56" s="11">
        <v>53</v>
      </c>
      <c r="CD56" s="12"/>
    </row>
    <row r="57" spans="1:82">
      <c r="A57" s="1" t="s">
        <v>19</v>
      </c>
      <c r="B57" s="1">
        <v>0</v>
      </c>
      <c r="C57" s="3" t="s">
        <v>25</v>
      </c>
      <c r="D57" s="53">
        <f t="shared" ref="D57:O68" si="7">SUMIF($AR$3:$AR$42,$A57,AX$3:AX$42)</f>
        <v>8086</v>
      </c>
      <c r="E57" s="122">
        <f t="shared" si="7"/>
        <v>450</v>
      </c>
      <c r="F57" s="122">
        <f t="shared" si="7"/>
        <v>393</v>
      </c>
      <c r="G57" s="3">
        <f t="shared" si="7"/>
        <v>4202</v>
      </c>
      <c r="H57" s="122">
        <f t="shared" si="7"/>
        <v>6927</v>
      </c>
      <c r="I57" s="122">
        <f t="shared" si="7"/>
        <v>8859</v>
      </c>
      <c r="J57" s="122">
        <f t="shared" si="7"/>
        <v>5284</v>
      </c>
      <c r="K57" s="122">
        <f t="shared" si="7"/>
        <v>9142</v>
      </c>
      <c r="L57" s="122">
        <f t="shared" si="7"/>
        <v>5139</v>
      </c>
      <c r="M57" s="46">
        <f t="shared" si="7"/>
        <v>2789</v>
      </c>
      <c r="N57" s="122">
        <f t="shared" si="7"/>
        <v>4856</v>
      </c>
      <c r="O57" s="4">
        <f t="shared" si="7"/>
        <v>4856</v>
      </c>
      <c r="R57" s="11">
        <v>54</v>
      </c>
      <c r="S57" s="12"/>
      <c r="T57" s="12"/>
      <c r="U57" s="12"/>
      <c r="W57" s="11">
        <v>54</v>
      </c>
      <c r="X57" s="12"/>
      <c r="Y57" s="12"/>
      <c r="Z57" s="12"/>
      <c r="AB57" s="11">
        <v>54</v>
      </c>
      <c r="AC57" s="12"/>
      <c r="AD57" s="12"/>
      <c r="AE57" s="12"/>
      <c r="AG57" s="11">
        <v>54</v>
      </c>
      <c r="AH57" s="12"/>
      <c r="AI57" s="12"/>
      <c r="AJ57" s="12"/>
      <c r="AL57" s="11">
        <v>54</v>
      </c>
      <c r="AM57" s="12"/>
      <c r="AN57" s="12"/>
      <c r="AO57" s="12"/>
      <c r="AQ57" s="11">
        <v>54</v>
      </c>
      <c r="AR57" s="12"/>
      <c r="AS57" s="12"/>
      <c r="AT57" s="11">
        <v>54</v>
      </c>
      <c r="AU57" s="12"/>
      <c r="AW57" s="11">
        <v>54</v>
      </c>
      <c r="AX57" s="12"/>
      <c r="AY57" s="12"/>
      <c r="AZ57" s="12"/>
      <c r="BA57" s="12"/>
      <c r="BB57" s="12"/>
      <c r="BC57" s="12"/>
      <c r="BD57" s="12"/>
      <c r="BE57" s="12"/>
      <c r="BF57" s="24"/>
      <c r="BG57" s="29"/>
      <c r="BH57" s="12"/>
      <c r="BI57" s="12"/>
      <c r="BK57" s="11">
        <v>54</v>
      </c>
      <c r="BL57" s="12"/>
      <c r="BM57" s="12"/>
      <c r="BN57" s="12"/>
      <c r="BP57" s="11">
        <v>54</v>
      </c>
      <c r="BQ57" s="12"/>
      <c r="BR57" s="12"/>
      <c r="BS57" s="12"/>
      <c r="BU57" s="11">
        <v>54</v>
      </c>
      <c r="BV57" s="12"/>
      <c r="BW57" s="12"/>
      <c r="BX57" s="12"/>
      <c r="BZ57" s="11">
        <v>54</v>
      </c>
      <c r="CA57" s="12"/>
      <c r="CC57" s="11">
        <v>54</v>
      </c>
      <c r="CD57" s="12"/>
    </row>
    <row r="58" spans="1:82">
      <c r="A58" s="20">
        <v>0</v>
      </c>
      <c r="B58" s="20">
        <v>1</v>
      </c>
      <c r="C58" s="5">
        <v>0</v>
      </c>
      <c r="D58" s="54">
        <f t="shared" si="7"/>
        <v>0</v>
      </c>
      <c r="E58" s="59">
        <f t="shared" si="7"/>
        <v>0</v>
      </c>
      <c r="F58" s="38">
        <f t="shared" si="7"/>
        <v>0</v>
      </c>
      <c r="G58" s="37">
        <f t="shared" si="7"/>
        <v>0</v>
      </c>
      <c r="H58" s="59">
        <f t="shared" si="7"/>
        <v>0</v>
      </c>
      <c r="I58" s="59">
        <f t="shared" si="7"/>
        <v>0</v>
      </c>
      <c r="J58" s="59">
        <f t="shared" si="7"/>
        <v>0</v>
      </c>
      <c r="K58" s="59">
        <f t="shared" si="7"/>
        <v>0</v>
      </c>
      <c r="L58" s="59">
        <f t="shared" si="7"/>
        <v>0</v>
      </c>
      <c r="M58" s="47">
        <f t="shared" si="7"/>
        <v>0</v>
      </c>
      <c r="N58" s="59">
        <f t="shared" si="7"/>
        <v>0</v>
      </c>
      <c r="O58" s="38">
        <f t="shared" si="7"/>
        <v>0</v>
      </c>
      <c r="R58" s="11">
        <v>55</v>
      </c>
      <c r="S58" s="12"/>
      <c r="T58" s="12"/>
      <c r="U58" s="12"/>
      <c r="W58" s="11">
        <v>55</v>
      </c>
      <c r="X58" s="12"/>
      <c r="Y58" s="12"/>
      <c r="Z58" s="12"/>
      <c r="AB58" s="11">
        <v>55</v>
      </c>
      <c r="AC58" s="12"/>
      <c r="AD58" s="12"/>
      <c r="AE58" s="12"/>
      <c r="AG58" s="11">
        <v>55</v>
      </c>
      <c r="AH58" s="12"/>
      <c r="AI58" s="12"/>
      <c r="AJ58" s="12"/>
      <c r="AL58" s="11">
        <v>55</v>
      </c>
      <c r="AM58" s="12"/>
      <c r="AN58" s="12"/>
      <c r="AO58" s="12"/>
      <c r="AQ58" s="11">
        <v>55</v>
      </c>
      <c r="AR58" s="12"/>
      <c r="AS58" s="12"/>
      <c r="AT58" s="11">
        <v>55</v>
      </c>
      <c r="AU58" s="12"/>
      <c r="AW58" s="11">
        <v>55</v>
      </c>
      <c r="AX58" s="12"/>
      <c r="AY58" s="12"/>
      <c r="AZ58" s="12"/>
      <c r="BA58" s="12"/>
      <c r="BB58" s="12"/>
      <c r="BC58" s="12"/>
      <c r="BD58" s="12"/>
      <c r="BE58" s="12"/>
      <c r="BF58" s="24"/>
      <c r="BG58" s="29"/>
      <c r="BH58" s="12"/>
      <c r="BI58" s="12"/>
      <c r="BK58" s="11">
        <v>55</v>
      </c>
      <c r="BL58" s="12"/>
      <c r="BM58" s="12"/>
      <c r="BN58" s="12"/>
      <c r="BP58" s="11">
        <v>55</v>
      </c>
      <c r="BQ58" s="12"/>
      <c r="BR58" s="12"/>
      <c r="BS58" s="12"/>
      <c r="BU58" s="11">
        <v>55</v>
      </c>
      <c r="BV58" s="12"/>
      <c r="BW58" s="12"/>
      <c r="BX58" s="12"/>
      <c r="BZ58" s="11">
        <v>55</v>
      </c>
      <c r="CA58" s="12"/>
      <c r="CC58" s="11">
        <v>55</v>
      </c>
      <c r="CD58" s="12"/>
    </row>
    <row r="59" spans="1:82">
      <c r="A59" s="20">
        <v>1</v>
      </c>
      <c r="B59" s="20">
        <v>2</v>
      </c>
      <c r="C59" s="5">
        <v>1</v>
      </c>
      <c r="D59" s="54">
        <f t="shared" si="7"/>
        <v>0</v>
      </c>
      <c r="E59" s="59">
        <f t="shared" si="7"/>
        <v>0</v>
      </c>
      <c r="F59" s="38">
        <f t="shared" si="7"/>
        <v>0</v>
      </c>
      <c r="G59" s="37">
        <f t="shared" si="7"/>
        <v>0</v>
      </c>
      <c r="H59" s="59">
        <f t="shared" si="7"/>
        <v>0</v>
      </c>
      <c r="I59" s="59">
        <f t="shared" si="7"/>
        <v>0</v>
      </c>
      <c r="J59" s="59">
        <f t="shared" si="7"/>
        <v>0</v>
      </c>
      <c r="K59" s="59">
        <f t="shared" si="7"/>
        <v>0</v>
      </c>
      <c r="L59" s="59">
        <f t="shared" si="7"/>
        <v>0</v>
      </c>
      <c r="M59" s="47">
        <f t="shared" si="7"/>
        <v>0</v>
      </c>
      <c r="N59" s="59">
        <f t="shared" si="7"/>
        <v>0</v>
      </c>
      <c r="O59" s="38">
        <f t="shared" si="7"/>
        <v>0</v>
      </c>
      <c r="R59" s="11">
        <v>56</v>
      </c>
      <c r="S59" s="12"/>
      <c r="T59" s="12"/>
      <c r="U59" s="12"/>
      <c r="W59" s="11">
        <v>56</v>
      </c>
      <c r="X59" s="12"/>
      <c r="Y59" s="12"/>
      <c r="Z59" s="12"/>
      <c r="AB59" s="11">
        <v>56</v>
      </c>
      <c r="AC59" s="12"/>
      <c r="AD59" s="12"/>
      <c r="AE59" s="12"/>
      <c r="AG59" s="11">
        <v>56</v>
      </c>
      <c r="AH59" s="12"/>
      <c r="AI59" s="12"/>
      <c r="AJ59" s="12"/>
      <c r="AL59" s="11">
        <v>56</v>
      </c>
      <c r="AM59" s="12"/>
      <c r="AN59" s="12"/>
      <c r="AO59" s="12"/>
      <c r="AQ59" s="11">
        <v>56</v>
      </c>
      <c r="AR59" s="12"/>
      <c r="AS59" s="12"/>
      <c r="AT59" s="11">
        <v>56</v>
      </c>
      <c r="AU59" s="12"/>
      <c r="AW59" s="11">
        <v>56</v>
      </c>
      <c r="AX59" s="12"/>
      <c r="AY59" s="12"/>
      <c r="AZ59" s="12"/>
      <c r="BA59" s="12"/>
      <c r="BB59" s="12"/>
      <c r="BC59" s="12"/>
      <c r="BD59" s="12"/>
      <c r="BE59" s="12"/>
      <c r="BF59" s="24"/>
      <c r="BG59" s="29"/>
      <c r="BH59" s="12"/>
      <c r="BI59" s="12"/>
      <c r="BK59" s="11">
        <v>56</v>
      </c>
      <c r="BL59" s="12"/>
      <c r="BM59" s="12"/>
      <c r="BN59" s="12"/>
      <c r="BP59" s="11">
        <v>56</v>
      </c>
      <c r="BQ59" s="12"/>
      <c r="BR59" s="12"/>
      <c r="BS59" s="12"/>
      <c r="BU59" s="11">
        <v>56</v>
      </c>
      <c r="BV59" s="12"/>
      <c r="BW59" s="12"/>
      <c r="BX59" s="12"/>
      <c r="BZ59" s="11">
        <v>56</v>
      </c>
      <c r="CA59" s="12"/>
      <c r="CC59" s="11">
        <v>56</v>
      </c>
      <c r="CD59" s="12"/>
    </row>
    <row r="60" spans="1:82">
      <c r="A60" s="21">
        <v>5</v>
      </c>
      <c r="B60" s="21">
        <v>3</v>
      </c>
      <c r="C60" s="23">
        <v>5</v>
      </c>
      <c r="D60" s="54">
        <f t="shared" si="7"/>
        <v>0</v>
      </c>
      <c r="E60" s="59">
        <f t="shared" si="7"/>
        <v>0</v>
      </c>
      <c r="F60" s="38">
        <f t="shared" si="7"/>
        <v>0</v>
      </c>
      <c r="G60" s="37">
        <f t="shared" si="7"/>
        <v>0</v>
      </c>
      <c r="H60" s="59">
        <f t="shared" si="7"/>
        <v>0</v>
      </c>
      <c r="I60" s="59">
        <f t="shared" si="7"/>
        <v>0</v>
      </c>
      <c r="J60" s="59">
        <f t="shared" si="7"/>
        <v>0</v>
      </c>
      <c r="K60" s="59">
        <f t="shared" si="7"/>
        <v>0</v>
      </c>
      <c r="L60" s="59">
        <f t="shared" si="7"/>
        <v>0</v>
      </c>
      <c r="M60" s="47">
        <f t="shared" si="7"/>
        <v>0</v>
      </c>
      <c r="N60" s="59">
        <f t="shared" si="7"/>
        <v>0</v>
      </c>
      <c r="O60" s="38">
        <f t="shared" si="7"/>
        <v>0</v>
      </c>
      <c r="R60" s="11">
        <v>57</v>
      </c>
      <c r="S60" s="12"/>
      <c r="T60" s="12"/>
      <c r="U60" s="12"/>
      <c r="W60" s="11">
        <v>57</v>
      </c>
      <c r="X60" s="12"/>
      <c r="Y60" s="12"/>
      <c r="Z60" s="12"/>
      <c r="AB60" s="11">
        <v>57</v>
      </c>
      <c r="AC60" s="12"/>
      <c r="AD60" s="12"/>
      <c r="AE60" s="12"/>
      <c r="AG60" s="11">
        <v>57</v>
      </c>
      <c r="AH60" s="12"/>
      <c r="AI60" s="12"/>
      <c r="AJ60" s="12"/>
      <c r="AL60" s="11">
        <v>57</v>
      </c>
      <c r="AM60" s="12"/>
      <c r="AN60" s="12"/>
      <c r="AO60" s="12"/>
      <c r="AQ60" s="11">
        <v>57</v>
      </c>
      <c r="AR60" s="12"/>
      <c r="AS60" s="12"/>
      <c r="AT60" s="11">
        <v>57</v>
      </c>
      <c r="AU60" s="12"/>
      <c r="AW60" s="11">
        <v>57</v>
      </c>
      <c r="AX60" s="12"/>
      <c r="AY60" s="12"/>
      <c r="AZ60" s="12"/>
      <c r="BA60" s="12"/>
      <c r="BB60" s="12"/>
      <c r="BC60" s="12"/>
      <c r="BD60" s="12"/>
      <c r="BE60" s="12"/>
      <c r="BF60" s="24"/>
      <c r="BG60" s="29"/>
      <c r="BH60" s="12"/>
      <c r="BI60" s="12"/>
      <c r="BK60" s="11">
        <v>57</v>
      </c>
      <c r="BL60" s="12"/>
      <c r="BM60" s="12"/>
      <c r="BN60" s="12"/>
      <c r="BP60" s="11">
        <v>57</v>
      </c>
      <c r="BQ60" s="12"/>
      <c r="BR60" s="12"/>
      <c r="BS60" s="12"/>
      <c r="BU60" s="11">
        <v>57</v>
      </c>
      <c r="BV60" s="12"/>
      <c r="BW60" s="12"/>
      <c r="BX60" s="12"/>
      <c r="BZ60" s="11">
        <v>57</v>
      </c>
      <c r="CA60" s="12"/>
      <c r="CC60" s="11">
        <v>57</v>
      </c>
      <c r="CD60" s="12"/>
    </row>
    <row r="61" spans="1:82">
      <c r="A61" s="21">
        <v>10</v>
      </c>
      <c r="B61" s="21">
        <v>4</v>
      </c>
      <c r="C61" s="23">
        <v>10</v>
      </c>
      <c r="D61" s="54">
        <f t="shared" si="7"/>
        <v>0</v>
      </c>
      <c r="E61" s="59">
        <f t="shared" si="7"/>
        <v>0</v>
      </c>
      <c r="F61" s="38">
        <f t="shared" si="7"/>
        <v>0</v>
      </c>
      <c r="G61" s="37">
        <f t="shared" si="7"/>
        <v>0</v>
      </c>
      <c r="H61" s="59">
        <f t="shared" si="7"/>
        <v>0</v>
      </c>
      <c r="I61" s="59">
        <f t="shared" si="7"/>
        <v>0</v>
      </c>
      <c r="J61" s="59">
        <f t="shared" si="7"/>
        <v>0</v>
      </c>
      <c r="K61" s="59">
        <f t="shared" si="7"/>
        <v>0</v>
      </c>
      <c r="L61" s="59">
        <f t="shared" si="7"/>
        <v>0</v>
      </c>
      <c r="M61" s="47">
        <f t="shared" si="7"/>
        <v>0</v>
      </c>
      <c r="N61" s="59">
        <f t="shared" si="7"/>
        <v>0</v>
      </c>
      <c r="O61" s="38">
        <f t="shared" si="7"/>
        <v>0</v>
      </c>
      <c r="R61" s="11">
        <v>58</v>
      </c>
      <c r="S61" s="12"/>
      <c r="T61" s="12"/>
      <c r="U61" s="12"/>
      <c r="W61" s="11">
        <v>58</v>
      </c>
      <c r="X61" s="12"/>
      <c r="Y61" s="12"/>
      <c r="Z61" s="12"/>
      <c r="AB61" s="11">
        <v>58</v>
      </c>
      <c r="AC61" s="12"/>
      <c r="AD61" s="12"/>
      <c r="AE61" s="12"/>
      <c r="AG61" s="11">
        <v>58</v>
      </c>
      <c r="AH61" s="12"/>
      <c r="AI61" s="12"/>
      <c r="AJ61" s="12"/>
      <c r="AL61" s="11">
        <v>58</v>
      </c>
      <c r="AM61" s="12"/>
      <c r="AN61" s="12"/>
      <c r="AO61" s="12"/>
      <c r="AQ61" s="11">
        <v>58</v>
      </c>
      <c r="AR61" s="12"/>
      <c r="AS61" s="12"/>
      <c r="AT61" s="11">
        <v>58</v>
      </c>
      <c r="AU61" s="12"/>
      <c r="AW61" s="11">
        <v>58</v>
      </c>
      <c r="AX61" s="12"/>
      <c r="AY61" s="12"/>
      <c r="AZ61" s="12"/>
      <c r="BA61" s="12"/>
      <c r="BB61" s="12"/>
      <c r="BC61" s="12"/>
      <c r="BD61" s="12"/>
      <c r="BE61" s="12"/>
      <c r="BF61" s="24"/>
      <c r="BG61" s="29"/>
      <c r="BH61" s="12"/>
      <c r="BI61" s="12"/>
      <c r="BK61" s="11">
        <v>58</v>
      </c>
      <c r="BL61" s="12"/>
      <c r="BM61" s="12"/>
      <c r="BN61" s="12"/>
      <c r="BP61" s="11">
        <v>58</v>
      </c>
      <c r="BQ61" s="12"/>
      <c r="BR61" s="12"/>
      <c r="BS61" s="12"/>
      <c r="BU61" s="11">
        <v>58</v>
      </c>
      <c r="BV61" s="12"/>
      <c r="BW61" s="12"/>
      <c r="BX61" s="12"/>
      <c r="BZ61" s="11">
        <v>58</v>
      </c>
      <c r="CA61" s="12"/>
      <c r="CC61" s="11">
        <v>58</v>
      </c>
      <c r="CD61" s="12"/>
    </row>
    <row r="62" spans="1:82">
      <c r="A62" s="20" t="s">
        <v>20</v>
      </c>
      <c r="B62" s="20">
        <v>5</v>
      </c>
      <c r="C62" s="23" t="s">
        <v>29</v>
      </c>
      <c r="D62" s="54">
        <f t="shared" si="7"/>
        <v>0</v>
      </c>
      <c r="E62" s="59">
        <f t="shared" si="7"/>
        <v>0</v>
      </c>
      <c r="F62" s="38">
        <f t="shared" si="7"/>
        <v>0</v>
      </c>
      <c r="G62" s="37">
        <f t="shared" si="7"/>
        <v>0</v>
      </c>
      <c r="H62" s="59">
        <f t="shared" si="7"/>
        <v>0</v>
      </c>
      <c r="I62" s="59">
        <f t="shared" si="7"/>
        <v>0</v>
      </c>
      <c r="J62" s="59">
        <f t="shared" si="7"/>
        <v>0</v>
      </c>
      <c r="K62" s="59">
        <f t="shared" si="7"/>
        <v>0</v>
      </c>
      <c r="L62" s="59">
        <f t="shared" si="7"/>
        <v>0</v>
      </c>
      <c r="M62" s="47">
        <f t="shared" si="7"/>
        <v>0</v>
      </c>
      <c r="N62" s="59">
        <f t="shared" si="7"/>
        <v>0</v>
      </c>
      <c r="O62" s="38">
        <f t="shared" si="7"/>
        <v>0</v>
      </c>
      <c r="R62" s="11">
        <v>59</v>
      </c>
      <c r="S62" s="12"/>
      <c r="T62" s="12"/>
      <c r="U62" s="12"/>
      <c r="W62" s="11">
        <v>59</v>
      </c>
      <c r="X62" s="12"/>
      <c r="Y62" s="12"/>
      <c r="Z62" s="12"/>
      <c r="AB62" s="11">
        <v>59</v>
      </c>
      <c r="AC62" s="12"/>
      <c r="AD62" s="12"/>
      <c r="AE62" s="12"/>
      <c r="AG62" s="11">
        <v>59</v>
      </c>
      <c r="AH62" s="12"/>
      <c r="AI62" s="12"/>
      <c r="AJ62" s="12"/>
      <c r="AL62" s="11">
        <v>59</v>
      </c>
      <c r="AM62" s="12"/>
      <c r="AN62" s="12"/>
      <c r="AO62" s="12"/>
      <c r="AQ62" s="11">
        <v>59</v>
      </c>
      <c r="AR62" s="12"/>
      <c r="AS62" s="12"/>
      <c r="AT62" s="11">
        <v>59</v>
      </c>
      <c r="AU62" s="12"/>
      <c r="AW62" s="11">
        <v>59</v>
      </c>
      <c r="AX62" s="12"/>
      <c r="AY62" s="12"/>
      <c r="AZ62" s="12"/>
      <c r="BA62" s="12"/>
      <c r="BB62" s="12"/>
      <c r="BC62" s="12"/>
      <c r="BD62" s="12"/>
      <c r="BE62" s="12"/>
      <c r="BF62" s="24"/>
      <c r="BG62" s="29"/>
      <c r="BH62" s="12"/>
      <c r="BI62" s="12"/>
      <c r="BK62" s="11">
        <v>59</v>
      </c>
      <c r="BL62" s="12"/>
      <c r="BM62" s="12"/>
      <c r="BN62" s="12"/>
      <c r="BP62" s="11">
        <v>59</v>
      </c>
      <c r="BQ62" s="12"/>
      <c r="BR62" s="12"/>
      <c r="BS62" s="12"/>
      <c r="BU62" s="11">
        <v>59</v>
      </c>
      <c r="BV62" s="12"/>
      <c r="BW62" s="12"/>
      <c r="BX62" s="12"/>
      <c r="BZ62" s="11">
        <v>59</v>
      </c>
      <c r="CA62" s="12"/>
      <c r="CC62" s="11">
        <v>59</v>
      </c>
      <c r="CD62" s="12"/>
    </row>
    <row r="63" spans="1:82">
      <c r="A63" s="21" t="s">
        <v>21</v>
      </c>
      <c r="B63" s="21">
        <v>6</v>
      </c>
      <c r="C63" s="23" t="s">
        <v>26</v>
      </c>
      <c r="D63" s="55">
        <f t="shared" si="7"/>
        <v>592</v>
      </c>
      <c r="E63" s="121">
        <f t="shared" si="7"/>
        <v>71</v>
      </c>
      <c r="F63" s="7">
        <f t="shared" si="7"/>
        <v>5521</v>
      </c>
      <c r="G63" s="6">
        <f t="shared" si="7"/>
        <v>383</v>
      </c>
      <c r="H63" s="121">
        <f t="shared" si="7"/>
        <v>25</v>
      </c>
      <c r="I63" s="121">
        <f t="shared" si="7"/>
        <v>196</v>
      </c>
      <c r="J63" s="121">
        <f t="shared" si="7"/>
        <v>1460</v>
      </c>
      <c r="K63" s="121">
        <f t="shared" si="7"/>
        <v>54</v>
      </c>
      <c r="L63" s="121">
        <f t="shared" si="7"/>
        <v>2934</v>
      </c>
      <c r="M63" s="48">
        <f t="shared" si="7"/>
        <v>2101</v>
      </c>
      <c r="N63" s="121">
        <f t="shared" si="7"/>
        <v>1378</v>
      </c>
      <c r="O63" s="7">
        <f t="shared" si="7"/>
        <v>1378</v>
      </c>
      <c r="R63" s="11">
        <v>60</v>
      </c>
      <c r="S63" s="12"/>
      <c r="T63" s="12"/>
      <c r="U63" s="12"/>
      <c r="W63" s="11">
        <v>60</v>
      </c>
      <c r="X63" s="12"/>
      <c r="Y63" s="12"/>
      <c r="Z63" s="12"/>
      <c r="AB63" s="11">
        <v>60</v>
      </c>
      <c r="AC63" s="12"/>
      <c r="AD63" s="12"/>
      <c r="AE63" s="12"/>
      <c r="AG63" s="11">
        <v>60</v>
      </c>
      <c r="AH63" s="12"/>
      <c r="AI63" s="12"/>
      <c r="AJ63" s="12"/>
      <c r="AL63" s="11">
        <v>60</v>
      </c>
      <c r="AM63" s="12"/>
      <c r="AN63" s="12"/>
      <c r="AO63" s="12"/>
      <c r="AQ63" s="11">
        <v>60</v>
      </c>
      <c r="AR63" s="13"/>
      <c r="AS63" s="13"/>
      <c r="AT63" s="11">
        <v>60</v>
      </c>
      <c r="AU63" s="12"/>
      <c r="AW63" s="11">
        <v>60</v>
      </c>
      <c r="AX63" s="12"/>
      <c r="AY63" s="12"/>
      <c r="AZ63" s="12"/>
      <c r="BA63" s="12"/>
      <c r="BB63" s="12"/>
      <c r="BC63" s="12"/>
      <c r="BD63" s="12"/>
      <c r="BE63" s="12"/>
      <c r="BF63" s="24"/>
      <c r="BG63" s="29"/>
      <c r="BH63" s="12"/>
      <c r="BI63" s="12"/>
      <c r="BK63" s="11">
        <v>60</v>
      </c>
      <c r="BL63" s="12"/>
      <c r="BM63" s="12"/>
      <c r="BN63" s="12"/>
      <c r="BP63" s="11">
        <v>60</v>
      </c>
      <c r="BQ63" s="12"/>
      <c r="BR63" s="12"/>
      <c r="BS63" s="12"/>
      <c r="BU63" s="11">
        <v>60</v>
      </c>
      <c r="BV63" s="12"/>
      <c r="BW63" s="12"/>
      <c r="BX63" s="12"/>
      <c r="BZ63" s="11">
        <v>60</v>
      </c>
      <c r="CA63" s="12"/>
      <c r="CC63" s="11">
        <v>60</v>
      </c>
      <c r="CD63" s="12"/>
    </row>
    <row r="64" spans="1:82">
      <c r="A64" s="20" t="s">
        <v>22</v>
      </c>
      <c r="B64" s="20">
        <v>7</v>
      </c>
      <c r="C64" s="5" t="s">
        <v>27</v>
      </c>
      <c r="D64" s="55">
        <f t="shared" si="7"/>
        <v>617</v>
      </c>
      <c r="E64" s="121">
        <f t="shared" si="7"/>
        <v>74</v>
      </c>
      <c r="F64" s="7">
        <f t="shared" si="7"/>
        <v>96</v>
      </c>
      <c r="G64" s="6">
        <f t="shared" si="7"/>
        <v>3510</v>
      </c>
      <c r="H64" s="121">
        <f t="shared" si="7"/>
        <v>2588</v>
      </c>
      <c r="I64" s="121">
        <f t="shared" si="7"/>
        <v>28</v>
      </c>
      <c r="J64" s="121">
        <f t="shared" si="7"/>
        <v>1464</v>
      </c>
      <c r="K64" s="121">
        <f t="shared" si="7"/>
        <v>55</v>
      </c>
      <c r="L64" s="121">
        <f t="shared" si="7"/>
        <v>119</v>
      </c>
      <c r="M64" s="48">
        <f t="shared" si="7"/>
        <v>1566</v>
      </c>
      <c r="N64" s="121">
        <f t="shared" si="7"/>
        <v>1450</v>
      </c>
      <c r="O64" s="7">
        <f t="shared" si="7"/>
        <v>1450</v>
      </c>
      <c r="R64" s="11">
        <v>61</v>
      </c>
      <c r="S64" s="12"/>
      <c r="T64" s="13"/>
      <c r="U64" s="12"/>
      <c r="W64" s="11">
        <v>61</v>
      </c>
      <c r="X64" s="12"/>
      <c r="Y64" s="13"/>
      <c r="Z64" s="12"/>
      <c r="AB64" s="11">
        <v>61</v>
      </c>
      <c r="AC64" s="12"/>
      <c r="AD64" s="12"/>
      <c r="AE64" s="12"/>
      <c r="AG64" s="11">
        <v>61</v>
      </c>
      <c r="AH64" s="12"/>
      <c r="AI64" s="12"/>
      <c r="AJ64" s="12"/>
      <c r="AL64" s="11">
        <v>61</v>
      </c>
      <c r="AM64" s="12"/>
      <c r="AN64" s="12"/>
      <c r="AO64" s="12"/>
      <c r="AQ64" s="11">
        <v>61</v>
      </c>
      <c r="AR64" s="13"/>
      <c r="AS64" s="13"/>
      <c r="AT64" s="11">
        <v>61</v>
      </c>
      <c r="AU64" s="12"/>
      <c r="AW64" s="11">
        <v>61</v>
      </c>
      <c r="AX64" s="12"/>
      <c r="AY64" s="12"/>
      <c r="AZ64" s="12"/>
      <c r="BA64" s="12"/>
      <c r="BB64" s="12"/>
      <c r="BC64" s="12"/>
      <c r="BD64" s="12"/>
      <c r="BE64" s="12"/>
      <c r="BF64" s="24"/>
      <c r="BG64" s="29"/>
      <c r="BH64" s="12"/>
      <c r="BI64" s="12"/>
      <c r="BK64" s="11">
        <v>61</v>
      </c>
      <c r="BL64" s="12"/>
      <c r="BM64" s="13"/>
      <c r="BN64" s="12"/>
      <c r="BP64" s="11">
        <v>61</v>
      </c>
      <c r="BQ64" s="12"/>
      <c r="BR64" s="13"/>
      <c r="BS64" s="12"/>
      <c r="BU64" s="11">
        <v>61</v>
      </c>
      <c r="BV64" s="12"/>
      <c r="BW64" s="12"/>
      <c r="BX64" s="12"/>
      <c r="BZ64" s="11">
        <v>61</v>
      </c>
      <c r="CA64" s="12"/>
      <c r="CC64" s="11">
        <v>61</v>
      </c>
      <c r="CD64" s="12"/>
    </row>
    <row r="65" spans="1:82">
      <c r="A65" s="20" t="s">
        <v>23</v>
      </c>
      <c r="B65" s="20">
        <v>8</v>
      </c>
      <c r="C65" s="5" t="s">
        <v>28</v>
      </c>
      <c r="D65" s="55">
        <f t="shared" si="7"/>
        <v>600</v>
      </c>
      <c r="E65" s="121">
        <f t="shared" si="7"/>
        <v>8439</v>
      </c>
      <c r="F65" s="7">
        <f t="shared" si="7"/>
        <v>1834</v>
      </c>
      <c r="G65" s="6">
        <f t="shared" si="7"/>
        <v>635</v>
      </c>
      <c r="H65" s="121">
        <f t="shared" si="7"/>
        <v>226</v>
      </c>
      <c r="I65" s="121">
        <f t="shared" si="7"/>
        <v>583</v>
      </c>
      <c r="J65" s="121">
        <f t="shared" si="7"/>
        <v>475</v>
      </c>
      <c r="K65" s="121">
        <f t="shared" si="7"/>
        <v>158</v>
      </c>
      <c r="L65" s="121">
        <f t="shared" si="7"/>
        <v>568</v>
      </c>
      <c r="M65" s="48">
        <f t="shared" si="7"/>
        <v>43</v>
      </c>
      <c r="N65" s="121">
        <f t="shared" si="7"/>
        <v>1186</v>
      </c>
      <c r="O65" s="7">
        <f t="shared" si="7"/>
        <v>1186</v>
      </c>
      <c r="R65" s="11">
        <v>62</v>
      </c>
      <c r="S65" s="12"/>
      <c r="T65" s="13"/>
      <c r="U65" s="12"/>
      <c r="W65" s="11">
        <v>62</v>
      </c>
      <c r="X65" s="12"/>
      <c r="Y65" s="13"/>
      <c r="Z65" s="12"/>
      <c r="AB65" s="11">
        <v>62</v>
      </c>
      <c r="AC65" s="12"/>
      <c r="AD65" s="12"/>
      <c r="AE65" s="12"/>
      <c r="AG65" s="11">
        <v>62</v>
      </c>
      <c r="AH65" s="12"/>
      <c r="AI65" s="12"/>
      <c r="AJ65" s="12"/>
      <c r="AL65" s="11">
        <v>62</v>
      </c>
      <c r="AM65" s="12"/>
      <c r="AN65" s="12"/>
      <c r="AO65" s="12"/>
      <c r="AQ65" s="11">
        <v>62</v>
      </c>
      <c r="AR65" s="13"/>
      <c r="AS65" s="13"/>
      <c r="AT65" s="11">
        <v>62</v>
      </c>
      <c r="AU65" s="12"/>
      <c r="AW65" s="11">
        <v>62</v>
      </c>
      <c r="AX65" s="12"/>
      <c r="AY65" s="12"/>
      <c r="AZ65" s="12"/>
      <c r="BA65" s="12"/>
      <c r="BB65" s="12"/>
      <c r="BC65" s="12"/>
      <c r="BD65" s="12"/>
      <c r="BE65" s="12"/>
      <c r="BF65" s="24"/>
      <c r="BG65" s="29"/>
      <c r="BH65" s="12"/>
      <c r="BI65" s="12"/>
      <c r="BK65" s="11">
        <v>62</v>
      </c>
      <c r="BL65" s="12"/>
      <c r="BM65" s="13"/>
      <c r="BN65" s="12"/>
      <c r="BP65" s="11">
        <v>62</v>
      </c>
      <c r="BQ65" s="12"/>
      <c r="BR65" s="13"/>
      <c r="BS65" s="12"/>
      <c r="BU65" s="11">
        <v>62</v>
      </c>
      <c r="BV65" s="12"/>
      <c r="BW65" s="12"/>
      <c r="BX65" s="12"/>
      <c r="BZ65" s="11">
        <v>62</v>
      </c>
      <c r="CA65" s="12"/>
      <c r="CC65" s="11">
        <v>62</v>
      </c>
      <c r="CD65" s="12"/>
    </row>
    <row r="66" spans="1:82">
      <c r="A66" s="20" t="s">
        <v>24</v>
      </c>
      <c r="B66" s="20">
        <v>9</v>
      </c>
      <c r="C66" s="5" t="s">
        <v>16</v>
      </c>
      <c r="D66" s="55">
        <f t="shared" si="7"/>
        <v>59</v>
      </c>
      <c r="E66" s="121">
        <f t="shared" si="7"/>
        <v>180</v>
      </c>
      <c r="F66" s="7">
        <f t="shared" si="7"/>
        <v>545</v>
      </c>
      <c r="G66" s="6">
        <f t="shared" si="7"/>
        <v>365</v>
      </c>
      <c r="H66" s="121">
        <f t="shared" si="7"/>
        <v>8</v>
      </c>
      <c r="I66" s="121">
        <f t="shared" si="7"/>
        <v>204</v>
      </c>
      <c r="J66" s="121">
        <f t="shared" si="7"/>
        <v>507</v>
      </c>
      <c r="K66" s="121">
        <f t="shared" si="7"/>
        <v>18</v>
      </c>
      <c r="L66" s="121">
        <f t="shared" si="7"/>
        <v>857</v>
      </c>
      <c r="M66" s="48">
        <f t="shared" si="7"/>
        <v>2273</v>
      </c>
      <c r="N66" s="121">
        <f t="shared" si="7"/>
        <v>452</v>
      </c>
      <c r="O66" s="7">
        <f t="shared" si="7"/>
        <v>452</v>
      </c>
      <c r="R66" s="11">
        <v>63</v>
      </c>
      <c r="S66" s="12"/>
      <c r="T66" s="13"/>
      <c r="U66" s="13"/>
      <c r="W66" s="11">
        <v>63</v>
      </c>
      <c r="X66" s="12"/>
      <c r="Y66" s="13"/>
      <c r="Z66" s="13"/>
      <c r="AB66" s="11">
        <v>63</v>
      </c>
      <c r="AC66" s="12"/>
      <c r="AD66" s="12"/>
      <c r="AE66" s="12"/>
      <c r="AG66" s="11">
        <v>63</v>
      </c>
      <c r="AH66" s="12"/>
      <c r="AI66" s="12"/>
      <c r="AJ66" s="12"/>
      <c r="AL66" s="11">
        <v>63</v>
      </c>
      <c r="AM66" s="12"/>
      <c r="AN66" s="12"/>
      <c r="AO66" s="12"/>
      <c r="AQ66" s="11">
        <v>63</v>
      </c>
      <c r="AR66" s="13"/>
      <c r="AS66" s="13"/>
      <c r="AT66" s="11">
        <v>63</v>
      </c>
      <c r="AU66" s="13"/>
      <c r="AW66" s="11">
        <v>63</v>
      </c>
      <c r="AX66" s="12"/>
      <c r="AY66" s="12"/>
      <c r="AZ66" s="12"/>
      <c r="BA66" s="12"/>
      <c r="BB66" s="12"/>
      <c r="BC66" s="12"/>
      <c r="BD66" s="12"/>
      <c r="BE66" s="12"/>
      <c r="BF66" s="24"/>
      <c r="BG66" s="29"/>
      <c r="BH66" s="12"/>
      <c r="BI66" s="12"/>
      <c r="BK66" s="11">
        <v>63</v>
      </c>
      <c r="BL66" s="12"/>
      <c r="BM66" s="13"/>
      <c r="BN66" s="13"/>
      <c r="BP66" s="11">
        <v>63</v>
      </c>
      <c r="BQ66" s="12"/>
      <c r="BR66" s="13"/>
      <c r="BS66" s="13"/>
      <c r="BU66" s="11">
        <v>63</v>
      </c>
      <c r="BV66" s="12"/>
      <c r="BW66" s="12"/>
      <c r="BX66" s="12"/>
      <c r="BZ66" s="11">
        <v>63</v>
      </c>
      <c r="CA66" s="12"/>
      <c r="CC66" s="11">
        <v>63</v>
      </c>
      <c r="CD66" s="12"/>
    </row>
    <row r="67" spans="1:82">
      <c r="A67" s="21" t="s">
        <v>35</v>
      </c>
      <c r="B67" s="21">
        <v>10</v>
      </c>
      <c r="C67" s="5" t="s">
        <v>37</v>
      </c>
      <c r="D67" s="55">
        <f t="shared" si="7"/>
        <v>47</v>
      </c>
      <c r="E67" s="121">
        <f t="shared" si="7"/>
        <v>785</v>
      </c>
      <c r="F67" s="7">
        <f t="shared" si="7"/>
        <v>1612</v>
      </c>
      <c r="G67" s="6">
        <f t="shared" si="7"/>
        <v>905</v>
      </c>
      <c r="H67" s="121">
        <f t="shared" si="7"/>
        <v>226</v>
      </c>
      <c r="I67" s="121">
        <f t="shared" si="7"/>
        <v>130</v>
      </c>
      <c r="J67" s="121">
        <f t="shared" si="7"/>
        <v>810</v>
      </c>
      <c r="K67" s="121">
        <f t="shared" si="7"/>
        <v>573</v>
      </c>
      <c r="L67" s="121">
        <f t="shared" si="7"/>
        <v>383</v>
      </c>
      <c r="M67" s="48">
        <f t="shared" si="7"/>
        <v>1229</v>
      </c>
      <c r="N67" s="121">
        <f t="shared" si="7"/>
        <v>678</v>
      </c>
      <c r="O67" s="7">
        <f t="shared" si="7"/>
        <v>678</v>
      </c>
      <c r="R67" s="11">
        <v>64</v>
      </c>
      <c r="S67" s="12"/>
      <c r="T67" s="13"/>
      <c r="U67" s="13"/>
      <c r="W67" s="11">
        <v>64</v>
      </c>
      <c r="X67" s="12"/>
      <c r="Y67" s="13"/>
      <c r="Z67" s="13"/>
      <c r="AB67" s="11">
        <v>64</v>
      </c>
      <c r="AC67" s="12"/>
      <c r="AD67" s="12"/>
      <c r="AE67" s="12"/>
      <c r="AG67" s="11">
        <v>64</v>
      </c>
      <c r="AH67" s="12"/>
      <c r="AI67" s="12"/>
      <c r="AJ67" s="12"/>
      <c r="AL67" s="11">
        <v>64</v>
      </c>
      <c r="AM67" s="12"/>
      <c r="AN67" s="12"/>
      <c r="AO67" s="12"/>
      <c r="AQ67" s="11">
        <v>64</v>
      </c>
      <c r="AR67" s="13"/>
      <c r="AS67" s="13"/>
      <c r="AT67" s="11">
        <v>64</v>
      </c>
      <c r="AU67" s="13"/>
      <c r="AW67" s="11">
        <v>64</v>
      </c>
      <c r="AX67" s="12"/>
      <c r="AY67" s="12"/>
      <c r="AZ67" s="12"/>
      <c r="BA67" s="12"/>
      <c r="BB67" s="12"/>
      <c r="BC67" s="12"/>
      <c r="BD67" s="12"/>
      <c r="BE67" s="12"/>
      <c r="BF67" s="24"/>
      <c r="BG67" s="29"/>
      <c r="BH67" s="12"/>
      <c r="BI67" s="12"/>
      <c r="BK67" s="11">
        <v>64</v>
      </c>
      <c r="BL67" s="12"/>
      <c r="BM67" s="13"/>
      <c r="BN67" s="13"/>
      <c r="BP67" s="11">
        <v>64</v>
      </c>
      <c r="BQ67" s="12"/>
      <c r="BR67" s="13"/>
      <c r="BS67" s="13"/>
      <c r="BU67" s="11">
        <v>64</v>
      </c>
      <c r="BV67" s="12"/>
      <c r="BW67" s="12"/>
      <c r="BX67" s="12"/>
      <c r="BZ67" s="11">
        <v>64</v>
      </c>
      <c r="CA67" s="12"/>
      <c r="CC67" s="11">
        <v>64</v>
      </c>
      <c r="CD67" s="12"/>
    </row>
    <row r="68" spans="1:82" ht="16.8" thickBot="1">
      <c r="A68" s="22" t="s">
        <v>39</v>
      </c>
      <c r="B68" s="22">
        <v>11</v>
      </c>
      <c r="C68" s="17" t="s">
        <v>38</v>
      </c>
      <c r="D68" s="56">
        <f t="shared" si="7"/>
        <v>0</v>
      </c>
      <c r="E68" s="50">
        <f t="shared" si="7"/>
        <v>0</v>
      </c>
      <c r="F68" s="57">
        <f t="shared" si="7"/>
        <v>0</v>
      </c>
      <c r="G68" s="49">
        <f t="shared" si="7"/>
        <v>0</v>
      </c>
      <c r="H68" s="50">
        <f t="shared" si="7"/>
        <v>0</v>
      </c>
      <c r="I68" s="50">
        <f t="shared" si="7"/>
        <v>0</v>
      </c>
      <c r="J68" s="50">
        <f t="shared" si="7"/>
        <v>0</v>
      </c>
      <c r="K68" s="50">
        <f t="shared" si="7"/>
        <v>0</v>
      </c>
      <c r="L68" s="50">
        <f t="shared" si="7"/>
        <v>0</v>
      </c>
      <c r="M68" s="51">
        <f t="shared" si="7"/>
        <v>0</v>
      </c>
      <c r="N68" s="39">
        <f t="shared" si="7"/>
        <v>0</v>
      </c>
      <c r="O68" s="40">
        <f t="shared" si="7"/>
        <v>0</v>
      </c>
      <c r="R68" s="11">
        <v>65</v>
      </c>
      <c r="S68" s="12"/>
      <c r="T68" s="13"/>
      <c r="U68" s="13"/>
      <c r="W68" s="11">
        <v>65</v>
      </c>
      <c r="X68" s="12"/>
      <c r="Y68" s="13"/>
      <c r="Z68" s="13"/>
      <c r="AB68" s="11">
        <v>65</v>
      </c>
      <c r="AC68" s="12"/>
      <c r="AD68" s="12"/>
      <c r="AE68" s="12"/>
      <c r="AG68" s="11">
        <v>65</v>
      </c>
      <c r="AH68" s="12"/>
      <c r="AI68" s="12"/>
      <c r="AJ68" s="12"/>
      <c r="AL68" s="11">
        <v>65</v>
      </c>
      <c r="AM68" s="12"/>
      <c r="AN68" s="12"/>
      <c r="AO68" s="12"/>
      <c r="AQ68" s="11">
        <v>65</v>
      </c>
      <c r="AR68" s="13"/>
      <c r="AS68" s="13"/>
      <c r="AT68" s="11">
        <v>65</v>
      </c>
      <c r="AU68" s="13"/>
      <c r="AW68" s="11">
        <v>65</v>
      </c>
      <c r="AX68" s="12"/>
      <c r="AY68" s="12"/>
      <c r="AZ68" s="12"/>
      <c r="BA68" s="12"/>
      <c r="BB68" s="12"/>
      <c r="BC68" s="12"/>
      <c r="BD68" s="12"/>
      <c r="BE68" s="12"/>
      <c r="BF68" s="24"/>
      <c r="BG68" s="29"/>
      <c r="BH68" s="12"/>
      <c r="BI68" s="12"/>
      <c r="BK68" s="11">
        <v>65</v>
      </c>
      <c r="BL68" s="12"/>
      <c r="BM68" s="13"/>
      <c r="BN68" s="13"/>
      <c r="BP68" s="11">
        <v>65</v>
      </c>
      <c r="BQ68" s="12"/>
      <c r="BR68" s="13"/>
      <c r="BS68" s="13"/>
      <c r="BU68" s="11">
        <v>65</v>
      </c>
      <c r="BV68" s="12"/>
      <c r="BW68" s="12"/>
      <c r="BX68" s="12"/>
      <c r="BZ68" s="11">
        <v>65</v>
      </c>
      <c r="CA68" s="12"/>
      <c r="CC68" s="11">
        <v>65</v>
      </c>
      <c r="CD68" s="12"/>
    </row>
    <row r="69" spans="1:82">
      <c r="D69" s="121">
        <f>SUM(D57:D68)</f>
        <v>10001</v>
      </c>
      <c r="E69" s="121">
        <f t="shared" ref="E69:O69" si="8">SUM(E57:E68)</f>
        <v>9999</v>
      </c>
      <c r="F69" s="121">
        <f t="shared" si="8"/>
        <v>10001</v>
      </c>
      <c r="G69" s="121">
        <f t="shared" si="8"/>
        <v>10000</v>
      </c>
      <c r="H69" s="121">
        <f t="shared" si="8"/>
        <v>10000</v>
      </c>
      <c r="I69" s="121">
        <f t="shared" si="8"/>
        <v>10000</v>
      </c>
      <c r="J69" s="121">
        <f t="shared" si="8"/>
        <v>10000</v>
      </c>
      <c r="K69" s="121">
        <f t="shared" si="8"/>
        <v>10000</v>
      </c>
      <c r="L69" s="121">
        <f t="shared" si="8"/>
        <v>10000</v>
      </c>
      <c r="M69" s="121">
        <f t="shared" si="8"/>
        <v>10001</v>
      </c>
      <c r="N69" s="121">
        <f t="shared" si="8"/>
        <v>10000</v>
      </c>
      <c r="O69" s="121">
        <f t="shared" si="8"/>
        <v>10000</v>
      </c>
      <c r="R69" s="11">
        <v>66</v>
      </c>
      <c r="S69" s="12"/>
      <c r="T69" s="13"/>
      <c r="U69" s="13"/>
      <c r="W69" s="11">
        <v>66</v>
      </c>
      <c r="X69" s="12"/>
      <c r="Y69" s="13"/>
      <c r="Z69" s="13"/>
      <c r="AB69" s="11">
        <v>66</v>
      </c>
      <c r="AC69" s="12"/>
      <c r="AD69" s="12"/>
      <c r="AE69" s="12"/>
      <c r="AG69" s="11">
        <v>66</v>
      </c>
      <c r="AH69" s="12"/>
      <c r="AI69" s="12"/>
      <c r="AJ69" s="12"/>
      <c r="AL69" s="11">
        <v>66</v>
      </c>
      <c r="AM69" s="12"/>
      <c r="AN69" s="12"/>
      <c r="AO69" s="12"/>
      <c r="AQ69" s="11">
        <v>66</v>
      </c>
      <c r="AR69" s="13"/>
      <c r="AS69" s="13"/>
      <c r="AT69" s="11">
        <v>66</v>
      </c>
      <c r="AU69" s="13"/>
      <c r="AW69" s="11">
        <v>66</v>
      </c>
      <c r="AX69" s="12"/>
      <c r="AY69" s="12"/>
      <c r="AZ69" s="12"/>
      <c r="BA69" s="12"/>
      <c r="BB69" s="12"/>
      <c r="BC69" s="12"/>
      <c r="BD69" s="12"/>
      <c r="BE69" s="12"/>
      <c r="BF69" s="24"/>
      <c r="BG69" s="29"/>
      <c r="BH69" s="12"/>
      <c r="BI69" s="12"/>
      <c r="BK69" s="11">
        <v>66</v>
      </c>
      <c r="BL69" s="12"/>
      <c r="BM69" s="13"/>
      <c r="BN69" s="13"/>
      <c r="BP69" s="11">
        <v>66</v>
      </c>
      <c r="BQ69" s="12"/>
      <c r="BR69" s="13"/>
      <c r="BS69" s="13"/>
      <c r="BU69" s="11">
        <v>66</v>
      </c>
      <c r="BV69" s="12"/>
      <c r="BW69" s="12"/>
      <c r="BX69" s="12"/>
      <c r="BZ69" s="11">
        <v>66</v>
      </c>
      <c r="CA69" s="12"/>
      <c r="CC69" s="11">
        <v>66</v>
      </c>
      <c r="CD69" s="12"/>
    </row>
    <row r="70" spans="1:82">
      <c r="D70" s="186">
        <f>D67/D69</f>
        <v>4.6995300469953004E-3</v>
      </c>
      <c r="E70" s="186">
        <f t="shared" ref="E70:O70" si="9">E67/E69</f>
        <v>7.8507850785078506E-2</v>
      </c>
      <c r="F70" s="186">
        <f t="shared" si="9"/>
        <v>0.1611838816118388</v>
      </c>
      <c r="G70" s="186">
        <f t="shared" si="9"/>
        <v>9.0499999999999997E-2</v>
      </c>
      <c r="H70" s="186">
        <f t="shared" si="9"/>
        <v>2.2599999999999999E-2</v>
      </c>
      <c r="I70" s="186">
        <f t="shared" si="9"/>
        <v>1.2999999999999999E-2</v>
      </c>
      <c r="J70" s="186">
        <f t="shared" si="9"/>
        <v>8.1000000000000003E-2</v>
      </c>
      <c r="K70" s="186">
        <f t="shared" si="9"/>
        <v>5.7299999999999997E-2</v>
      </c>
      <c r="L70" s="186">
        <f t="shared" si="9"/>
        <v>3.8300000000000001E-2</v>
      </c>
      <c r="M70" s="186">
        <f t="shared" si="9"/>
        <v>0.12288771122887711</v>
      </c>
      <c r="N70" s="186">
        <f t="shared" si="9"/>
        <v>6.7799999999999999E-2</v>
      </c>
      <c r="O70" s="186">
        <f t="shared" si="9"/>
        <v>6.7799999999999999E-2</v>
      </c>
      <c r="R70" s="11">
        <v>67</v>
      </c>
      <c r="S70" s="12"/>
      <c r="T70" s="13"/>
      <c r="U70" s="13"/>
      <c r="W70" s="11">
        <v>67</v>
      </c>
      <c r="X70" s="12"/>
      <c r="Y70" s="13"/>
      <c r="Z70" s="13"/>
      <c r="AB70" s="11">
        <v>67</v>
      </c>
      <c r="AC70" s="12"/>
      <c r="AD70" s="12"/>
      <c r="AE70" s="12"/>
      <c r="AG70" s="11">
        <v>67</v>
      </c>
      <c r="AH70" s="12"/>
      <c r="AI70" s="12"/>
      <c r="AJ70" s="12"/>
      <c r="AL70" s="11">
        <v>67</v>
      </c>
      <c r="AM70" s="12"/>
      <c r="AN70" s="12"/>
      <c r="AO70" s="12"/>
      <c r="AQ70" s="11">
        <v>67</v>
      </c>
      <c r="AR70" s="13"/>
      <c r="AS70" s="13"/>
      <c r="AT70" s="11">
        <v>67</v>
      </c>
      <c r="AU70" s="13"/>
      <c r="AW70" s="11">
        <v>67</v>
      </c>
      <c r="AX70" s="12"/>
      <c r="AY70" s="12"/>
      <c r="AZ70" s="12"/>
      <c r="BA70" s="12"/>
      <c r="BB70" s="12"/>
      <c r="BC70" s="12"/>
      <c r="BD70" s="12"/>
      <c r="BE70" s="12"/>
      <c r="BF70" s="24"/>
      <c r="BG70" s="29"/>
      <c r="BH70" s="12"/>
      <c r="BI70" s="12"/>
      <c r="BK70" s="11">
        <v>67</v>
      </c>
      <c r="BL70" s="12"/>
      <c r="BM70" s="13"/>
      <c r="BN70" s="13"/>
      <c r="BP70" s="11">
        <v>67</v>
      </c>
      <c r="BQ70" s="12"/>
      <c r="BR70" s="13"/>
      <c r="BS70" s="13"/>
      <c r="BU70" s="11">
        <v>67</v>
      </c>
      <c r="BV70" s="12"/>
      <c r="BW70" s="12"/>
      <c r="BX70" s="12"/>
      <c r="BZ70" s="11">
        <v>67</v>
      </c>
      <c r="CA70" s="12"/>
      <c r="CC70" s="11">
        <v>67</v>
      </c>
      <c r="CD70" s="12"/>
    </row>
    <row r="71" spans="1:82">
      <c r="A71" s="31" t="s">
        <v>42</v>
      </c>
      <c r="R71" s="11">
        <v>68</v>
      </c>
      <c r="S71" s="12"/>
      <c r="T71" s="13"/>
      <c r="U71" s="13"/>
      <c r="W71" s="11">
        <v>68</v>
      </c>
      <c r="X71" s="12"/>
      <c r="Y71" s="13"/>
      <c r="Z71" s="13"/>
      <c r="AB71" s="11">
        <v>68</v>
      </c>
      <c r="AC71" s="12"/>
      <c r="AD71" s="12"/>
      <c r="AE71" s="12"/>
      <c r="AG71" s="11">
        <v>68</v>
      </c>
      <c r="AH71" s="12"/>
      <c r="AI71" s="12"/>
      <c r="AJ71" s="12"/>
      <c r="AL71" s="11">
        <v>68</v>
      </c>
      <c r="AM71" s="12"/>
      <c r="AN71" s="12"/>
      <c r="AO71" s="12"/>
      <c r="AQ71" s="11">
        <v>68</v>
      </c>
      <c r="AR71" s="13"/>
      <c r="AS71" s="13"/>
      <c r="AT71" s="11">
        <v>68</v>
      </c>
      <c r="AU71" s="13"/>
      <c r="AW71" s="11">
        <v>68</v>
      </c>
      <c r="AX71" s="12"/>
      <c r="AY71" s="12"/>
      <c r="AZ71" s="12"/>
      <c r="BA71" s="12"/>
      <c r="BB71" s="12"/>
      <c r="BC71" s="12"/>
      <c r="BD71" s="12"/>
      <c r="BE71" s="12"/>
      <c r="BF71" s="24"/>
      <c r="BG71" s="29"/>
      <c r="BH71" s="12"/>
      <c r="BI71" s="12"/>
      <c r="BK71" s="11">
        <v>68</v>
      </c>
      <c r="BL71" s="12"/>
      <c r="BM71" s="13"/>
      <c r="BN71" s="13"/>
      <c r="BP71" s="11">
        <v>68</v>
      </c>
      <c r="BQ71" s="12"/>
      <c r="BR71" s="13"/>
      <c r="BS71" s="13"/>
      <c r="BU71" s="11">
        <v>68</v>
      </c>
      <c r="BV71" s="12"/>
      <c r="BW71" s="12"/>
      <c r="BX71" s="12"/>
      <c r="BZ71" s="11">
        <v>68</v>
      </c>
      <c r="CA71" s="12"/>
      <c r="CC71" s="11">
        <v>68</v>
      </c>
      <c r="CD71" s="12"/>
    </row>
    <row r="72" spans="1:82">
      <c r="A72" s="30" t="s">
        <v>42</v>
      </c>
      <c r="B72" s="1" t="s">
        <v>86</v>
      </c>
      <c r="C72" s="2" t="s">
        <v>114</v>
      </c>
      <c r="D72" s="3" t="s">
        <v>80</v>
      </c>
      <c r="E72" s="122" t="s">
        <v>1</v>
      </c>
      <c r="F72" s="4" t="s">
        <v>2</v>
      </c>
      <c r="R72" s="11">
        <v>69</v>
      </c>
      <c r="S72" s="12"/>
      <c r="T72" s="13"/>
      <c r="U72" s="13"/>
      <c r="W72" s="11">
        <v>69</v>
      </c>
      <c r="X72" s="12"/>
      <c r="Y72" s="13"/>
      <c r="Z72" s="13"/>
      <c r="AB72" s="11">
        <v>69</v>
      </c>
      <c r="AC72" s="12"/>
      <c r="AD72" s="12"/>
      <c r="AE72" s="12"/>
      <c r="AG72" s="11">
        <v>69</v>
      </c>
      <c r="AH72" s="12"/>
      <c r="AI72" s="12"/>
      <c r="AJ72" s="12"/>
      <c r="AL72" s="11">
        <v>69</v>
      </c>
      <c r="AM72" s="12"/>
      <c r="AN72" s="12"/>
      <c r="AO72" s="12"/>
      <c r="AQ72" s="11">
        <v>69</v>
      </c>
      <c r="AR72" s="13"/>
      <c r="AS72" s="13"/>
      <c r="AT72" s="11">
        <v>69</v>
      </c>
      <c r="AU72" s="13"/>
      <c r="AW72" s="11">
        <v>69</v>
      </c>
      <c r="AX72" s="12"/>
      <c r="AY72" s="12"/>
      <c r="AZ72" s="12"/>
      <c r="BA72" s="12"/>
      <c r="BB72" s="12"/>
      <c r="BC72" s="12"/>
      <c r="BD72" s="12"/>
      <c r="BE72" s="12"/>
      <c r="BF72" s="24"/>
      <c r="BG72" s="29"/>
      <c r="BH72" s="12"/>
      <c r="BI72" s="12"/>
      <c r="BK72" s="11">
        <v>69</v>
      </c>
      <c r="BL72" s="12"/>
      <c r="BM72" s="13"/>
      <c r="BN72" s="13"/>
      <c r="BP72" s="11">
        <v>69</v>
      </c>
      <c r="BQ72" s="12"/>
      <c r="BR72" s="13"/>
      <c r="BS72" s="13"/>
      <c r="BU72" s="11">
        <v>69</v>
      </c>
      <c r="BV72" s="12"/>
      <c r="BW72" s="12"/>
      <c r="BX72" s="12"/>
      <c r="BZ72" s="11">
        <v>69</v>
      </c>
      <c r="CA72" s="12"/>
      <c r="CC72" s="11">
        <v>69</v>
      </c>
      <c r="CD72" s="12"/>
    </row>
    <row r="73" spans="1:82">
      <c r="A73" s="1" t="s">
        <v>19</v>
      </c>
      <c r="B73" s="1">
        <v>0</v>
      </c>
      <c r="C73" s="3" t="s">
        <v>25</v>
      </c>
      <c r="D73" s="3">
        <f>SUMIF(BL$3:BL$38,$A73,BV$3:BV$38)</f>
        <v>79</v>
      </c>
      <c r="E73" s="122">
        <f t="shared" ref="E73:F84" si="10">SUMIF(BM$3:BM$38,$A73,BW$3:BW$38)</f>
        <v>709</v>
      </c>
      <c r="F73" s="4">
        <f t="shared" si="10"/>
        <v>1024</v>
      </c>
      <c r="R73" s="11">
        <v>70</v>
      </c>
      <c r="S73" s="12"/>
      <c r="T73" s="13"/>
      <c r="U73" s="13"/>
      <c r="W73" s="11">
        <v>70</v>
      </c>
      <c r="X73" s="12"/>
      <c r="Y73" s="13"/>
      <c r="Z73" s="13"/>
      <c r="AB73" s="11">
        <v>70</v>
      </c>
      <c r="AC73" s="12"/>
      <c r="AD73" s="12"/>
      <c r="AE73" s="12"/>
      <c r="AG73" s="11">
        <v>70</v>
      </c>
      <c r="AH73" s="12"/>
      <c r="AI73" s="12"/>
      <c r="AJ73" s="12"/>
      <c r="AL73" s="11">
        <v>70</v>
      </c>
      <c r="AM73" s="12"/>
      <c r="AN73" s="12"/>
      <c r="AO73" s="12"/>
      <c r="AQ73" s="11">
        <v>70</v>
      </c>
      <c r="AR73" s="13"/>
      <c r="AS73" s="13"/>
      <c r="AT73" s="11">
        <v>70</v>
      </c>
      <c r="AU73" s="13"/>
      <c r="AW73" s="11">
        <v>70</v>
      </c>
      <c r="AX73" s="12"/>
      <c r="AY73" s="12"/>
      <c r="AZ73" s="12"/>
      <c r="BA73" s="12"/>
      <c r="BB73" s="12"/>
      <c r="BC73" s="12"/>
      <c r="BD73" s="12"/>
      <c r="BE73" s="12"/>
      <c r="BF73" s="24"/>
      <c r="BG73" s="29"/>
      <c r="BH73" s="12"/>
      <c r="BI73" s="12"/>
      <c r="BK73" s="11">
        <v>70</v>
      </c>
      <c r="BL73" s="12"/>
      <c r="BM73" s="13"/>
      <c r="BN73" s="13"/>
      <c r="BP73" s="11">
        <v>70</v>
      </c>
      <c r="BQ73" s="12"/>
      <c r="BR73" s="13"/>
      <c r="BS73" s="13"/>
      <c r="BU73" s="11">
        <v>70</v>
      </c>
      <c r="BV73" s="12"/>
      <c r="BW73" s="12"/>
      <c r="BX73" s="12"/>
      <c r="BZ73" s="11">
        <v>70</v>
      </c>
      <c r="CA73" s="12"/>
      <c r="CC73" s="11">
        <v>70</v>
      </c>
      <c r="CD73" s="12"/>
    </row>
    <row r="74" spans="1:82">
      <c r="A74" s="20">
        <v>0</v>
      </c>
      <c r="B74" s="20">
        <v>1</v>
      </c>
      <c r="C74" s="5">
        <v>0</v>
      </c>
      <c r="D74" s="37">
        <f t="shared" ref="D74:D84" si="11">SUMIF(BL$3:BL$38,$A74,BV$3:BV$38)</f>
        <v>0</v>
      </c>
      <c r="E74" s="121">
        <f t="shared" si="10"/>
        <v>3150</v>
      </c>
      <c r="F74" s="7">
        <f t="shared" si="10"/>
        <v>4803</v>
      </c>
      <c r="R74" s="11">
        <v>71</v>
      </c>
      <c r="S74" s="12"/>
      <c r="T74" s="13"/>
      <c r="U74" s="13"/>
      <c r="W74" s="11">
        <v>71</v>
      </c>
      <c r="X74" s="12"/>
      <c r="Y74" s="13"/>
      <c r="Z74" s="13"/>
      <c r="AB74" s="11">
        <v>71</v>
      </c>
      <c r="AC74" s="12"/>
      <c r="AD74" s="12"/>
      <c r="AE74" s="12"/>
      <c r="AG74" s="11">
        <v>71</v>
      </c>
      <c r="AH74" s="12"/>
      <c r="AI74" s="12"/>
      <c r="AJ74" s="12"/>
      <c r="AL74" s="11">
        <v>71</v>
      </c>
      <c r="AM74" s="12"/>
      <c r="AN74" s="12"/>
      <c r="AO74" s="12"/>
      <c r="AQ74" s="11">
        <v>71</v>
      </c>
      <c r="AR74" s="13"/>
      <c r="AS74" s="13"/>
      <c r="AT74" s="11">
        <v>71</v>
      </c>
      <c r="AU74" s="13"/>
      <c r="AW74" s="11">
        <v>71</v>
      </c>
      <c r="AX74" s="12"/>
      <c r="AY74" s="12"/>
      <c r="AZ74" s="12"/>
      <c r="BA74" s="12"/>
      <c r="BB74" s="12"/>
      <c r="BC74" s="12"/>
      <c r="BD74" s="12"/>
      <c r="BE74" s="12"/>
      <c r="BF74" s="24"/>
      <c r="BG74" s="29"/>
      <c r="BH74" s="12"/>
      <c r="BI74" s="12"/>
      <c r="BK74" s="11">
        <v>71</v>
      </c>
      <c r="BL74" s="12"/>
      <c r="BM74" s="13"/>
      <c r="BN74" s="13"/>
      <c r="BP74" s="11">
        <v>71</v>
      </c>
      <c r="BQ74" s="12"/>
      <c r="BR74" s="13"/>
      <c r="BS74" s="13"/>
      <c r="BU74" s="11">
        <v>71</v>
      </c>
      <c r="BV74" s="12"/>
      <c r="BW74" s="12"/>
      <c r="BX74" s="12"/>
      <c r="BZ74" s="11">
        <v>71</v>
      </c>
      <c r="CA74" s="12"/>
      <c r="CC74" s="11">
        <v>71</v>
      </c>
      <c r="CD74" s="12"/>
    </row>
    <row r="75" spans="1:82">
      <c r="A75" s="20">
        <v>1</v>
      </c>
      <c r="B75" s="20">
        <v>2</v>
      </c>
      <c r="C75" s="5">
        <v>1</v>
      </c>
      <c r="D75" s="6">
        <f t="shared" si="11"/>
        <v>6614</v>
      </c>
      <c r="E75" s="121">
        <f t="shared" si="10"/>
        <v>3071</v>
      </c>
      <c r="F75" s="7">
        <f t="shared" si="10"/>
        <v>1575</v>
      </c>
      <c r="R75" s="11">
        <v>72</v>
      </c>
      <c r="S75" s="12"/>
      <c r="T75" s="13"/>
      <c r="U75" s="13"/>
      <c r="W75" s="11">
        <v>72</v>
      </c>
      <c r="X75" s="12"/>
      <c r="Y75" s="13"/>
      <c r="Z75" s="13"/>
      <c r="AB75" s="11">
        <v>72</v>
      </c>
      <c r="AC75" s="12"/>
      <c r="AD75" s="12"/>
      <c r="AE75" s="12"/>
      <c r="AG75" s="11">
        <v>72</v>
      </c>
      <c r="AH75" s="12"/>
      <c r="AI75" s="12"/>
      <c r="AJ75" s="12"/>
      <c r="AL75" s="11">
        <v>72</v>
      </c>
      <c r="AM75" s="12"/>
      <c r="AN75" s="12"/>
      <c r="AO75" s="12"/>
      <c r="AQ75" s="11">
        <v>72</v>
      </c>
      <c r="AR75" s="13"/>
      <c r="AS75" s="13"/>
      <c r="AT75" s="11">
        <v>72</v>
      </c>
      <c r="AU75" s="13"/>
      <c r="AW75" s="11">
        <v>72</v>
      </c>
      <c r="AX75" s="12"/>
      <c r="AY75" s="12"/>
      <c r="AZ75" s="12"/>
      <c r="BA75" s="12"/>
      <c r="BB75" s="12"/>
      <c r="BC75" s="12"/>
      <c r="BD75" s="12"/>
      <c r="BE75" s="12"/>
      <c r="BF75" s="24"/>
      <c r="BG75" s="29"/>
      <c r="BH75" s="12"/>
      <c r="BI75" s="12"/>
      <c r="BK75" s="11">
        <v>72</v>
      </c>
      <c r="BL75" s="12"/>
      <c r="BM75" s="13"/>
      <c r="BN75" s="13"/>
      <c r="BP75" s="11">
        <v>72</v>
      </c>
      <c r="BQ75" s="12"/>
      <c r="BR75" s="13"/>
      <c r="BS75" s="13"/>
      <c r="BU75" s="11">
        <v>72</v>
      </c>
      <c r="BV75" s="12"/>
      <c r="BW75" s="12"/>
      <c r="BX75" s="12"/>
      <c r="BZ75" s="11">
        <v>72</v>
      </c>
      <c r="CA75" s="12"/>
      <c r="CC75" s="11">
        <v>72</v>
      </c>
      <c r="CD75" s="12"/>
    </row>
    <row r="76" spans="1:82">
      <c r="A76" s="21">
        <v>5</v>
      </c>
      <c r="B76" s="21">
        <v>3</v>
      </c>
      <c r="C76" s="23">
        <v>5</v>
      </c>
      <c r="D76" s="6">
        <f t="shared" si="11"/>
        <v>1654</v>
      </c>
      <c r="E76" s="121">
        <f t="shared" si="10"/>
        <v>3071</v>
      </c>
      <c r="F76" s="7">
        <f t="shared" si="10"/>
        <v>2598</v>
      </c>
      <c r="R76" s="11">
        <v>73</v>
      </c>
      <c r="S76" s="12"/>
      <c r="T76" s="13"/>
      <c r="U76" s="13"/>
      <c r="W76" s="11">
        <v>73</v>
      </c>
      <c r="X76" s="12"/>
      <c r="Y76" s="13"/>
      <c r="Z76" s="13"/>
      <c r="AB76" s="11">
        <v>73</v>
      </c>
      <c r="AC76" s="12"/>
      <c r="AD76" s="12"/>
      <c r="AE76" s="12"/>
      <c r="AG76" s="11">
        <v>73</v>
      </c>
      <c r="AH76" s="12"/>
      <c r="AI76" s="12"/>
      <c r="AJ76" s="12"/>
      <c r="AL76" s="11">
        <v>73</v>
      </c>
      <c r="AM76" s="12"/>
      <c r="AN76" s="12"/>
      <c r="AO76" s="12"/>
      <c r="AQ76" s="11">
        <v>73</v>
      </c>
      <c r="AR76" s="13"/>
      <c r="AS76" s="13"/>
      <c r="AT76" s="11">
        <v>73</v>
      </c>
      <c r="AU76" s="13"/>
      <c r="AW76" s="11">
        <v>73</v>
      </c>
      <c r="AX76" s="12"/>
      <c r="AY76" s="12"/>
      <c r="AZ76" s="12"/>
      <c r="BA76" s="12"/>
      <c r="BB76" s="12"/>
      <c r="BC76" s="12"/>
      <c r="BD76" s="12"/>
      <c r="BE76" s="12"/>
      <c r="BF76" s="24"/>
      <c r="BG76" s="29"/>
      <c r="BH76" s="12"/>
      <c r="BI76" s="12"/>
      <c r="BK76" s="11">
        <v>73</v>
      </c>
      <c r="BL76" s="12"/>
      <c r="BM76" s="13"/>
      <c r="BN76" s="13"/>
      <c r="BP76" s="11">
        <v>73</v>
      </c>
      <c r="BQ76" s="12"/>
      <c r="BR76" s="13"/>
      <c r="BS76" s="13"/>
      <c r="BU76" s="11">
        <v>73</v>
      </c>
      <c r="BV76" s="12"/>
      <c r="BW76" s="12"/>
      <c r="BX76" s="12"/>
      <c r="BZ76" s="11">
        <v>73</v>
      </c>
      <c r="CA76" s="12"/>
      <c r="CC76" s="11">
        <v>73</v>
      </c>
      <c r="CD76" s="12"/>
    </row>
    <row r="77" spans="1:82">
      <c r="A77" s="21">
        <v>10</v>
      </c>
      <c r="B77" s="21">
        <v>4</v>
      </c>
      <c r="C77" s="23">
        <v>10</v>
      </c>
      <c r="D77" s="6">
        <f t="shared" si="11"/>
        <v>1654</v>
      </c>
      <c r="E77" s="59">
        <f t="shared" si="10"/>
        <v>0</v>
      </c>
      <c r="F77" s="38">
        <f t="shared" si="10"/>
        <v>0</v>
      </c>
      <c r="R77" s="11">
        <v>74</v>
      </c>
      <c r="S77" s="12"/>
      <c r="T77" s="13"/>
      <c r="U77" s="13"/>
      <c r="W77" s="11">
        <v>74</v>
      </c>
      <c r="X77" s="12"/>
      <c r="Y77" s="13"/>
      <c r="Z77" s="13"/>
      <c r="AB77" s="11">
        <v>74</v>
      </c>
      <c r="AC77" s="12"/>
      <c r="AD77" s="12"/>
      <c r="AE77" s="12"/>
      <c r="AG77" s="11">
        <v>74</v>
      </c>
      <c r="AH77" s="12"/>
      <c r="AI77" s="12"/>
      <c r="AJ77" s="12"/>
      <c r="AL77" s="11">
        <v>74</v>
      </c>
      <c r="AM77" s="12"/>
      <c r="AN77" s="12"/>
      <c r="AO77" s="12"/>
      <c r="AQ77" s="11">
        <v>74</v>
      </c>
      <c r="AR77" s="13"/>
      <c r="AS77" s="13"/>
      <c r="AT77" s="11">
        <v>74</v>
      </c>
      <c r="AU77" s="13"/>
      <c r="AW77" s="11">
        <v>74</v>
      </c>
      <c r="AX77" s="12"/>
      <c r="AY77" s="12"/>
      <c r="AZ77" s="12"/>
      <c r="BA77" s="12"/>
      <c r="BB77" s="12"/>
      <c r="BC77" s="12"/>
      <c r="BD77" s="12"/>
      <c r="BE77" s="12"/>
      <c r="BF77" s="24"/>
      <c r="BG77" s="29"/>
      <c r="BH77" s="12"/>
      <c r="BI77" s="12"/>
      <c r="BK77" s="11">
        <v>74</v>
      </c>
      <c r="BL77" s="12"/>
      <c r="BM77" s="13"/>
      <c r="BN77" s="13"/>
      <c r="BP77" s="11">
        <v>74</v>
      </c>
      <c r="BQ77" s="12"/>
      <c r="BR77" s="13"/>
      <c r="BS77" s="13"/>
      <c r="BU77" s="11">
        <v>74</v>
      </c>
      <c r="BV77" s="12"/>
      <c r="BW77" s="12"/>
      <c r="BX77" s="12"/>
      <c r="BZ77" s="11">
        <v>74</v>
      </c>
      <c r="CA77" s="12"/>
      <c r="CC77" s="11">
        <v>74</v>
      </c>
      <c r="CD77" s="12"/>
    </row>
    <row r="78" spans="1:82">
      <c r="A78" s="20" t="s">
        <v>20</v>
      </c>
      <c r="B78" s="20">
        <v>5</v>
      </c>
      <c r="C78" s="23" t="s">
        <v>29</v>
      </c>
      <c r="D78" s="37">
        <f t="shared" si="11"/>
        <v>0</v>
      </c>
      <c r="E78" s="59">
        <f t="shared" si="10"/>
        <v>0</v>
      </c>
      <c r="F78" s="38">
        <f t="shared" si="10"/>
        <v>0</v>
      </c>
      <c r="R78" s="11">
        <v>75</v>
      </c>
      <c r="S78" s="12"/>
      <c r="T78" s="13"/>
      <c r="U78" s="13"/>
      <c r="W78" s="11">
        <v>75</v>
      </c>
      <c r="X78" s="12"/>
      <c r="Y78" s="13"/>
      <c r="Z78" s="13"/>
      <c r="AB78" s="11">
        <v>75</v>
      </c>
      <c r="AC78" s="12"/>
      <c r="AD78" s="12"/>
      <c r="AE78" s="12"/>
      <c r="AG78" s="11">
        <v>75</v>
      </c>
      <c r="AH78" s="12"/>
      <c r="AI78" s="12"/>
      <c r="AJ78" s="12"/>
      <c r="AL78" s="11">
        <v>75</v>
      </c>
      <c r="AM78" s="12"/>
      <c r="AN78" s="12"/>
      <c r="AO78" s="12"/>
      <c r="AQ78" s="11">
        <v>75</v>
      </c>
      <c r="AR78" s="13"/>
      <c r="AS78" s="13"/>
      <c r="AT78" s="11">
        <v>75</v>
      </c>
      <c r="AU78" s="13"/>
      <c r="AW78" s="11">
        <v>75</v>
      </c>
      <c r="AX78" s="12"/>
      <c r="AY78" s="12"/>
      <c r="AZ78" s="12"/>
      <c r="BA78" s="12"/>
      <c r="BB78" s="12"/>
      <c r="BC78" s="12"/>
      <c r="BD78" s="12"/>
      <c r="BE78" s="12"/>
      <c r="BF78" s="24"/>
      <c r="BG78" s="29"/>
      <c r="BH78" s="12"/>
      <c r="BI78" s="12"/>
      <c r="BK78" s="11">
        <v>75</v>
      </c>
      <c r="BL78" s="12"/>
      <c r="BM78" s="13"/>
      <c r="BN78" s="13"/>
      <c r="BP78" s="11">
        <v>75</v>
      </c>
      <c r="BQ78" s="12"/>
      <c r="BR78" s="13"/>
      <c r="BS78" s="13"/>
      <c r="BU78" s="11">
        <v>75</v>
      </c>
      <c r="BV78" s="12"/>
      <c r="BW78" s="12"/>
      <c r="BX78" s="12"/>
      <c r="BZ78" s="11">
        <v>75</v>
      </c>
      <c r="CA78" s="12"/>
      <c r="CC78" s="11">
        <v>75</v>
      </c>
      <c r="CD78" s="12"/>
    </row>
    <row r="79" spans="1:82">
      <c r="A79" s="21" t="s">
        <v>21</v>
      </c>
      <c r="B79" s="21">
        <v>6</v>
      </c>
      <c r="C79" s="23" t="s">
        <v>26</v>
      </c>
      <c r="D79" s="37">
        <f t="shared" si="11"/>
        <v>0</v>
      </c>
      <c r="E79" s="59">
        <f t="shared" si="10"/>
        <v>0</v>
      </c>
      <c r="F79" s="38">
        <f t="shared" si="10"/>
        <v>0</v>
      </c>
      <c r="R79" s="11">
        <v>76</v>
      </c>
      <c r="S79" s="12"/>
      <c r="T79" s="13"/>
      <c r="U79" s="13"/>
      <c r="W79" s="11">
        <v>76</v>
      </c>
      <c r="X79" s="12"/>
      <c r="Y79" s="13"/>
      <c r="Z79" s="13"/>
      <c r="AB79" s="11">
        <v>76</v>
      </c>
      <c r="AC79" s="12"/>
      <c r="AD79" s="12"/>
      <c r="AE79" s="12"/>
      <c r="AG79" s="11">
        <v>76</v>
      </c>
      <c r="AH79" s="12"/>
      <c r="AI79" s="12"/>
      <c r="AJ79" s="12"/>
      <c r="AL79" s="11">
        <v>76</v>
      </c>
      <c r="AM79" s="12"/>
      <c r="AN79" s="12"/>
      <c r="AO79" s="12"/>
      <c r="AQ79" s="11">
        <v>76</v>
      </c>
      <c r="AR79" s="13"/>
      <c r="AS79" s="13"/>
      <c r="AT79" s="11">
        <v>76</v>
      </c>
      <c r="AU79" s="13"/>
      <c r="AW79" s="11">
        <v>76</v>
      </c>
      <c r="AX79" s="12"/>
      <c r="AY79" s="12"/>
      <c r="AZ79" s="12"/>
      <c r="BA79" s="12"/>
      <c r="BB79" s="12"/>
      <c r="BC79" s="12"/>
      <c r="BD79" s="12"/>
      <c r="BE79" s="12"/>
      <c r="BF79" s="24"/>
      <c r="BG79" s="29"/>
      <c r="BH79" s="12"/>
      <c r="BI79" s="12"/>
      <c r="BK79" s="11">
        <v>76</v>
      </c>
      <c r="BL79" s="12"/>
      <c r="BM79" s="13"/>
      <c r="BN79" s="13"/>
      <c r="BP79" s="11">
        <v>76</v>
      </c>
      <c r="BQ79" s="12"/>
      <c r="BR79" s="13"/>
      <c r="BS79" s="13"/>
      <c r="BU79" s="11">
        <v>76</v>
      </c>
      <c r="BV79" s="12"/>
      <c r="BW79" s="12"/>
      <c r="BX79" s="12"/>
      <c r="BZ79" s="11">
        <v>76</v>
      </c>
      <c r="CA79" s="12"/>
      <c r="CC79" s="11">
        <v>76</v>
      </c>
      <c r="CD79" s="12"/>
    </row>
    <row r="80" spans="1:82">
      <c r="A80" s="20" t="s">
        <v>22</v>
      </c>
      <c r="B80" s="20">
        <v>7</v>
      </c>
      <c r="C80" s="5" t="s">
        <v>27</v>
      </c>
      <c r="D80" s="37">
        <f t="shared" si="11"/>
        <v>0</v>
      </c>
      <c r="E80" s="59">
        <f t="shared" si="10"/>
        <v>0</v>
      </c>
      <c r="F80" s="38">
        <f t="shared" si="10"/>
        <v>0</v>
      </c>
      <c r="R80" s="11">
        <v>77</v>
      </c>
      <c r="S80" s="12"/>
      <c r="T80" s="13"/>
      <c r="U80" s="13"/>
      <c r="W80" s="11">
        <v>77</v>
      </c>
      <c r="X80" s="12"/>
      <c r="Y80" s="13"/>
      <c r="Z80" s="13"/>
      <c r="AB80" s="11">
        <v>77</v>
      </c>
      <c r="AC80" s="12"/>
      <c r="AD80" s="12"/>
      <c r="AE80" s="12"/>
      <c r="AG80" s="11">
        <v>77</v>
      </c>
      <c r="AH80" s="12"/>
      <c r="AI80" s="12"/>
      <c r="AJ80" s="12"/>
      <c r="AL80" s="11">
        <v>77</v>
      </c>
      <c r="AM80" s="12"/>
      <c r="AN80" s="12"/>
      <c r="AO80" s="12"/>
      <c r="AQ80" s="11">
        <v>77</v>
      </c>
      <c r="AR80" s="13"/>
      <c r="AS80" s="13"/>
      <c r="AT80" s="11">
        <v>77</v>
      </c>
      <c r="AU80" s="13"/>
      <c r="AW80" s="11">
        <v>77</v>
      </c>
      <c r="AX80" s="12"/>
      <c r="AY80" s="12"/>
      <c r="AZ80" s="12"/>
      <c r="BA80" s="12"/>
      <c r="BB80" s="12"/>
      <c r="BC80" s="12"/>
      <c r="BD80" s="12"/>
      <c r="BE80" s="12"/>
      <c r="BF80" s="24"/>
      <c r="BG80" s="29"/>
      <c r="BH80" s="12"/>
      <c r="BI80" s="12"/>
      <c r="BK80" s="11">
        <v>77</v>
      </c>
      <c r="BL80" s="12"/>
      <c r="BM80" s="13"/>
      <c r="BN80" s="13"/>
      <c r="BP80" s="11">
        <v>77</v>
      </c>
      <c r="BQ80" s="12"/>
      <c r="BR80" s="13"/>
      <c r="BS80" s="13"/>
      <c r="BU80" s="11">
        <v>77</v>
      </c>
      <c r="BV80" s="12"/>
      <c r="BW80" s="12"/>
      <c r="BX80" s="12"/>
      <c r="BZ80" s="11">
        <v>77</v>
      </c>
      <c r="CA80" s="12"/>
      <c r="CC80" s="11">
        <v>77</v>
      </c>
      <c r="CD80" s="12"/>
    </row>
    <row r="81" spans="1:82">
      <c r="A81" s="20" t="s">
        <v>23</v>
      </c>
      <c r="B81" s="20">
        <v>8</v>
      </c>
      <c r="C81" s="5" t="s">
        <v>28</v>
      </c>
      <c r="D81" s="37">
        <f t="shared" si="11"/>
        <v>0</v>
      </c>
      <c r="E81" s="59">
        <f t="shared" si="10"/>
        <v>0</v>
      </c>
      <c r="F81" s="38">
        <f t="shared" si="10"/>
        <v>0</v>
      </c>
      <c r="R81" s="11">
        <v>78</v>
      </c>
      <c r="S81" s="12"/>
      <c r="T81" s="13"/>
      <c r="U81" s="13"/>
      <c r="W81" s="11">
        <v>78</v>
      </c>
      <c r="X81" s="12"/>
      <c r="Y81" s="13"/>
      <c r="Z81" s="13"/>
      <c r="AB81" s="11">
        <v>78</v>
      </c>
      <c r="AC81" s="12"/>
      <c r="AD81" s="12"/>
      <c r="AE81" s="12"/>
      <c r="AG81" s="11">
        <v>78</v>
      </c>
      <c r="AH81" s="12"/>
      <c r="AI81" s="12"/>
      <c r="AJ81" s="12"/>
      <c r="AL81" s="11">
        <v>78</v>
      </c>
      <c r="AM81" s="12"/>
      <c r="AN81" s="12"/>
      <c r="AO81" s="12"/>
      <c r="AQ81" s="11">
        <v>78</v>
      </c>
      <c r="AR81" s="13"/>
      <c r="AS81" s="13"/>
      <c r="AT81" s="11">
        <v>78</v>
      </c>
      <c r="AU81" s="13"/>
      <c r="AW81" s="11">
        <v>78</v>
      </c>
      <c r="AX81" s="12"/>
      <c r="AY81" s="12"/>
      <c r="AZ81" s="12"/>
      <c r="BA81" s="12"/>
      <c r="BB81" s="12"/>
      <c r="BC81" s="12"/>
      <c r="BD81" s="12"/>
      <c r="BE81" s="12"/>
      <c r="BF81" s="24"/>
      <c r="BG81" s="29"/>
      <c r="BH81" s="12"/>
      <c r="BI81" s="12"/>
      <c r="BK81" s="11">
        <v>78</v>
      </c>
      <c r="BL81" s="12"/>
      <c r="BM81" s="13"/>
      <c r="BN81" s="13"/>
      <c r="BP81" s="11">
        <v>78</v>
      </c>
      <c r="BQ81" s="12"/>
      <c r="BR81" s="13"/>
      <c r="BS81" s="13"/>
      <c r="BU81" s="11">
        <v>78</v>
      </c>
      <c r="BV81" s="12"/>
      <c r="BW81" s="12"/>
      <c r="BX81" s="12"/>
      <c r="BZ81" s="11">
        <v>78</v>
      </c>
      <c r="CA81" s="12"/>
      <c r="CC81" s="11">
        <v>78</v>
      </c>
      <c r="CD81" s="12"/>
    </row>
    <row r="82" spans="1:82">
      <c r="A82" s="20" t="s">
        <v>24</v>
      </c>
      <c r="B82" s="20">
        <v>9</v>
      </c>
      <c r="C82" s="5" t="s">
        <v>16</v>
      </c>
      <c r="D82" s="37">
        <f t="shared" si="11"/>
        <v>0</v>
      </c>
      <c r="E82" s="59">
        <f t="shared" si="10"/>
        <v>0</v>
      </c>
      <c r="F82" s="38">
        <f t="shared" si="10"/>
        <v>0</v>
      </c>
      <c r="R82" s="11">
        <v>79</v>
      </c>
      <c r="S82" s="12"/>
      <c r="T82" s="13"/>
      <c r="U82" s="13"/>
      <c r="W82" s="11">
        <v>79</v>
      </c>
      <c r="X82" s="12"/>
      <c r="Y82" s="13"/>
      <c r="Z82" s="13"/>
      <c r="AB82" s="11">
        <v>79</v>
      </c>
      <c r="AC82" s="12"/>
      <c r="AD82" s="12"/>
      <c r="AE82" s="12"/>
      <c r="AG82" s="11">
        <v>79</v>
      </c>
      <c r="AH82" s="12"/>
      <c r="AI82" s="12"/>
      <c r="AJ82" s="12"/>
      <c r="AL82" s="11">
        <v>79</v>
      </c>
      <c r="AM82" s="12"/>
      <c r="AN82" s="12"/>
      <c r="AO82" s="12"/>
      <c r="AQ82" s="11">
        <v>79</v>
      </c>
      <c r="AR82" s="13"/>
      <c r="AS82" s="13"/>
      <c r="AT82" s="11">
        <v>79</v>
      </c>
      <c r="AU82" s="13"/>
      <c r="AW82" s="11">
        <v>79</v>
      </c>
      <c r="AX82" s="12"/>
      <c r="AY82" s="12"/>
      <c r="AZ82" s="12"/>
      <c r="BA82" s="12"/>
      <c r="BB82" s="12"/>
      <c r="BC82" s="12"/>
      <c r="BD82" s="12"/>
      <c r="BE82" s="12"/>
      <c r="BF82" s="24"/>
      <c r="BG82" s="29"/>
      <c r="BH82" s="12"/>
      <c r="BI82" s="12"/>
      <c r="BK82" s="11">
        <v>79</v>
      </c>
      <c r="BL82" s="12"/>
      <c r="BM82" s="13"/>
      <c r="BN82" s="13"/>
      <c r="BP82" s="11">
        <v>79</v>
      </c>
      <c r="BQ82" s="12"/>
      <c r="BR82" s="13"/>
      <c r="BS82" s="13"/>
      <c r="BU82" s="11">
        <v>79</v>
      </c>
      <c r="BV82" s="12"/>
      <c r="BW82" s="12"/>
      <c r="BX82" s="12"/>
      <c r="BZ82" s="11">
        <v>79</v>
      </c>
      <c r="CA82" s="12"/>
      <c r="CC82" s="11">
        <v>79</v>
      </c>
      <c r="CD82" s="12"/>
    </row>
    <row r="83" spans="1:82">
      <c r="A83" s="21" t="s">
        <v>35</v>
      </c>
      <c r="B83" s="21">
        <v>10</v>
      </c>
      <c r="C83" s="5" t="s">
        <v>37</v>
      </c>
      <c r="D83" s="37">
        <f t="shared" si="11"/>
        <v>0</v>
      </c>
      <c r="E83" s="59">
        <f t="shared" si="10"/>
        <v>0</v>
      </c>
      <c r="F83" s="38">
        <f t="shared" si="10"/>
        <v>0</v>
      </c>
      <c r="R83" s="11">
        <v>80</v>
      </c>
      <c r="S83" s="12"/>
      <c r="T83" s="13"/>
      <c r="U83" s="13"/>
      <c r="W83" s="11">
        <v>80</v>
      </c>
      <c r="X83" s="12"/>
      <c r="Y83" s="13"/>
      <c r="Z83" s="13"/>
      <c r="AB83" s="11">
        <v>80</v>
      </c>
      <c r="AC83" s="12"/>
      <c r="AD83" s="12"/>
      <c r="AE83" s="12"/>
      <c r="AG83" s="11">
        <v>80</v>
      </c>
      <c r="AH83" s="12"/>
      <c r="AI83" s="12"/>
      <c r="AJ83" s="12"/>
      <c r="AL83" s="11">
        <v>80</v>
      </c>
      <c r="AM83" s="12"/>
      <c r="AN83" s="12"/>
      <c r="AO83" s="12"/>
      <c r="AQ83" s="11">
        <v>80</v>
      </c>
      <c r="AR83" s="13"/>
      <c r="AS83" s="13"/>
      <c r="AT83" s="11">
        <v>80</v>
      </c>
      <c r="AU83" s="13"/>
      <c r="AW83" s="11">
        <v>80</v>
      </c>
      <c r="AX83" s="12"/>
      <c r="AY83" s="12"/>
      <c r="AZ83" s="12"/>
      <c r="BA83" s="12"/>
      <c r="BB83" s="12"/>
      <c r="BC83" s="12"/>
      <c r="BD83" s="12"/>
      <c r="BE83" s="12"/>
      <c r="BF83" s="24"/>
      <c r="BG83" s="29"/>
      <c r="BH83" s="12"/>
      <c r="BI83" s="12"/>
      <c r="BK83" s="11">
        <v>80</v>
      </c>
      <c r="BL83" s="12"/>
      <c r="BM83" s="13"/>
      <c r="BN83" s="13"/>
      <c r="BP83" s="11">
        <v>80</v>
      </c>
      <c r="BQ83" s="12"/>
      <c r="BR83" s="13"/>
      <c r="BS83" s="13"/>
      <c r="BU83" s="11">
        <v>80</v>
      </c>
      <c r="BV83" s="12"/>
      <c r="BW83" s="12"/>
      <c r="BX83" s="12"/>
      <c r="BZ83" s="11">
        <v>80</v>
      </c>
      <c r="CA83" s="12"/>
      <c r="CC83" s="11">
        <v>80</v>
      </c>
      <c r="CD83" s="12"/>
    </row>
    <row r="84" spans="1:82">
      <c r="A84" s="22" t="s">
        <v>39</v>
      </c>
      <c r="B84" s="22">
        <v>11</v>
      </c>
      <c r="C84" s="17" t="s">
        <v>38</v>
      </c>
      <c r="D84" s="60">
        <f t="shared" si="11"/>
        <v>0</v>
      </c>
      <c r="E84" s="39">
        <f t="shared" si="10"/>
        <v>0</v>
      </c>
      <c r="F84" s="40">
        <f t="shared" si="10"/>
        <v>0</v>
      </c>
      <c r="R84" s="11">
        <v>81</v>
      </c>
      <c r="S84" s="12"/>
      <c r="T84" s="13"/>
      <c r="U84" s="13"/>
      <c r="W84" s="11">
        <v>81</v>
      </c>
      <c r="X84" s="12"/>
      <c r="Y84" s="13"/>
      <c r="Z84" s="13"/>
      <c r="AB84" s="11">
        <v>81</v>
      </c>
      <c r="AC84" s="12"/>
      <c r="AD84" s="12"/>
      <c r="AE84" s="12"/>
      <c r="AG84" s="11">
        <v>81</v>
      </c>
      <c r="AH84" s="12"/>
      <c r="AI84" s="12"/>
      <c r="AJ84" s="12"/>
      <c r="AL84" s="11">
        <v>81</v>
      </c>
      <c r="AM84" s="12"/>
      <c r="AN84" s="12"/>
      <c r="AO84" s="12"/>
      <c r="AQ84" s="11">
        <v>81</v>
      </c>
      <c r="AR84" s="13"/>
      <c r="AS84" s="13"/>
      <c r="AT84" s="11">
        <v>81</v>
      </c>
      <c r="AU84" s="13"/>
      <c r="AW84" s="11">
        <v>81</v>
      </c>
      <c r="AX84" s="12"/>
      <c r="AY84" s="12"/>
      <c r="AZ84" s="12"/>
      <c r="BA84" s="12"/>
      <c r="BB84" s="12"/>
      <c r="BC84" s="12"/>
      <c r="BD84" s="12"/>
      <c r="BE84" s="12"/>
      <c r="BF84" s="24"/>
      <c r="BG84" s="29"/>
      <c r="BH84" s="12"/>
      <c r="BI84" s="12"/>
      <c r="BK84" s="11">
        <v>81</v>
      </c>
      <c r="BL84" s="12"/>
      <c r="BM84" s="13"/>
      <c r="BN84" s="13"/>
      <c r="BP84" s="11">
        <v>81</v>
      </c>
      <c r="BQ84" s="12"/>
      <c r="BR84" s="13"/>
      <c r="BS84" s="13"/>
      <c r="BU84" s="11">
        <v>81</v>
      </c>
      <c r="BV84" s="12"/>
      <c r="BW84" s="12"/>
      <c r="BX84" s="12"/>
      <c r="BZ84" s="11">
        <v>81</v>
      </c>
      <c r="CA84" s="12"/>
      <c r="CC84" s="11">
        <v>81</v>
      </c>
      <c r="CD84" s="12"/>
    </row>
    <row r="85" spans="1:82">
      <c r="R85" s="11">
        <v>82</v>
      </c>
      <c r="S85" s="12"/>
      <c r="T85" s="13"/>
      <c r="U85" s="13"/>
      <c r="W85" s="11">
        <v>82</v>
      </c>
      <c r="X85" s="12"/>
      <c r="Y85" s="13"/>
      <c r="Z85" s="13"/>
      <c r="AB85" s="11">
        <v>82</v>
      </c>
      <c r="AC85" s="12"/>
      <c r="AD85" s="12"/>
      <c r="AE85" s="12"/>
      <c r="AG85" s="11">
        <v>82</v>
      </c>
      <c r="AH85" s="12"/>
      <c r="AI85" s="12"/>
      <c r="AJ85" s="12"/>
      <c r="AL85" s="11">
        <v>82</v>
      </c>
      <c r="AM85" s="12"/>
      <c r="AN85" s="12"/>
      <c r="AO85" s="12"/>
      <c r="AQ85" s="11">
        <v>82</v>
      </c>
      <c r="AR85" s="13"/>
      <c r="AS85" s="13"/>
      <c r="AT85" s="11">
        <v>82</v>
      </c>
      <c r="AU85" s="13"/>
      <c r="AW85" s="11">
        <v>82</v>
      </c>
      <c r="AX85" s="12"/>
      <c r="AY85" s="12"/>
      <c r="AZ85" s="12"/>
      <c r="BA85" s="12"/>
      <c r="BB85" s="12"/>
      <c r="BC85" s="12"/>
      <c r="BD85" s="12"/>
      <c r="BE85" s="12"/>
      <c r="BF85" s="24"/>
      <c r="BG85" s="29"/>
      <c r="BH85" s="12"/>
      <c r="BI85" s="12"/>
      <c r="BK85" s="11">
        <v>82</v>
      </c>
      <c r="BL85" s="12"/>
      <c r="BM85" s="13"/>
      <c r="BN85" s="13"/>
      <c r="BP85" s="11">
        <v>82</v>
      </c>
      <c r="BQ85" s="12"/>
      <c r="BR85" s="13"/>
      <c r="BS85" s="13"/>
      <c r="BU85" s="11">
        <v>82</v>
      </c>
      <c r="BV85" s="12"/>
      <c r="BW85" s="12"/>
      <c r="BX85" s="12"/>
      <c r="BZ85" s="11">
        <v>82</v>
      </c>
      <c r="CA85" s="12"/>
      <c r="CC85" s="11">
        <v>82</v>
      </c>
      <c r="CD85" s="12"/>
    </row>
    <row r="86" spans="1:82">
      <c r="R86" s="11">
        <v>83</v>
      </c>
      <c r="S86" s="12"/>
      <c r="T86" s="13"/>
      <c r="U86" s="13"/>
      <c r="W86" s="11">
        <v>83</v>
      </c>
      <c r="X86" s="12"/>
      <c r="Y86" s="13"/>
      <c r="Z86" s="13"/>
      <c r="AB86" s="11">
        <v>83</v>
      </c>
      <c r="AC86" s="12"/>
      <c r="AD86" s="12"/>
      <c r="AE86" s="12"/>
      <c r="AG86" s="11">
        <v>83</v>
      </c>
      <c r="AH86" s="12"/>
      <c r="AI86" s="12"/>
      <c r="AJ86" s="12"/>
      <c r="AL86" s="11">
        <v>83</v>
      </c>
      <c r="AM86" s="12"/>
      <c r="AN86" s="12"/>
      <c r="AO86" s="12"/>
      <c r="AQ86" s="11">
        <v>83</v>
      </c>
      <c r="AR86" s="13"/>
      <c r="AS86" s="13"/>
      <c r="AT86" s="11">
        <v>83</v>
      </c>
      <c r="AU86" s="13"/>
      <c r="AW86" s="11">
        <v>83</v>
      </c>
      <c r="AX86" s="12"/>
      <c r="AY86" s="12"/>
      <c r="AZ86" s="12"/>
      <c r="BA86" s="12"/>
      <c r="BB86" s="12"/>
      <c r="BC86" s="12"/>
      <c r="BD86" s="12"/>
      <c r="BE86" s="12"/>
      <c r="BF86" s="24"/>
      <c r="BG86" s="29"/>
      <c r="BH86" s="12"/>
      <c r="BI86" s="12"/>
      <c r="BK86" s="11">
        <v>83</v>
      </c>
      <c r="BL86" s="12"/>
      <c r="BM86" s="13"/>
      <c r="BN86" s="13"/>
      <c r="BP86" s="11">
        <v>83</v>
      </c>
      <c r="BQ86" s="12"/>
      <c r="BR86" s="13"/>
      <c r="BS86" s="13"/>
      <c r="BU86" s="11">
        <v>83</v>
      </c>
      <c r="BV86" s="12"/>
      <c r="BW86" s="12"/>
      <c r="BX86" s="12"/>
      <c r="BZ86" s="11">
        <v>83</v>
      </c>
      <c r="CA86" s="12"/>
      <c r="CC86" s="11">
        <v>83</v>
      </c>
      <c r="CD86" s="12"/>
    </row>
    <row r="87" spans="1:82">
      <c r="R87" s="11">
        <v>84</v>
      </c>
      <c r="S87" s="12"/>
      <c r="T87" s="13"/>
      <c r="U87" s="13"/>
      <c r="W87" s="11">
        <v>84</v>
      </c>
      <c r="X87" s="12"/>
      <c r="Y87" s="13"/>
      <c r="Z87" s="13"/>
      <c r="AB87" s="11">
        <v>84</v>
      </c>
      <c r="AC87" s="12"/>
      <c r="AD87" s="12"/>
      <c r="AE87" s="12"/>
      <c r="AG87" s="11">
        <v>84</v>
      </c>
      <c r="AH87" s="12"/>
      <c r="AI87" s="12"/>
      <c r="AJ87" s="12"/>
      <c r="AL87" s="11">
        <v>84</v>
      </c>
      <c r="AM87" s="12"/>
      <c r="AN87" s="12"/>
      <c r="AO87" s="12"/>
      <c r="AQ87" s="11">
        <v>84</v>
      </c>
      <c r="AR87" s="13"/>
      <c r="AS87" s="13"/>
      <c r="AT87" s="11">
        <v>84</v>
      </c>
      <c r="AU87" s="13"/>
      <c r="AW87" s="11">
        <v>84</v>
      </c>
      <c r="AX87" s="12"/>
      <c r="AY87" s="12"/>
      <c r="AZ87" s="12"/>
      <c r="BA87" s="12"/>
      <c r="BB87" s="12"/>
      <c r="BC87" s="12"/>
      <c r="BD87" s="12"/>
      <c r="BE87" s="12"/>
      <c r="BF87" s="24"/>
      <c r="BG87" s="29"/>
      <c r="BH87" s="12"/>
      <c r="BI87" s="12"/>
      <c r="BK87" s="11">
        <v>84</v>
      </c>
      <c r="BL87" s="12"/>
      <c r="BM87" s="13"/>
      <c r="BN87" s="13"/>
      <c r="BP87" s="11">
        <v>84</v>
      </c>
      <c r="BQ87" s="12"/>
      <c r="BR87" s="13"/>
      <c r="BS87" s="13"/>
      <c r="BU87" s="11">
        <v>84</v>
      </c>
      <c r="BV87" s="12"/>
      <c r="BW87" s="12"/>
      <c r="BX87" s="12"/>
      <c r="BZ87" s="11">
        <v>84</v>
      </c>
      <c r="CA87" s="12"/>
      <c r="CC87" s="11">
        <v>84</v>
      </c>
      <c r="CD87" s="12"/>
    </row>
    <row r="88" spans="1:82">
      <c r="R88" s="11">
        <v>85</v>
      </c>
      <c r="S88" s="12"/>
      <c r="T88" s="13"/>
      <c r="U88" s="13"/>
      <c r="W88" s="11">
        <v>85</v>
      </c>
      <c r="X88" s="12"/>
      <c r="Y88" s="13"/>
      <c r="Z88" s="13"/>
      <c r="AB88" s="11">
        <v>85</v>
      </c>
      <c r="AC88" s="12"/>
      <c r="AD88" s="12"/>
      <c r="AE88" s="12"/>
      <c r="AG88" s="11">
        <v>85</v>
      </c>
      <c r="AH88" s="12"/>
      <c r="AI88" s="12"/>
      <c r="AJ88" s="12"/>
      <c r="AL88" s="11">
        <v>85</v>
      </c>
      <c r="AM88" s="12"/>
      <c r="AN88" s="12"/>
      <c r="AO88" s="12"/>
      <c r="AQ88" s="11">
        <v>85</v>
      </c>
      <c r="AR88" s="13"/>
      <c r="AS88" s="13"/>
      <c r="AT88" s="11">
        <v>85</v>
      </c>
      <c r="AU88" s="13"/>
      <c r="AW88" s="11">
        <v>85</v>
      </c>
      <c r="AX88" s="12"/>
      <c r="AY88" s="12"/>
      <c r="AZ88" s="12"/>
      <c r="BA88" s="12"/>
      <c r="BB88" s="12"/>
      <c r="BC88" s="12"/>
      <c r="BD88" s="12"/>
      <c r="BE88" s="12"/>
      <c r="BF88" s="24"/>
      <c r="BG88" s="29"/>
      <c r="BH88" s="12"/>
      <c r="BI88" s="12"/>
      <c r="BK88" s="11">
        <v>85</v>
      </c>
      <c r="BL88" s="12"/>
      <c r="BM88" s="13"/>
      <c r="BN88" s="13"/>
      <c r="BP88" s="11">
        <v>85</v>
      </c>
      <c r="BQ88" s="12"/>
      <c r="BR88" s="13"/>
      <c r="BS88" s="13"/>
      <c r="BU88" s="11">
        <v>85</v>
      </c>
      <c r="BV88" s="12"/>
      <c r="BW88" s="12"/>
      <c r="BX88" s="12"/>
      <c r="BZ88" s="11">
        <v>85</v>
      </c>
      <c r="CA88" s="12"/>
      <c r="CC88" s="11">
        <v>85</v>
      </c>
      <c r="CD88" s="12"/>
    </row>
    <row r="89" spans="1:82">
      <c r="R89" s="11">
        <v>86</v>
      </c>
      <c r="S89" s="12"/>
      <c r="T89" s="13"/>
      <c r="U89" s="13"/>
      <c r="W89" s="11">
        <v>86</v>
      </c>
      <c r="X89" s="12"/>
      <c r="Y89" s="13"/>
      <c r="Z89" s="13"/>
      <c r="AB89" s="11">
        <v>86</v>
      </c>
      <c r="AC89" s="12"/>
      <c r="AD89" s="12"/>
      <c r="AE89" s="12"/>
      <c r="AG89" s="11">
        <v>86</v>
      </c>
      <c r="AH89" s="12"/>
      <c r="AI89" s="12"/>
      <c r="AJ89" s="12"/>
      <c r="AL89" s="11">
        <v>86</v>
      </c>
      <c r="AM89" s="12"/>
      <c r="AN89" s="12"/>
      <c r="AO89" s="12"/>
      <c r="AQ89" s="11">
        <v>86</v>
      </c>
      <c r="AR89" s="13"/>
      <c r="AS89" s="13"/>
      <c r="AT89" s="11">
        <v>86</v>
      </c>
      <c r="AU89" s="13"/>
      <c r="AW89" s="11">
        <v>86</v>
      </c>
      <c r="AX89" s="12"/>
      <c r="AY89" s="12"/>
      <c r="AZ89" s="12"/>
      <c r="BA89" s="12"/>
      <c r="BB89" s="12"/>
      <c r="BC89" s="12"/>
      <c r="BD89" s="12"/>
      <c r="BE89" s="12"/>
      <c r="BF89" s="24"/>
      <c r="BG89" s="29"/>
      <c r="BH89" s="12"/>
      <c r="BI89" s="12"/>
      <c r="BK89" s="11">
        <v>86</v>
      </c>
      <c r="BL89" s="12"/>
      <c r="BM89" s="13"/>
      <c r="BN89" s="13"/>
      <c r="BP89" s="11">
        <v>86</v>
      </c>
      <c r="BQ89" s="12"/>
      <c r="BR89" s="13"/>
      <c r="BS89" s="13"/>
      <c r="BU89" s="11">
        <v>86</v>
      </c>
      <c r="BV89" s="12"/>
      <c r="BW89" s="12"/>
      <c r="BX89" s="12"/>
      <c r="BZ89" s="11">
        <v>86</v>
      </c>
      <c r="CA89" s="12"/>
      <c r="CC89" s="11">
        <v>86</v>
      </c>
      <c r="CD89" s="12"/>
    </row>
    <row r="90" spans="1:82">
      <c r="R90" s="11">
        <v>87</v>
      </c>
      <c r="S90" s="12"/>
      <c r="T90" s="13"/>
      <c r="U90" s="13"/>
      <c r="W90" s="11">
        <v>87</v>
      </c>
      <c r="X90" s="12"/>
      <c r="Y90" s="13"/>
      <c r="Z90" s="13"/>
      <c r="AB90" s="11">
        <v>87</v>
      </c>
      <c r="AC90" s="12"/>
      <c r="AD90" s="12"/>
      <c r="AE90" s="12"/>
      <c r="AG90" s="11">
        <v>87</v>
      </c>
      <c r="AH90" s="12"/>
      <c r="AI90" s="12"/>
      <c r="AJ90" s="12"/>
      <c r="AL90" s="11">
        <v>87</v>
      </c>
      <c r="AM90" s="12"/>
      <c r="AN90" s="12"/>
      <c r="AO90" s="12"/>
      <c r="AQ90" s="11">
        <v>87</v>
      </c>
      <c r="AR90" s="13"/>
      <c r="AS90" s="13"/>
      <c r="AT90" s="11">
        <v>87</v>
      </c>
      <c r="AU90" s="13"/>
      <c r="AW90" s="11">
        <v>87</v>
      </c>
      <c r="AX90" s="12"/>
      <c r="AY90" s="12"/>
      <c r="AZ90" s="12"/>
      <c r="BA90" s="12"/>
      <c r="BB90" s="12"/>
      <c r="BC90" s="12"/>
      <c r="BD90" s="12"/>
      <c r="BE90" s="12"/>
      <c r="BF90" s="24"/>
      <c r="BG90" s="29"/>
      <c r="BH90" s="12"/>
      <c r="BI90" s="12"/>
      <c r="BK90" s="11">
        <v>87</v>
      </c>
      <c r="BL90" s="12"/>
      <c r="BM90" s="13"/>
      <c r="BN90" s="13"/>
      <c r="BP90" s="11">
        <v>87</v>
      </c>
      <c r="BQ90" s="12"/>
      <c r="BR90" s="13"/>
      <c r="BS90" s="13"/>
      <c r="BU90" s="11">
        <v>87</v>
      </c>
      <c r="BV90" s="12"/>
      <c r="BW90" s="12"/>
      <c r="BX90" s="12"/>
      <c r="BZ90" s="11">
        <v>87</v>
      </c>
      <c r="CA90" s="12"/>
      <c r="CC90" s="11">
        <v>87</v>
      </c>
      <c r="CD90" s="12"/>
    </row>
    <row r="91" spans="1:82">
      <c r="R91" s="11">
        <v>88</v>
      </c>
      <c r="S91" s="12"/>
      <c r="T91" s="13"/>
      <c r="U91" s="13"/>
      <c r="W91" s="11">
        <v>88</v>
      </c>
      <c r="X91" s="12"/>
      <c r="Y91" s="13"/>
      <c r="Z91" s="13"/>
      <c r="AB91" s="11">
        <v>88</v>
      </c>
      <c r="AC91" s="12"/>
      <c r="AD91" s="12"/>
      <c r="AE91" s="12"/>
      <c r="AG91" s="11">
        <v>88</v>
      </c>
      <c r="AH91" s="12"/>
      <c r="AI91" s="12"/>
      <c r="AJ91" s="12"/>
      <c r="AL91" s="11">
        <v>88</v>
      </c>
      <c r="AM91" s="12"/>
      <c r="AN91" s="12"/>
      <c r="AO91" s="12"/>
      <c r="AQ91" s="11">
        <v>88</v>
      </c>
      <c r="AR91" s="13"/>
      <c r="AS91" s="13"/>
      <c r="AT91" s="11">
        <v>88</v>
      </c>
      <c r="AU91" s="13"/>
      <c r="AW91" s="11">
        <v>88</v>
      </c>
      <c r="AX91" s="12"/>
      <c r="AY91" s="12"/>
      <c r="AZ91" s="12"/>
      <c r="BA91" s="12"/>
      <c r="BB91" s="12"/>
      <c r="BC91" s="12"/>
      <c r="BD91" s="12"/>
      <c r="BE91" s="12"/>
      <c r="BF91" s="24"/>
      <c r="BG91" s="29"/>
      <c r="BH91" s="12"/>
      <c r="BI91" s="12"/>
      <c r="BK91" s="11">
        <v>88</v>
      </c>
      <c r="BL91" s="12"/>
      <c r="BM91" s="13"/>
      <c r="BN91" s="13"/>
      <c r="BP91" s="11">
        <v>88</v>
      </c>
      <c r="BQ91" s="12"/>
      <c r="BR91" s="13"/>
      <c r="BS91" s="13"/>
      <c r="BU91" s="11">
        <v>88</v>
      </c>
      <c r="BV91" s="12"/>
      <c r="BW91" s="12"/>
      <c r="BX91" s="12"/>
      <c r="BZ91" s="11">
        <v>88</v>
      </c>
      <c r="CA91" s="12"/>
      <c r="CC91" s="11">
        <v>88</v>
      </c>
      <c r="CD91" s="12"/>
    </row>
    <row r="92" spans="1:82">
      <c r="R92" s="11">
        <v>89</v>
      </c>
      <c r="S92" s="12"/>
      <c r="T92" s="13"/>
      <c r="U92" s="13"/>
      <c r="W92" s="11">
        <v>89</v>
      </c>
      <c r="X92" s="12"/>
      <c r="Y92" s="13"/>
      <c r="Z92" s="13"/>
      <c r="AB92" s="11">
        <v>89</v>
      </c>
      <c r="AC92" s="12"/>
      <c r="AD92" s="12"/>
      <c r="AE92" s="12"/>
      <c r="AG92" s="11">
        <v>89</v>
      </c>
      <c r="AH92" s="12"/>
      <c r="AI92" s="12"/>
      <c r="AJ92" s="12"/>
      <c r="AL92" s="11">
        <v>89</v>
      </c>
      <c r="AM92" s="12"/>
      <c r="AN92" s="12"/>
      <c r="AO92" s="12"/>
      <c r="AQ92" s="11">
        <v>89</v>
      </c>
      <c r="AR92" s="13"/>
      <c r="AS92" s="13"/>
      <c r="AT92" s="11">
        <v>89</v>
      </c>
      <c r="AU92" s="13"/>
      <c r="AW92" s="11">
        <v>89</v>
      </c>
      <c r="AX92" s="12"/>
      <c r="AY92" s="12"/>
      <c r="AZ92" s="12"/>
      <c r="BA92" s="12"/>
      <c r="BB92" s="12"/>
      <c r="BC92" s="12"/>
      <c r="BD92" s="12"/>
      <c r="BE92" s="12"/>
      <c r="BF92" s="24"/>
      <c r="BG92" s="29"/>
      <c r="BH92" s="12"/>
      <c r="BI92" s="12"/>
      <c r="BK92" s="11">
        <v>89</v>
      </c>
      <c r="BL92" s="12"/>
      <c r="BM92" s="13"/>
      <c r="BN92" s="13"/>
      <c r="BP92" s="11">
        <v>89</v>
      </c>
      <c r="BQ92" s="12"/>
      <c r="BR92" s="13"/>
      <c r="BS92" s="13"/>
      <c r="BU92" s="11">
        <v>89</v>
      </c>
      <c r="BV92" s="12"/>
      <c r="BW92" s="12"/>
      <c r="BX92" s="12"/>
      <c r="BZ92" s="11">
        <v>89</v>
      </c>
      <c r="CA92" s="12"/>
      <c r="CC92" s="11">
        <v>89</v>
      </c>
      <c r="CD92" s="12"/>
    </row>
    <row r="93" spans="1:82">
      <c r="R93" s="11">
        <v>90</v>
      </c>
      <c r="S93" s="12"/>
      <c r="T93" s="13"/>
      <c r="U93" s="13"/>
      <c r="W93" s="11">
        <v>90</v>
      </c>
      <c r="X93" s="12"/>
      <c r="Y93" s="13"/>
      <c r="Z93" s="13"/>
      <c r="AB93" s="11">
        <v>90</v>
      </c>
      <c r="AC93" s="12"/>
      <c r="AD93" s="12"/>
      <c r="AE93" s="12"/>
      <c r="AG93" s="11">
        <v>90</v>
      </c>
      <c r="AH93" s="12"/>
      <c r="AI93" s="12"/>
      <c r="AJ93" s="12"/>
      <c r="AL93" s="11">
        <v>90</v>
      </c>
      <c r="AM93" s="12"/>
      <c r="AN93" s="12"/>
      <c r="AO93" s="12"/>
      <c r="AQ93" s="11">
        <v>90</v>
      </c>
      <c r="AR93" s="13"/>
      <c r="AS93" s="13"/>
      <c r="AT93" s="11">
        <v>90</v>
      </c>
      <c r="AU93" s="13"/>
      <c r="AW93" s="11">
        <v>90</v>
      </c>
      <c r="AX93" s="12"/>
      <c r="AY93" s="12"/>
      <c r="AZ93" s="12"/>
      <c r="BA93" s="12"/>
      <c r="BB93" s="12"/>
      <c r="BC93" s="12"/>
      <c r="BD93" s="12"/>
      <c r="BE93" s="12"/>
      <c r="BF93" s="24"/>
      <c r="BG93" s="29"/>
      <c r="BH93" s="12"/>
      <c r="BI93" s="12"/>
      <c r="BK93" s="11">
        <v>90</v>
      </c>
      <c r="BL93" s="12"/>
      <c r="BM93" s="13"/>
      <c r="BN93" s="13"/>
      <c r="BP93" s="11">
        <v>90</v>
      </c>
      <c r="BQ93" s="12"/>
      <c r="BR93" s="13"/>
      <c r="BS93" s="13"/>
      <c r="BU93" s="11">
        <v>90</v>
      </c>
      <c r="BV93" s="12"/>
      <c r="BW93" s="12"/>
      <c r="BX93" s="12"/>
      <c r="BZ93" s="11">
        <v>90</v>
      </c>
      <c r="CA93" s="12"/>
      <c r="CC93" s="11">
        <v>90</v>
      </c>
      <c r="CD93" s="12"/>
    </row>
    <row r="94" spans="1:82">
      <c r="R94" s="11">
        <v>91</v>
      </c>
      <c r="S94" s="12"/>
      <c r="T94" s="13"/>
      <c r="U94" s="13"/>
      <c r="W94" s="11">
        <v>91</v>
      </c>
      <c r="X94" s="12"/>
      <c r="Y94" s="13"/>
      <c r="Z94" s="13"/>
      <c r="AB94" s="11">
        <v>91</v>
      </c>
      <c r="AC94" s="12"/>
      <c r="AD94" s="12"/>
      <c r="AE94" s="12"/>
      <c r="AG94" s="11">
        <v>91</v>
      </c>
      <c r="AH94" s="12"/>
      <c r="AI94" s="12"/>
      <c r="AJ94" s="12"/>
      <c r="AL94" s="11">
        <v>91</v>
      </c>
      <c r="AM94" s="12"/>
      <c r="AN94" s="12"/>
      <c r="AO94" s="12"/>
      <c r="AQ94" s="11">
        <v>91</v>
      </c>
      <c r="AR94" s="13"/>
      <c r="AS94" s="13"/>
      <c r="AT94" s="11">
        <v>91</v>
      </c>
      <c r="AU94" s="13"/>
      <c r="AW94" s="11">
        <v>91</v>
      </c>
      <c r="AX94" s="12"/>
      <c r="AY94" s="12"/>
      <c r="AZ94" s="12"/>
      <c r="BA94" s="12"/>
      <c r="BB94" s="12"/>
      <c r="BC94" s="12"/>
      <c r="BD94" s="12"/>
      <c r="BE94" s="12"/>
      <c r="BF94" s="24"/>
      <c r="BG94" s="29"/>
      <c r="BH94" s="12"/>
      <c r="BI94" s="12"/>
      <c r="BK94" s="11">
        <v>91</v>
      </c>
      <c r="BL94" s="12"/>
      <c r="BM94" s="13"/>
      <c r="BN94" s="13"/>
      <c r="BP94" s="11">
        <v>91</v>
      </c>
      <c r="BQ94" s="12"/>
      <c r="BR94" s="13"/>
      <c r="BS94" s="13"/>
      <c r="BU94" s="11">
        <v>91</v>
      </c>
      <c r="BV94" s="12"/>
      <c r="BW94" s="12"/>
      <c r="BX94" s="12"/>
      <c r="BZ94" s="11">
        <v>91</v>
      </c>
      <c r="CA94" s="12"/>
      <c r="CC94" s="11">
        <v>91</v>
      </c>
      <c r="CD94" s="12"/>
    </row>
    <row r="95" spans="1:82">
      <c r="R95" s="11">
        <v>92</v>
      </c>
      <c r="S95" s="12"/>
      <c r="T95" s="13"/>
      <c r="U95" s="13"/>
      <c r="W95" s="11">
        <v>92</v>
      </c>
      <c r="X95" s="12"/>
      <c r="Y95" s="13"/>
      <c r="Z95" s="13"/>
      <c r="AB95" s="11">
        <v>92</v>
      </c>
      <c r="AC95" s="12"/>
      <c r="AD95" s="12"/>
      <c r="AE95" s="12"/>
      <c r="AG95" s="11">
        <v>92</v>
      </c>
      <c r="AH95" s="12"/>
      <c r="AI95" s="12"/>
      <c r="AJ95" s="12"/>
      <c r="AL95" s="11">
        <v>92</v>
      </c>
      <c r="AM95" s="12"/>
      <c r="AN95" s="12"/>
      <c r="AO95" s="12"/>
      <c r="AQ95" s="11">
        <v>92</v>
      </c>
      <c r="AR95" s="13"/>
      <c r="AS95" s="13"/>
      <c r="AT95" s="11">
        <v>92</v>
      </c>
      <c r="AU95" s="13"/>
      <c r="AW95" s="11">
        <v>92</v>
      </c>
      <c r="AX95" s="12"/>
      <c r="AY95" s="12"/>
      <c r="AZ95" s="12"/>
      <c r="BA95" s="12"/>
      <c r="BB95" s="12"/>
      <c r="BC95" s="12"/>
      <c r="BD95" s="12"/>
      <c r="BE95" s="12"/>
      <c r="BF95" s="24"/>
      <c r="BG95" s="29"/>
      <c r="BH95" s="12"/>
      <c r="BI95" s="12"/>
      <c r="BK95" s="11">
        <v>92</v>
      </c>
      <c r="BL95" s="12"/>
      <c r="BM95" s="13"/>
      <c r="BN95" s="13"/>
      <c r="BP95" s="11">
        <v>92</v>
      </c>
      <c r="BQ95" s="12"/>
      <c r="BR95" s="13"/>
      <c r="BS95" s="13"/>
      <c r="BU95" s="11">
        <v>92</v>
      </c>
      <c r="BV95" s="12"/>
      <c r="BW95" s="12"/>
      <c r="BX95" s="12"/>
      <c r="BZ95" s="11">
        <v>92</v>
      </c>
      <c r="CA95" s="12"/>
      <c r="CC95" s="11">
        <v>92</v>
      </c>
      <c r="CD95" s="12"/>
    </row>
    <row r="96" spans="1:82">
      <c r="R96" s="11">
        <v>93</v>
      </c>
      <c r="S96" s="12"/>
      <c r="T96" s="13"/>
      <c r="U96" s="13"/>
      <c r="W96" s="11">
        <v>93</v>
      </c>
      <c r="X96" s="12"/>
      <c r="Y96" s="13"/>
      <c r="Z96" s="13"/>
      <c r="AB96" s="11">
        <v>93</v>
      </c>
      <c r="AC96" s="12"/>
      <c r="AD96" s="12"/>
      <c r="AE96" s="12"/>
      <c r="AG96" s="11">
        <v>93</v>
      </c>
      <c r="AH96" s="12"/>
      <c r="AI96" s="12"/>
      <c r="AJ96" s="12"/>
      <c r="AL96" s="11">
        <v>93</v>
      </c>
      <c r="AM96" s="12"/>
      <c r="AN96" s="12"/>
      <c r="AO96" s="12"/>
      <c r="AQ96" s="11">
        <v>93</v>
      </c>
      <c r="AR96" s="13"/>
      <c r="AS96" s="13"/>
      <c r="AT96" s="11">
        <v>93</v>
      </c>
      <c r="AU96" s="13"/>
      <c r="AW96" s="11">
        <v>93</v>
      </c>
      <c r="AX96" s="12"/>
      <c r="AY96" s="12"/>
      <c r="AZ96" s="12"/>
      <c r="BA96" s="12"/>
      <c r="BB96" s="12"/>
      <c r="BC96" s="12"/>
      <c r="BD96" s="12"/>
      <c r="BE96" s="12"/>
      <c r="BF96" s="24"/>
      <c r="BG96" s="29"/>
      <c r="BH96" s="12"/>
      <c r="BI96" s="12"/>
      <c r="BK96" s="11">
        <v>93</v>
      </c>
      <c r="BL96" s="12"/>
      <c r="BM96" s="13"/>
      <c r="BN96" s="13"/>
      <c r="BP96" s="11">
        <v>93</v>
      </c>
      <c r="BQ96" s="12"/>
      <c r="BR96" s="13"/>
      <c r="BS96" s="13"/>
      <c r="BU96" s="11">
        <v>93</v>
      </c>
      <c r="BV96" s="12"/>
      <c r="BW96" s="12"/>
      <c r="BX96" s="12"/>
      <c r="BZ96" s="11">
        <v>93</v>
      </c>
      <c r="CA96" s="12"/>
      <c r="CC96" s="11">
        <v>93</v>
      </c>
      <c r="CD96" s="12"/>
    </row>
    <row r="97" spans="18:82">
      <c r="R97" s="11">
        <v>94</v>
      </c>
      <c r="S97" s="12"/>
      <c r="T97" s="13"/>
      <c r="U97" s="13"/>
      <c r="W97" s="11">
        <v>94</v>
      </c>
      <c r="X97" s="12"/>
      <c r="Y97" s="13"/>
      <c r="Z97" s="13"/>
      <c r="AB97" s="11">
        <v>94</v>
      </c>
      <c r="AC97" s="12"/>
      <c r="AD97" s="12"/>
      <c r="AE97" s="12"/>
      <c r="AG97" s="11">
        <v>94</v>
      </c>
      <c r="AH97" s="12"/>
      <c r="AI97" s="12"/>
      <c r="AJ97" s="12"/>
      <c r="AL97" s="11">
        <v>94</v>
      </c>
      <c r="AM97" s="12"/>
      <c r="AN97" s="12"/>
      <c r="AO97" s="12"/>
      <c r="AQ97" s="11">
        <v>94</v>
      </c>
      <c r="AR97" s="13"/>
      <c r="AS97" s="13"/>
      <c r="AT97" s="11">
        <v>94</v>
      </c>
      <c r="AU97" s="13"/>
      <c r="AW97" s="11">
        <v>94</v>
      </c>
      <c r="AX97" s="12"/>
      <c r="AY97" s="12"/>
      <c r="AZ97" s="12"/>
      <c r="BA97" s="12"/>
      <c r="BB97" s="12"/>
      <c r="BC97" s="12"/>
      <c r="BD97" s="12"/>
      <c r="BE97" s="12"/>
      <c r="BF97" s="24"/>
      <c r="BG97" s="29"/>
      <c r="BH97" s="12"/>
      <c r="BI97" s="12"/>
      <c r="BK97" s="11">
        <v>94</v>
      </c>
      <c r="BL97" s="12"/>
      <c r="BM97" s="13"/>
      <c r="BN97" s="13"/>
      <c r="BP97" s="11">
        <v>94</v>
      </c>
      <c r="BQ97" s="12"/>
      <c r="BR97" s="13"/>
      <c r="BS97" s="13"/>
      <c r="BU97" s="11">
        <v>94</v>
      </c>
      <c r="BV97" s="12"/>
      <c r="BW97" s="12"/>
      <c r="BX97" s="12"/>
      <c r="BZ97" s="11">
        <v>94</v>
      </c>
      <c r="CA97" s="12"/>
      <c r="CC97" s="11">
        <v>94</v>
      </c>
      <c r="CD97" s="12"/>
    </row>
    <row r="98" spans="18:82">
      <c r="R98" s="11">
        <v>95</v>
      </c>
      <c r="S98" s="12"/>
      <c r="T98" s="13"/>
      <c r="U98" s="13"/>
      <c r="W98" s="11">
        <v>95</v>
      </c>
      <c r="X98" s="12"/>
      <c r="Y98" s="13"/>
      <c r="Z98" s="13"/>
      <c r="AB98" s="11">
        <v>95</v>
      </c>
      <c r="AC98" s="12"/>
      <c r="AD98" s="12"/>
      <c r="AE98" s="12"/>
      <c r="AG98" s="11">
        <v>95</v>
      </c>
      <c r="AH98" s="12"/>
      <c r="AI98" s="12"/>
      <c r="AJ98" s="12"/>
      <c r="AL98" s="11">
        <v>95</v>
      </c>
      <c r="AM98" s="12"/>
      <c r="AN98" s="12"/>
      <c r="AO98" s="12"/>
      <c r="AQ98" s="11">
        <v>95</v>
      </c>
      <c r="AR98" s="13"/>
      <c r="AS98" s="13"/>
      <c r="AT98" s="11">
        <v>95</v>
      </c>
      <c r="AU98" s="13"/>
      <c r="AW98" s="11">
        <v>95</v>
      </c>
      <c r="AX98" s="12"/>
      <c r="AY98" s="12"/>
      <c r="AZ98" s="12"/>
      <c r="BA98" s="12"/>
      <c r="BB98" s="12"/>
      <c r="BC98" s="12"/>
      <c r="BD98" s="12"/>
      <c r="BE98" s="12"/>
      <c r="BF98" s="24"/>
      <c r="BG98" s="29"/>
      <c r="BH98" s="12"/>
      <c r="BI98" s="12"/>
      <c r="BK98" s="11">
        <v>95</v>
      </c>
      <c r="BL98" s="12"/>
      <c r="BM98" s="13"/>
      <c r="BN98" s="13"/>
      <c r="BP98" s="11">
        <v>95</v>
      </c>
      <c r="BQ98" s="12"/>
      <c r="BR98" s="13"/>
      <c r="BS98" s="13"/>
      <c r="BU98" s="11">
        <v>95</v>
      </c>
      <c r="BV98" s="12"/>
      <c r="BW98" s="12"/>
      <c r="BX98" s="12"/>
      <c r="BZ98" s="11">
        <v>95</v>
      </c>
      <c r="CA98" s="12"/>
      <c r="CC98" s="11">
        <v>95</v>
      </c>
      <c r="CD98" s="12"/>
    </row>
    <row r="99" spans="18:82">
      <c r="R99" s="11">
        <v>96</v>
      </c>
      <c r="S99" s="12"/>
      <c r="T99" s="13"/>
      <c r="U99" s="13"/>
      <c r="W99" s="11">
        <v>96</v>
      </c>
      <c r="X99" s="12"/>
      <c r="Y99" s="13"/>
      <c r="Z99" s="13"/>
      <c r="AB99" s="11">
        <v>96</v>
      </c>
      <c r="AC99" s="12"/>
      <c r="AD99" s="12"/>
      <c r="AE99" s="12"/>
      <c r="AG99" s="11">
        <v>96</v>
      </c>
      <c r="AH99" s="12"/>
      <c r="AI99" s="12"/>
      <c r="AJ99" s="12"/>
      <c r="AL99" s="11">
        <v>96</v>
      </c>
      <c r="AM99" s="12"/>
      <c r="AN99" s="12"/>
      <c r="AO99" s="12"/>
      <c r="AQ99" s="11">
        <v>96</v>
      </c>
      <c r="AR99" s="13"/>
      <c r="AS99" s="13"/>
      <c r="AT99" s="11">
        <v>96</v>
      </c>
      <c r="AU99" s="13"/>
      <c r="AW99" s="11">
        <v>96</v>
      </c>
      <c r="AX99" s="12"/>
      <c r="AY99" s="12"/>
      <c r="AZ99" s="12"/>
      <c r="BA99" s="12"/>
      <c r="BB99" s="12"/>
      <c r="BC99" s="12"/>
      <c r="BD99" s="12"/>
      <c r="BE99" s="12"/>
      <c r="BF99" s="24"/>
      <c r="BG99" s="29"/>
      <c r="BH99" s="12"/>
      <c r="BI99" s="12"/>
      <c r="BK99" s="11">
        <v>96</v>
      </c>
      <c r="BL99" s="12"/>
      <c r="BM99" s="13"/>
      <c r="BN99" s="13"/>
      <c r="BP99" s="11">
        <v>96</v>
      </c>
      <c r="BQ99" s="12"/>
      <c r="BR99" s="13"/>
      <c r="BS99" s="13"/>
      <c r="BU99" s="11">
        <v>96</v>
      </c>
      <c r="BV99" s="12"/>
      <c r="BW99" s="12"/>
      <c r="BX99" s="12"/>
      <c r="BZ99" s="11">
        <v>96</v>
      </c>
      <c r="CA99" s="12"/>
      <c r="CC99" s="11">
        <v>96</v>
      </c>
      <c r="CD99" s="12"/>
    </row>
    <row r="100" spans="18:82">
      <c r="R100" s="11">
        <v>97</v>
      </c>
      <c r="S100" s="12"/>
      <c r="T100" s="13"/>
      <c r="U100" s="13"/>
      <c r="W100" s="11">
        <v>97</v>
      </c>
      <c r="X100" s="12"/>
      <c r="Y100" s="13"/>
      <c r="Z100" s="13"/>
      <c r="AB100" s="11">
        <v>97</v>
      </c>
      <c r="AC100" s="12"/>
      <c r="AD100" s="12"/>
      <c r="AE100" s="12"/>
      <c r="AG100" s="11">
        <v>97</v>
      </c>
      <c r="AH100" s="12"/>
      <c r="AI100" s="12"/>
      <c r="AJ100" s="12"/>
      <c r="AL100" s="11">
        <v>97</v>
      </c>
      <c r="AM100" s="12"/>
      <c r="AN100" s="12"/>
      <c r="AO100" s="12"/>
      <c r="AQ100" s="11">
        <v>97</v>
      </c>
      <c r="AR100" s="13"/>
      <c r="AS100" s="13"/>
      <c r="AT100" s="11">
        <v>97</v>
      </c>
      <c r="AU100" s="13"/>
      <c r="AW100" s="11">
        <v>97</v>
      </c>
      <c r="AX100" s="12"/>
      <c r="AY100" s="12"/>
      <c r="AZ100" s="12"/>
      <c r="BA100" s="12"/>
      <c r="BB100" s="12"/>
      <c r="BC100" s="12"/>
      <c r="BD100" s="12"/>
      <c r="BE100" s="12"/>
      <c r="BF100" s="24"/>
      <c r="BG100" s="29"/>
      <c r="BH100" s="12"/>
      <c r="BI100" s="12"/>
      <c r="BK100" s="11">
        <v>97</v>
      </c>
      <c r="BL100" s="12"/>
      <c r="BM100" s="13"/>
      <c r="BN100" s="13"/>
      <c r="BP100" s="11">
        <v>97</v>
      </c>
      <c r="BQ100" s="12"/>
      <c r="BR100" s="13"/>
      <c r="BS100" s="13"/>
      <c r="BU100" s="11">
        <v>97</v>
      </c>
      <c r="BV100" s="12"/>
      <c r="BW100" s="12"/>
      <c r="BX100" s="12"/>
      <c r="BZ100" s="11">
        <v>97</v>
      </c>
      <c r="CA100" s="12"/>
      <c r="CC100" s="11">
        <v>97</v>
      </c>
      <c r="CD100" s="12"/>
    </row>
    <row r="101" spans="18:82">
      <c r="R101" s="11">
        <v>98</v>
      </c>
      <c r="S101" s="12"/>
      <c r="T101" s="13"/>
      <c r="U101" s="13"/>
      <c r="W101" s="11">
        <v>98</v>
      </c>
      <c r="X101" s="12"/>
      <c r="Y101" s="13"/>
      <c r="Z101" s="13"/>
      <c r="AB101" s="11">
        <v>98</v>
      </c>
      <c r="AC101" s="12"/>
      <c r="AD101" s="12"/>
      <c r="AE101" s="12"/>
      <c r="AG101" s="11">
        <v>98</v>
      </c>
      <c r="AH101" s="12"/>
      <c r="AI101" s="12"/>
      <c r="AJ101" s="12"/>
      <c r="AL101" s="11">
        <v>98</v>
      </c>
      <c r="AM101" s="12"/>
      <c r="AN101" s="12"/>
      <c r="AO101" s="12"/>
      <c r="AQ101" s="11">
        <v>98</v>
      </c>
      <c r="AR101" s="13"/>
      <c r="AS101" s="13"/>
      <c r="AT101" s="11">
        <v>98</v>
      </c>
      <c r="AU101" s="13"/>
      <c r="AW101" s="11">
        <v>98</v>
      </c>
      <c r="AX101" s="12"/>
      <c r="AY101" s="12"/>
      <c r="AZ101" s="12"/>
      <c r="BA101" s="12"/>
      <c r="BB101" s="12"/>
      <c r="BC101" s="12"/>
      <c r="BD101" s="12"/>
      <c r="BE101" s="12"/>
      <c r="BF101" s="24"/>
      <c r="BG101" s="29"/>
      <c r="BH101" s="12"/>
      <c r="BI101" s="12"/>
      <c r="BK101" s="11">
        <v>98</v>
      </c>
      <c r="BL101" s="12"/>
      <c r="BM101" s="13"/>
      <c r="BN101" s="13"/>
      <c r="BP101" s="11">
        <v>98</v>
      </c>
      <c r="BQ101" s="12"/>
      <c r="BR101" s="13"/>
      <c r="BS101" s="13"/>
      <c r="BU101" s="11">
        <v>98</v>
      </c>
      <c r="BV101" s="12"/>
      <c r="BW101" s="12"/>
      <c r="BX101" s="12"/>
      <c r="BZ101" s="11">
        <v>98</v>
      </c>
      <c r="CA101" s="12"/>
      <c r="CC101" s="11">
        <v>98</v>
      </c>
      <c r="CD101" s="12"/>
    </row>
    <row r="102" spans="18:82">
      <c r="R102" s="11">
        <v>99</v>
      </c>
      <c r="S102" s="12"/>
      <c r="T102" s="13"/>
      <c r="U102" s="13"/>
      <c r="W102" s="11">
        <v>99</v>
      </c>
      <c r="X102" s="12"/>
      <c r="Y102" s="13"/>
      <c r="Z102" s="13"/>
      <c r="AB102" s="11">
        <v>99</v>
      </c>
      <c r="AC102" s="12"/>
      <c r="AD102" s="12"/>
      <c r="AE102" s="12"/>
      <c r="AG102" s="11">
        <v>99</v>
      </c>
      <c r="AH102" s="12"/>
      <c r="AI102" s="12"/>
      <c r="AJ102" s="12"/>
      <c r="AL102" s="11">
        <v>99</v>
      </c>
      <c r="AM102" s="12"/>
      <c r="AN102" s="12"/>
      <c r="AO102" s="12"/>
      <c r="AQ102" s="11">
        <v>99</v>
      </c>
      <c r="AR102" s="13"/>
      <c r="AS102" s="13"/>
      <c r="AT102" s="11">
        <v>99</v>
      </c>
      <c r="AU102" s="13"/>
      <c r="AW102" s="11">
        <v>99</v>
      </c>
      <c r="AX102" s="12"/>
      <c r="AY102" s="12"/>
      <c r="AZ102" s="12"/>
      <c r="BA102" s="12"/>
      <c r="BB102" s="12"/>
      <c r="BC102" s="12"/>
      <c r="BD102" s="12"/>
      <c r="BE102" s="12"/>
      <c r="BF102" s="24"/>
      <c r="BG102" s="29"/>
      <c r="BH102" s="12"/>
      <c r="BI102" s="12"/>
      <c r="BK102" s="11">
        <v>99</v>
      </c>
      <c r="BL102" s="12"/>
      <c r="BM102" s="13"/>
      <c r="BN102" s="13"/>
      <c r="BP102" s="11">
        <v>99</v>
      </c>
      <c r="BQ102" s="12"/>
      <c r="BR102" s="13"/>
      <c r="BS102" s="13"/>
      <c r="BU102" s="11">
        <v>99</v>
      </c>
      <c r="BV102" s="12"/>
      <c r="BW102" s="12"/>
      <c r="BX102" s="12"/>
      <c r="BZ102" s="11">
        <v>99</v>
      </c>
      <c r="CA102" s="12"/>
      <c r="CC102" s="11">
        <v>99</v>
      </c>
      <c r="CD102" s="12"/>
    </row>
    <row r="103" spans="18:82">
      <c r="R103" s="11">
        <v>100</v>
      </c>
      <c r="S103" s="12"/>
      <c r="T103" s="13"/>
      <c r="U103" s="13"/>
      <c r="W103" s="11">
        <v>100</v>
      </c>
      <c r="X103" s="12"/>
      <c r="Y103" s="13"/>
      <c r="Z103" s="13"/>
      <c r="AB103" s="11">
        <v>100</v>
      </c>
      <c r="AC103" s="12"/>
      <c r="AD103" s="12"/>
      <c r="AE103" s="12"/>
      <c r="AG103" s="11">
        <v>100</v>
      </c>
      <c r="AH103" s="12"/>
      <c r="AI103" s="12"/>
      <c r="AJ103" s="12"/>
      <c r="AL103" s="11">
        <v>100</v>
      </c>
      <c r="AM103" s="12"/>
      <c r="AN103" s="12"/>
      <c r="AO103" s="12"/>
      <c r="AQ103" s="11">
        <v>100</v>
      </c>
      <c r="AR103" s="13"/>
      <c r="AS103" s="13"/>
      <c r="AT103" s="11">
        <v>100</v>
      </c>
      <c r="AU103" s="13"/>
      <c r="AW103" s="11">
        <v>100</v>
      </c>
      <c r="AX103" s="12"/>
      <c r="AY103" s="12"/>
      <c r="AZ103" s="12"/>
      <c r="BA103" s="12"/>
      <c r="BB103" s="12"/>
      <c r="BC103" s="12"/>
      <c r="BD103" s="12"/>
      <c r="BE103" s="12"/>
      <c r="BF103" s="24"/>
      <c r="BG103" s="29"/>
      <c r="BH103" s="12"/>
      <c r="BI103" s="12"/>
      <c r="BK103" s="11">
        <v>100</v>
      </c>
      <c r="BL103" s="12"/>
      <c r="BM103" s="13"/>
      <c r="BN103" s="13"/>
      <c r="BP103" s="11">
        <v>100</v>
      </c>
      <c r="BQ103" s="12"/>
      <c r="BR103" s="13"/>
      <c r="BS103" s="13"/>
      <c r="BU103" s="11">
        <v>100</v>
      </c>
      <c r="BV103" s="12"/>
      <c r="BW103" s="12"/>
      <c r="BX103" s="12"/>
      <c r="BZ103" s="11">
        <v>100</v>
      </c>
      <c r="CA103" s="12"/>
      <c r="CC103" s="11">
        <v>100</v>
      </c>
      <c r="CD103" s="12"/>
    </row>
    <row r="111" spans="18:82">
      <c r="U111"/>
      <c r="AC111"/>
      <c r="AD111"/>
      <c r="AE111"/>
    </row>
    <row r="112" spans="18:82">
      <c r="U112" s="15"/>
      <c r="V112" s="15"/>
      <c r="W112" s="15"/>
      <c r="X112" s="15"/>
      <c r="Y112" s="15"/>
      <c r="Z112" s="15"/>
      <c r="AA112" s="15"/>
      <c r="AB112" s="15"/>
      <c r="AC112" s="15"/>
      <c r="AD112" s="15"/>
      <c r="AE112" s="15"/>
      <c r="AF112" s="15"/>
      <c r="AP112" s="15"/>
    </row>
    <row r="113" spans="9:42">
      <c r="V113" s="16"/>
      <c r="W113" s="16"/>
      <c r="X113" s="16"/>
      <c r="Y113" s="16"/>
      <c r="Z113" s="16"/>
      <c r="AA113" s="16"/>
      <c r="AB113" s="16"/>
      <c r="AF113" s="16"/>
      <c r="AP113" s="16"/>
    </row>
    <row r="126" spans="9:42">
      <c r="I126" s="34"/>
    </row>
  </sheetData>
  <mergeCells count="2">
    <mergeCell ref="J2:N2"/>
    <mergeCell ref="L5:N5"/>
  </mergeCells>
  <phoneticPr fontId="1" type="noConversion"/>
  <conditionalFormatting sqref="AF113">
    <cfRule type="cellIs" dxfId="1312" priority="307" operator="equal">
      <formula>"E"</formula>
    </cfRule>
  </conditionalFormatting>
  <conditionalFormatting sqref="Y39:Z52">
    <cfRule type="cellIs" dxfId="1311" priority="331" operator="equal">
      <formula>"M4"</formula>
    </cfRule>
    <cfRule type="cellIs" dxfId="1310" priority="332" operator="equal">
      <formula>"M3"</formula>
    </cfRule>
    <cfRule type="cellIs" dxfId="1309" priority="333" operator="equal">
      <formula>"M2"</formula>
    </cfRule>
    <cfRule type="cellIs" dxfId="1308" priority="334" operator="equal">
      <formula>"M1"</formula>
    </cfRule>
  </conditionalFormatting>
  <conditionalFormatting sqref="AD1:AE1 AB1 X2:Z2 X39:Z103">
    <cfRule type="cellIs" dxfId="1307" priority="330" operator="equal">
      <formula>"E"</formula>
    </cfRule>
  </conditionalFormatting>
  <conditionalFormatting sqref="AC39:AE110 AC114:AE1048576 AC3:AC38">
    <cfRule type="cellIs" dxfId="1306" priority="329" operator="equal">
      <formula>"E"</formula>
    </cfRule>
  </conditionalFormatting>
  <conditionalFormatting sqref="AC2:AE2">
    <cfRule type="cellIs" dxfId="1305" priority="328" operator="equal">
      <formula>"E"</formula>
    </cfRule>
  </conditionalFormatting>
  <conditionalFormatting sqref="AB2:AB70">
    <cfRule type="cellIs" dxfId="1304" priority="326" stopIfTrue="1" operator="equal">
      <formula>"WW"</formula>
    </cfRule>
    <cfRule type="cellIs" dxfId="1303" priority="327" stopIfTrue="1" operator="equal">
      <formula>"C2"</formula>
    </cfRule>
  </conditionalFormatting>
  <conditionalFormatting sqref="W2:W70">
    <cfRule type="cellIs" dxfId="1302" priority="324" stopIfTrue="1" operator="equal">
      <formula>"WW"</formula>
    </cfRule>
    <cfRule type="cellIs" dxfId="1301" priority="325" stopIfTrue="1" operator="equal">
      <formula>"C2"</formula>
    </cfRule>
  </conditionalFormatting>
  <conditionalFormatting sqref="X39:Z103">
    <cfRule type="cellIs" dxfId="1300" priority="320" operator="equal">
      <formula>"M4"</formula>
    </cfRule>
    <cfRule type="cellIs" dxfId="1299" priority="321" operator="equal">
      <formula>"M3"</formula>
    </cfRule>
    <cfRule type="cellIs" dxfId="1298" priority="322" operator="equal">
      <formula>"M2"</formula>
    </cfRule>
    <cfRule type="cellIs" dxfId="1297" priority="323" operator="equal">
      <formula>"M1"</formula>
    </cfRule>
  </conditionalFormatting>
  <conditionalFormatting sqref="V113:AE113 AP113">
    <cfRule type="cellIs" dxfId="1296" priority="319" operator="equal">
      <formula>"E"</formula>
    </cfRule>
  </conditionalFormatting>
  <conditionalFormatting sqref="AE4:AE38">
    <cfRule type="cellIs" dxfId="1295" priority="308" operator="equal">
      <formula>"E"</formula>
    </cfRule>
  </conditionalFormatting>
  <conditionalFormatting sqref="J13">
    <cfRule type="dataBar" priority="29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{EC7C806E-3F22-4560-8F86-EE903A304FD1}</x14:id>
        </ext>
      </extLst>
    </cfRule>
  </conditionalFormatting>
  <conditionalFormatting sqref="AE3">
    <cfRule type="cellIs" dxfId="1294" priority="291" operator="equal">
      <formula>"E"</formula>
    </cfRule>
  </conditionalFormatting>
  <conditionalFormatting sqref="AD3:AD38">
    <cfRule type="cellIs" dxfId="1293" priority="290" operator="equal">
      <formula>"E"</formula>
    </cfRule>
  </conditionalFormatting>
  <conditionalFormatting sqref="U113">
    <cfRule type="cellIs" dxfId="1292" priority="163" operator="equal">
      <formula>"E"</formula>
    </cfRule>
  </conditionalFormatting>
  <conditionalFormatting sqref="R1:R70">
    <cfRule type="cellIs" dxfId="1291" priority="169" stopIfTrue="1" operator="equal">
      <formula>"WW"</formula>
    </cfRule>
    <cfRule type="cellIs" dxfId="1290" priority="170" stopIfTrue="1" operator="equal">
      <formula>"C2"</formula>
    </cfRule>
  </conditionalFormatting>
  <conditionalFormatting sqref="S39:U103 S3:S38">
    <cfRule type="cellIs" dxfId="1289" priority="165" operator="equal">
      <formula>"M4"</formula>
    </cfRule>
    <cfRule type="cellIs" dxfId="1288" priority="166" operator="equal">
      <formula>"M3"</formula>
    </cfRule>
    <cfRule type="cellIs" dxfId="1287" priority="167" operator="equal">
      <formula>"M2"</formula>
    </cfRule>
    <cfRule type="cellIs" dxfId="1286" priority="168" operator="equal">
      <formula>"M1"</formula>
    </cfRule>
  </conditionalFormatting>
  <conditionalFormatting sqref="S1:U2 S114:U1048576 S111:T113 S39:U110 S3:S38">
    <cfRule type="cellIs" dxfId="1285" priority="164" operator="equal">
      <formula>"E"</formula>
    </cfRule>
  </conditionalFormatting>
  <conditionalFormatting sqref="T3:T38">
    <cfRule type="cellIs" dxfId="1284" priority="159" operator="equal">
      <formula>"M4"</formula>
    </cfRule>
    <cfRule type="cellIs" dxfId="1283" priority="160" operator="equal">
      <formula>"M3"</formula>
    </cfRule>
    <cfRule type="cellIs" dxfId="1282" priority="161" operator="equal">
      <formula>"M2"</formula>
    </cfRule>
    <cfRule type="cellIs" dxfId="1281" priority="162" operator="equal">
      <formula>"M1"</formula>
    </cfRule>
  </conditionalFormatting>
  <conditionalFormatting sqref="T3:T38">
    <cfRule type="cellIs" dxfId="1280" priority="158" operator="equal">
      <formula>"E"</formula>
    </cfRule>
  </conditionalFormatting>
  <conditionalFormatting sqref="U3:U38">
    <cfRule type="cellIs" dxfId="1279" priority="154" operator="equal">
      <formula>"M4"</formula>
    </cfRule>
    <cfRule type="cellIs" dxfId="1278" priority="155" operator="equal">
      <formula>"M3"</formula>
    </cfRule>
    <cfRule type="cellIs" dxfId="1277" priority="156" operator="equal">
      <formula>"M2"</formula>
    </cfRule>
    <cfRule type="cellIs" dxfId="1276" priority="157" operator="equal">
      <formula>"M1"</formula>
    </cfRule>
  </conditionalFormatting>
  <conditionalFormatting sqref="U3:U38">
    <cfRule type="cellIs" dxfId="1275" priority="153" operator="equal">
      <formula>"E"</formula>
    </cfRule>
  </conditionalFormatting>
  <conditionalFormatting sqref="Y3:Z38">
    <cfRule type="cellIs" dxfId="1274" priority="149" operator="equal">
      <formula>"M4"</formula>
    </cfRule>
    <cfRule type="cellIs" dxfId="1273" priority="150" operator="equal">
      <formula>"M3"</formula>
    </cfRule>
    <cfRule type="cellIs" dxfId="1272" priority="151" operator="equal">
      <formula>"M2"</formula>
    </cfRule>
    <cfRule type="cellIs" dxfId="1271" priority="152" operator="equal">
      <formula>"M1"</formula>
    </cfRule>
  </conditionalFormatting>
  <conditionalFormatting sqref="X3:Z38">
    <cfRule type="cellIs" dxfId="1270" priority="148" operator="equal">
      <formula>"E"</formula>
    </cfRule>
  </conditionalFormatting>
  <conditionalFormatting sqref="X3:Z38">
    <cfRule type="cellIs" dxfId="1269" priority="144" operator="equal">
      <formula>"M4"</formula>
    </cfRule>
    <cfRule type="cellIs" dxfId="1268" priority="145" operator="equal">
      <formula>"M3"</formula>
    </cfRule>
    <cfRule type="cellIs" dxfId="1267" priority="146" operator="equal">
      <formula>"M2"</formula>
    </cfRule>
    <cfRule type="cellIs" dxfId="1266" priority="147" operator="equal">
      <formula>"M1"</formula>
    </cfRule>
  </conditionalFormatting>
  <conditionalFormatting sqref="AH2:AJ2">
    <cfRule type="cellIs" dxfId="1265" priority="141" operator="equal">
      <formula>"E"</formula>
    </cfRule>
  </conditionalFormatting>
  <conditionalFormatting sqref="AO3:AO38">
    <cfRule type="cellIs" dxfId="1264" priority="133" operator="equal">
      <formula>"E"</formula>
    </cfRule>
  </conditionalFormatting>
  <conditionalFormatting sqref="AN1:AO1 AL1">
    <cfRule type="cellIs" dxfId="1263" priority="138" operator="equal">
      <formula>"E"</formula>
    </cfRule>
  </conditionalFormatting>
  <conditionalFormatting sqref="AI1:AJ1 AG1">
    <cfRule type="cellIs" dxfId="1262" priority="143" operator="equal">
      <formula>"E"</formula>
    </cfRule>
  </conditionalFormatting>
  <conditionalFormatting sqref="AH3:AJ103">
    <cfRule type="cellIs" dxfId="1261" priority="142" operator="equal">
      <formula>"E"</formula>
    </cfRule>
  </conditionalFormatting>
  <conditionalFormatting sqref="AG2:AG70">
    <cfRule type="cellIs" dxfId="1260" priority="139" stopIfTrue="1" operator="equal">
      <formula>"WW"</formula>
    </cfRule>
    <cfRule type="cellIs" dxfId="1259" priority="140" stopIfTrue="1" operator="equal">
      <formula>"C2"</formula>
    </cfRule>
  </conditionalFormatting>
  <conditionalFormatting sqref="AM39:AO103">
    <cfRule type="cellIs" dxfId="1258" priority="137" operator="equal">
      <formula>"E"</formula>
    </cfRule>
  </conditionalFormatting>
  <conditionalFormatting sqref="AM2:AO2">
    <cfRule type="cellIs" dxfId="1257" priority="136" operator="equal">
      <formula>"E"</formula>
    </cfRule>
  </conditionalFormatting>
  <conditionalFormatting sqref="AL2:AL70">
    <cfRule type="cellIs" dxfId="1256" priority="134" stopIfTrue="1" operator="equal">
      <formula>"WW"</formula>
    </cfRule>
    <cfRule type="cellIs" dxfId="1255" priority="135" stopIfTrue="1" operator="equal">
      <formula>"C2"</formula>
    </cfRule>
  </conditionalFormatting>
  <conditionalFormatting sqref="AM3:AM38">
    <cfRule type="cellIs" dxfId="1254" priority="132" operator="equal">
      <formula>"E"</formula>
    </cfRule>
  </conditionalFormatting>
  <conditionalFormatting sqref="AN3:AN38">
    <cfRule type="cellIs" dxfId="1253" priority="131" operator="equal">
      <formula>"E"</formula>
    </cfRule>
  </conditionalFormatting>
  <conditionalFormatting sqref="AQ1">
    <cfRule type="cellIs" dxfId="1252" priority="99" operator="equal">
      <formula>"E"</formula>
    </cfRule>
  </conditionalFormatting>
  <conditionalFormatting sqref="BA3:BA12 BA43:BA103">
    <cfRule type="cellIs" dxfId="1251" priority="95" operator="equal">
      <formula>"E"</formula>
    </cfRule>
  </conditionalFormatting>
  <conditionalFormatting sqref="AZ2">
    <cfRule type="cellIs" dxfId="1250" priority="96" operator="equal">
      <formula>"E"</formula>
    </cfRule>
  </conditionalFormatting>
  <conditionalFormatting sqref="BI2">
    <cfRule type="cellIs" dxfId="1249" priority="56" operator="equal">
      <formula>"E"</formula>
    </cfRule>
  </conditionalFormatting>
  <conditionalFormatting sqref="BA2">
    <cfRule type="cellIs" dxfId="1248" priority="94" operator="equal">
      <formula>"E"</formula>
    </cfRule>
  </conditionalFormatting>
  <conditionalFormatting sqref="BB43:BB103">
    <cfRule type="cellIs" dxfId="1247" priority="93" operator="equal">
      <formula>"E"</formula>
    </cfRule>
  </conditionalFormatting>
  <conditionalFormatting sqref="BB2">
    <cfRule type="cellIs" dxfId="1246" priority="92" operator="equal">
      <formula>"E"</formula>
    </cfRule>
  </conditionalFormatting>
  <conditionalFormatting sqref="BC43:BC103">
    <cfRule type="cellIs" dxfId="1245" priority="91" operator="equal">
      <formula>"E"</formula>
    </cfRule>
  </conditionalFormatting>
  <conditionalFormatting sqref="BC2">
    <cfRule type="cellIs" dxfId="1244" priority="90" operator="equal">
      <formula>"E"</formula>
    </cfRule>
  </conditionalFormatting>
  <conditionalFormatting sqref="BD43:BD103">
    <cfRule type="cellIs" dxfId="1243" priority="89" operator="equal">
      <formula>"E"</formula>
    </cfRule>
  </conditionalFormatting>
  <conditionalFormatting sqref="BD2">
    <cfRule type="cellIs" dxfId="1242" priority="88" operator="equal">
      <formula>"E"</formula>
    </cfRule>
  </conditionalFormatting>
  <conditionalFormatting sqref="BE43:BE103">
    <cfRule type="cellIs" dxfId="1241" priority="87" operator="equal">
      <formula>"E"</formula>
    </cfRule>
  </conditionalFormatting>
  <conditionalFormatting sqref="BE2">
    <cfRule type="cellIs" dxfId="1240" priority="86" operator="equal">
      <formula>"E"</formula>
    </cfRule>
  </conditionalFormatting>
  <conditionalFormatting sqref="BF43:BF103">
    <cfRule type="cellIs" dxfId="1239" priority="85" operator="equal">
      <formula>"E"</formula>
    </cfRule>
  </conditionalFormatting>
  <conditionalFormatting sqref="BF2">
    <cfRule type="cellIs" dxfId="1238" priority="84" operator="equal">
      <formula>"E"</formula>
    </cfRule>
  </conditionalFormatting>
  <conditionalFormatting sqref="BB3:BB12">
    <cfRule type="cellIs" dxfId="1237" priority="83" operator="equal">
      <formula>"E"</formula>
    </cfRule>
  </conditionalFormatting>
  <conditionalFormatting sqref="BE3:BE12">
    <cfRule type="cellIs" dxfId="1236" priority="82" operator="equal">
      <formula>"E"</formula>
    </cfRule>
  </conditionalFormatting>
  <conditionalFormatting sqref="BF3:BF12">
    <cfRule type="cellIs" dxfId="1235" priority="81" operator="equal">
      <formula>"E"</formula>
    </cfRule>
  </conditionalFormatting>
  <conditionalFormatting sqref="BG43:BG103">
    <cfRule type="cellIs" dxfId="1234" priority="80" operator="equal">
      <formula>"E"</formula>
    </cfRule>
  </conditionalFormatting>
  <conditionalFormatting sqref="BG2">
    <cfRule type="cellIs" dxfId="1233" priority="79" operator="equal">
      <formula>"E"</formula>
    </cfRule>
  </conditionalFormatting>
  <conditionalFormatting sqref="BG3:BG12">
    <cfRule type="cellIs" dxfId="1232" priority="78" operator="equal">
      <formula>"E"</formula>
    </cfRule>
  </conditionalFormatting>
  <conditionalFormatting sqref="BH43:BH103">
    <cfRule type="cellIs" dxfId="1231" priority="77" operator="equal">
      <formula>"E"</formula>
    </cfRule>
  </conditionalFormatting>
  <conditionalFormatting sqref="BH2">
    <cfRule type="cellIs" dxfId="1230" priority="76" operator="equal">
      <formula>"E"</formula>
    </cfRule>
  </conditionalFormatting>
  <conditionalFormatting sqref="BH3:BH12">
    <cfRule type="cellIs" dxfId="1229" priority="75" operator="equal">
      <formula>"E"</formula>
    </cfRule>
  </conditionalFormatting>
  <conditionalFormatting sqref="BU1 BL1:BN2 BQ2:BS103 BL39:BN1048576 BL3:BL38">
    <cfRule type="cellIs" dxfId="1228" priority="68" operator="equal">
      <formula>"E"</formula>
    </cfRule>
  </conditionalFormatting>
  <conditionalFormatting sqref="AX3:AX103">
    <cfRule type="cellIs" dxfId="1227" priority="59" operator="equal">
      <formula>"E"</formula>
    </cfRule>
  </conditionalFormatting>
  <conditionalFormatting sqref="AX2">
    <cfRule type="cellIs" dxfId="1226" priority="58" operator="equal">
      <formula>"E"</formula>
    </cfRule>
  </conditionalFormatting>
  <conditionalFormatting sqref="BI43:BI103">
    <cfRule type="cellIs" dxfId="1225" priority="57" operator="equal">
      <formula>"E"</formula>
    </cfRule>
  </conditionalFormatting>
  <conditionalFormatting sqref="BM3:BM38">
    <cfRule type="cellIs" dxfId="1224" priority="51" operator="equal">
      <formula>"E"</formula>
    </cfRule>
  </conditionalFormatting>
  <conditionalFormatting sqref="BA13:BA22">
    <cfRule type="cellIs" dxfId="1223" priority="43" operator="equal">
      <formula>"E"</formula>
    </cfRule>
  </conditionalFormatting>
  <conditionalFormatting sqref="BH13:BH22">
    <cfRule type="cellIs" dxfId="1222" priority="38" operator="equal">
      <formula>"E"</formula>
    </cfRule>
  </conditionalFormatting>
  <conditionalFormatting sqref="BE23:BE32">
    <cfRule type="cellIs" dxfId="1221" priority="33" operator="equal">
      <formula>"E"</formula>
    </cfRule>
  </conditionalFormatting>
  <conditionalFormatting sqref="AZ33:AZ42">
    <cfRule type="cellIs" dxfId="1220" priority="28" operator="equal">
      <formula>"E"</formula>
    </cfRule>
  </conditionalFormatting>
  <conditionalFormatting sqref="BA33:BA42">
    <cfRule type="cellIs" dxfId="1219" priority="27" operator="equal">
      <formula>"E"</formula>
    </cfRule>
  </conditionalFormatting>
  <conditionalFormatting sqref="BB33:BB42">
    <cfRule type="cellIs" dxfId="1218" priority="26" operator="equal">
      <formula>"E"</formula>
    </cfRule>
  </conditionalFormatting>
  <conditionalFormatting sqref="BE33:BE42">
    <cfRule type="cellIs" dxfId="1217" priority="25" operator="equal">
      <formula>"E"</formula>
    </cfRule>
  </conditionalFormatting>
  <conditionalFormatting sqref="CD3:CD1048576">
    <cfRule type="cellIs" dxfId="1216" priority="12" operator="equal">
      <formula>"E"</formula>
    </cfRule>
  </conditionalFormatting>
  <conditionalFormatting sqref="CD2">
    <cfRule type="cellIs" dxfId="1215" priority="9" operator="equal">
      <formula>"E"</formula>
    </cfRule>
  </conditionalFormatting>
  <conditionalFormatting sqref="BC23:BC32">
    <cfRule type="cellIs" dxfId="1214" priority="6" operator="equal">
      <formula>"E"</formula>
    </cfRule>
  </conditionalFormatting>
  <conditionalFormatting sqref="BC33:BC42">
    <cfRule type="cellIs" dxfId="1213" priority="5" operator="equal">
      <formula>"E"</formula>
    </cfRule>
  </conditionalFormatting>
  <conditionalFormatting sqref="BD3:BD12">
    <cfRule type="cellIs" dxfId="1212" priority="4" operator="equal">
      <formula>"E"</formula>
    </cfRule>
  </conditionalFormatting>
  <conditionalFormatting sqref="AU3:AU42">
    <cfRule type="cellIs" dxfId="1211" priority="127" operator="equal">
      <formula>"M4"</formula>
    </cfRule>
    <cfRule type="cellIs" dxfId="1210" priority="128" operator="equal">
      <formula>"M3"</formula>
    </cfRule>
    <cfRule type="cellIs" dxfId="1209" priority="129" operator="equal">
      <formula>"M2"</formula>
    </cfRule>
    <cfRule type="cellIs" dxfId="1208" priority="130" operator="equal">
      <formula>"M1"</formula>
    </cfRule>
  </conditionalFormatting>
  <conditionalFormatting sqref="AS39:AS103 AU2:AU42 BW1 AR1:AR1048576 BV2:BW1048576 BX1:BX1048576">
    <cfRule type="cellIs" dxfId="1207" priority="125" operator="equal">
      <formula>"E"</formula>
    </cfRule>
  </conditionalFormatting>
  <conditionalFormatting sqref="AS39:AS103 AU3:AU42 AR3:AR103">
    <cfRule type="cellIs" dxfId="1206" priority="114" operator="equal">
      <formula>"RE"</formula>
    </cfRule>
    <cfRule type="cellIs" dxfId="1205" priority="115" operator="equal">
      <formula>"3000"</formula>
    </cfRule>
    <cfRule type="cellIs" dxfId="1204" priority="116" operator="equal">
      <formula>"300"</formula>
    </cfRule>
    <cfRule type="cellIs" dxfId="1203" priority="117" operator="equal">
      <formula>"100"</formula>
    </cfRule>
    <cfRule type="cellIs" dxfId="1202" priority="118" operator="equal">
      <formula>"50"</formula>
    </cfRule>
    <cfRule type="cellIs" dxfId="1201" priority="119" operator="equal">
      <formula>"40"</formula>
    </cfRule>
    <cfRule type="cellIs" dxfId="1200" priority="120" operator="equal">
      <formula>"20"</formula>
    </cfRule>
  </conditionalFormatting>
  <conditionalFormatting sqref="AR1 AR104:AR1048576">
    <cfRule type="cellIs" dxfId="1199" priority="121" operator="equal">
      <formula>"M4"</formula>
    </cfRule>
    <cfRule type="cellIs" dxfId="1198" priority="122" operator="equal">
      <formula>"M3"</formula>
    </cfRule>
    <cfRule type="cellIs" dxfId="1197" priority="123" operator="equal">
      <formula>"M1"</formula>
    </cfRule>
    <cfRule type="cellIs" dxfId="1196" priority="124" operator="equal">
      <formula>"M2"</formula>
    </cfRule>
    <cfRule type="cellIs" dxfId="1195" priority="126" stopIfTrue="1" operator="between">
      <formula>"C1"</formula>
      <formula>"C2"</formula>
    </cfRule>
  </conditionalFormatting>
  <conditionalFormatting sqref="AQ2:AQ70">
    <cfRule type="cellIs" dxfId="1194" priority="112" stopIfTrue="1" operator="equal">
      <formula>"WW"</formula>
    </cfRule>
    <cfRule type="cellIs" dxfId="1193" priority="113" stopIfTrue="1" operator="equal">
      <formula>"C2"</formula>
    </cfRule>
  </conditionalFormatting>
  <conditionalFormatting sqref="AT2:AT70">
    <cfRule type="cellIs" dxfId="1192" priority="110" stopIfTrue="1" operator="equal">
      <formula>"WW"</formula>
    </cfRule>
    <cfRule type="cellIs" dxfId="1191" priority="111" stopIfTrue="1" operator="equal">
      <formula>"C2"</formula>
    </cfRule>
  </conditionalFormatting>
  <conditionalFormatting sqref="AU43:AU103">
    <cfRule type="cellIs" dxfId="1190" priority="109" operator="equal">
      <formula>"E"</formula>
    </cfRule>
  </conditionalFormatting>
  <conditionalFormatting sqref="AU43:AU103">
    <cfRule type="cellIs" dxfId="1189" priority="105" operator="equal">
      <formula>"M4"</formula>
    </cfRule>
    <cfRule type="cellIs" dxfId="1188" priority="106" operator="equal">
      <formula>"M3"</formula>
    </cfRule>
    <cfRule type="cellIs" dxfId="1187" priority="107" operator="equal">
      <formula>"M2"</formula>
    </cfRule>
    <cfRule type="cellIs" dxfId="1186" priority="108" operator="equal">
      <formula>"M1"</formula>
    </cfRule>
  </conditionalFormatting>
  <conditionalFormatting sqref="AW1">
    <cfRule type="cellIs" dxfId="1185" priority="104" operator="equal">
      <formula>"E"</formula>
    </cfRule>
  </conditionalFormatting>
  <conditionalFormatting sqref="AY3:AY103">
    <cfRule type="cellIs" dxfId="1184" priority="103" operator="equal">
      <formula>"E"</formula>
    </cfRule>
  </conditionalFormatting>
  <conditionalFormatting sqref="AY2">
    <cfRule type="cellIs" dxfId="1183" priority="102" operator="equal">
      <formula>"E"</formula>
    </cfRule>
  </conditionalFormatting>
  <conditionalFormatting sqref="AW2:AW70">
    <cfRule type="cellIs" dxfId="1182" priority="100" stopIfTrue="1" operator="equal">
      <formula>"WW"</formula>
    </cfRule>
    <cfRule type="cellIs" dxfId="1181" priority="101" stopIfTrue="1" operator="equal">
      <formula>"C2"</formula>
    </cfRule>
  </conditionalFormatting>
  <conditionalFormatting sqref="AT1">
    <cfRule type="cellIs" dxfId="1180" priority="98" operator="equal">
      <formula>"E"</formula>
    </cfRule>
  </conditionalFormatting>
  <conditionalFormatting sqref="AZ3:AZ12 AZ43:AZ103">
    <cfRule type="cellIs" dxfId="1179" priority="97" operator="equal">
      <formula>"E"</formula>
    </cfRule>
  </conditionalFormatting>
  <conditionalFormatting sqref="BK1:BK70">
    <cfRule type="cellIs" dxfId="1178" priority="73" stopIfTrue="1" operator="equal">
      <formula>"WW"</formula>
    </cfRule>
    <cfRule type="cellIs" dxfId="1177" priority="74" stopIfTrue="1" operator="equal">
      <formula>"C2"</formula>
    </cfRule>
  </conditionalFormatting>
  <conditionalFormatting sqref="BL39:BN103 BR3:BS52 BL3:BL38">
    <cfRule type="cellIs" dxfId="1176" priority="69" operator="equal">
      <formula>"M4"</formula>
    </cfRule>
    <cfRule type="cellIs" dxfId="1175" priority="70" operator="equal">
      <formula>"M3"</formula>
    </cfRule>
    <cfRule type="cellIs" dxfId="1174" priority="71" operator="equal">
      <formula>"M2"</formula>
    </cfRule>
    <cfRule type="cellIs" dxfId="1173" priority="72" operator="equal">
      <formula>"M1"</formula>
    </cfRule>
  </conditionalFormatting>
  <conditionalFormatting sqref="BU2:BU70">
    <cfRule type="cellIs" dxfId="1172" priority="66" stopIfTrue="1" operator="equal">
      <formula>"WW"</formula>
    </cfRule>
    <cfRule type="cellIs" dxfId="1171" priority="67" stopIfTrue="1" operator="equal">
      <formula>"C2"</formula>
    </cfRule>
  </conditionalFormatting>
  <conditionalFormatting sqref="BP2:BP70">
    <cfRule type="cellIs" dxfId="1170" priority="64" stopIfTrue="1" operator="equal">
      <formula>"WW"</formula>
    </cfRule>
    <cfRule type="cellIs" dxfId="1169" priority="65" stopIfTrue="1" operator="equal">
      <formula>"C2"</formula>
    </cfRule>
  </conditionalFormatting>
  <conditionalFormatting sqref="BQ3:BS103">
    <cfRule type="cellIs" dxfId="1168" priority="60" operator="equal">
      <formula>"M4"</formula>
    </cfRule>
    <cfRule type="cellIs" dxfId="1167" priority="61" operator="equal">
      <formula>"M3"</formula>
    </cfRule>
    <cfRule type="cellIs" dxfId="1166" priority="62" operator="equal">
      <formula>"M2"</formula>
    </cfRule>
    <cfRule type="cellIs" dxfId="1165" priority="63" operator="equal">
      <formula>"M1"</formula>
    </cfRule>
  </conditionalFormatting>
  <conditionalFormatting sqref="BM3:BM38">
    <cfRule type="cellIs" dxfId="1164" priority="52" operator="equal">
      <formula>"M4"</formula>
    </cfRule>
    <cfRule type="cellIs" dxfId="1163" priority="53" operator="equal">
      <formula>"M3"</formula>
    </cfRule>
    <cfRule type="cellIs" dxfId="1162" priority="54" operator="equal">
      <formula>"M2"</formula>
    </cfRule>
    <cfRule type="cellIs" dxfId="1161" priority="55" operator="equal">
      <formula>"M1"</formula>
    </cfRule>
  </conditionalFormatting>
  <conditionalFormatting sqref="BN3:BN38">
    <cfRule type="cellIs" dxfId="1160" priority="47" operator="equal">
      <formula>"M4"</formula>
    </cfRule>
    <cfRule type="cellIs" dxfId="1159" priority="48" operator="equal">
      <formula>"M3"</formula>
    </cfRule>
    <cfRule type="cellIs" dxfId="1158" priority="49" operator="equal">
      <formula>"M2"</formula>
    </cfRule>
    <cfRule type="cellIs" dxfId="1157" priority="50" operator="equal">
      <formula>"M1"</formula>
    </cfRule>
  </conditionalFormatting>
  <conditionalFormatting sqref="BN3:BN38">
    <cfRule type="cellIs" dxfId="1156" priority="46" operator="equal">
      <formula>"E"</formula>
    </cfRule>
  </conditionalFormatting>
  <conditionalFormatting sqref="BI3:BI12">
    <cfRule type="cellIs" dxfId="1155" priority="45" operator="equal">
      <formula>"E"</formula>
    </cfRule>
  </conditionalFormatting>
  <conditionalFormatting sqref="AZ13:AZ22">
    <cfRule type="cellIs" dxfId="1154" priority="44" operator="equal">
      <formula>"E"</formula>
    </cfRule>
  </conditionalFormatting>
  <conditionalFormatting sqref="BB13:BB22">
    <cfRule type="cellIs" dxfId="1153" priority="42" operator="equal">
      <formula>"E"</formula>
    </cfRule>
  </conditionalFormatting>
  <conditionalFormatting sqref="BF13:BF22">
    <cfRule type="cellIs" dxfId="1152" priority="40" operator="equal">
      <formula>"E"</formula>
    </cfRule>
  </conditionalFormatting>
  <conditionalFormatting sqref="BE13:BE22">
    <cfRule type="cellIs" dxfId="1151" priority="41" operator="equal">
      <formula>"E"</formula>
    </cfRule>
  </conditionalFormatting>
  <conditionalFormatting sqref="BG13:BG22">
    <cfRule type="cellIs" dxfId="1150" priority="39" operator="equal">
      <formula>"E"</formula>
    </cfRule>
  </conditionalFormatting>
  <conditionalFormatting sqref="BI13:BI22">
    <cfRule type="cellIs" dxfId="1149" priority="37" operator="equal">
      <formula>"E"</formula>
    </cfRule>
  </conditionalFormatting>
  <conditionalFormatting sqref="AZ23:AZ32">
    <cfRule type="cellIs" dxfId="1148" priority="36" operator="equal">
      <formula>"E"</formula>
    </cfRule>
  </conditionalFormatting>
  <conditionalFormatting sqref="BA23:BA32">
    <cfRule type="cellIs" dxfId="1147" priority="35" operator="equal">
      <formula>"E"</formula>
    </cfRule>
  </conditionalFormatting>
  <conditionalFormatting sqref="BB23:BB32">
    <cfRule type="cellIs" dxfId="1146" priority="34" operator="equal">
      <formula>"E"</formula>
    </cfRule>
  </conditionalFormatting>
  <conditionalFormatting sqref="BH23:BH32">
    <cfRule type="cellIs" dxfId="1145" priority="30" operator="equal">
      <formula>"E"</formula>
    </cfRule>
  </conditionalFormatting>
  <conditionalFormatting sqref="BF23:BF32">
    <cfRule type="cellIs" dxfId="1144" priority="32" operator="equal">
      <formula>"E"</formula>
    </cfRule>
  </conditionalFormatting>
  <conditionalFormatting sqref="BG23:BG32">
    <cfRule type="cellIs" dxfId="1143" priority="31" operator="equal">
      <formula>"E"</formula>
    </cfRule>
  </conditionalFormatting>
  <conditionalFormatting sqref="BI23:BI32">
    <cfRule type="cellIs" dxfId="1142" priority="29" operator="equal">
      <formula>"E"</formula>
    </cfRule>
  </conditionalFormatting>
  <conditionalFormatting sqref="BH33:BH42">
    <cfRule type="cellIs" dxfId="1141" priority="22" operator="equal">
      <formula>"E"</formula>
    </cfRule>
  </conditionalFormatting>
  <conditionalFormatting sqref="BF33:BF42">
    <cfRule type="cellIs" dxfId="1140" priority="24" operator="equal">
      <formula>"E"</formula>
    </cfRule>
  </conditionalFormatting>
  <conditionalFormatting sqref="BG33:BG42">
    <cfRule type="cellIs" dxfId="1139" priority="23" operator="equal">
      <formula>"E"</formula>
    </cfRule>
  </conditionalFormatting>
  <conditionalFormatting sqref="BI33:BI42">
    <cfRule type="cellIs" dxfId="1138" priority="21" operator="equal">
      <formula>"E"</formula>
    </cfRule>
  </conditionalFormatting>
  <conditionalFormatting sqref="CA1:CA1048576">
    <cfRule type="cellIs" dxfId="1137" priority="14" operator="equal">
      <formula>"E"</formula>
    </cfRule>
  </conditionalFormatting>
  <conditionalFormatting sqref="CC1">
    <cfRule type="cellIs" dxfId="1136" priority="13" operator="equal">
      <formula>"E"</formula>
    </cfRule>
  </conditionalFormatting>
  <conditionalFormatting sqref="BZ1:BZ70">
    <cfRule type="cellIs" dxfId="1135" priority="19" stopIfTrue="1" operator="equal">
      <formula>"WW"</formula>
    </cfRule>
    <cfRule type="cellIs" dxfId="1134" priority="20" stopIfTrue="1" operator="equal">
      <formula>"C2"</formula>
    </cfRule>
  </conditionalFormatting>
  <conditionalFormatting sqref="CA3:CA103">
    <cfRule type="cellIs" dxfId="1133" priority="15" operator="equal">
      <formula>"M4"</formula>
    </cfRule>
    <cfRule type="cellIs" dxfId="1132" priority="16" operator="equal">
      <formula>"M3"</formula>
    </cfRule>
    <cfRule type="cellIs" dxfId="1131" priority="17" operator="equal">
      <formula>"M2"</formula>
    </cfRule>
    <cfRule type="cellIs" dxfId="1130" priority="18" operator="equal">
      <formula>"M1"</formula>
    </cfRule>
  </conditionalFormatting>
  <conditionalFormatting sqref="CC2:CC70">
    <cfRule type="cellIs" dxfId="1129" priority="10" stopIfTrue="1" operator="equal">
      <formula>"WW"</formula>
    </cfRule>
    <cfRule type="cellIs" dxfId="1128" priority="11" stopIfTrue="1" operator="equal">
      <formula>"C2"</formula>
    </cfRule>
  </conditionalFormatting>
  <conditionalFormatting sqref="BC3:BC12">
    <cfRule type="cellIs" dxfId="1127" priority="8" operator="equal">
      <formula>"E"</formula>
    </cfRule>
  </conditionalFormatting>
  <conditionalFormatting sqref="BC13:BC22">
    <cfRule type="cellIs" dxfId="1126" priority="7" operator="equal">
      <formula>"E"</formula>
    </cfRule>
  </conditionalFormatting>
  <conditionalFormatting sqref="BD13:BD22">
    <cfRule type="cellIs" dxfId="1125" priority="3" operator="equal">
      <formula>"E"</formula>
    </cfRule>
  </conditionalFormatting>
  <conditionalFormatting sqref="BD23:BD32">
    <cfRule type="cellIs" dxfId="1124" priority="2" operator="equal">
      <formula>"E"</formula>
    </cfRule>
  </conditionalFormatting>
  <conditionalFormatting sqref="BD33:BD42">
    <cfRule type="cellIs" dxfId="1123" priority="1" operator="equal">
      <formula>"E"</formula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C7C806E-3F22-4560-8F86-EE903A304FD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J13</xm:sqref>
        </x14:conditionalFormatting>
      </x14:conditionalFormatting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ACE1FB-4B41-499D-93BE-C22C16718154}">
  <dimension ref="A1:CD126"/>
  <sheetViews>
    <sheetView workbookViewId="0">
      <selection sqref="A1:C1"/>
    </sheetView>
  </sheetViews>
  <sheetFormatPr defaultRowHeight="16.2"/>
  <cols>
    <col min="1" max="1" width="14.44140625" customWidth="1"/>
    <col min="2" max="2" width="5.77734375" customWidth="1"/>
    <col min="3" max="3" width="20.109375" customWidth="1"/>
    <col min="4" max="4" width="8.77734375" customWidth="1"/>
    <col min="5" max="5" width="7.21875" customWidth="1"/>
    <col min="6" max="6" width="7.77734375" customWidth="1"/>
    <col min="10" max="10" width="12.88671875" customWidth="1"/>
    <col min="13" max="15" width="8.6640625" customWidth="1"/>
    <col min="16" max="16" width="10.44140625" bestFit="1" customWidth="1"/>
    <col min="18" max="18" width="10.6640625" style="15" customWidth="1"/>
    <col min="19" max="21" width="9.77734375" style="16" customWidth="1"/>
    <col min="22" max="22" width="3.77734375" customWidth="1"/>
    <col min="23" max="23" width="8.88671875" customWidth="1"/>
    <col min="24" max="26" width="4.44140625" customWidth="1"/>
    <col min="27" max="27" width="3.77734375" customWidth="1"/>
    <col min="28" max="28" width="9.88671875" customWidth="1"/>
    <col min="29" max="31" width="5.44140625" style="16" customWidth="1"/>
    <col min="32" max="32" width="3.6640625" customWidth="1"/>
    <col min="34" max="36" width="5.33203125" customWidth="1"/>
    <col min="37" max="37" width="3.44140625" customWidth="1"/>
    <col min="39" max="41" width="5.33203125" customWidth="1"/>
    <col min="42" max="42" width="13.44140625" customWidth="1"/>
    <col min="44" max="44" width="13.44140625" style="16" customWidth="1"/>
    <col min="45" max="45" width="3.77734375" customWidth="1"/>
    <col min="48" max="48" width="3.77734375" customWidth="1"/>
    <col min="49" max="49" width="12.44140625" customWidth="1"/>
    <col min="59" max="59" width="9.44140625" style="26" customWidth="1"/>
    <col min="60" max="60" width="8.88671875" customWidth="1"/>
    <col min="61" max="61" width="15.33203125" customWidth="1"/>
    <col min="63" max="63" width="10.6640625" style="15" bestFit="1" customWidth="1"/>
    <col min="64" max="66" width="9.77734375" style="16" customWidth="1"/>
    <col min="67" max="67" width="3.77734375" customWidth="1"/>
    <col min="69" max="71" width="4.44140625" customWidth="1"/>
    <col min="72" max="72" width="3.77734375" customWidth="1"/>
    <col min="73" max="73" width="9.88671875" customWidth="1"/>
    <col min="74" max="76" width="5.44140625" style="16" customWidth="1"/>
    <col min="78" max="78" width="10.6640625" style="15" bestFit="1" customWidth="1"/>
    <col min="79" max="79" width="9.77734375" style="16" customWidth="1"/>
    <col min="80" max="80" width="6.44140625" customWidth="1"/>
    <col min="81" max="81" width="9.88671875" customWidth="1"/>
    <col min="82" max="82" width="11.88671875" style="16" customWidth="1"/>
  </cols>
  <sheetData>
    <row r="1" spans="1:82">
      <c r="A1" s="30" t="s">
        <v>115</v>
      </c>
      <c r="D1" s="119">
        <v>1</v>
      </c>
      <c r="E1" s="119">
        <v>0</v>
      </c>
      <c r="F1" s="119" t="s">
        <v>8</v>
      </c>
      <c r="R1" s="9" t="s">
        <v>41</v>
      </c>
      <c r="S1" s="10"/>
      <c r="T1" s="10"/>
      <c r="U1" s="10"/>
      <c r="W1" s="18" t="s">
        <v>30</v>
      </c>
      <c r="AB1" s="10" t="s">
        <v>93</v>
      </c>
      <c r="AD1" s="10"/>
      <c r="AE1" s="10"/>
      <c r="AG1" s="10" t="s">
        <v>94</v>
      </c>
      <c r="AH1" s="16"/>
      <c r="AI1" s="10"/>
      <c r="AJ1" s="10"/>
      <c r="AL1" s="10" t="s">
        <v>95</v>
      </c>
      <c r="AM1" s="16"/>
      <c r="AN1" s="10"/>
      <c r="AO1" s="10"/>
      <c r="AQ1" s="19" t="s">
        <v>31</v>
      </c>
      <c r="AR1" s="10"/>
      <c r="AT1" s="19" t="s">
        <v>32</v>
      </c>
      <c r="AW1" s="19" t="s">
        <v>33</v>
      </c>
      <c r="AX1" s="16" t="s">
        <v>60</v>
      </c>
      <c r="AY1" s="16" t="s">
        <v>48</v>
      </c>
      <c r="AZ1" s="16" t="s">
        <v>49</v>
      </c>
      <c r="BA1" s="16" t="s">
        <v>50</v>
      </c>
      <c r="BB1" s="16" t="s">
        <v>51</v>
      </c>
      <c r="BC1" s="16" t="s">
        <v>52</v>
      </c>
      <c r="BD1" s="16" t="s">
        <v>53</v>
      </c>
      <c r="BE1" s="16" t="s">
        <v>54</v>
      </c>
      <c r="BF1" s="16" t="s">
        <v>55</v>
      </c>
      <c r="BG1" s="25" t="s">
        <v>87</v>
      </c>
      <c r="BH1" s="16" t="s">
        <v>88</v>
      </c>
      <c r="BI1" s="41" t="s">
        <v>89</v>
      </c>
      <c r="BK1" s="9" t="s">
        <v>43</v>
      </c>
      <c r="BL1" s="10"/>
      <c r="BM1" s="10"/>
      <c r="BN1" s="10"/>
      <c r="BP1" s="18" t="s">
        <v>45</v>
      </c>
      <c r="BU1" s="19" t="s">
        <v>44</v>
      </c>
      <c r="BW1" s="10"/>
      <c r="BX1" s="10"/>
      <c r="BZ1" s="9" t="s">
        <v>70</v>
      </c>
      <c r="CA1" s="10"/>
      <c r="CC1" s="19" t="s">
        <v>71</v>
      </c>
    </row>
    <row r="2" spans="1:82" ht="18" customHeight="1">
      <c r="D2" s="119">
        <v>10</v>
      </c>
      <c r="E2" s="119">
        <v>1</v>
      </c>
      <c r="F2" s="119"/>
      <c r="J2" s="301" t="s">
        <v>112</v>
      </c>
      <c r="K2" s="318"/>
      <c r="L2" s="318"/>
      <c r="M2" s="318"/>
      <c r="N2" s="319"/>
      <c r="R2" s="11" t="s">
        <v>17</v>
      </c>
      <c r="S2" s="12" t="s">
        <v>0</v>
      </c>
      <c r="T2" s="13" t="s">
        <v>1</v>
      </c>
      <c r="U2" s="12" t="s">
        <v>2</v>
      </c>
      <c r="W2" s="11" t="s">
        <v>17</v>
      </c>
      <c r="X2" s="12" t="s">
        <v>0</v>
      </c>
      <c r="Y2" s="13" t="s">
        <v>1</v>
      </c>
      <c r="Z2" s="12" t="s">
        <v>2</v>
      </c>
      <c r="AB2" s="11" t="s">
        <v>17</v>
      </c>
      <c r="AC2" s="12" t="s">
        <v>0</v>
      </c>
      <c r="AD2" s="13" t="s">
        <v>1</v>
      </c>
      <c r="AE2" s="12" t="s">
        <v>2</v>
      </c>
      <c r="AG2" s="11" t="s">
        <v>17</v>
      </c>
      <c r="AH2" s="12" t="s">
        <v>0</v>
      </c>
      <c r="AI2" s="13" t="s">
        <v>1</v>
      </c>
      <c r="AJ2" s="12" t="s">
        <v>2</v>
      </c>
      <c r="AL2" s="11" t="s">
        <v>17</v>
      </c>
      <c r="AM2" s="12" t="s">
        <v>0</v>
      </c>
      <c r="AN2" s="13" t="s">
        <v>1</v>
      </c>
      <c r="AO2" s="12" t="s">
        <v>2</v>
      </c>
      <c r="AQ2" s="11" t="s">
        <v>17</v>
      </c>
      <c r="AR2" s="13" t="s">
        <v>3</v>
      </c>
      <c r="AT2" s="11" t="s">
        <v>17</v>
      </c>
      <c r="AU2" s="13" t="s">
        <v>4</v>
      </c>
      <c r="AW2" s="11" t="s">
        <v>17</v>
      </c>
      <c r="AX2" s="12" t="s">
        <v>4</v>
      </c>
      <c r="AY2" s="12" t="s">
        <v>4</v>
      </c>
      <c r="AZ2" s="12" t="s">
        <v>4</v>
      </c>
      <c r="BA2" s="12" t="s">
        <v>4</v>
      </c>
      <c r="BB2" s="12" t="s">
        <v>4</v>
      </c>
      <c r="BC2" s="12" t="s">
        <v>4</v>
      </c>
      <c r="BD2" s="12" t="s">
        <v>4</v>
      </c>
      <c r="BE2" s="12" t="s">
        <v>4</v>
      </c>
      <c r="BF2" s="24" t="s">
        <v>4</v>
      </c>
      <c r="BG2" s="29" t="s">
        <v>4</v>
      </c>
      <c r="BH2" s="12" t="s">
        <v>4</v>
      </c>
      <c r="BI2" s="12" t="s">
        <v>4</v>
      </c>
      <c r="BK2" s="11" t="s">
        <v>17</v>
      </c>
      <c r="BL2" s="12" t="s">
        <v>0</v>
      </c>
      <c r="BM2" s="13" t="s">
        <v>1</v>
      </c>
      <c r="BN2" s="12" t="s">
        <v>2</v>
      </c>
      <c r="BP2" s="11" t="s">
        <v>17</v>
      </c>
      <c r="BQ2" s="12" t="s">
        <v>0</v>
      </c>
      <c r="BR2" s="13" t="s">
        <v>1</v>
      </c>
      <c r="BS2" s="12" t="s">
        <v>2</v>
      </c>
      <c r="BU2" s="11" t="s">
        <v>17</v>
      </c>
      <c r="BV2" s="12" t="s">
        <v>0</v>
      </c>
      <c r="BW2" s="13" t="s">
        <v>1</v>
      </c>
      <c r="BX2" s="12" t="s">
        <v>2</v>
      </c>
      <c r="BZ2" s="11" t="s">
        <v>17</v>
      </c>
      <c r="CA2" s="12" t="s">
        <v>69</v>
      </c>
      <c r="CC2" s="11" t="s">
        <v>17</v>
      </c>
      <c r="CD2" s="12" t="s">
        <v>58</v>
      </c>
    </row>
    <row r="3" spans="1:82" ht="16.8">
      <c r="D3" s="119"/>
      <c r="E3" s="119">
        <v>5</v>
      </c>
      <c r="F3" s="119"/>
      <c r="H3" s="27"/>
      <c r="I3" s="27"/>
      <c r="J3" s="64" t="s">
        <v>79</v>
      </c>
      <c r="K3" s="64" t="s">
        <v>78</v>
      </c>
      <c r="L3" s="2" t="s">
        <v>80</v>
      </c>
      <c r="M3" s="2" t="s">
        <v>72</v>
      </c>
      <c r="N3" s="2" t="s">
        <v>73</v>
      </c>
      <c r="R3" s="11">
        <v>0</v>
      </c>
      <c r="S3" s="12">
        <v>1</v>
      </c>
      <c r="T3" s="12" t="s">
        <v>15</v>
      </c>
      <c r="U3" s="12" t="s">
        <v>15</v>
      </c>
      <c r="W3" s="11">
        <v>0</v>
      </c>
      <c r="X3" s="12">
        <v>2</v>
      </c>
      <c r="Y3" s="12">
        <v>0</v>
      </c>
      <c r="Z3" s="12">
        <v>0</v>
      </c>
      <c r="AB3" s="11">
        <v>0</v>
      </c>
      <c r="AC3" s="12">
        <v>1</v>
      </c>
      <c r="AD3" s="69">
        <v>1</v>
      </c>
      <c r="AE3" s="69">
        <v>1</v>
      </c>
      <c r="AG3" s="11">
        <v>0</v>
      </c>
      <c r="AH3" s="12">
        <v>1</v>
      </c>
      <c r="AI3" s="69">
        <v>1</v>
      </c>
      <c r="AJ3" s="69">
        <v>1</v>
      </c>
      <c r="AL3" s="11">
        <v>0</v>
      </c>
      <c r="AM3" s="12">
        <v>1</v>
      </c>
      <c r="AN3" s="69">
        <v>1</v>
      </c>
      <c r="AO3" s="69">
        <v>1</v>
      </c>
      <c r="AQ3" s="11">
        <v>0</v>
      </c>
      <c r="AR3" s="14" t="s">
        <v>5</v>
      </c>
      <c r="AT3" s="11">
        <v>0</v>
      </c>
      <c r="AU3" s="12">
        <v>6</v>
      </c>
      <c r="AW3" s="11">
        <v>0</v>
      </c>
      <c r="AX3" s="12">
        <v>1</v>
      </c>
      <c r="AY3" s="12">
        <v>1</v>
      </c>
      <c r="AZ3" s="12">
        <v>1</v>
      </c>
      <c r="BA3" s="12">
        <v>1</v>
      </c>
      <c r="BB3" s="12">
        <v>1</v>
      </c>
      <c r="BC3" s="12">
        <v>1</v>
      </c>
      <c r="BD3" s="12">
        <v>1</v>
      </c>
      <c r="BE3" s="12">
        <v>1</v>
      </c>
      <c r="BF3" s="24">
        <v>1</v>
      </c>
      <c r="BG3" s="29">
        <v>1</v>
      </c>
      <c r="BH3" s="12">
        <v>1</v>
      </c>
      <c r="BI3" s="12">
        <v>1</v>
      </c>
      <c r="BK3" s="11">
        <v>0</v>
      </c>
      <c r="BL3" s="12">
        <v>1</v>
      </c>
      <c r="BM3" s="12" t="s">
        <v>15</v>
      </c>
      <c r="BN3" s="12" t="s">
        <v>15</v>
      </c>
      <c r="BP3" s="11">
        <v>0</v>
      </c>
      <c r="BQ3" s="12">
        <v>2</v>
      </c>
      <c r="BR3" s="12">
        <v>0</v>
      </c>
      <c r="BS3" s="12">
        <v>0</v>
      </c>
      <c r="BU3" s="11">
        <v>0</v>
      </c>
      <c r="BV3" s="12">
        <v>1</v>
      </c>
      <c r="BW3" s="12">
        <v>1</v>
      </c>
      <c r="BX3" s="12">
        <v>1</v>
      </c>
      <c r="BZ3" s="11">
        <v>0</v>
      </c>
      <c r="CA3" s="12">
        <v>30</v>
      </c>
      <c r="CC3" s="11">
        <v>0</v>
      </c>
      <c r="CD3" s="12">
        <v>1</v>
      </c>
    </row>
    <row r="4" spans="1:82" ht="16.8">
      <c r="A4" s="30" t="s">
        <v>46</v>
      </c>
      <c r="B4" s="1" t="s">
        <v>86</v>
      </c>
      <c r="C4" s="2" t="s">
        <v>114</v>
      </c>
      <c r="D4" s="3" t="s">
        <v>80</v>
      </c>
      <c r="E4" s="122" t="s">
        <v>1</v>
      </c>
      <c r="F4" s="4" t="s">
        <v>2</v>
      </c>
      <c r="H4" s="27"/>
      <c r="J4" s="61" t="s">
        <v>77</v>
      </c>
      <c r="K4" s="61" t="s">
        <v>7</v>
      </c>
      <c r="L4" s="2">
        <v>6</v>
      </c>
      <c r="M4" s="2">
        <v>7</v>
      </c>
      <c r="N4" s="2">
        <v>7</v>
      </c>
      <c r="O4" s="6"/>
      <c r="R4" s="11">
        <v>1</v>
      </c>
      <c r="S4" s="12" t="s">
        <v>15</v>
      </c>
      <c r="T4" s="12">
        <v>0</v>
      </c>
      <c r="U4" s="12">
        <v>0</v>
      </c>
      <c r="W4" s="11">
        <v>1</v>
      </c>
      <c r="X4" s="12">
        <v>0</v>
      </c>
      <c r="Y4" s="12">
        <v>1</v>
      </c>
      <c r="Z4" s="12">
        <v>1</v>
      </c>
      <c r="AB4" s="11">
        <v>1</v>
      </c>
      <c r="AC4" s="12">
        <v>1</v>
      </c>
      <c r="AD4" s="69">
        <v>1</v>
      </c>
      <c r="AE4" s="69">
        <v>1</v>
      </c>
      <c r="AG4" s="11">
        <v>1</v>
      </c>
      <c r="AH4" s="12">
        <v>1</v>
      </c>
      <c r="AI4" s="69">
        <v>1</v>
      </c>
      <c r="AJ4" s="69">
        <v>1</v>
      </c>
      <c r="AL4" s="11">
        <v>1</v>
      </c>
      <c r="AM4" s="12">
        <v>1</v>
      </c>
      <c r="AN4" s="69">
        <v>1</v>
      </c>
      <c r="AO4" s="69">
        <v>1</v>
      </c>
      <c r="AQ4" s="11">
        <v>1</v>
      </c>
      <c r="AR4" s="12" t="s">
        <v>15</v>
      </c>
      <c r="AT4" s="11">
        <v>1</v>
      </c>
      <c r="AU4" s="12">
        <v>0</v>
      </c>
      <c r="AW4" s="11">
        <v>1</v>
      </c>
      <c r="AX4" s="12">
        <v>1</v>
      </c>
      <c r="AY4" s="12">
        <v>1</v>
      </c>
      <c r="AZ4" s="12">
        <v>1</v>
      </c>
      <c r="BA4" s="12">
        <v>1</v>
      </c>
      <c r="BB4" s="12">
        <v>1</v>
      </c>
      <c r="BC4" s="12">
        <v>1</v>
      </c>
      <c r="BD4" s="12">
        <v>1</v>
      </c>
      <c r="BE4" s="12">
        <v>1</v>
      </c>
      <c r="BF4" s="24">
        <v>1</v>
      </c>
      <c r="BG4" s="29">
        <v>1</v>
      </c>
      <c r="BH4" s="12">
        <v>1</v>
      </c>
      <c r="BI4" s="12">
        <v>1</v>
      </c>
      <c r="BK4" s="11">
        <v>1</v>
      </c>
      <c r="BL4" s="12" t="s">
        <v>15</v>
      </c>
      <c r="BM4" s="12">
        <v>0</v>
      </c>
      <c r="BN4" s="12">
        <v>0</v>
      </c>
      <c r="BP4" s="11">
        <v>1</v>
      </c>
      <c r="BQ4" s="12">
        <v>0</v>
      </c>
      <c r="BR4" s="12">
        <v>1</v>
      </c>
      <c r="BS4" s="12">
        <v>1</v>
      </c>
      <c r="BU4" s="11">
        <v>1</v>
      </c>
      <c r="BV4" s="12">
        <v>1</v>
      </c>
      <c r="BW4" s="12">
        <v>1</v>
      </c>
      <c r="BX4" s="12">
        <v>1</v>
      </c>
      <c r="BZ4" s="11">
        <v>1</v>
      </c>
      <c r="CA4" s="12">
        <v>15</v>
      </c>
      <c r="CC4" s="11">
        <v>1</v>
      </c>
      <c r="CD4" s="12">
        <v>1</v>
      </c>
    </row>
    <row r="5" spans="1:82" ht="16.8">
      <c r="A5" s="1" t="s">
        <v>19</v>
      </c>
      <c r="B5" s="1">
        <v>0</v>
      </c>
      <c r="C5" s="3" t="s">
        <v>25</v>
      </c>
      <c r="D5" s="3">
        <f>SUMIF(S$3:S$38,$A5,AC$3:AC$38)</f>
        <v>18</v>
      </c>
      <c r="E5" s="122">
        <f t="shared" ref="E5:F16" si="0">SUMIF(T$3:T$38,$A5,AD$3:AD$38)</f>
        <v>18</v>
      </c>
      <c r="F5" s="4">
        <f t="shared" si="0"/>
        <v>18</v>
      </c>
      <c r="H5" s="27"/>
      <c r="I5" s="27"/>
      <c r="J5" s="91"/>
      <c r="K5" s="91"/>
      <c r="L5" s="320" t="s">
        <v>84</v>
      </c>
      <c r="M5" s="320"/>
      <c r="N5" s="320"/>
      <c r="R5" s="11">
        <v>2</v>
      </c>
      <c r="S5" s="12">
        <v>5</v>
      </c>
      <c r="T5" s="12" t="s">
        <v>15</v>
      </c>
      <c r="U5" s="12" t="s">
        <v>15</v>
      </c>
      <c r="W5" s="11">
        <v>2</v>
      </c>
      <c r="X5" s="12">
        <v>3</v>
      </c>
      <c r="Y5" s="12">
        <v>0</v>
      </c>
      <c r="Z5" s="12">
        <v>0</v>
      </c>
      <c r="AB5" s="11">
        <v>2</v>
      </c>
      <c r="AC5" s="12">
        <v>1</v>
      </c>
      <c r="AD5" s="69">
        <v>1</v>
      </c>
      <c r="AE5" s="69">
        <v>1</v>
      </c>
      <c r="AG5" s="11">
        <v>2</v>
      </c>
      <c r="AH5" s="12">
        <v>1</v>
      </c>
      <c r="AI5" s="69">
        <v>1</v>
      </c>
      <c r="AJ5" s="69">
        <v>1</v>
      </c>
      <c r="AL5" s="11">
        <v>2</v>
      </c>
      <c r="AM5" s="12">
        <v>1</v>
      </c>
      <c r="AN5" s="69">
        <v>1</v>
      </c>
      <c r="AO5" s="69">
        <v>1</v>
      </c>
      <c r="AQ5" s="11">
        <v>2</v>
      </c>
      <c r="AR5" s="14" t="s">
        <v>7</v>
      </c>
      <c r="AT5" s="11">
        <v>2</v>
      </c>
      <c r="AU5" s="12">
        <v>9</v>
      </c>
      <c r="AW5" s="11">
        <v>2</v>
      </c>
      <c r="AX5" s="12">
        <v>1</v>
      </c>
      <c r="AY5" s="12">
        <v>1</v>
      </c>
      <c r="AZ5" s="12">
        <v>1</v>
      </c>
      <c r="BA5" s="12">
        <v>1</v>
      </c>
      <c r="BB5" s="12">
        <v>1</v>
      </c>
      <c r="BC5" s="12">
        <v>1</v>
      </c>
      <c r="BD5" s="12">
        <v>1</v>
      </c>
      <c r="BE5" s="12">
        <v>1</v>
      </c>
      <c r="BF5" s="24">
        <v>1</v>
      </c>
      <c r="BG5" s="29">
        <v>1</v>
      </c>
      <c r="BH5" s="12">
        <v>1</v>
      </c>
      <c r="BI5" s="12">
        <v>1</v>
      </c>
      <c r="BK5" s="11">
        <v>2</v>
      </c>
      <c r="BL5" s="12">
        <v>5</v>
      </c>
      <c r="BM5" s="12" t="s">
        <v>15</v>
      </c>
      <c r="BN5" s="12" t="s">
        <v>15</v>
      </c>
      <c r="BP5" s="11">
        <v>2</v>
      </c>
      <c r="BQ5" s="12">
        <v>3</v>
      </c>
      <c r="BR5" s="12">
        <v>0</v>
      </c>
      <c r="BS5" s="12">
        <v>0</v>
      </c>
      <c r="BU5" s="11">
        <v>2</v>
      </c>
      <c r="BV5" s="12">
        <v>1</v>
      </c>
      <c r="BW5" s="12">
        <v>1</v>
      </c>
      <c r="BX5" s="12">
        <v>1</v>
      </c>
      <c r="BZ5" s="11">
        <v>2</v>
      </c>
      <c r="CA5" s="12">
        <v>100</v>
      </c>
      <c r="CC5" s="11">
        <v>2</v>
      </c>
      <c r="CD5" s="12">
        <v>1</v>
      </c>
    </row>
    <row r="6" spans="1:82">
      <c r="A6" s="20">
        <v>0</v>
      </c>
      <c r="B6" s="20">
        <v>1</v>
      </c>
      <c r="C6" s="5">
        <v>0</v>
      </c>
      <c r="D6" s="37">
        <f t="shared" ref="D6:D16" si="1">SUMIF(S$3:S$38,$A6,AC$3:AC$38)</f>
        <v>0</v>
      </c>
      <c r="E6" s="121">
        <f t="shared" si="0"/>
        <v>6</v>
      </c>
      <c r="F6" s="7">
        <f t="shared" si="0"/>
        <v>6</v>
      </c>
      <c r="H6" s="27"/>
      <c r="I6" s="27"/>
      <c r="J6" s="27"/>
      <c r="R6" s="11">
        <v>3</v>
      </c>
      <c r="S6" s="12" t="s">
        <v>15</v>
      </c>
      <c r="T6" s="12">
        <v>1</v>
      </c>
      <c r="U6" s="12">
        <v>1</v>
      </c>
      <c r="W6" s="11">
        <v>3</v>
      </c>
      <c r="X6" s="12">
        <v>0</v>
      </c>
      <c r="Y6" s="12">
        <v>2</v>
      </c>
      <c r="Z6" s="12">
        <v>2</v>
      </c>
      <c r="AB6" s="11">
        <v>3</v>
      </c>
      <c r="AC6" s="12">
        <v>1</v>
      </c>
      <c r="AD6" s="69">
        <v>1</v>
      </c>
      <c r="AE6" s="69">
        <v>1</v>
      </c>
      <c r="AG6" s="11">
        <v>3</v>
      </c>
      <c r="AH6" s="12">
        <v>1</v>
      </c>
      <c r="AI6" s="69">
        <v>1</v>
      </c>
      <c r="AJ6" s="69">
        <v>1</v>
      </c>
      <c r="AL6" s="11">
        <v>3</v>
      </c>
      <c r="AM6" s="12">
        <v>1</v>
      </c>
      <c r="AN6" s="69">
        <v>1</v>
      </c>
      <c r="AO6" s="69">
        <v>1</v>
      </c>
      <c r="AQ6" s="11">
        <v>3</v>
      </c>
      <c r="AR6" s="12" t="s">
        <v>15</v>
      </c>
      <c r="AT6" s="11">
        <v>3</v>
      </c>
      <c r="AU6" s="12">
        <v>0</v>
      </c>
      <c r="AW6" s="11">
        <v>3</v>
      </c>
      <c r="AX6" s="12">
        <v>1</v>
      </c>
      <c r="AY6" s="12">
        <v>1</v>
      </c>
      <c r="AZ6" s="12">
        <v>1</v>
      </c>
      <c r="BA6" s="12">
        <v>1</v>
      </c>
      <c r="BB6" s="12">
        <v>1</v>
      </c>
      <c r="BC6" s="12">
        <v>1</v>
      </c>
      <c r="BD6" s="12">
        <v>1</v>
      </c>
      <c r="BE6" s="12">
        <v>1</v>
      </c>
      <c r="BF6" s="24">
        <v>1</v>
      </c>
      <c r="BG6" s="29">
        <v>1</v>
      </c>
      <c r="BH6" s="12">
        <v>1</v>
      </c>
      <c r="BI6" s="12">
        <v>1</v>
      </c>
      <c r="BK6" s="11">
        <v>3</v>
      </c>
      <c r="BL6" s="12" t="s">
        <v>15</v>
      </c>
      <c r="BM6" s="12">
        <v>1</v>
      </c>
      <c r="BN6" s="12">
        <v>1</v>
      </c>
      <c r="BP6" s="11">
        <v>3</v>
      </c>
      <c r="BQ6" s="12">
        <v>0</v>
      </c>
      <c r="BR6" s="12">
        <v>2</v>
      </c>
      <c r="BS6" s="12">
        <v>2</v>
      </c>
      <c r="BU6" s="11">
        <v>3</v>
      </c>
      <c r="BV6" s="12">
        <v>1</v>
      </c>
      <c r="BW6" s="12">
        <v>1</v>
      </c>
      <c r="BX6" s="12">
        <v>1</v>
      </c>
      <c r="BZ6" s="11">
        <v>3</v>
      </c>
      <c r="CA6" s="12">
        <v>5</v>
      </c>
      <c r="CC6" s="11">
        <v>3</v>
      </c>
      <c r="CD6" s="12">
        <v>1</v>
      </c>
    </row>
    <row r="7" spans="1:82" ht="16.8">
      <c r="A7" s="20">
        <v>1</v>
      </c>
      <c r="B7" s="20">
        <v>2</v>
      </c>
      <c r="C7" s="5">
        <v>1</v>
      </c>
      <c r="D7" s="6">
        <f t="shared" si="1"/>
        <v>6</v>
      </c>
      <c r="E7" s="121">
        <f t="shared" si="0"/>
        <v>6</v>
      </c>
      <c r="F7" s="7">
        <f t="shared" si="0"/>
        <v>6</v>
      </c>
      <c r="H7" s="27"/>
      <c r="J7" s="64" t="s">
        <v>81</v>
      </c>
      <c r="K7" s="64" t="s">
        <v>82</v>
      </c>
      <c r="L7" s="64" t="s">
        <v>83</v>
      </c>
      <c r="M7" s="64" t="s">
        <v>113</v>
      </c>
      <c r="R7" s="11">
        <v>4</v>
      </c>
      <c r="S7" s="12">
        <v>10</v>
      </c>
      <c r="T7" s="12" t="s">
        <v>15</v>
      </c>
      <c r="U7" s="12" t="s">
        <v>15</v>
      </c>
      <c r="W7" s="11">
        <v>4</v>
      </c>
      <c r="X7" s="12">
        <v>4</v>
      </c>
      <c r="Y7" s="12">
        <v>0</v>
      </c>
      <c r="Z7" s="12">
        <v>0</v>
      </c>
      <c r="AB7" s="11">
        <v>4</v>
      </c>
      <c r="AC7" s="12">
        <v>1</v>
      </c>
      <c r="AD7" s="69">
        <v>1</v>
      </c>
      <c r="AE7" s="69">
        <v>1</v>
      </c>
      <c r="AG7" s="11">
        <v>4</v>
      </c>
      <c r="AH7" s="12">
        <v>1</v>
      </c>
      <c r="AI7" s="69">
        <v>1</v>
      </c>
      <c r="AJ7" s="69">
        <v>1</v>
      </c>
      <c r="AL7" s="11">
        <v>4</v>
      </c>
      <c r="AM7" s="12">
        <v>1</v>
      </c>
      <c r="AN7" s="69">
        <v>1</v>
      </c>
      <c r="AO7" s="69">
        <v>1</v>
      </c>
      <c r="AQ7" s="11">
        <v>4</v>
      </c>
      <c r="AR7" s="14" t="s">
        <v>6</v>
      </c>
      <c r="AT7" s="11">
        <v>4</v>
      </c>
      <c r="AU7" s="12">
        <v>7</v>
      </c>
      <c r="AW7" s="11">
        <v>4</v>
      </c>
      <c r="AX7" s="12">
        <v>1</v>
      </c>
      <c r="AY7" s="12">
        <v>1</v>
      </c>
      <c r="AZ7" s="12">
        <v>1</v>
      </c>
      <c r="BA7" s="12">
        <v>1</v>
      </c>
      <c r="BB7" s="12">
        <v>1</v>
      </c>
      <c r="BC7" s="12">
        <v>1</v>
      </c>
      <c r="BD7" s="12">
        <v>1</v>
      </c>
      <c r="BE7" s="12">
        <v>1</v>
      </c>
      <c r="BF7" s="24">
        <v>1</v>
      </c>
      <c r="BG7" s="29">
        <v>1</v>
      </c>
      <c r="BH7" s="12">
        <v>1</v>
      </c>
      <c r="BI7" s="12">
        <v>1</v>
      </c>
      <c r="BK7" s="11">
        <v>4</v>
      </c>
      <c r="BL7" s="12">
        <v>10</v>
      </c>
      <c r="BM7" s="12" t="s">
        <v>15</v>
      </c>
      <c r="BN7" s="12" t="s">
        <v>15</v>
      </c>
      <c r="BP7" s="11">
        <v>4</v>
      </c>
      <c r="BQ7" s="12">
        <v>4</v>
      </c>
      <c r="BR7" s="12">
        <v>0</v>
      </c>
      <c r="BS7" s="12">
        <v>0</v>
      </c>
      <c r="BU7" s="11">
        <v>4</v>
      </c>
      <c r="BV7" s="12">
        <v>1</v>
      </c>
      <c r="BW7" s="12">
        <v>1</v>
      </c>
      <c r="BX7" s="12">
        <v>1</v>
      </c>
      <c r="BZ7" s="11">
        <v>4</v>
      </c>
      <c r="CA7" s="12">
        <v>20</v>
      </c>
      <c r="CC7" s="11">
        <v>4</v>
      </c>
      <c r="CD7" s="12">
        <v>1</v>
      </c>
    </row>
    <row r="8" spans="1:82" ht="16.8">
      <c r="A8" s="21">
        <v>5</v>
      </c>
      <c r="B8" s="21">
        <v>3</v>
      </c>
      <c r="C8" s="23">
        <v>5</v>
      </c>
      <c r="D8" s="6">
        <f t="shared" si="1"/>
        <v>6</v>
      </c>
      <c r="E8" s="121">
        <f t="shared" si="0"/>
        <v>6</v>
      </c>
      <c r="F8" s="7">
        <f t="shared" si="0"/>
        <v>6</v>
      </c>
      <c r="H8" s="27"/>
      <c r="J8" s="64" t="s">
        <v>80</v>
      </c>
      <c r="K8" s="64">
        <v>3</v>
      </c>
      <c r="L8" s="64">
        <v>3</v>
      </c>
      <c r="M8" s="64">
        <v>94</v>
      </c>
      <c r="R8" s="11">
        <v>5</v>
      </c>
      <c r="S8" s="12" t="s">
        <v>15</v>
      </c>
      <c r="T8" s="12">
        <v>5</v>
      </c>
      <c r="U8" s="12">
        <v>5</v>
      </c>
      <c r="W8" s="11">
        <v>5</v>
      </c>
      <c r="X8" s="12">
        <v>0</v>
      </c>
      <c r="Y8" s="12">
        <v>3</v>
      </c>
      <c r="Z8" s="12">
        <v>3</v>
      </c>
      <c r="AB8" s="11">
        <v>5</v>
      </c>
      <c r="AC8" s="12">
        <v>1</v>
      </c>
      <c r="AD8" s="69">
        <v>1</v>
      </c>
      <c r="AE8" s="69">
        <v>1</v>
      </c>
      <c r="AG8" s="11">
        <v>5</v>
      </c>
      <c r="AH8" s="12">
        <v>1</v>
      </c>
      <c r="AI8" s="69">
        <v>1</v>
      </c>
      <c r="AJ8" s="69">
        <v>1</v>
      </c>
      <c r="AL8" s="11">
        <v>5</v>
      </c>
      <c r="AM8" s="12">
        <v>1</v>
      </c>
      <c r="AN8" s="69">
        <v>1</v>
      </c>
      <c r="AO8" s="69">
        <v>1</v>
      </c>
      <c r="AQ8" s="11">
        <v>5</v>
      </c>
      <c r="AR8" s="12" t="s">
        <v>15</v>
      </c>
      <c r="AT8" s="11">
        <v>5</v>
      </c>
      <c r="AU8" s="12">
        <v>0</v>
      </c>
      <c r="AW8" s="11">
        <v>5</v>
      </c>
      <c r="AX8" s="12">
        <v>1</v>
      </c>
      <c r="AY8" s="12">
        <v>1</v>
      </c>
      <c r="AZ8" s="12">
        <v>1</v>
      </c>
      <c r="BA8" s="12">
        <v>1</v>
      </c>
      <c r="BB8" s="12">
        <v>1</v>
      </c>
      <c r="BC8" s="12">
        <v>1</v>
      </c>
      <c r="BD8" s="12">
        <v>1</v>
      </c>
      <c r="BE8" s="12">
        <v>1</v>
      </c>
      <c r="BF8" s="24">
        <v>1</v>
      </c>
      <c r="BG8" s="29">
        <v>1</v>
      </c>
      <c r="BH8" s="12">
        <v>1</v>
      </c>
      <c r="BI8" s="12">
        <v>1</v>
      </c>
      <c r="BK8" s="11">
        <v>5</v>
      </c>
      <c r="BL8" s="12" t="s">
        <v>15</v>
      </c>
      <c r="BM8" s="12">
        <v>5</v>
      </c>
      <c r="BN8" s="12">
        <v>5</v>
      </c>
      <c r="BP8" s="11">
        <v>5</v>
      </c>
      <c r="BQ8" s="12">
        <v>0</v>
      </c>
      <c r="BR8" s="12">
        <v>3</v>
      </c>
      <c r="BS8" s="12">
        <v>3</v>
      </c>
      <c r="BU8" s="11">
        <v>5</v>
      </c>
      <c r="BV8" s="12">
        <v>1</v>
      </c>
      <c r="BW8" s="12">
        <v>1</v>
      </c>
      <c r="BX8" s="12">
        <v>1</v>
      </c>
      <c r="BZ8" s="11">
        <v>5</v>
      </c>
      <c r="CA8" s="12">
        <v>200</v>
      </c>
      <c r="CC8" s="11">
        <v>5</v>
      </c>
      <c r="CD8" s="12">
        <v>1</v>
      </c>
    </row>
    <row r="9" spans="1:82" ht="15.6" customHeight="1">
      <c r="A9" s="21">
        <v>10</v>
      </c>
      <c r="B9" s="21">
        <v>4</v>
      </c>
      <c r="C9" s="23">
        <v>10</v>
      </c>
      <c r="D9" s="6">
        <f t="shared" si="1"/>
        <v>6</v>
      </c>
      <c r="E9" s="59">
        <f t="shared" si="0"/>
        <v>0</v>
      </c>
      <c r="F9" s="38">
        <f t="shared" si="0"/>
        <v>0</v>
      </c>
      <c r="H9" s="27"/>
      <c r="J9" s="64" t="s">
        <v>72</v>
      </c>
      <c r="K9" s="64">
        <v>0</v>
      </c>
      <c r="L9" s="64">
        <v>0</v>
      </c>
      <c r="M9" s="64">
        <v>0</v>
      </c>
      <c r="N9" s="92"/>
      <c r="O9" s="92"/>
      <c r="R9" s="11">
        <v>6</v>
      </c>
      <c r="S9" s="12">
        <v>1</v>
      </c>
      <c r="T9" s="12" t="s">
        <v>15</v>
      </c>
      <c r="U9" s="12" t="s">
        <v>15</v>
      </c>
      <c r="W9" s="11">
        <v>6</v>
      </c>
      <c r="X9" s="12">
        <v>2</v>
      </c>
      <c r="Y9" s="12">
        <v>0</v>
      </c>
      <c r="Z9" s="12">
        <v>0</v>
      </c>
      <c r="AB9" s="11">
        <v>6</v>
      </c>
      <c r="AC9" s="12">
        <v>1</v>
      </c>
      <c r="AD9" s="69">
        <v>1</v>
      </c>
      <c r="AE9" s="69">
        <v>1</v>
      </c>
      <c r="AG9" s="11">
        <v>6</v>
      </c>
      <c r="AH9" s="12">
        <v>1</v>
      </c>
      <c r="AI9" s="69">
        <v>1</v>
      </c>
      <c r="AJ9" s="69">
        <v>1</v>
      </c>
      <c r="AL9" s="11">
        <v>6</v>
      </c>
      <c r="AM9" s="12">
        <v>1</v>
      </c>
      <c r="AN9" s="69">
        <v>1</v>
      </c>
      <c r="AO9" s="69">
        <v>1</v>
      </c>
      <c r="AQ9" s="11">
        <v>6</v>
      </c>
      <c r="AR9" s="14" t="s">
        <v>36</v>
      </c>
      <c r="AT9" s="11">
        <v>6</v>
      </c>
      <c r="AU9" s="12">
        <v>10</v>
      </c>
      <c r="AW9" s="11">
        <v>6</v>
      </c>
      <c r="AX9" s="12">
        <v>1</v>
      </c>
      <c r="AY9" s="12">
        <v>1</v>
      </c>
      <c r="AZ9" s="12">
        <v>1</v>
      </c>
      <c r="BA9" s="12">
        <v>1</v>
      </c>
      <c r="BB9" s="12">
        <v>1</v>
      </c>
      <c r="BC9" s="12">
        <v>1</v>
      </c>
      <c r="BD9" s="12">
        <v>1</v>
      </c>
      <c r="BE9" s="12">
        <v>1</v>
      </c>
      <c r="BF9" s="24">
        <v>1</v>
      </c>
      <c r="BG9" s="29">
        <v>1</v>
      </c>
      <c r="BH9" s="12">
        <v>1</v>
      </c>
      <c r="BI9" s="12">
        <v>1</v>
      </c>
      <c r="BK9" s="11">
        <v>6</v>
      </c>
      <c r="BL9" s="12">
        <v>1</v>
      </c>
      <c r="BM9" s="12" t="s">
        <v>15</v>
      </c>
      <c r="BN9" s="12" t="s">
        <v>15</v>
      </c>
      <c r="BP9" s="11">
        <v>6</v>
      </c>
      <c r="BQ9" s="12">
        <v>2</v>
      </c>
      <c r="BR9" s="12">
        <v>0</v>
      </c>
      <c r="BS9" s="12">
        <v>0</v>
      </c>
      <c r="BU9" s="11">
        <v>6</v>
      </c>
      <c r="BV9" s="12">
        <v>1</v>
      </c>
      <c r="BW9" s="12">
        <v>1</v>
      </c>
      <c r="BX9" s="12">
        <v>1</v>
      </c>
      <c r="BZ9" s="11">
        <v>6</v>
      </c>
      <c r="CA9" s="12">
        <v>50</v>
      </c>
      <c r="CC9" s="11">
        <v>6</v>
      </c>
      <c r="CD9" s="12">
        <v>1</v>
      </c>
    </row>
    <row r="10" spans="1:82" ht="16.8">
      <c r="A10" s="20" t="s">
        <v>20</v>
      </c>
      <c r="B10" s="20">
        <v>5</v>
      </c>
      <c r="C10" s="23" t="s">
        <v>29</v>
      </c>
      <c r="D10" s="37">
        <f t="shared" si="1"/>
        <v>0</v>
      </c>
      <c r="E10" s="59">
        <f t="shared" si="0"/>
        <v>0</v>
      </c>
      <c r="F10" s="38">
        <f t="shared" si="0"/>
        <v>0</v>
      </c>
      <c r="H10" s="27"/>
      <c r="J10" s="64" t="s">
        <v>73</v>
      </c>
      <c r="K10" s="64">
        <v>0</v>
      </c>
      <c r="L10" s="64">
        <v>0</v>
      </c>
      <c r="M10" s="64">
        <v>0</v>
      </c>
      <c r="N10" s="93"/>
      <c r="O10" s="93"/>
      <c r="R10" s="11">
        <v>7</v>
      </c>
      <c r="S10" s="12" t="s">
        <v>15</v>
      </c>
      <c r="T10" s="12">
        <v>0</v>
      </c>
      <c r="U10" s="12">
        <v>0</v>
      </c>
      <c r="W10" s="11">
        <v>7</v>
      </c>
      <c r="X10" s="12">
        <v>0</v>
      </c>
      <c r="Y10" s="12">
        <v>1</v>
      </c>
      <c r="Z10" s="12">
        <v>1</v>
      </c>
      <c r="AB10" s="11">
        <v>7</v>
      </c>
      <c r="AC10" s="12">
        <v>1</v>
      </c>
      <c r="AD10" s="69">
        <v>1</v>
      </c>
      <c r="AE10" s="69">
        <v>1</v>
      </c>
      <c r="AG10" s="11">
        <v>7</v>
      </c>
      <c r="AH10" s="12">
        <v>1</v>
      </c>
      <c r="AI10" s="69">
        <v>1</v>
      </c>
      <c r="AJ10" s="69">
        <v>1</v>
      </c>
      <c r="AL10" s="11">
        <v>7</v>
      </c>
      <c r="AM10" s="12">
        <v>1</v>
      </c>
      <c r="AN10" s="69">
        <v>1</v>
      </c>
      <c r="AO10" s="69">
        <v>1</v>
      </c>
      <c r="AQ10" s="11">
        <v>7</v>
      </c>
      <c r="AR10" s="12" t="s">
        <v>15</v>
      </c>
      <c r="AT10" s="11">
        <v>7</v>
      </c>
      <c r="AU10" s="12">
        <v>0</v>
      </c>
      <c r="AW10" s="11">
        <v>7</v>
      </c>
      <c r="AX10" s="12">
        <v>1</v>
      </c>
      <c r="AY10" s="12">
        <v>1</v>
      </c>
      <c r="AZ10" s="12">
        <v>1</v>
      </c>
      <c r="BA10" s="12">
        <v>1</v>
      </c>
      <c r="BB10" s="12">
        <v>1</v>
      </c>
      <c r="BC10" s="12">
        <v>1</v>
      </c>
      <c r="BD10" s="12">
        <v>1</v>
      </c>
      <c r="BE10" s="12">
        <v>1</v>
      </c>
      <c r="BF10" s="24">
        <v>1</v>
      </c>
      <c r="BG10" s="29">
        <v>1</v>
      </c>
      <c r="BH10" s="12">
        <v>1</v>
      </c>
      <c r="BI10" s="12">
        <v>1</v>
      </c>
      <c r="BK10" s="11">
        <v>7</v>
      </c>
      <c r="BL10" s="12" t="s">
        <v>15</v>
      </c>
      <c r="BM10" s="12">
        <v>0</v>
      </c>
      <c r="BN10" s="12">
        <v>0</v>
      </c>
      <c r="BP10" s="11">
        <v>7</v>
      </c>
      <c r="BQ10" s="12">
        <v>0</v>
      </c>
      <c r="BR10" s="12">
        <v>1</v>
      </c>
      <c r="BS10" s="12">
        <v>1</v>
      </c>
      <c r="BU10" s="11">
        <v>7</v>
      </c>
      <c r="BV10" s="12">
        <v>1</v>
      </c>
      <c r="BW10" s="12">
        <v>1</v>
      </c>
      <c r="BX10" s="12">
        <v>1</v>
      </c>
      <c r="BZ10" s="11">
        <v>7</v>
      </c>
      <c r="CA10" s="12">
        <v>10</v>
      </c>
      <c r="CC10" s="11">
        <v>7</v>
      </c>
      <c r="CD10" s="12">
        <v>1</v>
      </c>
    </row>
    <row r="11" spans="1:82" ht="16.8">
      <c r="A11" s="21" t="s">
        <v>21</v>
      </c>
      <c r="B11" s="21">
        <v>6</v>
      </c>
      <c r="C11" s="23" t="s">
        <v>26</v>
      </c>
      <c r="D11" s="37">
        <f t="shared" si="1"/>
        <v>0</v>
      </c>
      <c r="E11" s="59">
        <f t="shared" si="0"/>
        <v>0</v>
      </c>
      <c r="F11" s="38">
        <f t="shared" si="0"/>
        <v>0</v>
      </c>
      <c r="H11" s="27"/>
      <c r="J11" s="64" t="s">
        <v>4</v>
      </c>
      <c r="K11" s="64">
        <v>7</v>
      </c>
      <c r="L11" s="64">
        <v>7</v>
      </c>
      <c r="M11" s="64">
        <v>86</v>
      </c>
      <c r="N11" s="93"/>
      <c r="O11" s="93"/>
      <c r="R11" s="11">
        <v>8</v>
      </c>
      <c r="S11" s="12">
        <v>5</v>
      </c>
      <c r="T11" s="12" t="s">
        <v>15</v>
      </c>
      <c r="U11" s="12" t="s">
        <v>15</v>
      </c>
      <c r="W11" s="11">
        <v>8</v>
      </c>
      <c r="X11" s="12">
        <v>3</v>
      </c>
      <c r="Y11" s="12">
        <v>0</v>
      </c>
      <c r="Z11" s="12">
        <v>0</v>
      </c>
      <c r="AB11" s="11">
        <v>8</v>
      </c>
      <c r="AC11" s="12">
        <v>1</v>
      </c>
      <c r="AD11" s="69">
        <v>1</v>
      </c>
      <c r="AE11" s="69">
        <v>1</v>
      </c>
      <c r="AG11" s="11">
        <v>8</v>
      </c>
      <c r="AH11" s="12">
        <v>1</v>
      </c>
      <c r="AI11" s="69">
        <v>1</v>
      </c>
      <c r="AJ11" s="69">
        <v>1</v>
      </c>
      <c r="AL11" s="11">
        <v>8</v>
      </c>
      <c r="AM11" s="12">
        <v>1</v>
      </c>
      <c r="AN11" s="69">
        <v>1</v>
      </c>
      <c r="AO11" s="69">
        <v>1</v>
      </c>
      <c r="AQ11" s="11">
        <v>8</v>
      </c>
      <c r="AR11" s="14" t="s">
        <v>9</v>
      </c>
      <c r="AT11" s="11">
        <v>8</v>
      </c>
      <c r="AU11" s="12">
        <v>8</v>
      </c>
      <c r="AW11" s="11">
        <v>8</v>
      </c>
      <c r="AX11" s="12">
        <v>1</v>
      </c>
      <c r="AY11" s="12">
        <v>1</v>
      </c>
      <c r="AZ11" s="12">
        <v>1</v>
      </c>
      <c r="BA11" s="12">
        <v>1</v>
      </c>
      <c r="BB11" s="12">
        <v>1</v>
      </c>
      <c r="BC11" s="12">
        <v>1</v>
      </c>
      <c r="BD11" s="12">
        <v>1</v>
      </c>
      <c r="BE11" s="12">
        <v>1</v>
      </c>
      <c r="BF11" s="24">
        <v>1</v>
      </c>
      <c r="BG11" s="29">
        <v>1</v>
      </c>
      <c r="BH11" s="12">
        <v>1</v>
      </c>
      <c r="BI11" s="12">
        <v>1</v>
      </c>
      <c r="BK11" s="11">
        <v>8</v>
      </c>
      <c r="BL11" s="12">
        <v>5</v>
      </c>
      <c r="BM11" s="12" t="s">
        <v>15</v>
      </c>
      <c r="BN11" s="12" t="s">
        <v>15</v>
      </c>
      <c r="BP11" s="11">
        <v>8</v>
      </c>
      <c r="BQ11" s="12">
        <v>3</v>
      </c>
      <c r="BR11" s="12">
        <v>0</v>
      </c>
      <c r="BS11" s="12">
        <v>0</v>
      </c>
      <c r="BU11" s="11">
        <v>8</v>
      </c>
      <c r="BV11" s="12">
        <v>1</v>
      </c>
      <c r="BW11" s="12">
        <v>1</v>
      </c>
      <c r="BX11" s="12">
        <v>1</v>
      </c>
      <c r="BZ11" s="11">
        <v>8</v>
      </c>
      <c r="CA11" s="12"/>
      <c r="CC11" s="11">
        <v>8</v>
      </c>
      <c r="CD11" s="12"/>
    </row>
    <row r="12" spans="1:82">
      <c r="A12" s="20" t="s">
        <v>22</v>
      </c>
      <c r="B12" s="20">
        <v>7</v>
      </c>
      <c r="C12" s="5" t="s">
        <v>27</v>
      </c>
      <c r="D12" s="37">
        <f t="shared" si="1"/>
        <v>0</v>
      </c>
      <c r="E12" s="59">
        <f t="shared" si="0"/>
        <v>0</v>
      </c>
      <c r="F12" s="38">
        <f t="shared" si="0"/>
        <v>0</v>
      </c>
      <c r="H12" s="27"/>
      <c r="J12" s="27"/>
      <c r="K12" s="27"/>
      <c r="R12" s="11">
        <v>9</v>
      </c>
      <c r="S12" s="12" t="s">
        <v>15</v>
      </c>
      <c r="T12" s="12">
        <v>1</v>
      </c>
      <c r="U12" s="12">
        <v>1</v>
      </c>
      <c r="W12" s="11">
        <v>9</v>
      </c>
      <c r="X12" s="12">
        <v>0</v>
      </c>
      <c r="Y12" s="12">
        <v>2</v>
      </c>
      <c r="Z12" s="12">
        <v>2</v>
      </c>
      <c r="AB12" s="11">
        <v>9</v>
      </c>
      <c r="AC12" s="12">
        <v>1</v>
      </c>
      <c r="AD12" s="69">
        <v>1</v>
      </c>
      <c r="AE12" s="69">
        <v>1</v>
      </c>
      <c r="AG12" s="11">
        <v>9</v>
      </c>
      <c r="AH12" s="12">
        <v>1</v>
      </c>
      <c r="AI12" s="69">
        <v>1</v>
      </c>
      <c r="AJ12" s="69">
        <v>1</v>
      </c>
      <c r="AL12" s="11">
        <v>9</v>
      </c>
      <c r="AM12" s="12">
        <v>1</v>
      </c>
      <c r="AN12" s="69">
        <v>1</v>
      </c>
      <c r="AO12" s="69">
        <v>1</v>
      </c>
      <c r="AQ12" s="11">
        <v>9</v>
      </c>
      <c r="AR12" s="12" t="s">
        <v>15</v>
      </c>
      <c r="AT12" s="11">
        <v>9</v>
      </c>
      <c r="AU12" s="12">
        <v>0</v>
      </c>
      <c r="AW12" s="11">
        <v>9</v>
      </c>
      <c r="AX12" s="12">
        <v>1</v>
      </c>
      <c r="AY12" s="12">
        <v>1</v>
      </c>
      <c r="AZ12" s="12">
        <v>1</v>
      </c>
      <c r="BA12" s="12">
        <v>1</v>
      </c>
      <c r="BB12" s="12">
        <v>1</v>
      </c>
      <c r="BC12" s="12">
        <v>1</v>
      </c>
      <c r="BD12" s="12">
        <v>1</v>
      </c>
      <c r="BE12" s="12">
        <v>1</v>
      </c>
      <c r="BF12" s="24">
        <v>1</v>
      </c>
      <c r="BG12" s="29">
        <v>1</v>
      </c>
      <c r="BH12" s="12">
        <v>1</v>
      </c>
      <c r="BI12" s="12">
        <v>1</v>
      </c>
      <c r="BK12" s="11">
        <v>9</v>
      </c>
      <c r="BL12" s="12" t="s">
        <v>15</v>
      </c>
      <c r="BM12" s="12">
        <v>1</v>
      </c>
      <c r="BN12" s="12">
        <v>1</v>
      </c>
      <c r="BP12" s="11">
        <v>9</v>
      </c>
      <c r="BQ12" s="12">
        <v>0</v>
      </c>
      <c r="BR12" s="12">
        <v>2</v>
      </c>
      <c r="BS12" s="12">
        <v>2</v>
      </c>
      <c r="BU12" s="11">
        <v>9</v>
      </c>
      <c r="BV12" s="12">
        <v>1</v>
      </c>
      <c r="BW12" s="12">
        <v>1</v>
      </c>
      <c r="BX12" s="12">
        <v>1</v>
      </c>
      <c r="BZ12" s="11">
        <v>9</v>
      </c>
      <c r="CA12" s="12"/>
      <c r="CC12" s="11">
        <v>9</v>
      </c>
      <c r="CD12" s="12"/>
    </row>
    <row r="13" spans="1:82" ht="18" customHeight="1">
      <c r="A13" s="20" t="s">
        <v>23</v>
      </c>
      <c r="B13" s="20">
        <v>8</v>
      </c>
      <c r="C13" s="5" t="s">
        <v>28</v>
      </c>
      <c r="D13" s="37">
        <f t="shared" si="1"/>
        <v>0</v>
      </c>
      <c r="E13" s="59">
        <f t="shared" si="0"/>
        <v>0</v>
      </c>
      <c r="F13" s="38">
        <f t="shared" si="0"/>
        <v>0</v>
      </c>
      <c r="H13" s="27"/>
      <c r="J13" s="66"/>
      <c r="K13" s="64" t="s">
        <v>90</v>
      </c>
      <c r="L13" s="64" t="s">
        <v>91</v>
      </c>
      <c r="M13" s="64" t="s">
        <v>92</v>
      </c>
      <c r="R13" s="11">
        <v>10</v>
      </c>
      <c r="S13" s="12">
        <v>10</v>
      </c>
      <c r="T13" s="12" t="s">
        <v>15</v>
      </c>
      <c r="U13" s="12" t="s">
        <v>15</v>
      </c>
      <c r="W13" s="11">
        <v>10</v>
      </c>
      <c r="X13" s="12">
        <v>4</v>
      </c>
      <c r="Y13" s="12">
        <v>0</v>
      </c>
      <c r="Z13" s="12">
        <v>0</v>
      </c>
      <c r="AB13" s="11">
        <v>10</v>
      </c>
      <c r="AC13" s="12">
        <v>1</v>
      </c>
      <c r="AD13" s="69">
        <v>1</v>
      </c>
      <c r="AE13" s="69">
        <v>1</v>
      </c>
      <c r="AG13" s="11">
        <v>10</v>
      </c>
      <c r="AH13" s="12">
        <v>1</v>
      </c>
      <c r="AI13" s="69">
        <v>1</v>
      </c>
      <c r="AJ13" s="69">
        <v>1</v>
      </c>
      <c r="AL13" s="11">
        <v>10</v>
      </c>
      <c r="AM13" s="12">
        <v>1</v>
      </c>
      <c r="AN13" s="69">
        <v>1</v>
      </c>
      <c r="AO13" s="69">
        <v>1</v>
      </c>
      <c r="AQ13" s="11">
        <v>10</v>
      </c>
      <c r="AR13" s="14" t="s">
        <v>5</v>
      </c>
      <c r="AT13" s="11">
        <v>10</v>
      </c>
      <c r="AU13" s="12">
        <v>6</v>
      </c>
      <c r="AW13" s="11">
        <v>10</v>
      </c>
      <c r="AX13" s="12">
        <v>1</v>
      </c>
      <c r="AY13" s="12">
        <v>1</v>
      </c>
      <c r="AZ13" s="12">
        <v>1</v>
      </c>
      <c r="BA13" s="12">
        <v>1</v>
      </c>
      <c r="BB13" s="12">
        <v>1</v>
      </c>
      <c r="BC13" s="12">
        <v>1</v>
      </c>
      <c r="BD13" s="12">
        <v>1</v>
      </c>
      <c r="BE13" s="12">
        <v>1</v>
      </c>
      <c r="BF13" s="24">
        <v>1</v>
      </c>
      <c r="BG13" s="29">
        <v>1</v>
      </c>
      <c r="BH13" s="12">
        <v>1</v>
      </c>
      <c r="BI13" s="12">
        <v>1</v>
      </c>
      <c r="BK13" s="11">
        <v>10</v>
      </c>
      <c r="BL13" s="12">
        <v>10</v>
      </c>
      <c r="BM13" s="12" t="s">
        <v>15</v>
      </c>
      <c r="BN13" s="12" t="s">
        <v>15</v>
      </c>
      <c r="BP13" s="11">
        <v>10</v>
      </c>
      <c r="BQ13" s="12">
        <v>4</v>
      </c>
      <c r="BR13" s="12">
        <v>0</v>
      </c>
      <c r="BS13" s="12">
        <v>0</v>
      </c>
      <c r="BU13" s="11">
        <v>10</v>
      </c>
      <c r="BV13" s="12">
        <v>1</v>
      </c>
      <c r="BW13" s="12">
        <v>1</v>
      </c>
      <c r="BX13" s="12">
        <v>1</v>
      </c>
      <c r="BZ13" s="11">
        <v>10</v>
      </c>
      <c r="CA13" s="12"/>
      <c r="CC13" s="11">
        <v>10</v>
      </c>
      <c r="CD13" s="12"/>
    </row>
    <row r="14" spans="1:82" ht="16.8">
      <c r="A14" s="20" t="s">
        <v>24</v>
      </c>
      <c r="B14" s="20">
        <v>9</v>
      </c>
      <c r="C14" s="5" t="s">
        <v>16</v>
      </c>
      <c r="D14" s="37">
        <f t="shared" si="1"/>
        <v>0</v>
      </c>
      <c r="E14" s="59">
        <f t="shared" si="0"/>
        <v>0</v>
      </c>
      <c r="F14" s="38">
        <f t="shared" si="0"/>
        <v>0</v>
      </c>
      <c r="H14" s="27"/>
      <c r="J14" s="64" t="s">
        <v>96</v>
      </c>
      <c r="K14" s="64">
        <v>1</v>
      </c>
      <c r="L14" s="64">
        <v>1</v>
      </c>
      <c r="M14" s="64">
        <v>1</v>
      </c>
      <c r="R14" s="11">
        <v>11</v>
      </c>
      <c r="S14" s="12" t="s">
        <v>15</v>
      </c>
      <c r="T14" s="12">
        <v>5</v>
      </c>
      <c r="U14" s="12">
        <v>5</v>
      </c>
      <c r="W14" s="11">
        <v>11</v>
      </c>
      <c r="X14" s="12">
        <v>0</v>
      </c>
      <c r="Y14" s="12">
        <v>3</v>
      </c>
      <c r="Z14" s="12">
        <v>3</v>
      </c>
      <c r="AB14" s="11">
        <v>11</v>
      </c>
      <c r="AC14" s="12">
        <v>1</v>
      </c>
      <c r="AD14" s="69">
        <v>1</v>
      </c>
      <c r="AE14" s="69">
        <v>1</v>
      </c>
      <c r="AG14" s="11">
        <v>11</v>
      </c>
      <c r="AH14" s="12">
        <v>1</v>
      </c>
      <c r="AI14" s="69">
        <v>1</v>
      </c>
      <c r="AJ14" s="69">
        <v>1</v>
      </c>
      <c r="AL14" s="11">
        <v>11</v>
      </c>
      <c r="AM14" s="12">
        <v>1</v>
      </c>
      <c r="AN14" s="69">
        <v>1</v>
      </c>
      <c r="AO14" s="69">
        <v>1</v>
      </c>
      <c r="AQ14" s="11">
        <v>11</v>
      </c>
      <c r="AR14" s="12" t="s">
        <v>15</v>
      </c>
      <c r="AT14" s="11">
        <v>11</v>
      </c>
      <c r="AU14" s="12">
        <v>0</v>
      </c>
      <c r="AW14" s="11">
        <v>11</v>
      </c>
      <c r="AX14" s="12">
        <v>1</v>
      </c>
      <c r="AY14" s="12">
        <v>1</v>
      </c>
      <c r="AZ14" s="12">
        <v>1</v>
      </c>
      <c r="BA14" s="12">
        <v>1</v>
      </c>
      <c r="BB14" s="12">
        <v>1</v>
      </c>
      <c r="BC14" s="12">
        <v>1</v>
      </c>
      <c r="BD14" s="12">
        <v>1</v>
      </c>
      <c r="BE14" s="12">
        <v>1</v>
      </c>
      <c r="BF14" s="24">
        <v>1</v>
      </c>
      <c r="BG14" s="29">
        <v>1</v>
      </c>
      <c r="BH14" s="12">
        <v>1</v>
      </c>
      <c r="BI14" s="12">
        <v>1</v>
      </c>
      <c r="BK14" s="11">
        <v>11</v>
      </c>
      <c r="BL14" s="12" t="s">
        <v>15</v>
      </c>
      <c r="BM14" s="12">
        <v>5</v>
      </c>
      <c r="BN14" s="12">
        <v>5</v>
      </c>
      <c r="BP14" s="11">
        <v>11</v>
      </c>
      <c r="BQ14" s="12">
        <v>0</v>
      </c>
      <c r="BR14" s="12">
        <v>3</v>
      </c>
      <c r="BS14" s="12">
        <v>3</v>
      </c>
      <c r="BU14" s="11">
        <v>11</v>
      </c>
      <c r="BV14" s="12">
        <v>1</v>
      </c>
      <c r="BW14" s="12">
        <v>1</v>
      </c>
      <c r="BX14" s="12">
        <v>1</v>
      </c>
      <c r="BZ14" s="11">
        <v>11</v>
      </c>
      <c r="CA14" s="12"/>
      <c r="CC14" s="11">
        <v>11</v>
      </c>
      <c r="CD14" s="12"/>
    </row>
    <row r="15" spans="1:82">
      <c r="A15" s="21" t="s">
        <v>35</v>
      </c>
      <c r="B15" s="21">
        <v>10</v>
      </c>
      <c r="C15" s="5" t="s">
        <v>37</v>
      </c>
      <c r="D15" s="37">
        <f t="shared" si="1"/>
        <v>0</v>
      </c>
      <c r="E15" s="59">
        <f t="shared" si="0"/>
        <v>0</v>
      </c>
      <c r="F15" s="38">
        <f t="shared" si="0"/>
        <v>0</v>
      </c>
      <c r="R15" s="11">
        <v>12</v>
      </c>
      <c r="S15" s="12">
        <v>1</v>
      </c>
      <c r="T15" s="12" t="s">
        <v>15</v>
      </c>
      <c r="U15" s="12" t="s">
        <v>15</v>
      </c>
      <c r="W15" s="11">
        <v>12</v>
      </c>
      <c r="X15" s="12">
        <v>2</v>
      </c>
      <c r="Y15" s="12">
        <v>0</v>
      </c>
      <c r="Z15" s="12">
        <v>0</v>
      </c>
      <c r="AB15" s="11">
        <v>12</v>
      </c>
      <c r="AC15" s="12">
        <v>1</v>
      </c>
      <c r="AD15" s="69">
        <v>1</v>
      </c>
      <c r="AE15" s="69">
        <v>1</v>
      </c>
      <c r="AG15" s="11">
        <v>12</v>
      </c>
      <c r="AH15" s="12">
        <v>1</v>
      </c>
      <c r="AI15" s="69">
        <v>1</v>
      </c>
      <c r="AJ15" s="69">
        <v>1</v>
      </c>
      <c r="AL15" s="11">
        <v>12</v>
      </c>
      <c r="AM15" s="12">
        <v>1</v>
      </c>
      <c r="AN15" s="69">
        <v>1</v>
      </c>
      <c r="AO15" s="69">
        <v>1</v>
      </c>
      <c r="AQ15" s="11">
        <v>12</v>
      </c>
      <c r="AR15" s="14" t="s">
        <v>7</v>
      </c>
      <c r="AT15" s="11">
        <v>12</v>
      </c>
      <c r="AU15" s="12">
        <v>9</v>
      </c>
      <c r="AW15" s="11">
        <v>12</v>
      </c>
      <c r="AX15" s="12">
        <v>1</v>
      </c>
      <c r="AY15" s="12">
        <v>1</v>
      </c>
      <c r="AZ15" s="12">
        <v>1</v>
      </c>
      <c r="BA15" s="12">
        <v>1</v>
      </c>
      <c r="BB15" s="12">
        <v>1</v>
      </c>
      <c r="BC15" s="12">
        <v>1</v>
      </c>
      <c r="BD15" s="12">
        <v>1</v>
      </c>
      <c r="BE15" s="12">
        <v>1</v>
      </c>
      <c r="BF15" s="24">
        <v>1</v>
      </c>
      <c r="BG15" s="29">
        <v>1</v>
      </c>
      <c r="BH15" s="12">
        <v>1</v>
      </c>
      <c r="BI15" s="12">
        <v>1</v>
      </c>
      <c r="BK15" s="11">
        <v>12</v>
      </c>
      <c r="BL15" s="12">
        <v>1</v>
      </c>
      <c r="BM15" s="12" t="s">
        <v>15</v>
      </c>
      <c r="BN15" s="12" t="s">
        <v>15</v>
      </c>
      <c r="BP15" s="11">
        <v>12</v>
      </c>
      <c r="BQ15" s="12">
        <v>2</v>
      </c>
      <c r="BR15" s="12">
        <v>0</v>
      </c>
      <c r="BS15" s="12">
        <v>0</v>
      </c>
      <c r="BU15" s="11">
        <v>12</v>
      </c>
      <c r="BV15" s="12">
        <v>1</v>
      </c>
      <c r="BW15" s="12">
        <v>1</v>
      </c>
      <c r="BX15" s="12">
        <v>1</v>
      </c>
      <c r="BZ15" s="11">
        <v>12</v>
      </c>
      <c r="CA15" s="12"/>
      <c r="CC15" s="11">
        <v>12</v>
      </c>
      <c r="CD15" s="12"/>
    </row>
    <row r="16" spans="1:82" ht="16.8">
      <c r="A16" s="22" t="s">
        <v>39</v>
      </c>
      <c r="B16" s="22">
        <v>11</v>
      </c>
      <c r="C16" s="17" t="s">
        <v>38</v>
      </c>
      <c r="D16" s="60">
        <f t="shared" si="1"/>
        <v>0</v>
      </c>
      <c r="E16" s="39">
        <f t="shared" si="0"/>
        <v>0</v>
      </c>
      <c r="F16" s="40">
        <f t="shared" si="0"/>
        <v>0</v>
      </c>
      <c r="J16" s="2"/>
      <c r="K16" s="2" t="s">
        <v>119</v>
      </c>
      <c r="L16" s="2" t="s">
        <v>120</v>
      </c>
      <c r="R16" s="11">
        <v>13</v>
      </c>
      <c r="S16" s="12" t="s">
        <v>15</v>
      </c>
      <c r="T16" s="12">
        <v>0</v>
      </c>
      <c r="U16" s="12">
        <v>0</v>
      </c>
      <c r="W16" s="11">
        <v>13</v>
      </c>
      <c r="X16" s="12">
        <v>0</v>
      </c>
      <c r="Y16" s="12">
        <v>1</v>
      </c>
      <c r="Z16" s="12">
        <v>1</v>
      </c>
      <c r="AB16" s="11">
        <v>13</v>
      </c>
      <c r="AC16" s="12">
        <v>1</v>
      </c>
      <c r="AD16" s="69">
        <v>1</v>
      </c>
      <c r="AE16" s="69">
        <v>1</v>
      </c>
      <c r="AG16" s="11">
        <v>13</v>
      </c>
      <c r="AH16" s="12">
        <v>1</v>
      </c>
      <c r="AI16" s="69">
        <v>1</v>
      </c>
      <c r="AJ16" s="69">
        <v>1</v>
      </c>
      <c r="AL16" s="11">
        <v>13</v>
      </c>
      <c r="AM16" s="12">
        <v>1</v>
      </c>
      <c r="AN16" s="69">
        <v>1</v>
      </c>
      <c r="AO16" s="69">
        <v>1</v>
      </c>
      <c r="AQ16" s="11">
        <v>13</v>
      </c>
      <c r="AR16" s="12" t="s">
        <v>15</v>
      </c>
      <c r="AT16" s="11">
        <v>13</v>
      </c>
      <c r="AU16" s="12">
        <v>0</v>
      </c>
      <c r="AW16" s="11">
        <v>13</v>
      </c>
      <c r="AX16" s="12">
        <v>1</v>
      </c>
      <c r="AY16" s="12">
        <v>1</v>
      </c>
      <c r="AZ16" s="12">
        <v>1</v>
      </c>
      <c r="BA16" s="12">
        <v>1</v>
      </c>
      <c r="BB16" s="12">
        <v>1</v>
      </c>
      <c r="BC16" s="12">
        <v>1</v>
      </c>
      <c r="BD16" s="12">
        <v>1</v>
      </c>
      <c r="BE16" s="12">
        <v>1</v>
      </c>
      <c r="BF16" s="24">
        <v>1</v>
      </c>
      <c r="BG16" s="29">
        <v>1</v>
      </c>
      <c r="BH16" s="12">
        <v>1</v>
      </c>
      <c r="BI16" s="12">
        <v>1</v>
      </c>
      <c r="BK16" s="11">
        <v>13</v>
      </c>
      <c r="BL16" s="12" t="s">
        <v>15</v>
      </c>
      <c r="BM16" s="12">
        <v>0</v>
      </c>
      <c r="BN16" s="12">
        <v>0</v>
      </c>
      <c r="BP16" s="11">
        <v>13</v>
      </c>
      <c r="BQ16" s="12">
        <v>0</v>
      </c>
      <c r="BR16" s="12">
        <v>1</v>
      </c>
      <c r="BS16" s="12">
        <v>1</v>
      </c>
      <c r="BU16" s="11">
        <v>13</v>
      </c>
      <c r="BV16" s="12">
        <v>1</v>
      </c>
      <c r="BW16" s="12">
        <v>1</v>
      </c>
      <c r="BX16" s="12">
        <v>1</v>
      </c>
      <c r="BZ16" s="11">
        <v>13</v>
      </c>
      <c r="CA16" s="12"/>
      <c r="CC16" s="11">
        <v>13</v>
      </c>
      <c r="CD16" s="12"/>
    </row>
    <row r="17" spans="1:82" ht="16.8">
      <c r="D17" s="121">
        <f>SUM(D5:D16)</f>
        <v>36</v>
      </c>
      <c r="E17" s="121">
        <f>SUM(E5:E16)</f>
        <v>36</v>
      </c>
      <c r="F17" s="121">
        <f>SUM(F5:F16)</f>
        <v>36</v>
      </c>
      <c r="J17" s="2" t="s">
        <v>118</v>
      </c>
      <c r="K17" s="33">
        <v>100</v>
      </c>
      <c r="L17" s="33">
        <v>0</v>
      </c>
      <c r="R17" s="11">
        <v>14</v>
      </c>
      <c r="S17" s="12">
        <v>5</v>
      </c>
      <c r="T17" s="12" t="s">
        <v>15</v>
      </c>
      <c r="U17" s="12" t="s">
        <v>15</v>
      </c>
      <c r="W17" s="11">
        <v>14</v>
      </c>
      <c r="X17" s="12">
        <v>3</v>
      </c>
      <c r="Y17" s="12">
        <v>0</v>
      </c>
      <c r="Z17" s="12">
        <v>0</v>
      </c>
      <c r="AB17" s="11">
        <v>14</v>
      </c>
      <c r="AC17" s="12">
        <v>1</v>
      </c>
      <c r="AD17" s="69">
        <v>1</v>
      </c>
      <c r="AE17" s="69">
        <v>1</v>
      </c>
      <c r="AG17" s="11">
        <v>14</v>
      </c>
      <c r="AH17" s="12">
        <v>1</v>
      </c>
      <c r="AI17" s="69">
        <v>1</v>
      </c>
      <c r="AJ17" s="69">
        <v>1</v>
      </c>
      <c r="AL17" s="11">
        <v>14</v>
      </c>
      <c r="AM17" s="12">
        <v>1</v>
      </c>
      <c r="AN17" s="69">
        <v>1</v>
      </c>
      <c r="AO17" s="69">
        <v>1</v>
      </c>
      <c r="AQ17" s="11">
        <v>14</v>
      </c>
      <c r="AR17" s="14" t="s">
        <v>6</v>
      </c>
      <c r="AT17" s="11">
        <v>14</v>
      </c>
      <c r="AU17" s="12">
        <v>7</v>
      </c>
      <c r="AW17" s="11">
        <v>14</v>
      </c>
      <c r="AX17" s="12">
        <v>1</v>
      </c>
      <c r="AY17" s="12">
        <v>1</v>
      </c>
      <c r="AZ17" s="12">
        <v>1</v>
      </c>
      <c r="BA17" s="12">
        <v>1</v>
      </c>
      <c r="BB17" s="12">
        <v>1</v>
      </c>
      <c r="BC17" s="12">
        <v>1</v>
      </c>
      <c r="BD17" s="12">
        <v>1</v>
      </c>
      <c r="BE17" s="12">
        <v>1</v>
      </c>
      <c r="BF17" s="24">
        <v>1</v>
      </c>
      <c r="BG17" s="29">
        <v>1</v>
      </c>
      <c r="BH17" s="12">
        <v>1</v>
      </c>
      <c r="BI17" s="12">
        <v>1</v>
      </c>
      <c r="BK17" s="11">
        <v>14</v>
      </c>
      <c r="BL17" s="12">
        <v>5</v>
      </c>
      <c r="BM17" s="12" t="s">
        <v>15</v>
      </c>
      <c r="BN17" s="12" t="s">
        <v>15</v>
      </c>
      <c r="BP17" s="11">
        <v>14</v>
      </c>
      <c r="BQ17" s="12">
        <v>3</v>
      </c>
      <c r="BR17" s="12">
        <v>0</v>
      </c>
      <c r="BS17" s="12">
        <v>0</v>
      </c>
      <c r="BU17" s="11">
        <v>14</v>
      </c>
      <c r="BV17" s="12">
        <v>1</v>
      </c>
      <c r="BW17" s="12">
        <v>1</v>
      </c>
      <c r="BX17" s="12">
        <v>1</v>
      </c>
      <c r="BZ17" s="11">
        <v>14</v>
      </c>
      <c r="CA17" s="12"/>
      <c r="CC17" s="11">
        <v>14</v>
      </c>
      <c r="CD17" s="12"/>
    </row>
    <row r="18" spans="1:82">
      <c r="C18" s="8"/>
      <c r="R18" s="11">
        <v>15</v>
      </c>
      <c r="S18" s="12" t="s">
        <v>15</v>
      </c>
      <c r="T18" s="12">
        <v>1</v>
      </c>
      <c r="U18" s="12">
        <v>1</v>
      </c>
      <c r="W18" s="11">
        <v>15</v>
      </c>
      <c r="X18" s="12">
        <v>0</v>
      </c>
      <c r="Y18" s="12">
        <v>2</v>
      </c>
      <c r="Z18" s="12">
        <v>2</v>
      </c>
      <c r="AB18" s="11">
        <v>15</v>
      </c>
      <c r="AC18" s="12">
        <v>1</v>
      </c>
      <c r="AD18" s="69">
        <v>1</v>
      </c>
      <c r="AE18" s="69">
        <v>1</v>
      </c>
      <c r="AG18" s="11">
        <v>15</v>
      </c>
      <c r="AH18" s="12">
        <v>1</v>
      </c>
      <c r="AI18" s="69">
        <v>1</v>
      </c>
      <c r="AJ18" s="69">
        <v>1</v>
      </c>
      <c r="AL18" s="11">
        <v>15</v>
      </c>
      <c r="AM18" s="12">
        <v>1</v>
      </c>
      <c r="AN18" s="69">
        <v>1</v>
      </c>
      <c r="AO18" s="69">
        <v>1</v>
      </c>
      <c r="AQ18" s="11">
        <v>15</v>
      </c>
      <c r="AR18" s="12" t="s">
        <v>15</v>
      </c>
      <c r="AT18" s="11">
        <v>15</v>
      </c>
      <c r="AU18" s="12">
        <v>0</v>
      </c>
      <c r="AW18" s="11">
        <v>15</v>
      </c>
      <c r="AX18" s="12">
        <v>1</v>
      </c>
      <c r="AY18" s="12">
        <v>1</v>
      </c>
      <c r="AZ18" s="12">
        <v>1</v>
      </c>
      <c r="BA18" s="12">
        <v>1</v>
      </c>
      <c r="BB18" s="12">
        <v>1</v>
      </c>
      <c r="BC18" s="12">
        <v>1</v>
      </c>
      <c r="BD18" s="12">
        <v>1</v>
      </c>
      <c r="BE18" s="12">
        <v>1</v>
      </c>
      <c r="BF18" s="24">
        <v>1</v>
      </c>
      <c r="BG18" s="29">
        <v>1</v>
      </c>
      <c r="BH18" s="12">
        <v>1</v>
      </c>
      <c r="BI18" s="12">
        <v>1</v>
      </c>
      <c r="BK18" s="11">
        <v>15</v>
      </c>
      <c r="BL18" s="12" t="s">
        <v>15</v>
      </c>
      <c r="BM18" s="12">
        <v>1</v>
      </c>
      <c r="BN18" s="12">
        <v>1</v>
      </c>
      <c r="BP18" s="11">
        <v>15</v>
      </c>
      <c r="BQ18" s="12">
        <v>0</v>
      </c>
      <c r="BR18" s="12">
        <v>2</v>
      </c>
      <c r="BS18" s="12">
        <v>2</v>
      </c>
      <c r="BU18" s="11">
        <v>15</v>
      </c>
      <c r="BV18" s="12">
        <v>1</v>
      </c>
      <c r="BW18" s="12">
        <v>1</v>
      </c>
      <c r="BX18" s="12">
        <v>1</v>
      </c>
      <c r="BZ18" s="11">
        <v>15</v>
      </c>
      <c r="CA18" s="12"/>
      <c r="CC18" s="11">
        <v>15</v>
      </c>
      <c r="CD18" s="12"/>
    </row>
    <row r="19" spans="1:82">
      <c r="A19" s="30" t="s">
        <v>116</v>
      </c>
      <c r="D19" s="119">
        <v>1</v>
      </c>
      <c r="E19" s="119" t="s">
        <v>8</v>
      </c>
      <c r="F19" s="119">
        <v>0</v>
      </c>
      <c r="J19" s="94" t="s">
        <v>125</v>
      </c>
      <c r="K19" s="121"/>
      <c r="R19" s="11">
        <v>16</v>
      </c>
      <c r="S19" s="12">
        <v>10</v>
      </c>
      <c r="T19" s="12" t="s">
        <v>15</v>
      </c>
      <c r="U19" s="12" t="s">
        <v>15</v>
      </c>
      <c r="W19" s="11">
        <v>16</v>
      </c>
      <c r="X19" s="12">
        <v>4</v>
      </c>
      <c r="Y19" s="12">
        <v>0</v>
      </c>
      <c r="Z19" s="12">
        <v>0</v>
      </c>
      <c r="AB19" s="11">
        <v>16</v>
      </c>
      <c r="AC19" s="12">
        <v>1</v>
      </c>
      <c r="AD19" s="69">
        <v>1</v>
      </c>
      <c r="AE19" s="69">
        <v>1</v>
      </c>
      <c r="AG19" s="11">
        <v>16</v>
      </c>
      <c r="AH19" s="12">
        <v>1</v>
      </c>
      <c r="AI19" s="69">
        <v>1</v>
      </c>
      <c r="AJ19" s="69">
        <v>1</v>
      </c>
      <c r="AL19" s="11">
        <v>16</v>
      </c>
      <c r="AM19" s="12">
        <v>1</v>
      </c>
      <c r="AN19" s="69">
        <v>1</v>
      </c>
      <c r="AO19" s="69">
        <v>1</v>
      </c>
      <c r="AQ19" s="11">
        <v>16</v>
      </c>
      <c r="AR19" s="14" t="s">
        <v>36</v>
      </c>
      <c r="AT19" s="11">
        <v>16</v>
      </c>
      <c r="AU19" s="12">
        <v>10</v>
      </c>
      <c r="AW19" s="11">
        <v>16</v>
      </c>
      <c r="AX19" s="12">
        <v>1</v>
      </c>
      <c r="AY19" s="12">
        <v>1</v>
      </c>
      <c r="AZ19" s="12">
        <v>1</v>
      </c>
      <c r="BA19" s="12">
        <v>1</v>
      </c>
      <c r="BB19" s="12">
        <v>1</v>
      </c>
      <c r="BC19" s="12">
        <v>1</v>
      </c>
      <c r="BD19" s="12">
        <v>1</v>
      </c>
      <c r="BE19" s="12">
        <v>1</v>
      </c>
      <c r="BF19" s="24">
        <v>1</v>
      </c>
      <c r="BG19" s="29">
        <v>1</v>
      </c>
      <c r="BH19" s="12">
        <v>1</v>
      </c>
      <c r="BI19" s="12">
        <v>1</v>
      </c>
      <c r="BK19" s="11">
        <v>16</v>
      </c>
      <c r="BL19" s="12">
        <v>10</v>
      </c>
      <c r="BM19" s="12" t="s">
        <v>15</v>
      </c>
      <c r="BN19" s="12" t="s">
        <v>15</v>
      </c>
      <c r="BP19" s="11">
        <v>16</v>
      </c>
      <c r="BQ19" s="12">
        <v>4</v>
      </c>
      <c r="BR19" s="12">
        <v>0</v>
      </c>
      <c r="BS19" s="12">
        <v>0</v>
      </c>
      <c r="BU19" s="11">
        <v>16</v>
      </c>
      <c r="BV19" s="12">
        <v>1</v>
      </c>
      <c r="BW19" s="12">
        <v>1</v>
      </c>
      <c r="BX19" s="12">
        <v>1</v>
      </c>
      <c r="BZ19" s="11">
        <v>16</v>
      </c>
      <c r="CA19" s="12"/>
      <c r="CC19" s="11">
        <v>16</v>
      </c>
      <c r="CD19" s="12"/>
    </row>
    <row r="20" spans="1:82">
      <c r="D20" s="119">
        <v>10</v>
      </c>
      <c r="E20" s="119"/>
      <c r="F20" s="119">
        <v>1</v>
      </c>
      <c r="J20" s="2" t="s">
        <v>66</v>
      </c>
      <c r="K20" s="2" t="s">
        <v>67</v>
      </c>
      <c r="R20" s="11">
        <v>17</v>
      </c>
      <c r="S20" s="12" t="s">
        <v>15</v>
      </c>
      <c r="T20" s="12">
        <v>5</v>
      </c>
      <c r="U20" s="12">
        <v>5</v>
      </c>
      <c r="W20" s="11">
        <v>17</v>
      </c>
      <c r="X20" s="12">
        <v>0</v>
      </c>
      <c r="Y20" s="12">
        <v>3</v>
      </c>
      <c r="Z20" s="12">
        <v>3</v>
      </c>
      <c r="AB20" s="11">
        <v>17</v>
      </c>
      <c r="AC20" s="12">
        <v>1</v>
      </c>
      <c r="AD20" s="69">
        <v>1</v>
      </c>
      <c r="AE20" s="69">
        <v>1</v>
      </c>
      <c r="AG20" s="11">
        <v>17</v>
      </c>
      <c r="AH20" s="12">
        <v>1</v>
      </c>
      <c r="AI20" s="69">
        <v>1</v>
      </c>
      <c r="AJ20" s="69">
        <v>1</v>
      </c>
      <c r="AL20" s="11">
        <v>17</v>
      </c>
      <c r="AM20" s="12">
        <v>1</v>
      </c>
      <c r="AN20" s="69">
        <v>1</v>
      </c>
      <c r="AO20" s="69">
        <v>1</v>
      </c>
      <c r="AQ20" s="11">
        <v>17</v>
      </c>
      <c r="AR20" s="12" t="s">
        <v>15</v>
      </c>
      <c r="AT20" s="11">
        <v>17</v>
      </c>
      <c r="AU20" s="12">
        <v>0</v>
      </c>
      <c r="AW20" s="11">
        <v>17</v>
      </c>
      <c r="AX20" s="12">
        <v>1</v>
      </c>
      <c r="AY20" s="12">
        <v>1</v>
      </c>
      <c r="AZ20" s="12">
        <v>1</v>
      </c>
      <c r="BA20" s="12">
        <v>1</v>
      </c>
      <c r="BB20" s="12">
        <v>1</v>
      </c>
      <c r="BC20" s="12">
        <v>1</v>
      </c>
      <c r="BD20" s="12">
        <v>1</v>
      </c>
      <c r="BE20" s="12">
        <v>1</v>
      </c>
      <c r="BF20" s="24">
        <v>1</v>
      </c>
      <c r="BG20" s="29">
        <v>1</v>
      </c>
      <c r="BH20" s="12">
        <v>1</v>
      </c>
      <c r="BI20" s="12">
        <v>1</v>
      </c>
      <c r="BK20" s="11">
        <v>17</v>
      </c>
      <c r="BL20" s="12" t="s">
        <v>15</v>
      </c>
      <c r="BM20" s="12">
        <v>5</v>
      </c>
      <c r="BN20" s="12">
        <v>5</v>
      </c>
      <c r="BP20" s="11">
        <v>17</v>
      </c>
      <c r="BQ20" s="12">
        <v>0</v>
      </c>
      <c r="BR20" s="12">
        <v>3</v>
      </c>
      <c r="BS20" s="12">
        <v>3</v>
      </c>
      <c r="BU20" s="11">
        <v>17</v>
      </c>
      <c r="BV20" s="12">
        <v>1</v>
      </c>
      <c r="BW20" s="12">
        <v>1</v>
      </c>
      <c r="BX20" s="12">
        <v>1</v>
      </c>
      <c r="BZ20" s="11">
        <v>17</v>
      </c>
      <c r="CA20" s="12"/>
      <c r="CC20" s="11">
        <v>17</v>
      </c>
      <c r="CD20" s="12"/>
    </row>
    <row r="21" spans="1:82">
      <c r="D21" s="119"/>
      <c r="E21" s="119"/>
      <c r="F21" s="119">
        <v>5</v>
      </c>
      <c r="J21" s="2">
        <v>0</v>
      </c>
      <c r="K21" s="2">
        <v>1</v>
      </c>
      <c r="R21" s="11">
        <v>18</v>
      </c>
      <c r="S21" s="12">
        <v>1</v>
      </c>
      <c r="T21" s="12" t="s">
        <v>15</v>
      </c>
      <c r="U21" s="12" t="s">
        <v>15</v>
      </c>
      <c r="W21" s="11">
        <v>18</v>
      </c>
      <c r="X21" s="12">
        <v>2</v>
      </c>
      <c r="Y21" s="12">
        <v>0</v>
      </c>
      <c r="Z21" s="12">
        <v>0</v>
      </c>
      <c r="AB21" s="11">
        <v>18</v>
      </c>
      <c r="AC21" s="12">
        <v>1</v>
      </c>
      <c r="AD21" s="69">
        <v>1</v>
      </c>
      <c r="AE21" s="69">
        <v>1</v>
      </c>
      <c r="AG21" s="11">
        <v>18</v>
      </c>
      <c r="AH21" s="12">
        <v>1</v>
      </c>
      <c r="AI21" s="69">
        <v>1</v>
      </c>
      <c r="AJ21" s="69">
        <v>1</v>
      </c>
      <c r="AL21" s="11">
        <v>18</v>
      </c>
      <c r="AM21" s="12">
        <v>1</v>
      </c>
      <c r="AN21" s="69">
        <v>1</v>
      </c>
      <c r="AO21" s="69">
        <v>1</v>
      </c>
      <c r="AQ21" s="11">
        <v>18</v>
      </c>
      <c r="AR21" s="14" t="s">
        <v>9</v>
      </c>
      <c r="AT21" s="11">
        <v>18</v>
      </c>
      <c r="AU21" s="12">
        <v>8</v>
      </c>
      <c r="AW21" s="11">
        <v>18</v>
      </c>
      <c r="AX21" s="12">
        <v>1</v>
      </c>
      <c r="AY21" s="12">
        <v>1</v>
      </c>
      <c r="AZ21" s="12">
        <v>1</v>
      </c>
      <c r="BA21" s="12">
        <v>1</v>
      </c>
      <c r="BB21" s="12">
        <v>1</v>
      </c>
      <c r="BC21" s="12">
        <v>1</v>
      </c>
      <c r="BD21" s="12">
        <v>1</v>
      </c>
      <c r="BE21" s="12">
        <v>1</v>
      </c>
      <c r="BF21" s="24">
        <v>1</v>
      </c>
      <c r="BG21" s="29">
        <v>1</v>
      </c>
      <c r="BH21" s="12">
        <v>1</v>
      </c>
      <c r="BI21" s="12">
        <v>1</v>
      </c>
      <c r="BK21" s="11">
        <v>18</v>
      </c>
      <c r="BL21" s="12">
        <v>1</v>
      </c>
      <c r="BM21" s="12" t="s">
        <v>15</v>
      </c>
      <c r="BN21" s="12" t="s">
        <v>15</v>
      </c>
      <c r="BP21" s="11">
        <v>18</v>
      </c>
      <c r="BQ21" s="12">
        <v>2</v>
      </c>
      <c r="BR21" s="12">
        <v>0</v>
      </c>
      <c r="BS21" s="12">
        <v>0</v>
      </c>
      <c r="BU21" s="11">
        <v>18</v>
      </c>
      <c r="BV21" s="12">
        <v>1</v>
      </c>
      <c r="BW21" s="12">
        <v>1</v>
      </c>
      <c r="BX21" s="12">
        <v>1</v>
      </c>
      <c r="BZ21" s="11">
        <v>18</v>
      </c>
      <c r="CA21" s="12"/>
      <c r="CC21" s="11">
        <v>18</v>
      </c>
      <c r="CD21" s="12"/>
    </row>
    <row r="22" spans="1:82">
      <c r="A22" s="30" t="s">
        <v>46</v>
      </c>
      <c r="B22" s="1" t="s">
        <v>10</v>
      </c>
      <c r="C22" s="2" t="s">
        <v>11</v>
      </c>
      <c r="D22" s="3" t="s">
        <v>80</v>
      </c>
      <c r="E22" s="122" t="s">
        <v>1</v>
      </c>
      <c r="F22" s="4" t="s">
        <v>2</v>
      </c>
      <c r="R22" s="11">
        <v>19</v>
      </c>
      <c r="S22" s="12" t="s">
        <v>15</v>
      </c>
      <c r="T22" s="12">
        <v>0</v>
      </c>
      <c r="U22" s="12">
        <v>0</v>
      </c>
      <c r="W22" s="11">
        <v>19</v>
      </c>
      <c r="X22" s="12">
        <v>0</v>
      </c>
      <c r="Y22" s="12">
        <v>1</v>
      </c>
      <c r="Z22" s="12">
        <v>1</v>
      </c>
      <c r="AB22" s="11">
        <v>19</v>
      </c>
      <c r="AC22" s="12">
        <v>1</v>
      </c>
      <c r="AD22" s="69">
        <v>1</v>
      </c>
      <c r="AE22" s="69">
        <v>1</v>
      </c>
      <c r="AG22" s="11">
        <v>19</v>
      </c>
      <c r="AH22" s="12">
        <v>1</v>
      </c>
      <c r="AI22" s="69">
        <v>1</v>
      </c>
      <c r="AJ22" s="69">
        <v>1</v>
      </c>
      <c r="AL22" s="11">
        <v>19</v>
      </c>
      <c r="AM22" s="12">
        <v>1</v>
      </c>
      <c r="AN22" s="69">
        <v>1</v>
      </c>
      <c r="AO22" s="69">
        <v>1</v>
      </c>
      <c r="AQ22" s="11">
        <v>19</v>
      </c>
      <c r="AR22" s="12" t="s">
        <v>15</v>
      </c>
      <c r="AT22" s="11">
        <v>19</v>
      </c>
      <c r="AU22" s="12">
        <v>0</v>
      </c>
      <c r="AW22" s="11">
        <v>19</v>
      </c>
      <c r="AX22" s="12">
        <v>1</v>
      </c>
      <c r="AY22" s="12">
        <v>1</v>
      </c>
      <c r="AZ22" s="12">
        <v>1</v>
      </c>
      <c r="BA22" s="12">
        <v>1</v>
      </c>
      <c r="BB22" s="12">
        <v>1</v>
      </c>
      <c r="BC22" s="12">
        <v>1</v>
      </c>
      <c r="BD22" s="12">
        <v>1</v>
      </c>
      <c r="BE22" s="12">
        <v>1</v>
      </c>
      <c r="BF22" s="24">
        <v>1</v>
      </c>
      <c r="BG22" s="29">
        <v>1</v>
      </c>
      <c r="BH22" s="12">
        <v>1</v>
      </c>
      <c r="BI22" s="12">
        <v>1</v>
      </c>
      <c r="BK22" s="11">
        <v>19</v>
      </c>
      <c r="BL22" s="12" t="s">
        <v>15</v>
      </c>
      <c r="BM22" s="12">
        <v>0</v>
      </c>
      <c r="BN22" s="12">
        <v>0</v>
      </c>
      <c r="BP22" s="11">
        <v>19</v>
      </c>
      <c r="BQ22" s="12">
        <v>0</v>
      </c>
      <c r="BR22" s="12">
        <v>1</v>
      </c>
      <c r="BS22" s="12">
        <v>1</v>
      </c>
      <c r="BU22" s="11">
        <v>19</v>
      </c>
      <c r="BV22" s="12">
        <v>1</v>
      </c>
      <c r="BW22" s="12">
        <v>1</v>
      </c>
      <c r="BX22" s="12">
        <v>1</v>
      </c>
      <c r="BZ22" s="11">
        <v>19</v>
      </c>
      <c r="CA22" s="12"/>
      <c r="CC22" s="11">
        <v>19</v>
      </c>
      <c r="CD22" s="12"/>
    </row>
    <row r="23" spans="1:82">
      <c r="A23" s="1" t="s">
        <v>19</v>
      </c>
      <c r="B23" s="1">
        <v>0</v>
      </c>
      <c r="C23" s="3" t="s">
        <v>25</v>
      </c>
      <c r="D23" s="3">
        <f>SUMIF(S$3:S$38,$A23,AH$3:AH$38)</f>
        <v>18</v>
      </c>
      <c r="E23" s="122">
        <f t="shared" ref="E23:F34" si="2">SUMIF(T$3:T$38,$A23,AI$3:AI$38)</f>
        <v>18</v>
      </c>
      <c r="F23" s="4">
        <f t="shared" si="2"/>
        <v>18</v>
      </c>
      <c r="R23" s="11">
        <v>20</v>
      </c>
      <c r="S23" s="12">
        <v>5</v>
      </c>
      <c r="T23" s="12" t="s">
        <v>15</v>
      </c>
      <c r="U23" s="12" t="s">
        <v>15</v>
      </c>
      <c r="W23" s="11">
        <v>20</v>
      </c>
      <c r="X23" s="12">
        <v>3</v>
      </c>
      <c r="Y23" s="12">
        <v>0</v>
      </c>
      <c r="Z23" s="12">
        <v>0</v>
      </c>
      <c r="AB23" s="11">
        <v>20</v>
      </c>
      <c r="AC23" s="12">
        <v>1</v>
      </c>
      <c r="AD23" s="69">
        <v>1</v>
      </c>
      <c r="AE23" s="69">
        <v>1</v>
      </c>
      <c r="AG23" s="11">
        <v>20</v>
      </c>
      <c r="AH23" s="12">
        <v>1</v>
      </c>
      <c r="AI23" s="69">
        <v>1</v>
      </c>
      <c r="AJ23" s="69">
        <v>1</v>
      </c>
      <c r="AL23" s="11">
        <v>20</v>
      </c>
      <c r="AM23" s="12">
        <v>1</v>
      </c>
      <c r="AN23" s="69">
        <v>1</v>
      </c>
      <c r="AO23" s="69">
        <v>1</v>
      </c>
      <c r="AQ23" s="11">
        <v>20</v>
      </c>
      <c r="AR23" s="14" t="s">
        <v>5</v>
      </c>
      <c r="AT23" s="11">
        <v>20</v>
      </c>
      <c r="AU23" s="12">
        <v>6</v>
      </c>
      <c r="AW23" s="11">
        <v>20</v>
      </c>
      <c r="AX23" s="12">
        <v>1</v>
      </c>
      <c r="AY23" s="12">
        <v>1</v>
      </c>
      <c r="AZ23" s="12">
        <v>1</v>
      </c>
      <c r="BA23" s="12">
        <v>1</v>
      </c>
      <c r="BB23" s="12">
        <v>1</v>
      </c>
      <c r="BC23" s="12">
        <v>1</v>
      </c>
      <c r="BD23" s="12">
        <v>1</v>
      </c>
      <c r="BE23" s="12">
        <v>1</v>
      </c>
      <c r="BF23" s="24">
        <v>1</v>
      </c>
      <c r="BG23" s="29">
        <v>1</v>
      </c>
      <c r="BH23" s="12">
        <v>1</v>
      </c>
      <c r="BI23" s="12">
        <v>1</v>
      </c>
      <c r="BK23" s="11">
        <v>20</v>
      </c>
      <c r="BL23" s="12">
        <v>5</v>
      </c>
      <c r="BM23" s="12" t="s">
        <v>15</v>
      </c>
      <c r="BN23" s="12" t="s">
        <v>15</v>
      </c>
      <c r="BP23" s="11">
        <v>20</v>
      </c>
      <c r="BQ23" s="12">
        <v>3</v>
      </c>
      <c r="BR23" s="12">
        <v>0</v>
      </c>
      <c r="BS23" s="12">
        <v>0</v>
      </c>
      <c r="BU23" s="11">
        <v>20</v>
      </c>
      <c r="BV23" s="12">
        <v>1</v>
      </c>
      <c r="BW23" s="12">
        <v>1</v>
      </c>
      <c r="BX23" s="12">
        <v>1</v>
      </c>
      <c r="BZ23" s="11">
        <v>20</v>
      </c>
      <c r="CA23" s="12"/>
      <c r="CC23" s="11">
        <v>20</v>
      </c>
      <c r="CD23" s="12"/>
    </row>
    <row r="24" spans="1:82">
      <c r="A24" s="20">
        <v>0</v>
      </c>
      <c r="B24" s="20">
        <v>1</v>
      </c>
      <c r="C24" s="5">
        <v>0</v>
      </c>
      <c r="D24" s="37">
        <f t="shared" ref="D24:D34" si="3">SUMIF(S$3:S$38,$A24,AH$3:AH$38)</f>
        <v>0</v>
      </c>
      <c r="E24" s="121">
        <f t="shared" si="2"/>
        <v>6</v>
      </c>
      <c r="F24" s="7">
        <f t="shared" si="2"/>
        <v>6</v>
      </c>
      <c r="R24" s="11">
        <v>21</v>
      </c>
      <c r="S24" s="12" t="s">
        <v>15</v>
      </c>
      <c r="T24" s="12">
        <v>1</v>
      </c>
      <c r="U24" s="12">
        <v>1</v>
      </c>
      <c r="W24" s="11">
        <v>21</v>
      </c>
      <c r="X24" s="12">
        <v>0</v>
      </c>
      <c r="Y24" s="12">
        <v>2</v>
      </c>
      <c r="Z24" s="12">
        <v>2</v>
      </c>
      <c r="AB24" s="11">
        <v>21</v>
      </c>
      <c r="AC24" s="12">
        <v>1</v>
      </c>
      <c r="AD24" s="69">
        <v>1</v>
      </c>
      <c r="AE24" s="69">
        <v>1</v>
      </c>
      <c r="AG24" s="11">
        <v>21</v>
      </c>
      <c r="AH24" s="12">
        <v>1</v>
      </c>
      <c r="AI24" s="69">
        <v>1</v>
      </c>
      <c r="AJ24" s="69">
        <v>1</v>
      </c>
      <c r="AL24" s="11">
        <v>21</v>
      </c>
      <c r="AM24" s="12">
        <v>1</v>
      </c>
      <c r="AN24" s="69">
        <v>1</v>
      </c>
      <c r="AO24" s="69">
        <v>1</v>
      </c>
      <c r="AQ24" s="11">
        <v>21</v>
      </c>
      <c r="AR24" s="12" t="s">
        <v>15</v>
      </c>
      <c r="AT24" s="11">
        <v>21</v>
      </c>
      <c r="AU24" s="12">
        <v>0</v>
      </c>
      <c r="AW24" s="11">
        <v>21</v>
      </c>
      <c r="AX24" s="12">
        <v>1</v>
      </c>
      <c r="AY24" s="12">
        <v>1</v>
      </c>
      <c r="AZ24" s="12">
        <v>1</v>
      </c>
      <c r="BA24" s="12">
        <v>1</v>
      </c>
      <c r="BB24" s="12">
        <v>1</v>
      </c>
      <c r="BC24" s="12">
        <v>1</v>
      </c>
      <c r="BD24" s="12">
        <v>1</v>
      </c>
      <c r="BE24" s="12">
        <v>1</v>
      </c>
      <c r="BF24" s="24">
        <v>1</v>
      </c>
      <c r="BG24" s="29">
        <v>1</v>
      </c>
      <c r="BH24" s="12">
        <v>1</v>
      </c>
      <c r="BI24" s="12">
        <v>1</v>
      </c>
      <c r="BK24" s="11">
        <v>21</v>
      </c>
      <c r="BL24" s="12" t="s">
        <v>15</v>
      </c>
      <c r="BM24" s="12">
        <v>1</v>
      </c>
      <c r="BN24" s="12">
        <v>1</v>
      </c>
      <c r="BP24" s="11">
        <v>21</v>
      </c>
      <c r="BQ24" s="12">
        <v>0</v>
      </c>
      <c r="BR24" s="12">
        <v>2</v>
      </c>
      <c r="BS24" s="12">
        <v>2</v>
      </c>
      <c r="BU24" s="11">
        <v>21</v>
      </c>
      <c r="BV24" s="12">
        <v>1</v>
      </c>
      <c r="BW24" s="12">
        <v>1</v>
      </c>
      <c r="BX24" s="12">
        <v>1</v>
      </c>
      <c r="BZ24" s="11">
        <v>21</v>
      </c>
      <c r="CA24" s="12"/>
      <c r="CC24" s="11">
        <v>21</v>
      </c>
      <c r="CD24" s="12"/>
    </row>
    <row r="25" spans="1:82">
      <c r="A25" s="20">
        <v>1</v>
      </c>
      <c r="B25" s="20">
        <v>2</v>
      </c>
      <c r="C25" s="5">
        <v>1</v>
      </c>
      <c r="D25" s="6">
        <f t="shared" si="3"/>
        <v>6</v>
      </c>
      <c r="E25" s="121">
        <f t="shared" si="2"/>
        <v>6</v>
      </c>
      <c r="F25" s="7">
        <f t="shared" si="2"/>
        <v>6</v>
      </c>
      <c r="R25" s="11">
        <v>22</v>
      </c>
      <c r="S25" s="12">
        <v>10</v>
      </c>
      <c r="T25" s="12" t="s">
        <v>15</v>
      </c>
      <c r="U25" s="12" t="s">
        <v>15</v>
      </c>
      <c r="W25" s="11">
        <v>22</v>
      </c>
      <c r="X25" s="12">
        <v>4</v>
      </c>
      <c r="Y25" s="12">
        <v>0</v>
      </c>
      <c r="Z25" s="12">
        <v>0</v>
      </c>
      <c r="AB25" s="11">
        <v>22</v>
      </c>
      <c r="AC25" s="12">
        <v>1</v>
      </c>
      <c r="AD25" s="69">
        <v>1</v>
      </c>
      <c r="AE25" s="69">
        <v>1</v>
      </c>
      <c r="AG25" s="11">
        <v>22</v>
      </c>
      <c r="AH25" s="12">
        <v>1</v>
      </c>
      <c r="AI25" s="69">
        <v>1</v>
      </c>
      <c r="AJ25" s="69">
        <v>1</v>
      </c>
      <c r="AL25" s="11">
        <v>22</v>
      </c>
      <c r="AM25" s="12">
        <v>1</v>
      </c>
      <c r="AN25" s="69">
        <v>1</v>
      </c>
      <c r="AO25" s="69">
        <v>1</v>
      </c>
      <c r="AQ25" s="11">
        <v>22</v>
      </c>
      <c r="AR25" s="14" t="s">
        <v>7</v>
      </c>
      <c r="AT25" s="11">
        <v>22</v>
      </c>
      <c r="AU25" s="12">
        <v>9</v>
      </c>
      <c r="AW25" s="11">
        <v>22</v>
      </c>
      <c r="AX25" s="12">
        <v>1</v>
      </c>
      <c r="AY25" s="12">
        <v>1</v>
      </c>
      <c r="AZ25" s="12">
        <v>1</v>
      </c>
      <c r="BA25" s="12">
        <v>1</v>
      </c>
      <c r="BB25" s="12">
        <v>1</v>
      </c>
      <c r="BC25" s="12">
        <v>1</v>
      </c>
      <c r="BD25" s="12">
        <v>1</v>
      </c>
      <c r="BE25" s="12">
        <v>1</v>
      </c>
      <c r="BF25" s="24">
        <v>1</v>
      </c>
      <c r="BG25" s="29">
        <v>1</v>
      </c>
      <c r="BH25" s="12">
        <v>1</v>
      </c>
      <c r="BI25" s="12">
        <v>1</v>
      </c>
      <c r="BK25" s="11">
        <v>22</v>
      </c>
      <c r="BL25" s="12">
        <v>10</v>
      </c>
      <c r="BM25" s="12" t="s">
        <v>15</v>
      </c>
      <c r="BN25" s="12" t="s">
        <v>15</v>
      </c>
      <c r="BP25" s="11">
        <v>22</v>
      </c>
      <c r="BQ25" s="12">
        <v>4</v>
      </c>
      <c r="BR25" s="12">
        <v>0</v>
      </c>
      <c r="BS25" s="12">
        <v>0</v>
      </c>
      <c r="BU25" s="11">
        <v>22</v>
      </c>
      <c r="BV25" s="12">
        <v>1</v>
      </c>
      <c r="BW25" s="12">
        <v>1</v>
      </c>
      <c r="BX25" s="12">
        <v>1</v>
      </c>
      <c r="BZ25" s="11">
        <v>22</v>
      </c>
      <c r="CA25" s="12"/>
      <c r="CC25" s="11">
        <v>22</v>
      </c>
      <c r="CD25" s="12"/>
    </row>
    <row r="26" spans="1:82">
      <c r="A26" s="21">
        <v>5</v>
      </c>
      <c r="B26" s="21">
        <v>3</v>
      </c>
      <c r="C26" s="23">
        <v>5</v>
      </c>
      <c r="D26" s="6">
        <f t="shared" si="3"/>
        <v>6</v>
      </c>
      <c r="E26" s="121">
        <f t="shared" si="2"/>
        <v>6</v>
      </c>
      <c r="F26" s="7">
        <f t="shared" si="2"/>
        <v>6</v>
      </c>
      <c r="R26" s="11">
        <v>23</v>
      </c>
      <c r="S26" s="12" t="s">
        <v>15</v>
      </c>
      <c r="T26" s="12">
        <v>5</v>
      </c>
      <c r="U26" s="12">
        <v>5</v>
      </c>
      <c r="W26" s="11">
        <v>23</v>
      </c>
      <c r="X26" s="12">
        <v>0</v>
      </c>
      <c r="Y26" s="12">
        <v>3</v>
      </c>
      <c r="Z26" s="12">
        <v>3</v>
      </c>
      <c r="AB26" s="11">
        <v>23</v>
      </c>
      <c r="AC26" s="12">
        <v>1</v>
      </c>
      <c r="AD26" s="69">
        <v>1</v>
      </c>
      <c r="AE26" s="69">
        <v>1</v>
      </c>
      <c r="AG26" s="11">
        <v>23</v>
      </c>
      <c r="AH26" s="12">
        <v>1</v>
      </c>
      <c r="AI26" s="69">
        <v>1</v>
      </c>
      <c r="AJ26" s="69">
        <v>1</v>
      </c>
      <c r="AL26" s="11">
        <v>23</v>
      </c>
      <c r="AM26" s="12">
        <v>1</v>
      </c>
      <c r="AN26" s="69">
        <v>1</v>
      </c>
      <c r="AO26" s="69">
        <v>1</v>
      </c>
      <c r="AQ26" s="11">
        <v>23</v>
      </c>
      <c r="AR26" s="12" t="s">
        <v>15</v>
      </c>
      <c r="AT26" s="11">
        <v>23</v>
      </c>
      <c r="AU26" s="12">
        <v>0</v>
      </c>
      <c r="AW26" s="11">
        <v>23</v>
      </c>
      <c r="AX26" s="12">
        <v>1</v>
      </c>
      <c r="AY26" s="12">
        <v>1</v>
      </c>
      <c r="AZ26" s="12">
        <v>1</v>
      </c>
      <c r="BA26" s="12">
        <v>1</v>
      </c>
      <c r="BB26" s="12">
        <v>1</v>
      </c>
      <c r="BC26" s="12">
        <v>1</v>
      </c>
      <c r="BD26" s="12">
        <v>1</v>
      </c>
      <c r="BE26" s="12">
        <v>1</v>
      </c>
      <c r="BF26" s="24">
        <v>1</v>
      </c>
      <c r="BG26" s="29">
        <v>1</v>
      </c>
      <c r="BH26" s="12">
        <v>1</v>
      </c>
      <c r="BI26" s="12">
        <v>1</v>
      </c>
      <c r="BK26" s="11">
        <v>23</v>
      </c>
      <c r="BL26" s="12" t="s">
        <v>15</v>
      </c>
      <c r="BM26" s="12">
        <v>5</v>
      </c>
      <c r="BN26" s="12">
        <v>5</v>
      </c>
      <c r="BP26" s="11">
        <v>23</v>
      </c>
      <c r="BQ26" s="12">
        <v>0</v>
      </c>
      <c r="BR26" s="12">
        <v>3</v>
      </c>
      <c r="BS26" s="12">
        <v>3</v>
      </c>
      <c r="BU26" s="11">
        <v>23</v>
      </c>
      <c r="BV26" s="12">
        <v>1</v>
      </c>
      <c r="BW26" s="12">
        <v>1</v>
      </c>
      <c r="BX26" s="12">
        <v>1</v>
      </c>
      <c r="BZ26" s="11">
        <v>23</v>
      </c>
      <c r="CA26" s="12"/>
      <c r="CC26" s="11">
        <v>23</v>
      </c>
      <c r="CD26" s="12"/>
    </row>
    <row r="27" spans="1:82">
      <c r="A27" s="21">
        <v>10</v>
      </c>
      <c r="B27" s="21">
        <v>4</v>
      </c>
      <c r="C27" s="23">
        <v>10</v>
      </c>
      <c r="D27" s="6">
        <f t="shared" si="3"/>
        <v>6</v>
      </c>
      <c r="E27" s="59">
        <f t="shared" si="2"/>
        <v>0</v>
      </c>
      <c r="F27" s="38">
        <f t="shared" si="2"/>
        <v>0</v>
      </c>
      <c r="R27" s="11">
        <v>24</v>
      </c>
      <c r="S27" s="12">
        <v>1</v>
      </c>
      <c r="T27" s="12" t="s">
        <v>15</v>
      </c>
      <c r="U27" s="12" t="s">
        <v>15</v>
      </c>
      <c r="W27" s="11">
        <v>24</v>
      </c>
      <c r="X27" s="12">
        <v>2</v>
      </c>
      <c r="Y27" s="12">
        <v>0</v>
      </c>
      <c r="Z27" s="12">
        <v>0</v>
      </c>
      <c r="AB27" s="11">
        <v>24</v>
      </c>
      <c r="AC27" s="12">
        <v>1</v>
      </c>
      <c r="AD27" s="69">
        <v>1</v>
      </c>
      <c r="AE27" s="69">
        <v>1</v>
      </c>
      <c r="AG27" s="11">
        <v>24</v>
      </c>
      <c r="AH27" s="12">
        <v>1</v>
      </c>
      <c r="AI27" s="69">
        <v>1</v>
      </c>
      <c r="AJ27" s="69">
        <v>1</v>
      </c>
      <c r="AL27" s="11">
        <v>24</v>
      </c>
      <c r="AM27" s="12">
        <v>1</v>
      </c>
      <c r="AN27" s="69">
        <v>1</v>
      </c>
      <c r="AO27" s="69">
        <v>1</v>
      </c>
      <c r="AQ27" s="11">
        <v>24</v>
      </c>
      <c r="AR27" s="14" t="s">
        <v>6</v>
      </c>
      <c r="AT27" s="11">
        <v>24</v>
      </c>
      <c r="AU27" s="12">
        <v>7</v>
      </c>
      <c r="AW27" s="11">
        <v>24</v>
      </c>
      <c r="AX27" s="12">
        <v>1</v>
      </c>
      <c r="AY27" s="12">
        <v>1</v>
      </c>
      <c r="AZ27" s="12">
        <v>1</v>
      </c>
      <c r="BA27" s="12">
        <v>1</v>
      </c>
      <c r="BB27" s="12">
        <v>1</v>
      </c>
      <c r="BC27" s="12">
        <v>1</v>
      </c>
      <c r="BD27" s="12">
        <v>1</v>
      </c>
      <c r="BE27" s="12">
        <v>1</v>
      </c>
      <c r="BF27" s="24">
        <v>1</v>
      </c>
      <c r="BG27" s="29">
        <v>1</v>
      </c>
      <c r="BH27" s="12">
        <v>1</v>
      </c>
      <c r="BI27" s="12">
        <v>1</v>
      </c>
      <c r="BK27" s="11">
        <v>24</v>
      </c>
      <c r="BL27" s="12">
        <v>1</v>
      </c>
      <c r="BM27" s="12" t="s">
        <v>15</v>
      </c>
      <c r="BN27" s="12" t="s">
        <v>15</v>
      </c>
      <c r="BP27" s="11">
        <v>24</v>
      </c>
      <c r="BQ27" s="12">
        <v>2</v>
      </c>
      <c r="BR27" s="12">
        <v>0</v>
      </c>
      <c r="BS27" s="12">
        <v>0</v>
      </c>
      <c r="BU27" s="11">
        <v>24</v>
      </c>
      <c r="BV27" s="12">
        <v>1</v>
      </c>
      <c r="BW27" s="12">
        <v>1</v>
      </c>
      <c r="BX27" s="12">
        <v>1</v>
      </c>
      <c r="BZ27" s="11">
        <v>24</v>
      </c>
      <c r="CA27" s="12"/>
      <c r="CC27" s="11">
        <v>24</v>
      </c>
      <c r="CD27" s="12"/>
    </row>
    <row r="28" spans="1:82">
      <c r="A28" s="20" t="s">
        <v>20</v>
      </c>
      <c r="B28" s="20">
        <v>5</v>
      </c>
      <c r="C28" s="23" t="s">
        <v>29</v>
      </c>
      <c r="D28" s="37">
        <f t="shared" si="3"/>
        <v>0</v>
      </c>
      <c r="E28" s="59">
        <f t="shared" si="2"/>
        <v>0</v>
      </c>
      <c r="F28" s="38">
        <f t="shared" si="2"/>
        <v>0</v>
      </c>
      <c r="R28" s="11">
        <v>25</v>
      </c>
      <c r="S28" s="12" t="s">
        <v>15</v>
      </c>
      <c r="T28" s="12">
        <v>0</v>
      </c>
      <c r="U28" s="12">
        <v>0</v>
      </c>
      <c r="W28" s="11">
        <v>25</v>
      </c>
      <c r="X28" s="12">
        <v>0</v>
      </c>
      <c r="Y28" s="12">
        <v>1</v>
      </c>
      <c r="Z28" s="12">
        <v>1</v>
      </c>
      <c r="AB28" s="11">
        <v>25</v>
      </c>
      <c r="AC28" s="12">
        <v>1</v>
      </c>
      <c r="AD28" s="69">
        <v>1</v>
      </c>
      <c r="AE28" s="69">
        <v>1</v>
      </c>
      <c r="AG28" s="11">
        <v>25</v>
      </c>
      <c r="AH28" s="12">
        <v>1</v>
      </c>
      <c r="AI28" s="69">
        <v>1</v>
      </c>
      <c r="AJ28" s="69">
        <v>1</v>
      </c>
      <c r="AL28" s="11">
        <v>25</v>
      </c>
      <c r="AM28" s="12">
        <v>1</v>
      </c>
      <c r="AN28" s="69">
        <v>1</v>
      </c>
      <c r="AO28" s="69">
        <v>1</v>
      </c>
      <c r="AQ28" s="11">
        <v>25</v>
      </c>
      <c r="AR28" s="12" t="s">
        <v>15</v>
      </c>
      <c r="AT28" s="11">
        <v>25</v>
      </c>
      <c r="AU28" s="12">
        <v>0</v>
      </c>
      <c r="AW28" s="11">
        <v>25</v>
      </c>
      <c r="AX28" s="12">
        <v>1</v>
      </c>
      <c r="AY28" s="12">
        <v>1</v>
      </c>
      <c r="AZ28" s="12">
        <v>1</v>
      </c>
      <c r="BA28" s="12">
        <v>1</v>
      </c>
      <c r="BB28" s="12">
        <v>1</v>
      </c>
      <c r="BC28" s="12">
        <v>1</v>
      </c>
      <c r="BD28" s="12">
        <v>1</v>
      </c>
      <c r="BE28" s="12">
        <v>1</v>
      </c>
      <c r="BF28" s="24">
        <v>1</v>
      </c>
      <c r="BG28" s="29">
        <v>1</v>
      </c>
      <c r="BH28" s="12">
        <v>1</v>
      </c>
      <c r="BI28" s="12">
        <v>1</v>
      </c>
      <c r="BK28" s="11">
        <v>25</v>
      </c>
      <c r="BL28" s="12" t="s">
        <v>15</v>
      </c>
      <c r="BM28" s="12">
        <v>0</v>
      </c>
      <c r="BN28" s="12">
        <v>0</v>
      </c>
      <c r="BP28" s="11">
        <v>25</v>
      </c>
      <c r="BQ28" s="12">
        <v>0</v>
      </c>
      <c r="BR28" s="12">
        <v>1</v>
      </c>
      <c r="BS28" s="12">
        <v>1</v>
      </c>
      <c r="BU28" s="11">
        <v>25</v>
      </c>
      <c r="BV28" s="12">
        <v>1</v>
      </c>
      <c r="BW28" s="12">
        <v>1</v>
      </c>
      <c r="BX28" s="12">
        <v>1</v>
      </c>
      <c r="BZ28" s="11">
        <v>25</v>
      </c>
      <c r="CA28" s="12"/>
      <c r="CC28" s="11">
        <v>25</v>
      </c>
      <c r="CD28" s="12"/>
    </row>
    <row r="29" spans="1:82">
      <c r="A29" s="21" t="s">
        <v>21</v>
      </c>
      <c r="B29" s="21">
        <v>6</v>
      </c>
      <c r="C29" s="23" t="s">
        <v>26</v>
      </c>
      <c r="D29" s="37">
        <f t="shared" si="3"/>
        <v>0</v>
      </c>
      <c r="E29" s="59">
        <f t="shared" si="2"/>
        <v>0</v>
      </c>
      <c r="F29" s="38">
        <f t="shared" si="2"/>
        <v>0</v>
      </c>
      <c r="R29" s="11">
        <v>26</v>
      </c>
      <c r="S29" s="12">
        <v>5</v>
      </c>
      <c r="T29" s="12" t="s">
        <v>15</v>
      </c>
      <c r="U29" s="12" t="s">
        <v>15</v>
      </c>
      <c r="W29" s="11">
        <v>26</v>
      </c>
      <c r="X29" s="12">
        <v>3</v>
      </c>
      <c r="Y29" s="12">
        <v>0</v>
      </c>
      <c r="Z29" s="12">
        <v>0</v>
      </c>
      <c r="AB29" s="11">
        <v>26</v>
      </c>
      <c r="AC29" s="12">
        <v>1</v>
      </c>
      <c r="AD29" s="69">
        <v>1</v>
      </c>
      <c r="AE29" s="69">
        <v>1</v>
      </c>
      <c r="AG29" s="11">
        <v>26</v>
      </c>
      <c r="AH29" s="12">
        <v>1</v>
      </c>
      <c r="AI29" s="69">
        <v>1</v>
      </c>
      <c r="AJ29" s="69">
        <v>1</v>
      </c>
      <c r="AL29" s="11">
        <v>26</v>
      </c>
      <c r="AM29" s="12">
        <v>1</v>
      </c>
      <c r="AN29" s="69">
        <v>1</v>
      </c>
      <c r="AO29" s="69">
        <v>1</v>
      </c>
      <c r="AQ29" s="11">
        <v>26</v>
      </c>
      <c r="AR29" s="14" t="s">
        <v>36</v>
      </c>
      <c r="AT29" s="11">
        <v>26</v>
      </c>
      <c r="AU29" s="12">
        <v>10</v>
      </c>
      <c r="AW29" s="11">
        <v>26</v>
      </c>
      <c r="AX29" s="12">
        <v>1</v>
      </c>
      <c r="AY29" s="12">
        <v>1</v>
      </c>
      <c r="AZ29" s="12">
        <v>1</v>
      </c>
      <c r="BA29" s="12">
        <v>1</v>
      </c>
      <c r="BB29" s="12">
        <v>1</v>
      </c>
      <c r="BC29" s="12">
        <v>1</v>
      </c>
      <c r="BD29" s="12">
        <v>1</v>
      </c>
      <c r="BE29" s="12">
        <v>1</v>
      </c>
      <c r="BF29" s="24">
        <v>1</v>
      </c>
      <c r="BG29" s="29">
        <v>1</v>
      </c>
      <c r="BH29" s="12">
        <v>1</v>
      </c>
      <c r="BI29" s="12">
        <v>1</v>
      </c>
      <c r="BK29" s="11">
        <v>26</v>
      </c>
      <c r="BL29" s="12">
        <v>5</v>
      </c>
      <c r="BM29" s="12" t="s">
        <v>15</v>
      </c>
      <c r="BN29" s="12" t="s">
        <v>15</v>
      </c>
      <c r="BP29" s="11">
        <v>26</v>
      </c>
      <c r="BQ29" s="12">
        <v>3</v>
      </c>
      <c r="BR29" s="12">
        <v>0</v>
      </c>
      <c r="BS29" s="12">
        <v>0</v>
      </c>
      <c r="BU29" s="11">
        <v>26</v>
      </c>
      <c r="BV29" s="12">
        <v>1</v>
      </c>
      <c r="BW29" s="12">
        <v>1</v>
      </c>
      <c r="BX29" s="12">
        <v>1</v>
      </c>
      <c r="BZ29" s="11">
        <v>26</v>
      </c>
      <c r="CA29" s="12"/>
      <c r="CC29" s="11">
        <v>26</v>
      </c>
      <c r="CD29" s="12"/>
    </row>
    <row r="30" spans="1:82">
      <c r="A30" s="20" t="s">
        <v>22</v>
      </c>
      <c r="B30" s="20">
        <v>7</v>
      </c>
      <c r="C30" s="5" t="s">
        <v>27</v>
      </c>
      <c r="D30" s="37">
        <f t="shared" si="3"/>
        <v>0</v>
      </c>
      <c r="E30" s="59">
        <f t="shared" si="2"/>
        <v>0</v>
      </c>
      <c r="F30" s="38">
        <f t="shared" si="2"/>
        <v>0</v>
      </c>
      <c r="R30" s="11">
        <v>27</v>
      </c>
      <c r="S30" s="12" t="s">
        <v>15</v>
      </c>
      <c r="T30" s="12">
        <v>1</v>
      </c>
      <c r="U30" s="12">
        <v>1</v>
      </c>
      <c r="W30" s="11">
        <v>27</v>
      </c>
      <c r="X30" s="12">
        <v>0</v>
      </c>
      <c r="Y30" s="12">
        <v>2</v>
      </c>
      <c r="Z30" s="12">
        <v>2</v>
      </c>
      <c r="AB30" s="11">
        <v>27</v>
      </c>
      <c r="AC30" s="12">
        <v>1</v>
      </c>
      <c r="AD30" s="69">
        <v>1</v>
      </c>
      <c r="AE30" s="69">
        <v>1</v>
      </c>
      <c r="AG30" s="11">
        <v>27</v>
      </c>
      <c r="AH30" s="12">
        <v>1</v>
      </c>
      <c r="AI30" s="69">
        <v>1</v>
      </c>
      <c r="AJ30" s="69">
        <v>1</v>
      </c>
      <c r="AL30" s="11">
        <v>27</v>
      </c>
      <c r="AM30" s="12">
        <v>1</v>
      </c>
      <c r="AN30" s="69">
        <v>1</v>
      </c>
      <c r="AO30" s="69">
        <v>1</v>
      </c>
      <c r="AQ30" s="11">
        <v>27</v>
      </c>
      <c r="AR30" s="12" t="s">
        <v>15</v>
      </c>
      <c r="AT30" s="11">
        <v>27</v>
      </c>
      <c r="AU30" s="12">
        <v>0</v>
      </c>
      <c r="AW30" s="11">
        <v>27</v>
      </c>
      <c r="AX30" s="12">
        <v>1</v>
      </c>
      <c r="AY30" s="12">
        <v>1</v>
      </c>
      <c r="AZ30" s="12">
        <v>1</v>
      </c>
      <c r="BA30" s="12">
        <v>1</v>
      </c>
      <c r="BB30" s="12">
        <v>1</v>
      </c>
      <c r="BC30" s="12">
        <v>1</v>
      </c>
      <c r="BD30" s="12">
        <v>1</v>
      </c>
      <c r="BE30" s="12">
        <v>1</v>
      </c>
      <c r="BF30" s="24">
        <v>1</v>
      </c>
      <c r="BG30" s="29">
        <v>1</v>
      </c>
      <c r="BH30" s="12">
        <v>1</v>
      </c>
      <c r="BI30" s="12">
        <v>1</v>
      </c>
      <c r="BK30" s="11">
        <v>27</v>
      </c>
      <c r="BL30" s="12" t="s">
        <v>15</v>
      </c>
      <c r="BM30" s="12">
        <v>1</v>
      </c>
      <c r="BN30" s="12">
        <v>1</v>
      </c>
      <c r="BP30" s="11">
        <v>27</v>
      </c>
      <c r="BQ30" s="12">
        <v>0</v>
      </c>
      <c r="BR30" s="12">
        <v>2</v>
      </c>
      <c r="BS30" s="12">
        <v>2</v>
      </c>
      <c r="BU30" s="11">
        <v>27</v>
      </c>
      <c r="BV30" s="12">
        <v>1</v>
      </c>
      <c r="BW30" s="12">
        <v>1</v>
      </c>
      <c r="BX30" s="12">
        <v>1</v>
      </c>
      <c r="BZ30" s="11">
        <v>27</v>
      </c>
      <c r="CA30" s="12"/>
      <c r="CC30" s="11">
        <v>27</v>
      </c>
      <c r="CD30" s="12"/>
    </row>
    <row r="31" spans="1:82">
      <c r="A31" s="20" t="s">
        <v>23</v>
      </c>
      <c r="B31" s="20">
        <v>8</v>
      </c>
      <c r="C31" s="5" t="s">
        <v>28</v>
      </c>
      <c r="D31" s="37">
        <f t="shared" si="3"/>
        <v>0</v>
      </c>
      <c r="E31" s="59">
        <f t="shared" si="2"/>
        <v>0</v>
      </c>
      <c r="F31" s="38">
        <f t="shared" si="2"/>
        <v>0</v>
      </c>
      <c r="R31" s="11">
        <v>28</v>
      </c>
      <c r="S31" s="12">
        <v>10</v>
      </c>
      <c r="T31" s="12" t="s">
        <v>15</v>
      </c>
      <c r="U31" s="12" t="s">
        <v>15</v>
      </c>
      <c r="W31" s="11">
        <v>28</v>
      </c>
      <c r="X31" s="12">
        <v>4</v>
      </c>
      <c r="Y31" s="12">
        <v>0</v>
      </c>
      <c r="Z31" s="12">
        <v>0</v>
      </c>
      <c r="AB31" s="11">
        <v>28</v>
      </c>
      <c r="AC31" s="12">
        <v>1</v>
      </c>
      <c r="AD31" s="69">
        <v>1</v>
      </c>
      <c r="AE31" s="69">
        <v>1</v>
      </c>
      <c r="AG31" s="11">
        <v>28</v>
      </c>
      <c r="AH31" s="12">
        <v>1</v>
      </c>
      <c r="AI31" s="69">
        <v>1</v>
      </c>
      <c r="AJ31" s="69">
        <v>1</v>
      </c>
      <c r="AL31" s="11">
        <v>28</v>
      </c>
      <c r="AM31" s="12">
        <v>1</v>
      </c>
      <c r="AN31" s="69">
        <v>1</v>
      </c>
      <c r="AO31" s="69">
        <v>1</v>
      </c>
      <c r="AQ31" s="11">
        <v>28</v>
      </c>
      <c r="AR31" s="14" t="s">
        <v>9</v>
      </c>
      <c r="AT31" s="11">
        <v>28</v>
      </c>
      <c r="AU31" s="12">
        <v>8</v>
      </c>
      <c r="AW31" s="11">
        <v>28</v>
      </c>
      <c r="AX31" s="12">
        <v>1</v>
      </c>
      <c r="AY31" s="12">
        <v>1</v>
      </c>
      <c r="AZ31" s="12">
        <v>1</v>
      </c>
      <c r="BA31" s="12">
        <v>1</v>
      </c>
      <c r="BB31" s="12">
        <v>1</v>
      </c>
      <c r="BC31" s="12">
        <v>1</v>
      </c>
      <c r="BD31" s="12">
        <v>1</v>
      </c>
      <c r="BE31" s="12">
        <v>1</v>
      </c>
      <c r="BF31" s="24">
        <v>1</v>
      </c>
      <c r="BG31" s="29">
        <v>1</v>
      </c>
      <c r="BH31" s="12">
        <v>1</v>
      </c>
      <c r="BI31" s="12">
        <v>1</v>
      </c>
      <c r="BK31" s="11">
        <v>28</v>
      </c>
      <c r="BL31" s="12">
        <v>10</v>
      </c>
      <c r="BM31" s="12" t="s">
        <v>15</v>
      </c>
      <c r="BN31" s="12" t="s">
        <v>15</v>
      </c>
      <c r="BP31" s="11">
        <v>28</v>
      </c>
      <c r="BQ31" s="12">
        <v>4</v>
      </c>
      <c r="BR31" s="12">
        <v>0</v>
      </c>
      <c r="BS31" s="12">
        <v>0</v>
      </c>
      <c r="BU31" s="11">
        <v>28</v>
      </c>
      <c r="BV31" s="12">
        <v>1</v>
      </c>
      <c r="BW31" s="12">
        <v>1</v>
      </c>
      <c r="BX31" s="12">
        <v>1</v>
      </c>
      <c r="BZ31" s="11">
        <v>28</v>
      </c>
      <c r="CA31" s="12"/>
      <c r="CC31" s="11">
        <v>28</v>
      </c>
      <c r="CD31" s="12"/>
    </row>
    <row r="32" spans="1:82">
      <c r="A32" s="20" t="s">
        <v>24</v>
      </c>
      <c r="B32" s="20">
        <v>9</v>
      </c>
      <c r="C32" s="5" t="s">
        <v>16</v>
      </c>
      <c r="D32" s="37">
        <f t="shared" si="3"/>
        <v>0</v>
      </c>
      <c r="E32" s="59">
        <f t="shared" si="2"/>
        <v>0</v>
      </c>
      <c r="F32" s="38">
        <f t="shared" si="2"/>
        <v>0</v>
      </c>
      <c r="R32" s="11">
        <v>29</v>
      </c>
      <c r="S32" s="12" t="s">
        <v>15</v>
      </c>
      <c r="T32" s="12">
        <v>5</v>
      </c>
      <c r="U32" s="12">
        <v>5</v>
      </c>
      <c r="W32" s="11">
        <v>29</v>
      </c>
      <c r="X32" s="12">
        <v>0</v>
      </c>
      <c r="Y32" s="12">
        <v>3</v>
      </c>
      <c r="Z32" s="12">
        <v>3</v>
      </c>
      <c r="AB32" s="11">
        <v>29</v>
      </c>
      <c r="AC32" s="12">
        <v>1</v>
      </c>
      <c r="AD32" s="69">
        <v>1</v>
      </c>
      <c r="AE32" s="69">
        <v>1</v>
      </c>
      <c r="AG32" s="11">
        <v>29</v>
      </c>
      <c r="AH32" s="12">
        <v>1</v>
      </c>
      <c r="AI32" s="69">
        <v>1</v>
      </c>
      <c r="AJ32" s="69">
        <v>1</v>
      </c>
      <c r="AL32" s="11">
        <v>29</v>
      </c>
      <c r="AM32" s="12">
        <v>1</v>
      </c>
      <c r="AN32" s="69">
        <v>1</v>
      </c>
      <c r="AO32" s="69">
        <v>1</v>
      </c>
      <c r="AQ32" s="11">
        <v>29</v>
      </c>
      <c r="AR32" s="12" t="s">
        <v>15</v>
      </c>
      <c r="AT32" s="11">
        <v>29</v>
      </c>
      <c r="AU32" s="12">
        <v>0</v>
      </c>
      <c r="AW32" s="11">
        <v>29</v>
      </c>
      <c r="AX32" s="12">
        <v>1</v>
      </c>
      <c r="AY32" s="12">
        <v>1</v>
      </c>
      <c r="AZ32" s="12">
        <v>1</v>
      </c>
      <c r="BA32" s="12">
        <v>1</v>
      </c>
      <c r="BB32" s="12">
        <v>1</v>
      </c>
      <c r="BC32" s="12">
        <v>1</v>
      </c>
      <c r="BD32" s="12">
        <v>1</v>
      </c>
      <c r="BE32" s="12">
        <v>1</v>
      </c>
      <c r="BF32" s="24">
        <v>1</v>
      </c>
      <c r="BG32" s="29">
        <v>1</v>
      </c>
      <c r="BH32" s="12">
        <v>1</v>
      </c>
      <c r="BI32" s="12">
        <v>1</v>
      </c>
      <c r="BK32" s="11">
        <v>29</v>
      </c>
      <c r="BL32" s="12" t="s">
        <v>15</v>
      </c>
      <c r="BM32" s="12">
        <v>5</v>
      </c>
      <c r="BN32" s="12">
        <v>5</v>
      </c>
      <c r="BP32" s="11">
        <v>29</v>
      </c>
      <c r="BQ32" s="12">
        <v>0</v>
      </c>
      <c r="BR32" s="12">
        <v>3</v>
      </c>
      <c r="BS32" s="12">
        <v>3</v>
      </c>
      <c r="BU32" s="11">
        <v>29</v>
      </c>
      <c r="BV32" s="12">
        <v>1</v>
      </c>
      <c r="BW32" s="12">
        <v>1</v>
      </c>
      <c r="BX32" s="12">
        <v>1</v>
      </c>
      <c r="BZ32" s="11">
        <v>29</v>
      </c>
      <c r="CA32" s="12"/>
      <c r="CC32" s="11">
        <v>29</v>
      </c>
      <c r="CD32" s="12"/>
    </row>
    <row r="33" spans="1:82">
      <c r="A33" s="21" t="s">
        <v>35</v>
      </c>
      <c r="B33" s="21">
        <v>10</v>
      </c>
      <c r="C33" s="5" t="s">
        <v>37</v>
      </c>
      <c r="D33" s="37">
        <f t="shared" si="3"/>
        <v>0</v>
      </c>
      <c r="E33" s="59">
        <f t="shared" si="2"/>
        <v>0</v>
      </c>
      <c r="F33" s="38">
        <f t="shared" si="2"/>
        <v>0</v>
      </c>
      <c r="G33" s="121"/>
      <c r="H33" s="94" t="s">
        <v>34</v>
      </c>
      <c r="J33" s="121"/>
      <c r="R33" s="11">
        <v>30</v>
      </c>
      <c r="S33" s="12">
        <v>1</v>
      </c>
      <c r="T33" s="12" t="s">
        <v>15</v>
      </c>
      <c r="U33" s="12" t="s">
        <v>15</v>
      </c>
      <c r="W33" s="11">
        <v>30</v>
      </c>
      <c r="X33" s="12">
        <v>2</v>
      </c>
      <c r="Y33" s="12">
        <v>0</v>
      </c>
      <c r="Z33" s="12">
        <v>0</v>
      </c>
      <c r="AB33" s="11">
        <v>30</v>
      </c>
      <c r="AC33" s="12">
        <v>1</v>
      </c>
      <c r="AD33" s="69">
        <v>1</v>
      </c>
      <c r="AE33" s="69">
        <v>1</v>
      </c>
      <c r="AG33" s="11">
        <v>30</v>
      </c>
      <c r="AH33" s="12">
        <v>1</v>
      </c>
      <c r="AI33" s="69">
        <v>1</v>
      </c>
      <c r="AJ33" s="69">
        <v>1</v>
      </c>
      <c r="AL33" s="11">
        <v>30</v>
      </c>
      <c r="AM33" s="12">
        <v>1</v>
      </c>
      <c r="AN33" s="69">
        <v>1</v>
      </c>
      <c r="AO33" s="69">
        <v>1</v>
      </c>
      <c r="AQ33" s="11">
        <v>30</v>
      </c>
      <c r="AR33" s="14" t="s">
        <v>5</v>
      </c>
      <c r="AT33" s="11">
        <v>30</v>
      </c>
      <c r="AU33" s="12">
        <v>6</v>
      </c>
      <c r="AW33" s="11">
        <v>30</v>
      </c>
      <c r="AX33" s="12">
        <v>1</v>
      </c>
      <c r="AY33" s="12">
        <v>1</v>
      </c>
      <c r="AZ33" s="12">
        <v>1</v>
      </c>
      <c r="BA33" s="12">
        <v>1</v>
      </c>
      <c r="BB33" s="12">
        <v>1</v>
      </c>
      <c r="BC33" s="12">
        <v>1</v>
      </c>
      <c r="BD33" s="12">
        <v>1</v>
      </c>
      <c r="BE33" s="12">
        <v>1</v>
      </c>
      <c r="BF33" s="24">
        <v>1</v>
      </c>
      <c r="BG33" s="29">
        <v>1</v>
      </c>
      <c r="BH33" s="12">
        <v>1</v>
      </c>
      <c r="BI33" s="12">
        <v>1</v>
      </c>
      <c r="BK33" s="11">
        <v>30</v>
      </c>
      <c r="BL33" s="12">
        <v>1</v>
      </c>
      <c r="BM33" s="12" t="s">
        <v>15</v>
      </c>
      <c r="BN33" s="12" t="s">
        <v>15</v>
      </c>
      <c r="BP33" s="11">
        <v>30</v>
      </c>
      <c r="BQ33" s="12">
        <v>2</v>
      </c>
      <c r="BR33" s="12">
        <v>0</v>
      </c>
      <c r="BS33" s="12">
        <v>0</v>
      </c>
      <c r="BU33" s="11">
        <v>30</v>
      </c>
      <c r="BV33" s="12">
        <v>1</v>
      </c>
      <c r="BW33" s="12">
        <v>1</v>
      </c>
      <c r="BX33" s="12">
        <v>1</v>
      </c>
      <c r="BZ33" s="11">
        <v>30</v>
      </c>
      <c r="CA33" s="12"/>
      <c r="CC33" s="11">
        <v>30</v>
      </c>
      <c r="CD33" s="12"/>
    </row>
    <row r="34" spans="1:82">
      <c r="A34" s="22" t="s">
        <v>39</v>
      </c>
      <c r="B34" s="22">
        <v>11</v>
      </c>
      <c r="C34" s="17" t="s">
        <v>38</v>
      </c>
      <c r="D34" s="60">
        <f t="shared" si="3"/>
        <v>0</v>
      </c>
      <c r="E34" s="39">
        <f t="shared" si="2"/>
        <v>0</v>
      </c>
      <c r="F34" s="40">
        <f t="shared" si="2"/>
        <v>0</v>
      </c>
      <c r="G34" s="121"/>
      <c r="H34" s="95" t="s">
        <v>57</v>
      </c>
      <c r="I34" s="58" t="s">
        <v>58</v>
      </c>
      <c r="R34" s="11">
        <v>31</v>
      </c>
      <c r="S34" s="12" t="s">
        <v>15</v>
      </c>
      <c r="T34" s="12">
        <v>0</v>
      </c>
      <c r="U34" s="12">
        <v>0</v>
      </c>
      <c r="W34" s="11">
        <v>31</v>
      </c>
      <c r="X34" s="12">
        <v>0</v>
      </c>
      <c r="Y34" s="12">
        <v>1</v>
      </c>
      <c r="Z34" s="12">
        <v>1</v>
      </c>
      <c r="AB34" s="11">
        <v>31</v>
      </c>
      <c r="AC34" s="12">
        <v>1</v>
      </c>
      <c r="AD34" s="69">
        <v>1</v>
      </c>
      <c r="AE34" s="69">
        <v>1</v>
      </c>
      <c r="AG34" s="11">
        <v>31</v>
      </c>
      <c r="AH34" s="12">
        <v>1</v>
      </c>
      <c r="AI34" s="69">
        <v>1</v>
      </c>
      <c r="AJ34" s="69">
        <v>1</v>
      </c>
      <c r="AL34" s="11">
        <v>31</v>
      </c>
      <c r="AM34" s="12">
        <v>1</v>
      </c>
      <c r="AN34" s="69">
        <v>1</v>
      </c>
      <c r="AO34" s="69">
        <v>1</v>
      </c>
      <c r="AQ34" s="11">
        <v>31</v>
      </c>
      <c r="AR34" s="12" t="s">
        <v>15</v>
      </c>
      <c r="AT34" s="11">
        <v>31</v>
      </c>
      <c r="AU34" s="12">
        <v>0</v>
      </c>
      <c r="AW34" s="11">
        <v>31</v>
      </c>
      <c r="AX34" s="12">
        <v>1</v>
      </c>
      <c r="AY34" s="12">
        <v>1</v>
      </c>
      <c r="AZ34" s="12">
        <v>1</v>
      </c>
      <c r="BA34" s="12">
        <v>1</v>
      </c>
      <c r="BB34" s="12">
        <v>1</v>
      </c>
      <c r="BC34" s="12">
        <v>1</v>
      </c>
      <c r="BD34" s="12">
        <v>1</v>
      </c>
      <c r="BE34" s="12">
        <v>1</v>
      </c>
      <c r="BF34" s="24">
        <v>1</v>
      </c>
      <c r="BG34" s="29">
        <v>1</v>
      </c>
      <c r="BH34" s="12">
        <v>1</v>
      </c>
      <c r="BI34" s="12">
        <v>1</v>
      </c>
      <c r="BK34" s="11">
        <v>31</v>
      </c>
      <c r="BL34" s="12" t="s">
        <v>15</v>
      </c>
      <c r="BM34" s="12">
        <v>0</v>
      </c>
      <c r="BN34" s="12">
        <v>0</v>
      </c>
      <c r="BP34" s="11">
        <v>31</v>
      </c>
      <c r="BQ34" s="12">
        <v>0</v>
      </c>
      <c r="BR34" s="12">
        <v>1</v>
      </c>
      <c r="BS34" s="12">
        <v>1</v>
      </c>
      <c r="BU34" s="11">
        <v>31</v>
      </c>
      <c r="BV34" s="12">
        <v>1</v>
      </c>
      <c r="BW34" s="12">
        <v>1</v>
      </c>
      <c r="BX34" s="12">
        <v>1</v>
      </c>
      <c r="BZ34" s="11">
        <v>31</v>
      </c>
      <c r="CA34" s="12"/>
      <c r="CC34" s="11">
        <v>31</v>
      </c>
      <c r="CD34" s="12"/>
    </row>
    <row r="35" spans="1:82">
      <c r="D35" s="121">
        <f>SUM(D23:D34)</f>
        <v>36</v>
      </c>
      <c r="E35" s="121">
        <f>SUM(E23:E34)</f>
        <v>36</v>
      </c>
      <c r="F35" s="121">
        <f>SUM(F23:F34)</f>
        <v>36</v>
      </c>
      <c r="G35" s="121"/>
      <c r="H35" s="21">
        <v>5</v>
      </c>
      <c r="I35" s="7">
        <f>SUMIF(CA$3:CA$38,$H35,$CD$3:$CD$38)</f>
        <v>1</v>
      </c>
      <c r="R35" s="11">
        <v>32</v>
      </c>
      <c r="S35" s="12">
        <v>5</v>
      </c>
      <c r="T35" s="12" t="s">
        <v>15</v>
      </c>
      <c r="U35" s="12" t="s">
        <v>15</v>
      </c>
      <c r="W35" s="11">
        <v>32</v>
      </c>
      <c r="X35" s="12">
        <v>3</v>
      </c>
      <c r="Y35" s="12">
        <v>0</v>
      </c>
      <c r="Z35" s="12">
        <v>0</v>
      </c>
      <c r="AB35" s="11">
        <v>32</v>
      </c>
      <c r="AC35" s="12">
        <v>1</v>
      </c>
      <c r="AD35" s="69">
        <v>1</v>
      </c>
      <c r="AE35" s="69">
        <v>1</v>
      </c>
      <c r="AG35" s="11">
        <v>32</v>
      </c>
      <c r="AH35" s="12">
        <v>1</v>
      </c>
      <c r="AI35" s="69">
        <v>1</v>
      </c>
      <c r="AJ35" s="69">
        <v>1</v>
      </c>
      <c r="AL35" s="11">
        <v>32</v>
      </c>
      <c r="AM35" s="12">
        <v>1</v>
      </c>
      <c r="AN35" s="69">
        <v>1</v>
      </c>
      <c r="AO35" s="69">
        <v>1</v>
      </c>
      <c r="AQ35" s="11">
        <v>32</v>
      </c>
      <c r="AR35" s="14" t="s">
        <v>7</v>
      </c>
      <c r="AT35" s="11">
        <v>32</v>
      </c>
      <c r="AU35" s="12">
        <v>9</v>
      </c>
      <c r="AW35" s="11">
        <v>32</v>
      </c>
      <c r="AX35" s="12">
        <v>1</v>
      </c>
      <c r="AY35" s="12">
        <v>1</v>
      </c>
      <c r="AZ35" s="12">
        <v>1</v>
      </c>
      <c r="BA35" s="12">
        <v>1</v>
      </c>
      <c r="BB35" s="12">
        <v>1</v>
      </c>
      <c r="BC35" s="12">
        <v>1</v>
      </c>
      <c r="BD35" s="12">
        <v>1</v>
      </c>
      <c r="BE35" s="12">
        <v>1</v>
      </c>
      <c r="BF35" s="24">
        <v>1</v>
      </c>
      <c r="BG35" s="29">
        <v>1</v>
      </c>
      <c r="BH35" s="12">
        <v>1</v>
      </c>
      <c r="BI35" s="12">
        <v>1</v>
      </c>
      <c r="BK35" s="11">
        <v>32</v>
      </c>
      <c r="BL35" s="12">
        <v>5</v>
      </c>
      <c r="BM35" s="12" t="s">
        <v>15</v>
      </c>
      <c r="BN35" s="12" t="s">
        <v>15</v>
      </c>
      <c r="BP35" s="11">
        <v>32</v>
      </c>
      <c r="BQ35" s="12">
        <v>3</v>
      </c>
      <c r="BR35" s="12">
        <v>0</v>
      </c>
      <c r="BS35" s="12">
        <v>0</v>
      </c>
      <c r="BU35" s="11">
        <v>32</v>
      </c>
      <c r="BV35" s="12">
        <v>1</v>
      </c>
      <c r="BW35" s="12">
        <v>1</v>
      </c>
      <c r="BX35" s="12">
        <v>1</v>
      </c>
      <c r="BZ35" s="11">
        <v>32</v>
      </c>
      <c r="CA35" s="12"/>
      <c r="CC35" s="11">
        <v>32</v>
      </c>
      <c r="CD35" s="12"/>
    </row>
    <row r="36" spans="1:82">
      <c r="G36" s="121"/>
      <c r="H36" s="21">
        <v>10</v>
      </c>
      <c r="I36" s="7">
        <f t="shared" ref="I36:I42" si="4">SUMIF(CA$3:CA$38,$H36,$CD$3:$CD$38)</f>
        <v>1</v>
      </c>
      <c r="K36" s="121"/>
      <c r="L36" s="121"/>
      <c r="M36" s="121"/>
      <c r="N36" s="121"/>
      <c r="O36" s="121"/>
      <c r="R36" s="11">
        <v>33</v>
      </c>
      <c r="S36" s="12" t="s">
        <v>15</v>
      </c>
      <c r="T36" s="12">
        <v>1</v>
      </c>
      <c r="U36" s="12">
        <v>1</v>
      </c>
      <c r="W36" s="11">
        <v>33</v>
      </c>
      <c r="X36" s="12">
        <v>0</v>
      </c>
      <c r="Y36" s="12">
        <v>2</v>
      </c>
      <c r="Z36" s="12">
        <v>2</v>
      </c>
      <c r="AB36" s="11">
        <v>33</v>
      </c>
      <c r="AC36" s="12">
        <v>1</v>
      </c>
      <c r="AD36" s="69">
        <v>1</v>
      </c>
      <c r="AE36" s="69">
        <v>1</v>
      </c>
      <c r="AG36" s="11">
        <v>33</v>
      </c>
      <c r="AH36" s="12">
        <v>1</v>
      </c>
      <c r="AI36" s="69">
        <v>1</v>
      </c>
      <c r="AJ36" s="69">
        <v>1</v>
      </c>
      <c r="AL36" s="11">
        <v>33</v>
      </c>
      <c r="AM36" s="12">
        <v>1</v>
      </c>
      <c r="AN36" s="69">
        <v>1</v>
      </c>
      <c r="AO36" s="69">
        <v>1</v>
      </c>
      <c r="AQ36" s="11">
        <v>33</v>
      </c>
      <c r="AR36" s="12" t="s">
        <v>15</v>
      </c>
      <c r="AT36" s="11">
        <v>33</v>
      </c>
      <c r="AU36" s="12">
        <v>0</v>
      </c>
      <c r="AW36" s="11">
        <v>33</v>
      </c>
      <c r="AX36" s="12">
        <v>1</v>
      </c>
      <c r="AY36" s="12">
        <v>1</v>
      </c>
      <c r="AZ36" s="12">
        <v>1</v>
      </c>
      <c r="BA36" s="12">
        <v>1</v>
      </c>
      <c r="BB36" s="12">
        <v>1</v>
      </c>
      <c r="BC36" s="12">
        <v>1</v>
      </c>
      <c r="BD36" s="12">
        <v>1</v>
      </c>
      <c r="BE36" s="12">
        <v>1</v>
      </c>
      <c r="BF36" s="24">
        <v>1</v>
      </c>
      <c r="BG36" s="29">
        <v>1</v>
      </c>
      <c r="BH36" s="12">
        <v>1</v>
      </c>
      <c r="BI36" s="12">
        <v>1</v>
      </c>
      <c r="BK36" s="11">
        <v>33</v>
      </c>
      <c r="BL36" s="12" t="s">
        <v>15</v>
      </c>
      <c r="BM36" s="12">
        <v>1</v>
      </c>
      <c r="BN36" s="12">
        <v>1</v>
      </c>
      <c r="BP36" s="11">
        <v>33</v>
      </c>
      <c r="BQ36" s="12">
        <v>0</v>
      </c>
      <c r="BR36" s="12">
        <v>2</v>
      </c>
      <c r="BS36" s="12">
        <v>2</v>
      </c>
      <c r="BU36" s="11">
        <v>33</v>
      </c>
      <c r="BV36" s="12">
        <v>1</v>
      </c>
      <c r="BW36" s="12">
        <v>1</v>
      </c>
      <c r="BX36" s="12">
        <v>1</v>
      </c>
      <c r="BZ36" s="11">
        <v>33</v>
      </c>
      <c r="CA36" s="12"/>
      <c r="CC36" s="11">
        <v>33</v>
      </c>
      <c r="CD36" s="12"/>
    </row>
    <row r="37" spans="1:82">
      <c r="A37" s="30" t="s">
        <v>117</v>
      </c>
      <c r="D37" s="119" t="s">
        <v>8</v>
      </c>
      <c r="E37" s="119">
        <v>1</v>
      </c>
      <c r="F37" s="119">
        <v>0</v>
      </c>
      <c r="G37" s="121"/>
      <c r="H37" s="21">
        <v>15</v>
      </c>
      <c r="I37" s="7">
        <f t="shared" si="4"/>
        <v>1</v>
      </c>
      <c r="K37" s="121"/>
      <c r="L37" s="121"/>
      <c r="M37" s="121"/>
      <c r="N37" s="121"/>
      <c r="O37" s="121"/>
      <c r="R37" s="11">
        <v>34</v>
      </c>
      <c r="S37" s="12">
        <v>10</v>
      </c>
      <c r="T37" s="12" t="s">
        <v>15</v>
      </c>
      <c r="U37" s="12" t="s">
        <v>15</v>
      </c>
      <c r="W37" s="11">
        <v>34</v>
      </c>
      <c r="X37" s="12">
        <v>4</v>
      </c>
      <c r="Y37" s="12">
        <v>0</v>
      </c>
      <c r="Z37" s="12">
        <v>0</v>
      </c>
      <c r="AB37" s="11">
        <v>34</v>
      </c>
      <c r="AC37" s="12">
        <v>1</v>
      </c>
      <c r="AD37" s="69">
        <v>1</v>
      </c>
      <c r="AE37" s="69">
        <v>1</v>
      </c>
      <c r="AG37" s="11">
        <v>34</v>
      </c>
      <c r="AH37" s="12">
        <v>1</v>
      </c>
      <c r="AI37" s="69">
        <v>1</v>
      </c>
      <c r="AJ37" s="69">
        <v>1</v>
      </c>
      <c r="AL37" s="11">
        <v>34</v>
      </c>
      <c r="AM37" s="12">
        <v>1</v>
      </c>
      <c r="AN37" s="69">
        <v>1</v>
      </c>
      <c r="AO37" s="69">
        <v>1</v>
      </c>
      <c r="AQ37" s="11">
        <v>34</v>
      </c>
      <c r="AR37" s="14" t="s">
        <v>6</v>
      </c>
      <c r="AT37" s="11">
        <v>34</v>
      </c>
      <c r="AU37" s="12">
        <v>7</v>
      </c>
      <c r="AW37" s="11">
        <v>34</v>
      </c>
      <c r="AX37" s="12">
        <v>1</v>
      </c>
      <c r="AY37" s="12">
        <v>1</v>
      </c>
      <c r="AZ37" s="12">
        <v>1</v>
      </c>
      <c r="BA37" s="12">
        <v>1</v>
      </c>
      <c r="BB37" s="12">
        <v>1</v>
      </c>
      <c r="BC37" s="12">
        <v>1</v>
      </c>
      <c r="BD37" s="12">
        <v>1</v>
      </c>
      <c r="BE37" s="12">
        <v>1</v>
      </c>
      <c r="BF37" s="24">
        <v>1</v>
      </c>
      <c r="BG37" s="29">
        <v>1</v>
      </c>
      <c r="BH37" s="12">
        <v>1</v>
      </c>
      <c r="BI37" s="12">
        <v>1</v>
      </c>
      <c r="BK37" s="11">
        <v>34</v>
      </c>
      <c r="BL37" s="12">
        <v>10</v>
      </c>
      <c r="BM37" s="12" t="s">
        <v>15</v>
      </c>
      <c r="BN37" s="12" t="s">
        <v>15</v>
      </c>
      <c r="BP37" s="11">
        <v>34</v>
      </c>
      <c r="BQ37" s="12">
        <v>4</v>
      </c>
      <c r="BR37" s="12">
        <v>0</v>
      </c>
      <c r="BS37" s="12">
        <v>0</v>
      </c>
      <c r="BU37" s="11">
        <v>34</v>
      </c>
      <c r="BV37" s="12">
        <v>1</v>
      </c>
      <c r="BW37" s="12">
        <v>1</v>
      </c>
      <c r="BX37" s="12">
        <v>1</v>
      </c>
      <c r="BZ37" s="11">
        <v>34</v>
      </c>
      <c r="CA37" s="12"/>
      <c r="CC37" s="11">
        <v>34</v>
      </c>
      <c r="CD37" s="12"/>
    </row>
    <row r="38" spans="1:82">
      <c r="D38" s="119"/>
      <c r="E38" s="119"/>
      <c r="F38" s="119">
        <v>1</v>
      </c>
      <c r="G38" s="121"/>
      <c r="H38" s="21">
        <v>20</v>
      </c>
      <c r="I38" s="7">
        <f t="shared" si="4"/>
        <v>1</v>
      </c>
      <c r="K38" s="121"/>
      <c r="L38" s="121"/>
      <c r="M38" s="121"/>
      <c r="N38" s="121"/>
      <c r="O38" s="121"/>
      <c r="R38" s="11">
        <v>35</v>
      </c>
      <c r="S38" s="12" t="s">
        <v>8</v>
      </c>
      <c r="T38" s="12">
        <v>5</v>
      </c>
      <c r="U38" s="12">
        <v>5</v>
      </c>
      <c r="W38" s="11">
        <v>35</v>
      </c>
      <c r="X38" s="12">
        <v>0</v>
      </c>
      <c r="Y38" s="12">
        <v>3</v>
      </c>
      <c r="Z38" s="12">
        <v>3</v>
      </c>
      <c r="AB38" s="11">
        <v>35</v>
      </c>
      <c r="AC38" s="12">
        <v>1</v>
      </c>
      <c r="AD38" s="69">
        <v>1</v>
      </c>
      <c r="AE38" s="69">
        <v>1</v>
      </c>
      <c r="AG38" s="11">
        <v>35</v>
      </c>
      <c r="AH38" s="12">
        <v>1</v>
      </c>
      <c r="AI38" s="69">
        <v>1</v>
      </c>
      <c r="AJ38" s="69">
        <v>1</v>
      </c>
      <c r="AL38" s="11">
        <v>35</v>
      </c>
      <c r="AM38" s="12">
        <v>1</v>
      </c>
      <c r="AN38" s="69">
        <v>1</v>
      </c>
      <c r="AO38" s="69">
        <v>1</v>
      </c>
      <c r="AQ38" s="11">
        <v>35</v>
      </c>
      <c r="AR38" s="12" t="s">
        <v>15</v>
      </c>
      <c r="AT38" s="11">
        <v>35</v>
      </c>
      <c r="AU38" s="12">
        <v>0</v>
      </c>
      <c r="AW38" s="11">
        <v>35</v>
      </c>
      <c r="AX38" s="12">
        <v>1</v>
      </c>
      <c r="AY38" s="12">
        <v>1</v>
      </c>
      <c r="AZ38" s="12">
        <v>1</v>
      </c>
      <c r="BA38" s="12">
        <v>1</v>
      </c>
      <c r="BB38" s="12">
        <v>1</v>
      </c>
      <c r="BC38" s="12">
        <v>1</v>
      </c>
      <c r="BD38" s="12">
        <v>1</v>
      </c>
      <c r="BE38" s="12">
        <v>1</v>
      </c>
      <c r="BF38" s="24">
        <v>1</v>
      </c>
      <c r="BG38" s="29">
        <v>1</v>
      </c>
      <c r="BH38" s="12">
        <v>1</v>
      </c>
      <c r="BI38" s="12">
        <v>1</v>
      </c>
      <c r="BK38" s="11">
        <v>35</v>
      </c>
      <c r="BL38" s="12" t="s">
        <v>8</v>
      </c>
      <c r="BM38" s="12">
        <v>5</v>
      </c>
      <c r="BN38" s="12">
        <v>5</v>
      </c>
      <c r="BP38" s="11">
        <v>35</v>
      </c>
      <c r="BQ38" s="12">
        <v>0</v>
      </c>
      <c r="BR38" s="12">
        <v>3</v>
      </c>
      <c r="BS38" s="12">
        <v>3</v>
      </c>
      <c r="BU38" s="11">
        <v>35</v>
      </c>
      <c r="BV38" s="12">
        <v>1</v>
      </c>
      <c r="BW38" s="12">
        <v>1</v>
      </c>
      <c r="BX38" s="12">
        <v>1</v>
      </c>
      <c r="BZ38" s="11">
        <v>35</v>
      </c>
      <c r="CA38" s="12"/>
      <c r="CC38" s="11">
        <v>35</v>
      </c>
      <c r="CD38" s="12"/>
    </row>
    <row r="39" spans="1:82">
      <c r="D39" s="119"/>
      <c r="E39" s="119"/>
      <c r="F39" s="119">
        <v>5</v>
      </c>
      <c r="G39" s="121"/>
      <c r="H39" s="21">
        <v>30</v>
      </c>
      <c r="I39" s="7">
        <f t="shared" si="4"/>
        <v>1</v>
      </c>
      <c r="K39" s="121"/>
      <c r="L39" s="121"/>
      <c r="M39" s="121"/>
      <c r="N39" s="121"/>
      <c r="O39" s="121"/>
      <c r="R39" s="11">
        <v>36</v>
      </c>
      <c r="S39" s="12"/>
      <c r="T39" s="12"/>
      <c r="U39" s="12"/>
      <c r="W39" s="11">
        <v>36</v>
      </c>
      <c r="X39" s="12"/>
      <c r="Y39" s="12"/>
      <c r="Z39" s="12"/>
      <c r="AB39" s="11">
        <v>36</v>
      </c>
      <c r="AC39" s="12"/>
      <c r="AD39" s="12"/>
      <c r="AE39" s="12"/>
      <c r="AG39" s="11">
        <v>36</v>
      </c>
      <c r="AH39" s="12"/>
      <c r="AI39" s="12"/>
      <c r="AJ39" s="12"/>
      <c r="AL39" s="11">
        <v>36</v>
      </c>
      <c r="AM39" s="12"/>
      <c r="AN39" s="12"/>
      <c r="AO39" s="12"/>
      <c r="AQ39" s="11">
        <v>36</v>
      </c>
      <c r="AR39" s="14" t="s">
        <v>36</v>
      </c>
      <c r="AS39" s="14"/>
      <c r="AT39" s="11">
        <v>36</v>
      </c>
      <c r="AU39" s="12">
        <v>10</v>
      </c>
      <c r="AW39" s="11">
        <v>36</v>
      </c>
      <c r="AX39" s="12">
        <v>1</v>
      </c>
      <c r="AY39" s="12">
        <v>1</v>
      </c>
      <c r="AZ39" s="12">
        <v>1</v>
      </c>
      <c r="BA39" s="12">
        <v>1</v>
      </c>
      <c r="BB39" s="12">
        <v>1</v>
      </c>
      <c r="BC39" s="12">
        <v>1</v>
      </c>
      <c r="BD39" s="12">
        <v>1</v>
      </c>
      <c r="BE39" s="12">
        <v>1</v>
      </c>
      <c r="BF39" s="24">
        <v>1</v>
      </c>
      <c r="BG39" s="29">
        <v>1</v>
      </c>
      <c r="BH39" s="12">
        <v>1</v>
      </c>
      <c r="BI39" s="12">
        <v>1</v>
      </c>
      <c r="BK39" s="11">
        <v>36</v>
      </c>
      <c r="BL39" s="12"/>
      <c r="BM39" s="12"/>
      <c r="BN39" s="12"/>
      <c r="BP39" s="11">
        <v>36</v>
      </c>
      <c r="BQ39" s="12"/>
      <c r="BR39" s="12"/>
      <c r="BS39" s="12"/>
      <c r="BU39" s="11">
        <v>36</v>
      </c>
      <c r="BV39" s="12"/>
      <c r="BW39" s="12"/>
      <c r="BX39" s="12"/>
      <c r="BZ39" s="11">
        <v>36</v>
      </c>
      <c r="CA39" s="12"/>
      <c r="CC39" s="11">
        <v>36</v>
      </c>
      <c r="CD39" s="12"/>
    </row>
    <row r="40" spans="1:82">
      <c r="A40" s="30" t="s">
        <v>46</v>
      </c>
      <c r="B40" s="1" t="s">
        <v>10</v>
      </c>
      <c r="C40" s="2" t="s">
        <v>11</v>
      </c>
      <c r="D40" s="3" t="s">
        <v>80</v>
      </c>
      <c r="E40" s="122" t="s">
        <v>13</v>
      </c>
      <c r="F40" s="4" t="s">
        <v>14</v>
      </c>
      <c r="G40" s="121"/>
      <c r="H40" s="21">
        <v>50</v>
      </c>
      <c r="I40" s="7">
        <f t="shared" si="4"/>
        <v>1</v>
      </c>
      <c r="K40" s="121"/>
      <c r="L40" s="121"/>
      <c r="M40" s="121"/>
      <c r="N40" s="121"/>
      <c r="O40" s="121"/>
      <c r="R40" s="11">
        <v>37</v>
      </c>
      <c r="S40" s="12"/>
      <c r="T40" s="12"/>
      <c r="U40" s="12"/>
      <c r="W40" s="11">
        <v>37</v>
      </c>
      <c r="X40" s="12"/>
      <c r="Y40" s="12"/>
      <c r="Z40" s="12"/>
      <c r="AB40" s="11">
        <v>37</v>
      </c>
      <c r="AC40" s="12"/>
      <c r="AD40" s="12"/>
      <c r="AE40" s="12"/>
      <c r="AG40" s="11">
        <v>37</v>
      </c>
      <c r="AH40" s="12"/>
      <c r="AI40" s="12"/>
      <c r="AJ40" s="12"/>
      <c r="AL40" s="11">
        <v>37</v>
      </c>
      <c r="AM40" s="12"/>
      <c r="AN40" s="12"/>
      <c r="AO40" s="12"/>
      <c r="AQ40" s="11">
        <v>37</v>
      </c>
      <c r="AR40" s="12" t="s">
        <v>15</v>
      </c>
      <c r="AS40" s="12"/>
      <c r="AT40" s="11">
        <v>37</v>
      </c>
      <c r="AU40" s="12">
        <v>0</v>
      </c>
      <c r="AW40" s="11">
        <v>37</v>
      </c>
      <c r="AX40" s="12">
        <v>1</v>
      </c>
      <c r="AY40" s="12">
        <v>1</v>
      </c>
      <c r="AZ40" s="12">
        <v>1</v>
      </c>
      <c r="BA40" s="12">
        <v>1</v>
      </c>
      <c r="BB40" s="12">
        <v>1</v>
      </c>
      <c r="BC40" s="12">
        <v>1</v>
      </c>
      <c r="BD40" s="12">
        <v>1</v>
      </c>
      <c r="BE40" s="12">
        <v>1</v>
      </c>
      <c r="BF40" s="24">
        <v>1</v>
      </c>
      <c r="BG40" s="29">
        <v>1</v>
      </c>
      <c r="BH40" s="12">
        <v>1</v>
      </c>
      <c r="BI40" s="12">
        <v>1</v>
      </c>
      <c r="BK40" s="11">
        <v>37</v>
      </c>
      <c r="BL40" s="12"/>
      <c r="BM40" s="12"/>
      <c r="BN40" s="12"/>
      <c r="BP40" s="11">
        <v>37</v>
      </c>
      <c r="BQ40" s="12"/>
      <c r="BR40" s="12"/>
      <c r="BS40" s="12"/>
      <c r="BU40" s="11">
        <v>37</v>
      </c>
      <c r="BV40" s="12"/>
      <c r="BW40" s="12"/>
      <c r="BX40" s="12"/>
      <c r="BZ40" s="11">
        <v>37</v>
      </c>
      <c r="CA40" s="12"/>
      <c r="CC40" s="11">
        <v>37</v>
      </c>
      <c r="CD40" s="12"/>
    </row>
    <row r="41" spans="1:82">
      <c r="A41" s="1" t="s">
        <v>19</v>
      </c>
      <c r="B41" s="1">
        <v>0</v>
      </c>
      <c r="C41" s="3" t="s">
        <v>25</v>
      </c>
      <c r="D41" s="3">
        <f>SUMIF(S$3:S$38,$A41,AM$3:AM$38)</f>
        <v>18</v>
      </c>
      <c r="E41" s="122">
        <f t="shared" ref="E41:F52" si="5">SUMIF(T$3:T$38,$A41,AN$3:AN$38)</f>
        <v>18</v>
      </c>
      <c r="F41" s="4">
        <f t="shared" si="5"/>
        <v>18</v>
      </c>
      <c r="G41" s="121"/>
      <c r="H41" s="21">
        <v>100</v>
      </c>
      <c r="I41" s="7">
        <f t="shared" si="4"/>
        <v>1</v>
      </c>
      <c r="K41" s="121"/>
      <c r="L41" s="121"/>
      <c r="M41" s="121"/>
      <c r="N41" s="121"/>
      <c r="O41" s="121"/>
      <c r="R41" s="11">
        <v>38</v>
      </c>
      <c r="S41" s="12"/>
      <c r="T41" s="12"/>
      <c r="U41" s="12"/>
      <c r="W41" s="11">
        <v>38</v>
      </c>
      <c r="X41" s="12"/>
      <c r="Y41" s="12"/>
      <c r="Z41" s="12"/>
      <c r="AB41" s="11">
        <v>38</v>
      </c>
      <c r="AC41" s="12"/>
      <c r="AD41" s="12"/>
      <c r="AE41" s="12"/>
      <c r="AG41" s="11">
        <v>38</v>
      </c>
      <c r="AH41" s="12"/>
      <c r="AI41" s="12"/>
      <c r="AJ41" s="12"/>
      <c r="AL41" s="11">
        <v>38</v>
      </c>
      <c r="AM41" s="12"/>
      <c r="AN41" s="12"/>
      <c r="AO41" s="12"/>
      <c r="AQ41" s="11">
        <v>38</v>
      </c>
      <c r="AR41" s="14" t="s">
        <v>9</v>
      </c>
      <c r="AS41" s="14"/>
      <c r="AT41" s="11">
        <v>38</v>
      </c>
      <c r="AU41" s="12">
        <v>8</v>
      </c>
      <c r="AW41" s="11">
        <v>38</v>
      </c>
      <c r="AX41" s="12">
        <v>1</v>
      </c>
      <c r="AY41" s="12">
        <v>1</v>
      </c>
      <c r="AZ41" s="12">
        <v>1</v>
      </c>
      <c r="BA41" s="12">
        <v>1</v>
      </c>
      <c r="BB41" s="12">
        <v>1</v>
      </c>
      <c r="BC41" s="12">
        <v>1</v>
      </c>
      <c r="BD41" s="12">
        <v>1</v>
      </c>
      <c r="BE41" s="12">
        <v>1</v>
      </c>
      <c r="BF41" s="24">
        <v>1</v>
      </c>
      <c r="BG41" s="29">
        <v>1</v>
      </c>
      <c r="BH41" s="12">
        <v>1</v>
      </c>
      <c r="BI41" s="12">
        <v>1</v>
      </c>
      <c r="BK41" s="11">
        <v>38</v>
      </c>
      <c r="BL41" s="12"/>
      <c r="BM41" s="12"/>
      <c r="BN41" s="12"/>
      <c r="BP41" s="11">
        <v>38</v>
      </c>
      <c r="BQ41" s="12"/>
      <c r="BR41" s="12"/>
      <c r="BS41" s="12"/>
      <c r="BU41" s="11">
        <v>38</v>
      </c>
      <c r="BV41" s="12"/>
      <c r="BW41" s="12"/>
      <c r="BX41" s="12"/>
      <c r="BZ41" s="11">
        <v>38</v>
      </c>
      <c r="CA41" s="12"/>
      <c r="CC41" s="11">
        <v>38</v>
      </c>
      <c r="CD41" s="12"/>
    </row>
    <row r="42" spans="1:82">
      <c r="A42" s="20">
        <v>0</v>
      </c>
      <c r="B42" s="20">
        <v>1</v>
      </c>
      <c r="C42" s="5">
        <v>0</v>
      </c>
      <c r="D42" s="37">
        <f t="shared" ref="D42:D52" si="6">SUMIF(S$3:S$38,$A42,AM$3:AM$38)</f>
        <v>0</v>
      </c>
      <c r="E42" s="121">
        <f t="shared" si="5"/>
        <v>6</v>
      </c>
      <c r="F42" s="7">
        <f t="shared" si="5"/>
        <v>6</v>
      </c>
      <c r="H42" s="22">
        <v>200</v>
      </c>
      <c r="I42" s="96">
        <f t="shared" si="4"/>
        <v>1</v>
      </c>
      <c r="R42" s="11">
        <v>39</v>
      </c>
      <c r="S42" s="12"/>
      <c r="T42" s="12"/>
      <c r="U42" s="12"/>
      <c r="W42" s="11">
        <v>39</v>
      </c>
      <c r="X42" s="12"/>
      <c r="Y42" s="12"/>
      <c r="Z42" s="12"/>
      <c r="AB42" s="11">
        <v>39</v>
      </c>
      <c r="AC42" s="12"/>
      <c r="AD42" s="12"/>
      <c r="AE42" s="12"/>
      <c r="AG42" s="11">
        <v>39</v>
      </c>
      <c r="AH42" s="12"/>
      <c r="AI42" s="12"/>
      <c r="AJ42" s="12"/>
      <c r="AL42" s="11">
        <v>39</v>
      </c>
      <c r="AM42" s="12"/>
      <c r="AN42" s="12"/>
      <c r="AO42" s="12"/>
      <c r="AQ42" s="11">
        <v>39</v>
      </c>
      <c r="AR42" s="12" t="s">
        <v>15</v>
      </c>
      <c r="AS42" s="12"/>
      <c r="AT42" s="11">
        <v>39</v>
      </c>
      <c r="AU42" s="12">
        <v>0</v>
      </c>
      <c r="AW42" s="11">
        <v>39</v>
      </c>
      <c r="AX42" s="12">
        <v>1</v>
      </c>
      <c r="AY42" s="12">
        <v>1</v>
      </c>
      <c r="AZ42" s="12">
        <v>1</v>
      </c>
      <c r="BA42" s="12">
        <v>1</v>
      </c>
      <c r="BB42" s="12">
        <v>1</v>
      </c>
      <c r="BC42" s="12">
        <v>1</v>
      </c>
      <c r="BD42" s="12">
        <v>1</v>
      </c>
      <c r="BE42" s="12">
        <v>1</v>
      </c>
      <c r="BF42" s="24">
        <v>1</v>
      </c>
      <c r="BG42" s="29">
        <v>1</v>
      </c>
      <c r="BH42" s="12">
        <v>1</v>
      </c>
      <c r="BI42" s="12">
        <v>1</v>
      </c>
      <c r="BK42" s="11">
        <v>39</v>
      </c>
      <c r="BL42" s="12"/>
      <c r="BM42" s="12"/>
      <c r="BN42" s="12"/>
      <c r="BP42" s="11">
        <v>39</v>
      </c>
      <c r="BQ42" s="12"/>
      <c r="BR42" s="12"/>
      <c r="BS42" s="12"/>
      <c r="BU42" s="11">
        <v>39</v>
      </c>
      <c r="BV42" s="12"/>
      <c r="BW42" s="12"/>
      <c r="BX42" s="12"/>
      <c r="BZ42" s="11">
        <v>39</v>
      </c>
      <c r="CA42" s="12"/>
      <c r="CC42" s="11">
        <v>39</v>
      </c>
      <c r="CD42" s="12"/>
    </row>
    <row r="43" spans="1:82">
      <c r="A43" s="20">
        <v>1</v>
      </c>
      <c r="B43" s="20">
        <v>2</v>
      </c>
      <c r="C43" s="5">
        <v>1</v>
      </c>
      <c r="D43" s="6">
        <f t="shared" si="6"/>
        <v>6</v>
      </c>
      <c r="E43" s="121">
        <f t="shared" si="5"/>
        <v>6</v>
      </c>
      <c r="F43" s="7">
        <f t="shared" si="5"/>
        <v>6</v>
      </c>
      <c r="R43" s="11">
        <v>40</v>
      </c>
      <c r="S43" s="12"/>
      <c r="T43" s="12"/>
      <c r="U43" s="12"/>
      <c r="W43" s="11">
        <v>40</v>
      </c>
      <c r="X43" s="12"/>
      <c r="Y43" s="12"/>
      <c r="Z43" s="12"/>
      <c r="AB43" s="11">
        <v>40</v>
      </c>
      <c r="AC43" s="12"/>
      <c r="AD43" s="12"/>
      <c r="AE43" s="12"/>
      <c r="AG43" s="11">
        <v>40</v>
      </c>
      <c r="AH43" s="12"/>
      <c r="AI43" s="12"/>
      <c r="AJ43" s="12"/>
      <c r="AL43" s="11">
        <v>40</v>
      </c>
      <c r="AM43" s="12"/>
      <c r="AN43" s="12"/>
      <c r="AO43" s="12"/>
      <c r="AQ43" s="11">
        <v>40</v>
      </c>
      <c r="AR43" s="14"/>
      <c r="AS43" s="14"/>
      <c r="AT43" s="11">
        <v>40</v>
      </c>
      <c r="AU43" s="12"/>
      <c r="AW43" s="11">
        <v>40</v>
      </c>
      <c r="AX43" s="12"/>
      <c r="AY43" s="12"/>
      <c r="AZ43" s="12"/>
      <c r="BA43" s="12"/>
      <c r="BB43" s="12"/>
      <c r="BC43" s="12"/>
      <c r="BD43" s="12"/>
      <c r="BE43" s="12"/>
      <c r="BF43" s="24"/>
      <c r="BG43" s="29"/>
      <c r="BH43" s="12"/>
      <c r="BI43" s="12"/>
      <c r="BK43" s="11">
        <v>40</v>
      </c>
      <c r="BL43" s="12"/>
      <c r="BM43" s="12"/>
      <c r="BN43" s="12"/>
      <c r="BP43" s="11">
        <v>40</v>
      </c>
      <c r="BQ43" s="12"/>
      <c r="BR43" s="12"/>
      <c r="BS43" s="12"/>
      <c r="BU43" s="11">
        <v>40</v>
      </c>
      <c r="BV43" s="12"/>
      <c r="BW43" s="12"/>
      <c r="BX43" s="12"/>
      <c r="BZ43" s="11">
        <v>40</v>
      </c>
      <c r="CA43" s="12"/>
      <c r="CC43" s="11">
        <v>40</v>
      </c>
      <c r="CD43" s="12"/>
    </row>
    <row r="44" spans="1:82">
      <c r="A44" s="21">
        <v>5</v>
      </c>
      <c r="B44" s="21">
        <v>3</v>
      </c>
      <c r="C44" s="23">
        <v>5</v>
      </c>
      <c r="D44" s="6">
        <f t="shared" si="6"/>
        <v>6</v>
      </c>
      <c r="E44" s="121">
        <f t="shared" si="5"/>
        <v>6</v>
      </c>
      <c r="F44" s="7">
        <f t="shared" si="5"/>
        <v>6</v>
      </c>
      <c r="R44" s="11">
        <v>41</v>
      </c>
      <c r="S44" s="12"/>
      <c r="T44" s="12"/>
      <c r="U44" s="12"/>
      <c r="W44" s="11">
        <v>41</v>
      </c>
      <c r="X44" s="12"/>
      <c r="Y44" s="12"/>
      <c r="Z44" s="12"/>
      <c r="AB44" s="11">
        <v>41</v>
      </c>
      <c r="AC44" s="12"/>
      <c r="AD44" s="12"/>
      <c r="AE44" s="12"/>
      <c r="AG44" s="11">
        <v>41</v>
      </c>
      <c r="AH44" s="12"/>
      <c r="AI44" s="12"/>
      <c r="AJ44" s="12"/>
      <c r="AL44" s="11">
        <v>41</v>
      </c>
      <c r="AM44" s="12"/>
      <c r="AN44" s="12"/>
      <c r="AO44" s="12"/>
      <c r="AQ44" s="11">
        <v>41</v>
      </c>
      <c r="AR44" s="12"/>
      <c r="AS44" s="12"/>
      <c r="AT44" s="11">
        <v>41</v>
      </c>
      <c r="AU44" s="12"/>
      <c r="AW44" s="11">
        <v>41</v>
      </c>
      <c r="AX44" s="12"/>
      <c r="AY44" s="12"/>
      <c r="AZ44" s="12"/>
      <c r="BA44" s="12"/>
      <c r="BB44" s="12"/>
      <c r="BC44" s="12"/>
      <c r="BD44" s="12"/>
      <c r="BE44" s="12"/>
      <c r="BF44" s="24"/>
      <c r="BG44" s="29"/>
      <c r="BH44" s="12"/>
      <c r="BI44" s="12"/>
      <c r="BK44" s="11">
        <v>41</v>
      </c>
      <c r="BL44" s="12"/>
      <c r="BM44" s="12"/>
      <c r="BN44" s="12"/>
      <c r="BP44" s="11">
        <v>41</v>
      </c>
      <c r="BQ44" s="12"/>
      <c r="BR44" s="12"/>
      <c r="BS44" s="12"/>
      <c r="BU44" s="11">
        <v>41</v>
      </c>
      <c r="BV44" s="12"/>
      <c r="BW44" s="12"/>
      <c r="BX44" s="12"/>
      <c r="BZ44" s="11">
        <v>41</v>
      </c>
      <c r="CA44" s="12"/>
      <c r="CC44" s="11">
        <v>41</v>
      </c>
      <c r="CD44" s="12"/>
    </row>
    <row r="45" spans="1:82">
      <c r="A45" s="21">
        <v>10</v>
      </c>
      <c r="B45" s="21">
        <v>4</v>
      </c>
      <c r="C45" s="23">
        <v>10</v>
      </c>
      <c r="D45" s="6">
        <f t="shared" si="6"/>
        <v>6</v>
      </c>
      <c r="E45" s="59">
        <f t="shared" si="5"/>
        <v>0</v>
      </c>
      <c r="F45" s="38">
        <f t="shared" si="5"/>
        <v>0</v>
      </c>
      <c r="R45" s="11">
        <v>42</v>
      </c>
      <c r="S45" s="12"/>
      <c r="T45" s="12"/>
      <c r="U45" s="12"/>
      <c r="W45" s="11">
        <v>42</v>
      </c>
      <c r="X45" s="12"/>
      <c r="Y45" s="12"/>
      <c r="Z45" s="12"/>
      <c r="AB45" s="11">
        <v>42</v>
      </c>
      <c r="AC45" s="12"/>
      <c r="AD45" s="12"/>
      <c r="AE45" s="12"/>
      <c r="AG45" s="11">
        <v>42</v>
      </c>
      <c r="AH45" s="12"/>
      <c r="AI45" s="12"/>
      <c r="AJ45" s="12"/>
      <c r="AL45" s="11">
        <v>42</v>
      </c>
      <c r="AM45" s="12"/>
      <c r="AN45" s="12"/>
      <c r="AO45" s="12"/>
      <c r="AQ45" s="11">
        <v>42</v>
      </c>
      <c r="AR45" s="14"/>
      <c r="AS45" s="14"/>
      <c r="AT45" s="11">
        <v>42</v>
      </c>
      <c r="AU45" s="12"/>
      <c r="AW45" s="11">
        <v>42</v>
      </c>
      <c r="AX45" s="12"/>
      <c r="AY45" s="12"/>
      <c r="AZ45" s="12"/>
      <c r="BA45" s="12"/>
      <c r="BB45" s="12"/>
      <c r="BC45" s="12"/>
      <c r="BD45" s="12"/>
      <c r="BE45" s="12"/>
      <c r="BF45" s="24"/>
      <c r="BG45" s="29"/>
      <c r="BH45" s="12"/>
      <c r="BI45" s="12"/>
      <c r="BK45" s="11">
        <v>42</v>
      </c>
      <c r="BL45" s="12"/>
      <c r="BM45" s="12"/>
      <c r="BN45" s="12"/>
      <c r="BP45" s="11">
        <v>42</v>
      </c>
      <c r="BQ45" s="12"/>
      <c r="BR45" s="12"/>
      <c r="BS45" s="12"/>
      <c r="BU45" s="11">
        <v>42</v>
      </c>
      <c r="BV45" s="12"/>
      <c r="BW45" s="12"/>
      <c r="BX45" s="12"/>
      <c r="BZ45" s="11">
        <v>42</v>
      </c>
      <c r="CA45" s="12"/>
      <c r="CC45" s="11">
        <v>42</v>
      </c>
      <c r="CD45" s="12"/>
    </row>
    <row r="46" spans="1:82">
      <c r="A46" s="20" t="s">
        <v>20</v>
      </c>
      <c r="B46" s="20">
        <v>5</v>
      </c>
      <c r="C46" s="23" t="s">
        <v>29</v>
      </c>
      <c r="D46" s="37">
        <f t="shared" si="6"/>
        <v>0</v>
      </c>
      <c r="E46" s="59">
        <f t="shared" si="5"/>
        <v>0</v>
      </c>
      <c r="F46" s="38">
        <f t="shared" si="5"/>
        <v>0</v>
      </c>
      <c r="R46" s="11">
        <v>43</v>
      </c>
      <c r="S46" s="12"/>
      <c r="T46" s="12"/>
      <c r="U46" s="12"/>
      <c r="W46" s="11">
        <v>43</v>
      </c>
      <c r="X46" s="12"/>
      <c r="Y46" s="12"/>
      <c r="Z46" s="12"/>
      <c r="AB46" s="11">
        <v>43</v>
      </c>
      <c r="AC46" s="12"/>
      <c r="AD46" s="12"/>
      <c r="AE46" s="12"/>
      <c r="AG46" s="11">
        <v>43</v>
      </c>
      <c r="AH46" s="12"/>
      <c r="AI46" s="12"/>
      <c r="AJ46" s="12"/>
      <c r="AL46" s="11">
        <v>43</v>
      </c>
      <c r="AM46" s="12"/>
      <c r="AN46" s="12"/>
      <c r="AO46" s="12"/>
      <c r="AQ46" s="11">
        <v>43</v>
      </c>
      <c r="AR46" s="12"/>
      <c r="AS46" s="12"/>
      <c r="AT46" s="11">
        <v>43</v>
      </c>
      <c r="AU46" s="12"/>
      <c r="AW46" s="11">
        <v>43</v>
      </c>
      <c r="AX46" s="12"/>
      <c r="AY46" s="12"/>
      <c r="AZ46" s="12"/>
      <c r="BA46" s="12"/>
      <c r="BB46" s="12"/>
      <c r="BC46" s="12"/>
      <c r="BD46" s="12"/>
      <c r="BE46" s="12"/>
      <c r="BF46" s="24"/>
      <c r="BG46" s="29"/>
      <c r="BH46" s="12"/>
      <c r="BI46" s="12"/>
      <c r="BK46" s="11">
        <v>43</v>
      </c>
      <c r="BL46" s="12"/>
      <c r="BM46" s="12"/>
      <c r="BN46" s="12"/>
      <c r="BP46" s="11">
        <v>43</v>
      </c>
      <c r="BQ46" s="12"/>
      <c r="BR46" s="12"/>
      <c r="BS46" s="12"/>
      <c r="BU46" s="11">
        <v>43</v>
      </c>
      <c r="BV46" s="12"/>
      <c r="BW46" s="12"/>
      <c r="BX46" s="12"/>
      <c r="BZ46" s="11">
        <v>43</v>
      </c>
      <c r="CA46" s="12"/>
      <c r="CC46" s="11">
        <v>43</v>
      </c>
      <c r="CD46" s="12"/>
    </row>
    <row r="47" spans="1:82">
      <c r="A47" s="21" t="s">
        <v>21</v>
      </c>
      <c r="B47" s="21">
        <v>6</v>
      </c>
      <c r="C47" s="23" t="s">
        <v>26</v>
      </c>
      <c r="D47" s="37">
        <f t="shared" si="6"/>
        <v>0</v>
      </c>
      <c r="E47" s="59">
        <f t="shared" si="5"/>
        <v>0</v>
      </c>
      <c r="F47" s="38">
        <f t="shared" si="5"/>
        <v>0</v>
      </c>
      <c r="R47" s="11">
        <v>44</v>
      </c>
      <c r="S47" s="12"/>
      <c r="T47" s="12"/>
      <c r="U47" s="12"/>
      <c r="W47" s="11">
        <v>44</v>
      </c>
      <c r="X47" s="12"/>
      <c r="Y47" s="12"/>
      <c r="Z47" s="12"/>
      <c r="AB47" s="11">
        <v>44</v>
      </c>
      <c r="AC47" s="12"/>
      <c r="AD47" s="12"/>
      <c r="AE47" s="12"/>
      <c r="AG47" s="11">
        <v>44</v>
      </c>
      <c r="AH47" s="12"/>
      <c r="AI47" s="12"/>
      <c r="AJ47" s="12"/>
      <c r="AL47" s="11">
        <v>44</v>
      </c>
      <c r="AM47" s="12"/>
      <c r="AN47" s="12"/>
      <c r="AO47" s="12"/>
      <c r="AQ47" s="11">
        <v>44</v>
      </c>
      <c r="AR47" s="14"/>
      <c r="AS47" s="14"/>
      <c r="AT47" s="11">
        <v>44</v>
      </c>
      <c r="AU47" s="12"/>
      <c r="AW47" s="11">
        <v>44</v>
      </c>
      <c r="AX47" s="12"/>
      <c r="AY47" s="12"/>
      <c r="AZ47" s="12"/>
      <c r="BA47" s="12"/>
      <c r="BB47" s="12"/>
      <c r="BC47" s="12"/>
      <c r="BD47" s="12"/>
      <c r="BE47" s="12"/>
      <c r="BF47" s="24"/>
      <c r="BG47" s="29"/>
      <c r="BH47" s="12"/>
      <c r="BI47" s="12"/>
      <c r="BK47" s="11">
        <v>44</v>
      </c>
      <c r="BL47" s="12"/>
      <c r="BM47" s="12"/>
      <c r="BN47" s="12"/>
      <c r="BP47" s="11">
        <v>44</v>
      </c>
      <c r="BQ47" s="12"/>
      <c r="BR47" s="12"/>
      <c r="BS47" s="12"/>
      <c r="BU47" s="11">
        <v>44</v>
      </c>
      <c r="BV47" s="12"/>
      <c r="BW47" s="12"/>
      <c r="BX47" s="12"/>
      <c r="BZ47" s="11">
        <v>44</v>
      </c>
      <c r="CA47" s="12"/>
      <c r="CC47" s="11">
        <v>44</v>
      </c>
      <c r="CD47" s="12"/>
    </row>
    <row r="48" spans="1:82">
      <c r="A48" s="20" t="s">
        <v>22</v>
      </c>
      <c r="B48" s="20">
        <v>7</v>
      </c>
      <c r="C48" s="5" t="s">
        <v>27</v>
      </c>
      <c r="D48" s="37">
        <f t="shared" si="6"/>
        <v>0</v>
      </c>
      <c r="E48" s="59">
        <f t="shared" si="5"/>
        <v>0</v>
      </c>
      <c r="F48" s="38">
        <f t="shared" si="5"/>
        <v>0</v>
      </c>
      <c r="R48" s="11">
        <v>45</v>
      </c>
      <c r="S48" s="12"/>
      <c r="T48" s="12"/>
      <c r="U48" s="12"/>
      <c r="W48" s="11">
        <v>45</v>
      </c>
      <c r="X48" s="12"/>
      <c r="Y48" s="12"/>
      <c r="Z48" s="12"/>
      <c r="AB48" s="11">
        <v>45</v>
      </c>
      <c r="AC48" s="12"/>
      <c r="AD48" s="12"/>
      <c r="AE48" s="12"/>
      <c r="AG48" s="11">
        <v>45</v>
      </c>
      <c r="AH48" s="12"/>
      <c r="AI48" s="12"/>
      <c r="AJ48" s="12"/>
      <c r="AL48" s="11">
        <v>45</v>
      </c>
      <c r="AM48" s="12"/>
      <c r="AN48" s="12"/>
      <c r="AO48" s="12"/>
      <c r="AQ48" s="11">
        <v>45</v>
      </c>
      <c r="AR48" s="12"/>
      <c r="AS48" s="12"/>
      <c r="AT48" s="11">
        <v>45</v>
      </c>
      <c r="AU48" s="12"/>
      <c r="AW48" s="11">
        <v>45</v>
      </c>
      <c r="AX48" s="12"/>
      <c r="AY48" s="12"/>
      <c r="AZ48" s="12"/>
      <c r="BA48" s="12"/>
      <c r="BB48" s="12"/>
      <c r="BC48" s="12"/>
      <c r="BD48" s="12"/>
      <c r="BE48" s="12"/>
      <c r="BF48" s="24"/>
      <c r="BG48" s="29"/>
      <c r="BH48" s="12"/>
      <c r="BI48" s="12"/>
      <c r="BK48" s="11">
        <v>45</v>
      </c>
      <c r="BL48" s="12"/>
      <c r="BM48" s="12"/>
      <c r="BN48" s="12"/>
      <c r="BP48" s="11">
        <v>45</v>
      </c>
      <c r="BQ48" s="12"/>
      <c r="BR48" s="12"/>
      <c r="BS48" s="12"/>
      <c r="BU48" s="11">
        <v>45</v>
      </c>
      <c r="BV48" s="12"/>
      <c r="BW48" s="12"/>
      <c r="BX48" s="12"/>
      <c r="BZ48" s="11">
        <v>45</v>
      </c>
      <c r="CA48" s="12"/>
      <c r="CC48" s="11">
        <v>45</v>
      </c>
      <c r="CD48" s="12"/>
    </row>
    <row r="49" spans="1:82">
      <c r="A49" s="20" t="s">
        <v>23</v>
      </c>
      <c r="B49" s="20">
        <v>8</v>
      </c>
      <c r="C49" s="5" t="s">
        <v>28</v>
      </c>
      <c r="D49" s="37">
        <f t="shared" si="6"/>
        <v>0</v>
      </c>
      <c r="E49" s="59">
        <f t="shared" si="5"/>
        <v>0</v>
      </c>
      <c r="F49" s="38">
        <f t="shared" si="5"/>
        <v>0</v>
      </c>
      <c r="R49" s="11">
        <v>46</v>
      </c>
      <c r="S49" s="12"/>
      <c r="T49" s="12"/>
      <c r="U49" s="12"/>
      <c r="W49" s="11">
        <v>46</v>
      </c>
      <c r="X49" s="12"/>
      <c r="Y49" s="12"/>
      <c r="Z49" s="12"/>
      <c r="AB49" s="11">
        <v>46</v>
      </c>
      <c r="AC49" s="12"/>
      <c r="AD49" s="12"/>
      <c r="AE49" s="12"/>
      <c r="AG49" s="11">
        <v>46</v>
      </c>
      <c r="AH49" s="12"/>
      <c r="AI49" s="12"/>
      <c r="AJ49" s="12"/>
      <c r="AL49" s="11">
        <v>46</v>
      </c>
      <c r="AM49" s="12"/>
      <c r="AN49" s="12"/>
      <c r="AO49" s="12"/>
      <c r="AQ49" s="11">
        <v>46</v>
      </c>
      <c r="AR49" s="14"/>
      <c r="AS49" s="14"/>
      <c r="AT49" s="11">
        <v>46</v>
      </c>
      <c r="AU49" s="12"/>
      <c r="AW49" s="11">
        <v>46</v>
      </c>
      <c r="AX49" s="12"/>
      <c r="AY49" s="12"/>
      <c r="AZ49" s="12"/>
      <c r="BA49" s="12"/>
      <c r="BB49" s="12"/>
      <c r="BC49" s="12"/>
      <c r="BD49" s="12"/>
      <c r="BE49" s="12"/>
      <c r="BF49" s="24"/>
      <c r="BG49" s="29"/>
      <c r="BH49" s="12"/>
      <c r="BI49" s="12"/>
      <c r="BK49" s="11">
        <v>46</v>
      </c>
      <c r="BL49" s="12"/>
      <c r="BM49" s="12"/>
      <c r="BN49" s="12"/>
      <c r="BP49" s="11">
        <v>46</v>
      </c>
      <c r="BQ49" s="12"/>
      <c r="BR49" s="12"/>
      <c r="BS49" s="12"/>
      <c r="BU49" s="11">
        <v>46</v>
      </c>
      <c r="BV49" s="12"/>
      <c r="BW49" s="12"/>
      <c r="BX49" s="12"/>
      <c r="BZ49" s="11">
        <v>46</v>
      </c>
      <c r="CA49" s="12"/>
      <c r="CC49" s="11">
        <v>46</v>
      </c>
      <c r="CD49" s="12"/>
    </row>
    <row r="50" spans="1:82">
      <c r="A50" s="20" t="s">
        <v>24</v>
      </c>
      <c r="B50" s="20">
        <v>9</v>
      </c>
      <c r="C50" s="5" t="s">
        <v>16</v>
      </c>
      <c r="D50" s="37">
        <f t="shared" si="6"/>
        <v>0</v>
      </c>
      <c r="E50" s="59">
        <f t="shared" si="5"/>
        <v>0</v>
      </c>
      <c r="F50" s="38">
        <f t="shared" si="5"/>
        <v>0</v>
      </c>
      <c r="R50" s="11">
        <v>47</v>
      </c>
      <c r="S50" s="12"/>
      <c r="T50" s="12"/>
      <c r="U50" s="12"/>
      <c r="W50" s="11">
        <v>47</v>
      </c>
      <c r="X50" s="12"/>
      <c r="Y50" s="12"/>
      <c r="Z50" s="12"/>
      <c r="AB50" s="11">
        <v>47</v>
      </c>
      <c r="AC50" s="12"/>
      <c r="AD50" s="12"/>
      <c r="AE50" s="12"/>
      <c r="AG50" s="11">
        <v>47</v>
      </c>
      <c r="AH50" s="12"/>
      <c r="AI50" s="12"/>
      <c r="AJ50" s="12"/>
      <c r="AL50" s="11">
        <v>47</v>
      </c>
      <c r="AM50" s="12"/>
      <c r="AN50" s="12"/>
      <c r="AO50" s="12"/>
      <c r="AQ50" s="11">
        <v>47</v>
      </c>
      <c r="AR50" s="12"/>
      <c r="AS50" s="12"/>
      <c r="AT50" s="11">
        <v>47</v>
      </c>
      <c r="AU50" s="12"/>
      <c r="AW50" s="11">
        <v>47</v>
      </c>
      <c r="AX50" s="12"/>
      <c r="AY50" s="12"/>
      <c r="AZ50" s="12"/>
      <c r="BA50" s="12"/>
      <c r="BB50" s="12"/>
      <c r="BC50" s="12"/>
      <c r="BD50" s="12"/>
      <c r="BE50" s="12"/>
      <c r="BF50" s="24"/>
      <c r="BG50" s="29"/>
      <c r="BH50" s="12"/>
      <c r="BI50" s="12"/>
      <c r="BK50" s="11">
        <v>47</v>
      </c>
      <c r="BL50" s="12"/>
      <c r="BM50" s="12"/>
      <c r="BN50" s="12"/>
      <c r="BP50" s="11">
        <v>47</v>
      </c>
      <c r="BQ50" s="12"/>
      <c r="BR50" s="12"/>
      <c r="BS50" s="12"/>
      <c r="BU50" s="11">
        <v>47</v>
      </c>
      <c r="BV50" s="12"/>
      <c r="BW50" s="12"/>
      <c r="BX50" s="12"/>
      <c r="BZ50" s="11">
        <v>47</v>
      </c>
      <c r="CA50" s="12"/>
      <c r="CC50" s="11">
        <v>47</v>
      </c>
      <c r="CD50" s="12"/>
    </row>
    <row r="51" spans="1:82">
      <c r="A51" s="21" t="s">
        <v>35</v>
      </c>
      <c r="B51" s="21">
        <v>10</v>
      </c>
      <c r="C51" s="5" t="s">
        <v>37</v>
      </c>
      <c r="D51" s="37">
        <f t="shared" si="6"/>
        <v>0</v>
      </c>
      <c r="E51" s="59">
        <f t="shared" si="5"/>
        <v>0</v>
      </c>
      <c r="F51" s="38">
        <f t="shared" si="5"/>
        <v>0</v>
      </c>
      <c r="R51" s="11">
        <v>48</v>
      </c>
      <c r="S51" s="12"/>
      <c r="T51" s="12"/>
      <c r="U51" s="12"/>
      <c r="W51" s="11">
        <v>48</v>
      </c>
      <c r="X51" s="12"/>
      <c r="Y51" s="12"/>
      <c r="Z51" s="12"/>
      <c r="AB51" s="11">
        <v>48</v>
      </c>
      <c r="AC51" s="12"/>
      <c r="AD51" s="12"/>
      <c r="AE51" s="12"/>
      <c r="AG51" s="11">
        <v>48</v>
      </c>
      <c r="AH51" s="12"/>
      <c r="AI51" s="12"/>
      <c r="AJ51" s="12"/>
      <c r="AL51" s="11">
        <v>48</v>
      </c>
      <c r="AM51" s="12"/>
      <c r="AN51" s="12"/>
      <c r="AO51" s="12"/>
      <c r="AQ51" s="11">
        <v>48</v>
      </c>
      <c r="AR51" s="12"/>
      <c r="AS51" s="12"/>
      <c r="AT51" s="11">
        <v>48</v>
      </c>
      <c r="AU51" s="12"/>
      <c r="AW51" s="11">
        <v>48</v>
      </c>
      <c r="AX51" s="12"/>
      <c r="AY51" s="12"/>
      <c r="AZ51" s="12"/>
      <c r="BA51" s="12"/>
      <c r="BB51" s="12"/>
      <c r="BC51" s="12"/>
      <c r="BD51" s="12"/>
      <c r="BE51" s="12"/>
      <c r="BF51" s="24"/>
      <c r="BG51" s="29"/>
      <c r="BH51" s="12"/>
      <c r="BI51" s="12"/>
      <c r="BK51" s="11">
        <v>48</v>
      </c>
      <c r="BL51" s="12"/>
      <c r="BM51" s="12"/>
      <c r="BN51" s="12"/>
      <c r="BP51" s="11">
        <v>48</v>
      </c>
      <c r="BQ51" s="12"/>
      <c r="BR51" s="12"/>
      <c r="BS51" s="12"/>
      <c r="BU51" s="11">
        <v>48</v>
      </c>
      <c r="BV51" s="12"/>
      <c r="BW51" s="12"/>
      <c r="BX51" s="12"/>
      <c r="BZ51" s="11">
        <v>48</v>
      </c>
      <c r="CA51" s="12"/>
      <c r="CC51" s="11">
        <v>48</v>
      </c>
      <c r="CD51" s="12"/>
    </row>
    <row r="52" spans="1:82">
      <c r="A52" s="22" t="s">
        <v>39</v>
      </c>
      <c r="B52" s="22">
        <v>11</v>
      </c>
      <c r="C52" s="17" t="s">
        <v>38</v>
      </c>
      <c r="D52" s="60">
        <f t="shared" si="6"/>
        <v>0</v>
      </c>
      <c r="E52" s="39">
        <f t="shared" si="5"/>
        <v>0</v>
      </c>
      <c r="F52" s="40">
        <f t="shared" si="5"/>
        <v>0</v>
      </c>
      <c r="R52" s="11">
        <v>49</v>
      </c>
      <c r="S52" s="12"/>
      <c r="T52" s="12"/>
      <c r="U52" s="12"/>
      <c r="W52" s="11">
        <v>49</v>
      </c>
      <c r="X52" s="12"/>
      <c r="Y52" s="12"/>
      <c r="Z52" s="12"/>
      <c r="AB52" s="11">
        <v>49</v>
      </c>
      <c r="AC52" s="12"/>
      <c r="AD52" s="12"/>
      <c r="AE52" s="12"/>
      <c r="AG52" s="11">
        <v>49</v>
      </c>
      <c r="AH52" s="12"/>
      <c r="AI52" s="12"/>
      <c r="AJ52" s="12"/>
      <c r="AL52" s="11">
        <v>49</v>
      </c>
      <c r="AM52" s="12"/>
      <c r="AN52" s="12"/>
      <c r="AO52" s="12"/>
      <c r="AQ52" s="11">
        <v>49</v>
      </c>
      <c r="AR52" s="12"/>
      <c r="AS52" s="12"/>
      <c r="AT52" s="11">
        <v>49</v>
      </c>
      <c r="AU52" s="12"/>
      <c r="AW52" s="11">
        <v>49</v>
      </c>
      <c r="AX52" s="12"/>
      <c r="AY52" s="12"/>
      <c r="AZ52" s="12"/>
      <c r="BA52" s="12"/>
      <c r="BB52" s="12"/>
      <c r="BC52" s="12"/>
      <c r="BD52" s="12"/>
      <c r="BE52" s="12"/>
      <c r="BF52" s="24"/>
      <c r="BG52" s="29"/>
      <c r="BH52" s="12"/>
      <c r="BI52" s="12"/>
      <c r="BK52" s="11">
        <v>49</v>
      </c>
      <c r="BL52" s="12"/>
      <c r="BM52" s="12"/>
      <c r="BN52" s="12"/>
      <c r="BP52" s="11">
        <v>49</v>
      </c>
      <c r="BQ52" s="12"/>
      <c r="BR52" s="12"/>
      <c r="BS52" s="12"/>
      <c r="BU52" s="11">
        <v>49</v>
      </c>
      <c r="BV52" s="12"/>
      <c r="BW52" s="12"/>
      <c r="BX52" s="12"/>
      <c r="BZ52" s="11">
        <v>49</v>
      </c>
      <c r="CA52" s="12"/>
      <c r="CC52" s="11">
        <v>49</v>
      </c>
      <c r="CD52" s="12"/>
    </row>
    <row r="53" spans="1:82">
      <c r="D53" s="121">
        <f>SUM(D41:D52)</f>
        <v>36</v>
      </c>
      <c r="E53" s="121">
        <f>SUM(E41:E52)</f>
        <v>36</v>
      </c>
      <c r="F53" s="121">
        <f>SUM(F41:F52)</f>
        <v>36</v>
      </c>
      <c r="R53" s="11">
        <v>50</v>
      </c>
      <c r="S53" s="12"/>
      <c r="T53" s="12"/>
      <c r="U53" s="12"/>
      <c r="W53" s="11">
        <v>50</v>
      </c>
      <c r="X53" s="12"/>
      <c r="Y53" s="12"/>
      <c r="Z53" s="12"/>
      <c r="AB53" s="11">
        <v>50</v>
      </c>
      <c r="AC53" s="12"/>
      <c r="AD53" s="12"/>
      <c r="AE53" s="12"/>
      <c r="AG53" s="11">
        <v>50</v>
      </c>
      <c r="AH53" s="12"/>
      <c r="AI53" s="12"/>
      <c r="AJ53" s="12"/>
      <c r="AL53" s="11">
        <v>50</v>
      </c>
      <c r="AM53" s="12"/>
      <c r="AN53" s="12"/>
      <c r="AO53" s="12"/>
      <c r="AQ53" s="11">
        <v>50</v>
      </c>
      <c r="AR53" s="12"/>
      <c r="AS53" s="12"/>
      <c r="AT53" s="11">
        <v>50</v>
      </c>
      <c r="AU53" s="12"/>
      <c r="AW53" s="11">
        <v>50</v>
      </c>
      <c r="AX53" s="12"/>
      <c r="AY53" s="12"/>
      <c r="AZ53" s="12"/>
      <c r="BA53" s="12"/>
      <c r="BB53" s="12"/>
      <c r="BC53" s="12"/>
      <c r="BD53" s="12"/>
      <c r="BE53" s="12"/>
      <c r="BF53" s="24"/>
      <c r="BG53" s="29"/>
      <c r="BH53" s="12"/>
      <c r="BI53" s="12"/>
      <c r="BK53" s="11">
        <v>50</v>
      </c>
      <c r="BL53" s="12"/>
      <c r="BM53" s="12"/>
      <c r="BN53" s="12"/>
      <c r="BP53" s="11">
        <v>50</v>
      </c>
      <c r="BQ53" s="12"/>
      <c r="BR53" s="12"/>
      <c r="BS53" s="12"/>
      <c r="BU53" s="11">
        <v>50</v>
      </c>
      <c r="BV53" s="12"/>
      <c r="BW53" s="12"/>
      <c r="BX53" s="12"/>
      <c r="BZ53" s="11">
        <v>50</v>
      </c>
      <c r="CA53" s="12"/>
      <c r="CC53" s="11">
        <v>50</v>
      </c>
      <c r="CD53" s="12"/>
    </row>
    <row r="54" spans="1:82">
      <c r="R54" s="11">
        <v>51</v>
      </c>
      <c r="S54" s="12"/>
      <c r="T54" s="12"/>
      <c r="U54" s="12"/>
      <c r="W54" s="11">
        <v>51</v>
      </c>
      <c r="X54" s="12"/>
      <c r="Y54" s="12"/>
      <c r="Z54" s="12"/>
      <c r="AB54" s="11">
        <v>51</v>
      </c>
      <c r="AC54" s="12"/>
      <c r="AD54" s="12"/>
      <c r="AE54" s="12"/>
      <c r="AG54" s="11">
        <v>51</v>
      </c>
      <c r="AH54" s="12"/>
      <c r="AI54" s="12"/>
      <c r="AJ54" s="12"/>
      <c r="AL54" s="11">
        <v>51</v>
      </c>
      <c r="AM54" s="12"/>
      <c r="AN54" s="12"/>
      <c r="AO54" s="12"/>
      <c r="AQ54" s="11">
        <v>51</v>
      </c>
      <c r="AR54" s="12"/>
      <c r="AS54" s="12"/>
      <c r="AT54" s="11">
        <v>51</v>
      </c>
      <c r="AU54" s="12"/>
      <c r="AW54" s="11">
        <v>51</v>
      </c>
      <c r="AX54" s="12"/>
      <c r="AY54" s="12"/>
      <c r="AZ54" s="12"/>
      <c r="BA54" s="12"/>
      <c r="BB54" s="12"/>
      <c r="BC54" s="12"/>
      <c r="BD54" s="12"/>
      <c r="BE54" s="12"/>
      <c r="BF54" s="24"/>
      <c r="BG54" s="29"/>
      <c r="BH54" s="12"/>
      <c r="BI54" s="12"/>
      <c r="BK54" s="11">
        <v>51</v>
      </c>
      <c r="BL54" s="12"/>
      <c r="BM54" s="12"/>
      <c r="BN54" s="12"/>
      <c r="BP54" s="11">
        <v>51</v>
      </c>
      <c r="BQ54" s="12"/>
      <c r="BR54" s="12"/>
      <c r="BS54" s="12"/>
      <c r="BU54" s="11">
        <v>51</v>
      </c>
      <c r="BV54" s="12"/>
      <c r="BW54" s="12"/>
      <c r="BX54" s="12"/>
      <c r="BZ54" s="11">
        <v>51</v>
      </c>
      <c r="CA54" s="12"/>
      <c r="CC54" s="11">
        <v>51</v>
      </c>
      <c r="CD54" s="12"/>
    </row>
    <row r="55" spans="1:82" ht="16.8" thickBot="1">
      <c r="A55" s="31" t="s">
        <v>47</v>
      </c>
      <c r="R55" s="11">
        <v>52</v>
      </c>
      <c r="S55" s="12"/>
      <c r="T55" s="12"/>
      <c r="U55" s="12"/>
      <c r="W55" s="11">
        <v>52</v>
      </c>
      <c r="X55" s="12"/>
      <c r="Y55" s="12"/>
      <c r="Z55" s="12"/>
      <c r="AB55" s="11">
        <v>52</v>
      </c>
      <c r="AC55" s="12"/>
      <c r="AD55" s="12"/>
      <c r="AE55" s="12"/>
      <c r="AG55" s="11">
        <v>52</v>
      </c>
      <c r="AH55" s="12"/>
      <c r="AI55" s="12"/>
      <c r="AJ55" s="12"/>
      <c r="AL55" s="11">
        <v>52</v>
      </c>
      <c r="AM55" s="12"/>
      <c r="AN55" s="12"/>
      <c r="AO55" s="12"/>
      <c r="AQ55" s="11">
        <v>52</v>
      </c>
      <c r="AR55" s="12"/>
      <c r="AS55" s="12"/>
      <c r="AT55" s="11">
        <v>52</v>
      </c>
      <c r="AU55" s="12"/>
      <c r="AW55" s="11">
        <v>52</v>
      </c>
      <c r="AX55" s="12"/>
      <c r="AY55" s="12"/>
      <c r="AZ55" s="12"/>
      <c r="BA55" s="12"/>
      <c r="BB55" s="12"/>
      <c r="BC55" s="12"/>
      <c r="BD55" s="12"/>
      <c r="BE55" s="12"/>
      <c r="BF55" s="24"/>
      <c r="BG55" s="29"/>
      <c r="BH55" s="12"/>
      <c r="BI55" s="12"/>
      <c r="BK55" s="11">
        <v>52</v>
      </c>
      <c r="BL55" s="12"/>
      <c r="BM55" s="12"/>
      <c r="BN55" s="12"/>
      <c r="BP55" s="11">
        <v>52</v>
      </c>
      <c r="BQ55" s="12"/>
      <c r="BR55" s="12"/>
      <c r="BS55" s="12"/>
      <c r="BU55" s="11">
        <v>52</v>
      </c>
      <c r="BV55" s="12"/>
      <c r="BW55" s="12"/>
      <c r="BX55" s="12"/>
      <c r="BZ55" s="11">
        <v>52</v>
      </c>
      <c r="CA55" s="12"/>
      <c r="CC55" s="11">
        <v>52</v>
      </c>
      <c r="CD55" s="12"/>
    </row>
    <row r="56" spans="1:82">
      <c r="A56" s="30" t="s">
        <v>42</v>
      </c>
      <c r="B56" s="1" t="s">
        <v>10</v>
      </c>
      <c r="C56" s="42" t="s">
        <v>11</v>
      </c>
      <c r="D56" s="67" t="s">
        <v>56</v>
      </c>
      <c r="E56" s="52" t="s">
        <v>48</v>
      </c>
      <c r="F56" s="43" t="s">
        <v>49</v>
      </c>
      <c r="G56" s="44" t="s">
        <v>50</v>
      </c>
      <c r="H56" s="44" t="s">
        <v>51</v>
      </c>
      <c r="I56" s="44" t="s">
        <v>52</v>
      </c>
      <c r="J56" s="44" t="s">
        <v>53</v>
      </c>
      <c r="K56" s="44" t="s">
        <v>54</v>
      </c>
      <c r="L56" s="44" t="s">
        <v>55</v>
      </c>
      <c r="M56" s="45" t="s">
        <v>74</v>
      </c>
      <c r="N56" s="35" t="s">
        <v>75</v>
      </c>
      <c r="O56" s="36" t="s">
        <v>76</v>
      </c>
      <c r="R56" s="11">
        <v>53</v>
      </c>
      <c r="S56" s="12"/>
      <c r="T56" s="12"/>
      <c r="U56" s="12"/>
      <c r="W56" s="11">
        <v>53</v>
      </c>
      <c r="X56" s="12"/>
      <c r="Y56" s="12"/>
      <c r="Z56" s="12"/>
      <c r="AB56" s="11">
        <v>53</v>
      </c>
      <c r="AC56" s="12"/>
      <c r="AD56" s="12"/>
      <c r="AE56" s="12"/>
      <c r="AG56" s="11">
        <v>53</v>
      </c>
      <c r="AH56" s="12"/>
      <c r="AI56" s="12"/>
      <c r="AJ56" s="12"/>
      <c r="AL56" s="11">
        <v>53</v>
      </c>
      <c r="AM56" s="12"/>
      <c r="AN56" s="12"/>
      <c r="AO56" s="12"/>
      <c r="AQ56" s="11">
        <v>53</v>
      </c>
      <c r="AR56" s="12"/>
      <c r="AS56" s="12"/>
      <c r="AT56" s="11">
        <v>53</v>
      </c>
      <c r="AU56" s="12"/>
      <c r="AW56" s="11">
        <v>53</v>
      </c>
      <c r="AX56" s="12"/>
      <c r="AY56" s="12"/>
      <c r="AZ56" s="12"/>
      <c r="BA56" s="12"/>
      <c r="BB56" s="12"/>
      <c r="BC56" s="12"/>
      <c r="BD56" s="12"/>
      <c r="BE56" s="12"/>
      <c r="BF56" s="24"/>
      <c r="BG56" s="29"/>
      <c r="BH56" s="12"/>
      <c r="BI56" s="12"/>
      <c r="BK56" s="11">
        <v>53</v>
      </c>
      <c r="BL56" s="12"/>
      <c r="BM56" s="12"/>
      <c r="BN56" s="12"/>
      <c r="BP56" s="11">
        <v>53</v>
      </c>
      <c r="BQ56" s="12"/>
      <c r="BR56" s="12"/>
      <c r="BS56" s="12"/>
      <c r="BU56" s="11">
        <v>53</v>
      </c>
      <c r="BV56" s="12"/>
      <c r="BW56" s="12"/>
      <c r="BX56" s="12"/>
      <c r="BZ56" s="11">
        <v>53</v>
      </c>
      <c r="CA56" s="12"/>
      <c r="CC56" s="11">
        <v>53</v>
      </c>
      <c r="CD56" s="12"/>
    </row>
    <row r="57" spans="1:82">
      <c r="A57" s="1" t="s">
        <v>19</v>
      </c>
      <c r="B57" s="1">
        <v>0</v>
      </c>
      <c r="C57" s="3" t="s">
        <v>25</v>
      </c>
      <c r="D57" s="53">
        <f t="shared" ref="D57:O68" si="7">SUMIF($AR$3:$AR$42,$A57,AX$3:AX$42)</f>
        <v>20</v>
      </c>
      <c r="E57" s="122">
        <f t="shared" si="7"/>
        <v>20</v>
      </c>
      <c r="F57" s="122">
        <f t="shared" si="7"/>
        <v>20</v>
      </c>
      <c r="G57" s="3">
        <f t="shared" si="7"/>
        <v>20</v>
      </c>
      <c r="H57" s="122">
        <f t="shared" si="7"/>
        <v>20</v>
      </c>
      <c r="I57" s="122">
        <f t="shared" si="7"/>
        <v>20</v>
      </c>
      <c r="J57" s="122">
        <f t="shared" si="7"/>
        <v>20</v>
      </c>
      <c r="K57" s="122">
        <f t="shared" si="7"/>
        <v>20</v>
      </c>
      <c r="L57" s="122">
        <f t="shared" si="7"/>
        <v>20</v>
      </c>
      <c r="M57" s="46">
        <f t="shared" si="7"/>
        <v>20</v>
      </c>
      <c r="N57" s="122">
        <f t="shared" si="7"/>
        <v>20</v>
      </c>
      <c r="O57" s="4">
        <f t="shared" si="7"/>
        <v>20</v>
      </c>
      <c r="R57" s="11">
        <v>54</v>
      </c>
      <c r="S57" s="12"/>
      <c r="T57" s="12"/>
      <c r="U57" s="12"/>
      <c r="W57" s="11">
        <v>54</v>
      </c>
      <c r="X57" s="12"/>
      <c r="Y57" s="12"/>
      <c r="Z57" s="12"/>
      <c r="AB57" s="11">
        <v>54</v>
      </c>
      <c r="AC57" s="12"/>
      <c r="AD57" s="12"/>
      <c r="AE57" s="12"/>
      <c r="AG57" s="11">
        <v>54</v>
      </c>
      <c r="AH57" s="12"/>
      <c r="AI57" s="12"/>
      <c r="AJ57" s="12"/>
      <c r="AL57" s="11">
        <v>54</v>
      </c>
      <c r="AM57" s="12"/>
      <c r="AN57" s="12"/>
      <c r="AO57" s="12"/>
      <c r="AQ57" s="11">
        <v>54</v>
      </c>
      <c r="AR57" s="12"/>
      <c r="AS57" s="12"/>
      <c r="AT57" s="11">
        <v>54</v>
      </c>
      <c r="AU57" s="12"/>
      <c r="AW57" s="11">
        <v>54</v>
      </c>
      <c r="AX57" s="12"/>
      <c r="AY57" s="12"/>
      <c r="AZ57" s="12"/>
      <c r="BA57" s="12"/>
      <c r="BB57" s="12"/>
      <c r="BC57" s="12"/>
      <c r="BD57" s="12"/>
      <c r="BE57" s="12"/>
      <c r="BF57" s="24"/>
      <c r="BG57" s="29"/>
      <c r="BH57" s="12"/>
      <c r="BI57" s="12"/>
      <c r="BK57" s="11">
        <v>54</v>
      </c>
      <c r="BL57" s="12"/>
      <c r="BM57" s="12"/>
      <c r="BN57" s="12"/>
      <c r="BP57" s="11">
        <v>54</v>
      </c>
      <c r="BQ57" s="12"/>
      <c r="BR57" s="12"/>
      <c r="BS57" s="12"/>
      <c r="BU57" s="11">
        <v>54</v>
      </c>
      <c r="BV57" s="12"/>
      <c r="BW57" s="12"/>
      <c r="BX57" s="12"/>
      <c r="BZ57" s="11">
        <v>54</v>
      </c>
      <c r="CA57" s="12"/>
      <c r="CC57" s="11">
        <v>54</v>
      </c>
      <c r="CD57" s="12"/>
    </row>
    <row r="58" spans="1:82">
      <c r="A58" s="20">
        <v>0</v>
      </c>
      <c r="B58" s="20">
        <v>1</v>
      </c>
      <c r="C58" s="5">
        <v>0</v>
      </c>
      <c r="D58" s="54">
        <f t="shared" si="7"/>
        <v>0</v>
      </c>
      <c r="E58" s="59">
        <f t="shared" si="7"/>
        <v>0</v>
      </c>
      <c r="F58" s="38">
        <f t="shared" si="7"/>
        <v>0</v>
      </c>
      <c r="G58" s="37">
        <f t="shared" si="7"/>
        <v>0</v>
      </c>
      <c r="H58" s="59">
        <f t="shared" si="7"/>
        <v>0</v>
      </c>
      <c r="I58" s="59">
        <f t="shared" si="7"/>
        <v>0</v>
      </c>
      <c r="J58" s="59">
        <f t="shared" si="7"/>
        <v>0</v>
      </c>
      <c r="K58" s="59">
        <f t="shared" si="7"/>
        <v>0</v>
      </c>
      <c r="L58" s="59">
        <f t="shared" si="7"/>
        <v>0</v>
      </c>
      <c r="M58" s="47">
        <f t="shared" si="7"/>
        <v>0</v>
      </c>
      <c r="N58" s="59">
        <f t="shared" si="7"/>
        <v>0</v>
      </c>
      <c r="O58" s="38">
        <f t="shared" si="7"/>
        <v>0</v>
      </c>
      <c r="R58" s="11">
        <v>55</v>
      </c>
      <c r="S58" s="12"/>
      <c r="T58" s="12"/>
      <c r="U58" s="12"/>
      <c r="W58" s="11">
        <v>55</v>
      </c>
      <c r="X58" s="12"/>
      <c r="Y58" s="12"/>
      <c r="Z58" s="12"/>
      <c r="AB58" s="11">
        <v>55</v>
      </c>
      <c r="AC58" s="12"/>
      <c r="AD58" s="12"/>
      <c r="AE58" s="12"/>
      <c r="AG58" s="11">
        <v>55</v>
      </c>
      <c r="AH58" s="12"/>
      <c r="AI58" s="12"/>
      <c r="AJ58" s="12"/>
      <c r="AL58" s="11">
        <v>55</v>
      </c>
      <c r="AM58" s="12"/>
      <c r="AN58" s="12"/>
      <c r="AO58" s="12"/>
      <c r="AQ58" s="11">
        <v>55</v>
      </c>
      <c r="AR58" s="12"/>
      <c r="AS58" s="12"/>
      <c r="AT58" s="11">
        <v>55</v>
      </c>
      <c r="AU58" s="12"/>
      <c r="AW58" s="11">
        <v>55</v>
      </c>
      <c r="AX58" s="12"/>
      <c r="AY58" s="12"/>
      <c r="AZ58" s="12"/>
      <c r="BA58" s="12"/>
      <c r="BB58" s="12"/>
      <c r="BC58" s="12"/>
      <c r="BD58" s="12"/>
      <c r="BE58" s="12"/>
      <c r="BF58" s="24"/>
      <c r="BG58" s="29"/>
      <c r="BH58" s="12"/>
      <c r="BI58" s="12"/>
      <c r="BK58" s="11">
        <v>55</v>
      </c>
      <c r="BL58" s="12"/>
      <c r="BM58" s="12"/>
      <c r="BN58" s="12"/>
      <c r="BP58" s="11">
        <v>55</v>
      </c>
      <c r="BQ58" s="12"/>
      <c r="BR58" s="12"/>
      <c r="BS58" s="12"/>
      <c r="BU58" s="11">
        <v>55</v>
      </c>
      <c r="BV58" s="12"/>
      <c r="BW58" s="12"/>
      <c r="BX58" s="12"/>
      <c r="BZ58" s="11">
        <v>55</v>
      </c>
      <c r="CA58" s="12"/>
      <c r="CC58" s="11">
        <v>55</v>
      </c>
      <c r="CD58" s="12"/>
    </row>
    <row r="59" spans="1:82">
      <c r="A59" s="20">
        <v>1</v>
      </c>
      <c r="B59" s="20">
        <v>2</v>
      </c>
      <c r="C59" s="5">
        <v>1</v>
      </c>
      <c r="D59" s="54">
        <f t="shared" si="7"/>
        <v>0</v>
      </c>
      <c r="E59" s="59">
        <f t="shared" si="7"/>
        <v>0</v>
      </c>
      <c r="F59" s="38">
        <f t="shared" si="7"/>
        <v>0</v>
      </c>
      <c r="G59" s="37">
        <f t="shared" si="7"/>
        <v>0</v>
      </c>
      <c r="H59" s="59">
        <f t="shared" si="7"/>
        <v>0</v>
      </c>
      <c r="I59" s="59">
        <f t="shared" si="7"/>
        <v>0</v>
      </c>
      <c r="J59" s="59">
        <f t="shared" si="7"/>
        <v>0</v>
      </c>
      <c r="K59" s="59">
        <f t="shared" si="7"/>
        <v>0</v>
      </c>
      <c r="L59" s="59">
        <f t="shared" si="7"/>
        <v>0</v>
      </c>
      <c r="M59" s="47">
        <f t="shared" si="7"/>
        <v>0</v>
      </c>
      <c r="N59" s="59">
        <f t="shared" si="7"/>
        <v>0</v>
      </c>
      <c r="O59" s="38">
        <f t="shared" si="7"/>
        <v>0</v>
      </c>
      <c r="R59" s="11">
        <v>56</v>
      </c>
      <c r="S59" s="12"/>
      <c r="T59" s="12"/>
      <c r="U59" s="12"/>
      <c r="W59" s="11">
        <v>56</v>
      </c>
      <c r="X59" s="12"/>
      <c r="Y59" s="12"/>
      <c r="Z59" s="12"/>
      <c r="AB59" s="11">
        <v>56</v>
      </c>
      <c r="AC59" s="12"/>
      <c r="AD59" s="12"/>
      <c r="AE59" s="12"/>
      <c r="AG59" s="11">
        <v>56</v>
      </c>
      <c r="AH59" s="12"/>
      <c r="AI59" s="12"/>
      <c r="AJ59" s="12"/>
      <c r="AL59" s="11">
        <v>56</v>
      </c>
      <c r="AM59" s="12"/>
      <c r="AN59" s="12"/>
      <c r="AO59" s="12"/>
      <c r="AQ59" s="11">
        <v>56</v>
      </c>
      <c r="AR59" s="12"/>
      <c r="AS59" s="12"/>
      <c r="AT59" s="11">
        <v>56</v>
      </c>
      <c r="AU59" s="12"/>
      <c r="AW59" s="11">
        <v>56</v>
      </c>
      <c r="AX59" s="12"/>
      <c r="AY59" s="12"/>
      <c r="AZ59" s="12"/>
      <c r="BA59" s="12"/>
      <c r="BB59" s="12"/>
      <c r="BC59" s="12"/>
      <c r="BD59" s="12"/>
      <c r="BE59" s="12"/>
      <c r="BF59" s="24"/>
      <c r="BG59" s="29"/>
      <c r="BH59" s="12"/>
      <c r="BI59" s="12"/>
      <c r="BK59" s="11">
        <v>56</v>
      </c>
      <c r="BL59" s="12"/>
      <c r="BM59" s="12"/>
      <c r="BN59" s="12"/>
      <c r="BP59" s="11">
        <v>56</v>
      </c>
      <c r="BQ59" s="12"/>
      <c r="BR59" s="12"/>
      <c r="BS59" s="12"/>
      <c r="BU59" s="11">
        <v>56</v>
      </c>
      <c r="BV59" s="12"/>
      <c r="BW59" s="12"/>
      <c r="BX59" s="12"/>
      <c r="BZ59" s="11">
        <v>56</v>
      </c>
      <c r="CA59" s="12"/>
      <c r="CC59" s="11">
        <v>56</v>
      </c>
      <c r="CD59" s="12"/>
    </row>
    <row r="60" spans="1:82">
      <c r="A60" s="21">
        <v>5</v>
      </c>
      <c r="B60" s="21">
        <v>3</v>
      </c>
      <c r="C60" s="23">
        <v>5</v>
      </c>
      <c r="D60" s="54">
        <f t="shared" si="7"/>
        <v>0</v>
      </c>
      <c r="E60" s="59">
        <f t="shared" si="7"/>
        <v>0</v>
      </c>
      <c r="F60" s="38">
        <f t="shared" si="7"/>
        <v>0</v>
      </c>
      <c r="G60" s="37">
        <f t="shared" si="7"/>
        <v>0</v>
      </c>
      <c r="H60" s="59">
        <f t="shared" si="7"/>
        <v>0</v>
      </c>
      <c r="I60" s="59">
        <f t="shared" si="7"/>
        <v>0</v>
      </c>
      <c r="J60" s="59">
        <f t="shared" si="7"/>
        <v>0</v>
      </c>
      <c r="K60" s="59">
        <f t="shared" si="7"/>
        <v>0</v>
      </c>
      <c r="L60" s="59">
        <f t="shared" si="7"/>
        <v>0</v>
      </c>
      <c r="M60" s="47">
        <f t="shared" si="7"/>
        <v>0</v>
      </c>
      <c r="N60" s="59">
        <f t="shared" si="7"/>
        <v>0</v>
      </c>
      <c r="O60" s="38">
        <f t="shared" si="7"/>
        <v>0</v>
      </c>
      <c r="R60" s="11">
        <v>57</v>
      </c>
      <c r="S60" s="12"/>
      <c r="T60" s="12"/>
      <c r="U60" s="12"/>
      <c r="W60" s="11">
        <v>57</v>
      </c>
      <c r="X60" s="12"/>
      <c r="Y60" s="12"/>
      <c r="Z60" s="12"/>
      <c r="AB60" s="11">
        <v>57</v>
      </c>
      <c r="AC60" s="12"/>
      <c r="AD60" s="12"/>
      <c r="AE60" s="12"/>
      <c r="AG60" s="11">
        <v>57</v>
      </c>
      <c r="AH60" s="12"/>
      <c r="AI60" s="12"/>
      <c r="AJ60" s="12"/>
      <c r="AL60" s="11">
        <v>57</v>
      </c>
      <c r="AM60" s="12"/>
      <c r="AN60" s="12"/>
      <c r="AO60" s="12"/>
      <c r="AQ60" s="11">
        <v>57</v>
      </c>
      <c r="AR60" s="12"/>
      <c r="AS60" s="12"/>
      <c r="AT60" s="11">
        <v>57</v>
      </c>
      <c r="AU60" s="12"/>
      <c r="AW60" s="11">
        <v>57</v>
      </c>
      <c r="AX60" s="12"/>
      <c r="AY60" s="12"/>
      <c r="AZ60" s="12"/>
      <c r="BA60" s="12"/>
      <c r="BB60" s="12"/>
      <c r="BC60" s="12"/>
      <c r="BD60" s="12"/>
      <c r="BE60" s="12"/>
      <c r="BF60" s="24"/>
      <c r="BG60" s="29"/>
      <c r="BH60" s="12"/>
      <c r="BI60" s="12"/>
      <c r="BK60" s="11">
        <v>57</v>
      </c>
      <c r="BL60" s="12"/>
      <c r="BM60" s="12"/>
      <c r="BN60" s="12"/>
      <c r="BP60" s="11">
        <v>57</v>
      </c>
      <c r="BQ60" s="12"/>
      <c r="BR60" s="12"/>
      <c r="BS60" s="12"/>
      <c r="BU60" s="11">
        <v>57</v>
      </c>
      <c r="BV60" s="12"/>
      <c r="BW60" s="12"/>
      <c r="BX60" s="12"/>
      <c r="BZ60" s="11">
        <v>57</v>
      </c>
      <c r="CA60" s="12"/>
      <c r="CC60" s="11">
        <v>57</v>
      </c>
      <c r="CD60" s="12"/>
    </row>
    <row r="61" spans="1:82">
      <c r="A61" s="21">
        <v>10</v>
      </c>
      <c r="B61" s="21">
        <v>4</v>
      </c>
      <c r="C61" s="23">
        <v>10</v>
      </c>
      <c r="D61" s="54">
        <f t="shared" si="7"/>
        <v>0</v>
      </c>
      <c r="E61" s="59">
        <f t="shared" si="7"/>
        <v>0</v>
      </c>
      <c r="F61" s="38">
        <f t="shared" si="7"/>
        <v>0</v>
      </c>
      <c r="G61" s="37">
        <f t="shared" si="7"/>
        <v>0</v>
      </c>
      <c r="H61" s="59">
        <f t="shared" si="7"/>
        <v>0</v>
      </c>
      <c r="I61" s="59">
        <f t="shared" si="7"/>
        <v>0</v>
      </c>
      <c r="J61" s="59">
        <f t="shared" si="7"/>
        <v>0</v>
      </c>
      <c r="K61" s="59">
        <f t="shared" si="7"/>
        <v>0</v>
      </c>
      <c r="L61" s="59">
        <f t="shared" si="7"/>
        <v>0</v>
      </c>
      <c r="M61" s="47">
        <f t="shared" si="7"/>
        <v>0</v>
      </c>
      <c r="N61" s="59">
        <f t="shared" si="7"/>
        <v>0</v>
      </c>
      <c r="O61" s="38">
        <f t="shared" si="7"/>
        <v>0</v>
      </c>
      <c r="R61" s="11">
        <v>58</v>
      </c>
      <c r="S61" s="12"/>
      <c r="T61" s="12"/>
      <c r="U61" s="12"/>
      <c r="W61" s="11">
        <v>58</v>
      </c>
      <c r="X61" s="12"/>
      <c r="Y61" s="12"/>
      <c r="Z61" s="12"/>
      <c r="AB61" s="11">
        <v>58</v>
      </c>
      <c r="AC61" s="12"/>
      <c r="AD61" s="12"/>
      <c r="AE61" s="12"/>
      <c r="AG61" s="11">
        <v>58</v>
      </c>
      <c r="AH61" s="12"/>
      <c r="AI61" s="12"/>
      <c r="AJ61" s="12"/>
      <c r="AL61" s="11">
        <v>58</v>
      </c>
      <c r="AM61" s="12"/>
      <c r="AN61" s="12"/>
      <c r="AO61" s="12"/>
      <c r="AQ61" s="11">
        <v>58</v>
      </c>
      <c r="AR61" s="12"/>
      <c r="AS61" s="12"/>
      <c r="AT61" s="11">
        <v>58</v>
      </c>
      <c r="AU61" s="12"/>
      <c r="AW61" s="11">
        <v>58</v>
      </c>
      <c r="AX61" s="12"/>
      <c r="AY61" s="12"/>
      <c r="AZ61" s="12"/>
      <c r="BA61" s="12"/>
      <c r="BB61" s="12"/>
      <c r="BC61" s="12"/>
      <c r="BD61" s="12"/>
      <c r="BE61" s="12"/>
      <c r="BF61" s="24"/>
      <c r="BG61" s="29"/>
      <c r="BH61" s="12"/>
      <c r="BI61" s="12"/>
      <c r="BK61" s="11">
        <v>58</v>
      </c>
      <c r="BL61" s="12"/>
      <c r="BM61" s="12"/>
      <c r="BN61" s="12"/>
      <c r="BP61" s="11">
        <v>58</v>
      </c>
      <c r="BQ61" s="12"/>
      <c r="BR61" s="12"/>
      <c r="BS61" s="12"/>
      <c r="BU61" s="11">
        <v>58</v>
      </c>
      <c r="BV61" s="12"/>
      <c r="BW61" s="12"/>
      <c r="BX61" s="12"/>
      <c r="BZ61" s="11">
        <v>58</v>
      </c>
      <c r="CA61" s="12"/>
      <c r="CC61" s="11">
        <v>58</v>
      </c>
      <c r="CD61" s="12"/>
    </row>
    <row r="62" spans="1:82">
      <c r="A62" s="20" t="s">
        <v>20</v>
      </c>
      <c r="B62" s="20">
        <v>5</v>
      </c>
      <c r="C62" s="23" t="s">
        <v>29</v>
      </c>
      <c r="D62" s="54">
        <f t="shared" si="7"/>
        <v>0</v>
      </c>
      <c r="E62" s="59">
        <f t="shared" si="7"/>
        <v>0</v>
      </c>
      <c r="F62" s="38">
        <f t="shared" si="7"/>
        <v>0</v>
      </c>
      <c r="G62" s="37">
        <f t="shared" si="7"/>
        <v>0</v>
      </c>
      <c r="H62" s="59">
        <f t="shared" si="7"/>
        <v>0</v>
      </c>
      <c r="I62" s="59">
        <f t="shared" si="7"/>
        <v>0</v>
      </c>
      <c r="J62" s="59">
        <f t="shared" si="7"/>
        <v>0</v>
      </c>
      <c r="K62" s="59">
        <f t="shared" si="7"/>
        <v>0</v>
      </c>
      <c r="L62" s="59">
        <f t="shared" si="7"/>
        <v>0</v>
      </c>
      <c r="M62" s="47">
        <f t="shared" si="7"/>
        <v>0</v>
      </c>
      <c r="N62" s="59">
        <f t="shared" si="7"/>
        <v>0</v>
      </c>
      <c r="O62" s="38">
        <f t="shared" si="7"/>
        <v>0</v>
      </c>
      <c r="R62" s="11">
        <v>59</v>
      </c>
      <c r="S62" s="12"/>
      <c r="T62" s="12"/>
      <c r="U62" s="12"/>
      <c r="W62" s="11">
        <v>59</v>
      </c>
      <c r="X62" s="12"/>
      <c r="Y62" s="12"/>
      <c r="Z62" s="12"/>
      <c r="AB62" s="11">
        <v>59</v>
      </c>
      <c r="AC62" s="12"/>
      <c r="AD62" s="12"/>
      <c r="AE62" s="12"/>
      <c r="AG62" s="11">
        <v>59</v>
      </c>
      <c r="AH62" s="12"/>
      <c r="AI62" s="12"/>
      <c r="AJ62" s="12"/>
      <c r="AL62" s="11">
        <v>59</v>
      </c>
      <c r="AM62" s="12"/>
      <c r="AN62" s="12"/>
      <c r="AO62" s="12"/>
      <c r="AQ62" s="11">
        <v>59</v>
      </c>
      <c r="AR62" s="12"/>
      <c r="AS62" s="12"/>
      <c r="AT62" s="11">
        <v>59</v>
      </c>
      <c r="AU62" s="12"/>
      <c r="AW62" s="11">
        <v>59</v>
      </c>
      <c r="AX62" s="12"/>
      <c r="AY62" s="12"/>
      <c r="AZ62" s="12"/>
      <c r="BA62" s="12"/>
      <c r="BB62" s="12"/>
      <c r="BC62" s="12"/>
      <c r="BD62" s="12"/>
      <c r="BE62" s="12"/>
      <c r="BF62" s="24"/>
      <c r="BG62" s="29"/>
      <c r="BH62" s="12"/>
      <c r="BI62" s="12"/>
      <c r="BK62" s="11">
        <v>59</v>
      </c>
      <c r="BL62" s="12"/>
      <c r="BM62" s="12"/>
      <c r="BN62" s="12"/>
      <c r="BP62" s="11">
        <v>59</v>
      </c>
      <c r="BQ62" s="12"/>
      <c r="BR62" s="12"/>
      <c r="BS62" s="12"/>
      <c r="BU62" s="11">
        <v>59</v>
      </c>
      <c r="BV62" s="12"/>
      <c r="BW62" s="12"/>
      <c r="BX62" s="12"/>
      <c r="BZ62" s="11">
        <v>59</v>
      </c>
      <c r="CA62" s="12"/>
      <c r="CC62" s="11">
        <v>59</v>
      </c>
      <c r="CD62" s="12"/>
    </row>
    <row r="63" spans="1:82">
      <c r="A63" s="21" t="s">
        <v>21</v>
      </c>
      <c r="B63" s="21">
        <v>6</v>
      </c>
      <c r="C63" s="23" t="s">
        <v>26</v>
      </c>
      <c r="D63" s="55">
        <f t="shared" si="7"/>
        <v>4</v>
      </c>
      <c r="E63" s="121">
        <f t="shared" si="7"/>
        <v>4</v>
      </c>
      <c r="F63" s="7">
        <f t="shared" si="7"/>
        <v>4</v>
      </c>
      <c r="G63" s="6">
        <f t="shared" si="7"/>
        <v>4</v>
      </c>
      <c r="H63" s="121">
        <f t="shared" si="7"/>
        <v>4</v>
      </c>
      <c r="I63" s="121">
        <f t="shared" si="7"/>
        <v>4</v>
      </c>
      <c r="J63" s="121">
        <f t="shared" si="7"/>
        <v>4</v>
      </c>
      <c r="K63" s="121">
        <f t="shared" si="7"/>
        <v>4</v>
      </c>
      <c r="L63" s="121">
        <f t="shared" si="7"/>
        <v>4</v>
      </c>
      <c r="M63" s="48">
        <f t="shared" si="7"/>
        <v>4</v>
      </c>
      <c r="N63" s="121">
        <f t="shared" si="7"/>
        <v>4</v>
      </c>
      <c r="O63" s="7">
        <f t="shared" si="7"/>
        <v>4</v>
      </c>
      <c r="R63" s="11">
        <v>60</v>
      </c>
      <c r="S63" s="12"/>
      <c r="T63" s="12"/>
      <c r="U63" s="12"/>
      <c r="W63" s="11">
        <v>60</v>
      </c>
      <c r="X63" s="12"/>
      <c r="Y63" s="12"/>
      <c r="Z63" s="12"/>
      <c r="AB63" s="11">
        <v>60</v>
      </c>
      <c r="AC63" s="12"/>
      <c r="AD63" s="12"/>
      <c r="AE63" s="12"/>
      <c r="AG63" s="11">
        <v>60</v>
      </c>
      <c r="AH63" s="12"/>
      <c r="AI63" s="12"/>
      <c r="AJ63" s="12"/>
      <c r="AL63" s="11">
        <v>60</v>
      </c>
      <c r="AM63" s="12"/>
      <c r="AN63" s="12"/>
      <c r="AO63" s="12"/>
      <c r="AQ63" s="11">
        <v>60</v>
      </c>
      <c r="AR63" s="13"/>
      <c r="AS63" s="13"/>
      <c r="AT63" s="11">
        <v>60</v>
      </c>
      <c r="AU63" s="12"/>
      <c r="AW63" s="11">
        <v>60</v>
      </c>
      <c r="AX63" s="12"/>
      <c r="AY63" s="12"/>
      <c r="AZ63" s="12"/>
      <c r="BA63" s="12"/>
      <c r="BB63" s="12"/>
      <c r="BC63" s="12"/>
      <c r="BD63" s="12"/>
      <c r="BE63" s="12"/>
      <c r="BF63" s="24"/>
      <c r="BG63" s="29"/>
      <c r="BH63" s="12"/>
      <c r="BI63" s="12"/>
      <c r="BK63" s="11">
        <v>60</v>
      </c>
      <c r="BL63" s="12"/>
      <c r="BM63" s="12"/>
      <c r="BN63" s="12"/>
      <c r="BP63" s="11">
        <v>60</v>
      </c>
      <c r="BQ63" s="12"/>
      <c r="BR63" s="12"/>
      <c r="BS63" s="12"/>
      <c r="BU63" s="11">
        <v>60</v>
      </c>
      <c r="BV63" s="12"/>
      <c r="BW63" s="12"/>
      <c r="BX63" s="12"/>
      <c r="BZ63" s="11">
        <v>60</v>
      </c>
      <c r="CA63" s="12"/>
      <c r="CC63" s="11">
        <v>60</v>
      </c>
      <c r="CD63" s="12"/>
    </row>
    <row r="64" spans="1:82">
      <c r="A64" s="20" t="s">
        <v>22</v>
      </c>
      <c r="B64" s="20">
        <v>7</v>
      </c>
      <c r="C64" s="5" t="s">
        <v>27</v>
      </c>
      <c r="D64" s="55">
        <f t="shared" si="7"/>
        <v>4</v>
      </c>
      <c r="E64" s="121">
        <f t="shared" si="7"/>
        <v>4</v>
      </c>
      <c r="F64" s="7">
        <f t="shared" si="7"/>
        <v>4</v>
      </c>
      <c r="G64" s="6">
        <f t="shared" si="7"/>
        <v>4</v>
      </c>
      <c r="H64" s="121">
        <f t="shared" si="7"/>
        <v>4</v>
      </c>
      <c r="I64" s="121">
        <f t="shared" si="7"/>
        <v>4</v>
      </c>
      <c r="J64" s="121">
        <f t="shared" si="7"/>
        <v>4</v>
      </c>
      <c r="K64" s="121">
        <f t="shared" si="7"/>
        <v>4</v>
      </c>
      <c r="L64" s="121">
        <f t="shared" si="7"/>
        <v>4</v>
      </c>
      <c r="M64" s="48">
        <f t="shared" si="7"/>
        <v>4</v>
      </c>
      <c r="N64" s="121">
        <f t="shared" si="7"/>
        <v>4</v>
      </c>
      <c r="O64" s="7">
        <f t="shared" si="7"/>
        <v>4</v>
      </c>
      <c r="R64" s="11">
        <v>61</v>
      </c>
      <c r="S64" s="12"/>
      <c r="T64" s="13"/>
      <c r="U64" s="12"/>
      <c r="W64" s="11">
        <v>61</v>
      </c>
      <c r="X64" s="12"/>
      <c r="Y64" s="13"/>
      <c r="Z64" s="12"/>
      <c r="AB64" s="11">
        <v>61</v>
      </c>
      <c r="AC64" s="12"/>
      <c r="AD64" s="12"/>
      <c r="AE64" s="12"/>
      <c r="AG64" s="11">
        <v>61</v>
      </c>
      <c r="AH64" s="12"/>
      <c r="AI64" s="12"/>
      <c r="AJ64" s="12"/>
      <c r="AL64" s="11">
        <v>61</v>
      </c>
      <c r="AM64" s="12"/>
      <c r="AN64" s="12"/>
      <c r="AO64" s="12"/>
      <c r="AQ64" s="11">
        <v>61</v>
      </c>
      <c r="AR64" s="13"/>
      <c r="AS64" s="13"/>
      <c r="AT64" s="11">
        <v>61</v>
      </c>
      <c r="AU64" s="12"/>
      <c r="AW64" s="11">
        <v>61</v>
      </c>
      <c r="AX64" s="12"/>
      <c r="AY64" s="12"/>
      <c r="AZ64" s="12"/>
      <c r="BA64" s="12"/>
      <c r="BB64" s="12"/>
      <c r="BC64" s="12"/>
      <c r="BD64" s="12"/>
      <c r="BE64" s="12"/>
      <c r="BF64" s="24"/>
      <c r="BG64" s="29"/>
      <c r="BH64" s="12"/>
      <c r="BI64" s="12"/>
      <c r="BK64" s="11">
        <v>61</v>
      </c>
      <c r="BL64" s="12"/>
      <c r="BM64" s="13"/>
      <c r="BN64" s="12"/>
      <c r="BP64" s="11">
        <v>61</v>
      </c>
      <c r="BQ64" s="12"/>
      <c r="BR64" s="13"/>
      <c r="BS64" s="12"/>
      <c r="BU64" s="11">
        <v>61</v>
      </c>
      <c r="BV64" s="12"/>
      <c r="BW64" s="12"/>
      <c r="BX64" s="12"/>
      <c r="BZ64" s="11">
        <v>61</v>
      </c>
      <c r="CA64" s="12"/>
      <c r="CC64" s="11">
        <v>61</v>
      </c>
      <c r="CD64" s="12"/>
    </row>
    <row r="65" spans="1:82">
      <c r="A65" s="20" t="s">
        <v>23</v>
      </c>
      <c r="B65" s="20">
        <v>8</v>
      </c>
      <c r="C65" s="5" t="s">
        <v>28</v>
      </c>
      <c r="D65" s="55">
        <f t="shared" si="7"/>
        <v>4</v>
      </c>
      <c r="E65" s="121">
        <f t="shared" si="7"/>
        <v>4</v>
      </c>
      <c r="F65" s="7">
        <f t="shared" si="7"/>
        <v>4</v>
      </c>
      <c r="G65" s="6">
        <f t="shared" si="7"/>
        <v>4</v>
      </c>
      <c r="H65" s="121">
        <f t="shared" si="7"/>
        <v>4</v>
      </c>
      <c r="I65" s="121">
        <f t="shared" si="7"/>
        <v>4</v>
      </c>
      <c r="J65" s="121">
        <f t="shared" si="7"/>
        <v>4</v>
      </c>
      <c r="K65" s="121">
        <f t="shared" si="7"/>
        <v>4</v>
      </c>
      <c r="L65" s="121">
        <f t="shared" si="7"/>
        <v>4</v>
      </c>
      <c r="M65" s="48">
        <f t="shared" si="7"/>
        <v>4</v>
      </c>
      <c r="N65" s="121">
        <f t="shared" si="7"/>
        <v>4</v>
      </c>
      <c r="O65" s="7">
        <f t="shared" si="7"/>
        <v>4</v>
      </c>
      <c r="R65" s="11">
        <v>62</v>
      </c>
      <c r="S65" s="12"/>
      <c r="T65" s="13"/>
      <c r="U65" s="12"/>
      <c r="W65" s="11">
        <v>62</v>
      </c>
      <c r="X65" s="12"/>
      <c r="Y65" s="13"/>
      <c r="Z65" s="12"/>
      <c r="AB65" s="11">
        <v>62</v>
      </c>
      <c r="AC65" s="12"/>
      <c r="AD65" s="12"/>
      <c r="AE65" s="12"/>
      <c r="AG65" s="11">
        <v>62</v>
      </c>
      <c r="AH65" s="12"/>
      <c r="AI65" s="12"/>
      <c r="AJ65" s="12"/>
      <c r="AL65" s="11">
        <v>62</v>
      </c>
      <c r="AM65" s="12"/>
      <c r="AN65" s="12"/>
      <c r="AO65" s="12"/>
      <c r="AQ65" s="11">
        <v>62</v>
      </c>
      <c r="AR65" s="13"/>
      <c r="AS65" s="13"/>
      <c r="AT65" s="11">
        <v>62</v>
      </c>
      <c r="AU65" s="12"/>
      <c r="AW65" s="11">
        <v>62</v>
      </c>
      <c r="AX65" s="12"/>
      <c r="AY65" s="12"/>
      <c r="AZ65" s="12"/>
      <c r="BA65" s="12"/>
      <c r="BB65" s="12"/>
      <c r="BC65" s="12"/>
      <c r="BD65" s="12"/>
      <c r="BE65" s="12"/>
      <c r="BF65" s="24"/>
      <c r="BG65" s="29"/>
      <c r="BH65" s="12"/>
      <c r="BI65" s="12"/>
      <c r="BK65" s="11">
        <v>62</v>
      </c>
      <c r="BL65" s="12"/>
      <c r="BM65" s="13"/>
      <c r="BN65" s="12"/>
      <c r="BP65" s="11">
        <v>62</v>
      </c>
      <c r="BQ65" s="12"/>
      <c r="BR65" s="13"/>
      <c r="BS65" s="12"/>
      <c r="BU65" s="11">
        <v>62</v>
      </c>
      <c r="BV65" s="12"/>
      <c r="BW65" s="12"/>
      <c r="BX65" s="12"/>
      <c r="BZ65" s="11">
        <v>62</v>
      </c>
      <c r="CA65" s="12"/>
      <c r="CC65" s="11">
        <v>62</v>
      </c>
      <c r="CD65" s="12"/>
    </row>
    <row r="66" spans="1:82">
      <c r="A66" s="20" t="s">
        <v>24</v>
      </c>
      <c r="B66" s="20">
        <v>9</v>
      </c>
      <c r="C66" s="5" t="s">
        <v>16</v>
      </c>
      <c r="D66" s="55">
        <f t="shared" si="7"/>
        <v>4</v>
      </c>
      <c r="E66" s="121">
        <f t="shared" si="7"/>
        <v>4</v>
      </c>
      <c r="F66" s="7">
        <f t="shared" si="7"/>
        <v>4</v>
      </c>
      <c r="G66" s="6">
        <f t="shared" si="7"/>
        <v>4</v>
      </c>
      <c r="H66" s="121">
        <f t="shared" si="7"/>
        <v>4</v>
      </c>
      <c r="I66" s="121">
        <f t="shared" si="7"/>
        <v>4</v>
      </c>
      <c r="J66" s="121">
        <f t="shared" si="7"/>
        <v>4</v>
      </c>
      <c r="K66" s="121">
        <f t="shared" si="7"/>
        <v>4</v>
      </c>
      <c r="L66" s="121">
        <f t="shared" si="7"/>
        <v>4</v>
      </c>
      <c r="M66" s="48">
        <f t="shared" si="7"/>
        <v>4</v>
      </c>
      <c r="N66" s="121">
        <f t="shared" si="7"/>
        <v>4</v>
      </c>
      <c r="O66" s="7">
        <f t="shared" si="7"/>
        <v>4</v>
      </c>
      <c r="R66" s="11">
        <v>63</v>
      </c>
      <c r="S66" s="12"/>
      <c r="T66" s="13"/>
      <c r="U66" s="13"/>
      <c r="W66" s="11">
        <v>63</v>
      </c>
      <c r="X66" s="12"/>
      <c r="Y66" s="13"/>
      <c r="Z66" s="13"/>
      <c r="AB66" s="11">
        <v>63</v>
      </c>
      <c r="AC66" s="12"/>
      <c r="AD66" s="12"/>
      <c r="AE66" s="12"/>
      <c r="AG66" s="11">
        <v>63</v>
      </c>
      <c r="AH66" s="12"/>
      <c r="AI66" s="12"/>
      <c r="AJ66" s="12"/>
      <c r="AL66" s="11">
        <v>63</v>
      </c>
      <c r="AM66" s="12"/>
      <c r="AN66" s="12"/>
      <c r="AO66" s="12"/>
      <c r="AQ66" s="11">
        <v>63</v>
      </c>
      <c r="AR66" s="13"/>
      <c r="AS66" s="13"/>
      <c r="AT66" s="11">
        <v>63</v>
      </c>
      <c r="AU66" s="13"/>
      <c r="AW66" s="11">
        <v>63</v>
      </c>
      <c r="AX66" s="12"/>
      <c r="AY66" s="12"/>
      <c r="AZ66" s="12"/>
      <c r="BA66" s="12"/>
      <c r="BB66" s="12"/>
      <c r="BC66" s="12"/>
      <c r="BD66" s="12"/>
      <c r="BE66" s="12"/>
      <c r="BF66" s="24"/>
      <c r="BG66" s="29"/>
      <c r="BH66" s="12"/>
      <c r="BI66" s="12"/>
      <c r="BK66" s="11">
        <v>63</v>
      </c>
      <c r="BL66" s="12"/>
      <c r="BM66" s="13"/>
      <c r="BN66" s="13"/>
      <c r="BP66" s="11">
        <v>63</v>
      </c>
      <c r="BQ66" s="12"/>
      <c r="BR66" s="13"/>
      <c r="BS66" s="13"/>
      <c r="BU66" s="11">
        <v>63</v>
      </c>
      <c r="BV66" s="12"/>
      <c r="BW66" s="12"/>
      <c r="BX66" s="12"/>
      <c r="BZ66" s="11">
        <v>63</v>
      </c>
      <c r="CA66" s="12"/>
      <c r="CC66" s="11">
        <v>63</v>
      </c>
      <c r="CD66" s="12"/>
    </row>
    <row r="67" spans="1:82">
      <c r="A67" s="21" t="s">
        <v>35</v>
      </c>
      <c r="B67" s="21">
        <v>10</v>
      </c>
      <c r="C67" s="5" t="s">
        <v>37</v>
      </c>
      <c r="D67" s="55">
        <f t="shared" si="7"/>
        <v>4</v>
      </c>
      <c r="E67" s="121">
        <f t="shared" si="7"/>
        <v>4</v>
      </c>
      <c r="F67" s="7">
        <f t="shared" si="7"/>
        <v>4</v>
      </c>
      <c r="G67" s="6">
        <f t="shared" si="7"/>
        <v>4</v>
      </c>
      <c r="H67" s="121">
        <f t="shared" si="7"/>
        <v>4</v>
      </c>
      <c r="I67" s="121">
        <f t="shared" si="7"/>
        <v>4</v>
      </c>
      <c r="J67" s="121">
        <f t="shared" si="7"/>
        <v>4</v>
      </c>
      <c r="K67" s="121">
        <f t="shared" si="7"/>
        <v>4</v>
      </c>
      <c r="L67" s="121">
        <f t="shared" si="7"/>
        <v>4</v>
      </c>
      <c r="M67" s="48">
        <f t="shared" si="7"/>
        <v>4</v>
      </c>
      <c r="N67" s="121">
        <f t="shared" si="7"/>
        <v>4</v>
      </c>
      <c r="O67" s="7">
        <f t="shared" si="7"/>
        <v>4</v>
      </c>
      <c r="R67" s="11">
        <v>64</v>
      </c>
      <c r="S67" s="12"/>
      <c r="T67" s="13"/>
      <c r="U67" s="13"/>
      <c r="W67" s="11">
        <v>64</v>
      </c>
      <c r="X67" s="12"/>
      <c r="Y67" s="13"/>
      <c r="Z67" s="13"/>
      <c r="AB67" s="11">
        <v>64</v>
      </c>
      <c r="AC67" s="12"/>
      <c r="AD67" s="12"/>
      <c r="AE67" s="12"/>
      <c r="AG67" s="11">
        <v>64</v>
      </c>
      <c r="AH67" s="12"/>
      <c r="AI67" s="12"/>
      <c r="AJ67" s="12"/>
      <c r="AL67" s="11">
        <v>64</v>
      </c>
      <c r="AM67" s="12"/>
      <c r="AN67" s="12"/>
      <c r="AO67" s="12"/>
      <c r="AQ67" s="11">
        <v>64</v>
      </c>
      <c r="AR67" s="13"/>
      <c r="AS67" s="13"/>
      <c r="AT67" s="11">
        <v>64</v>
      </c>
      <c r="AU67" s="13"/>
      <c r="AW67" s="11">
        <v>64</v>
      </c>
      <c r="AX67" s="12"/>
      <c r="AY67" s="12"/>
      <c r="AZ67" s="12"/>
      <c r="BA67" s="12"/>
      <c r="BB67" s="12"/>
      <c r="BC67" s="12"/>
      <c r="BD67" s="12"/>
      <c r="BE67" s="12"/>
      <c r="BF67" s="24"/>
      <c r="BG67" s="29"/>
      <c r="BH67" s="12"/>
      <c r="BI67" s="12"/>
      <c r="BK67" s="11">
        <v>64</v>
      </c>
      <c r="BL67" s="12"/>
      <c r="BM67" s="13"/>
      <c r="BN67" s="13"/>
      <c r="BP67" s="11">
        <v>64</v>
      </c>
      <c r="BQ67" s="12"/>
      <c r="BR67" s="13"/>
      <c r="BS67" s="13"/>
      <c r="BU67" s="11">
        <v>64</v>
      </c>
      <c r="BV67" s="12"/>
      <c r="BW67" s="12"/>
      <c r="BX67" s="12"/>
      <c r="BZ67" s="11">
        <v>64</v>
      </c>
      <c r="CA67" s="12"/>
      <c r="CC67" s="11">
        <v>64</v>
      </c>
      <c r="CD67" s="12"/>
    </row>
    <row r="68" spans="1:82" ht="16.8" thickBot="1">
      <c r="A68" s="22" t="s">
        <v>39</v>
      </c>
      <c r="B68" s="22">
        <v>11</v>
      </c>
      <c r="C68" s="17" t="s">
        <v>38</v>
      </c>
      <c r="D68" s="56">
        <f t="shared" si="7"/>
        <v>0</v>
      </c>
      <c r="E68" s="50">
        <f t="shared" si="7"/>
        <v>0</v>
      </c>
      <c r="F68" s="57">
        <f t="shared" si="7"/>
        <v>0</v>
      </c>
      <c r="G68" s="49">
        <f t="shared" si="7"/>
        <v>0</v>
      </c>
      <c r="H68" s="50">
        <f t="shared" si="7"/>
        <v>0</v>
      </c>
      <c r="I68" s="50">
        <f t="shared" si="7"/>
        <v>0</v>
      </c>
      <c r="J68" s="50">
        <f t="shared" si="7"/>
        <v>0</v>
      </c>
      <c r="K68" s="50">
        <f t="shared" si="7"/>
        <v>0</v>
      </c>
      <c r="L68" s="50">
        <f t="shared" si="7"/>
        <v>0</v>
      </c>
      <c r="M68" s="51">
        <f t="shared" si="7"/>
        <v>0</v>
      </c>
      <c r="N68" s="39">
        <f t="shared" si="7"/>
        <v>0</v>
      </c>
      <c r="O68" s="40">
        <f t="shared" si="7"/>
        <v>0</v>
      </c>
      <c r="R68" s="11">
        <v>65</v>
      </c>
      <c r="S68" s="12"/>
      <c r="T68" s="13"/>
      <c r="U68" s="13"/>
      <c r="W68" s="11">
        <v>65</v>
      </c>
      <c r="X68" s="12"/>
      <c r="Y68" s="13"/>
      <c r="Z68" s="13"/>
      <c r="AB68" s="11">
        <v>65</v>
      </c>
      <c r="AC68" s="12"/>
      <c r="AD68" s="12"/>
      <c r="AE68" s="12"/>
      <c r="AG68" s="11">
        <v>65</v>
      </c>
      <c r="AH68" s="12"/>
      <c r="AI68" s="12"/>
      <c r="AJ68" s="12"/>
      <c r="AL68" s="11">
        <v>65</v>
      </c>
      <c r="AM68" s="12"/>
      <c r="AN68" s="12"/>
      <c r="AO68" s="12"/>
      <c r="AQ68" s="11">
        <v>65</v>
      </c>
      <c r="AR68" s="13"/>
      <c r="AS68" s="13"/>
      <c r="AT68" s="11">
        <v>65</v>
      </c>
      <c r="AU68" s="13"/>
      <c r="AW68" s="11">
        <v>65</v>
      </c>
      <c r="AX68" s="12"/>
      <c r="AY68" s="12"/>
      <c r="AZ68" s="12"/>
      <c r="BA68" s="12"/>
      <c r="BB68" s="12"/>
      <c r="BC68" s="12"/>
      <c r="BD68" s="12"/>
      <c r="BE68" s="12"/>
      <c r="BF68" s="24"/>
      <c r="BG68" s="29"/>
      <c r="BH68" s="12"/>
      <c r="BI68" s="12"/>
      <c r="BK68" s="11">
        <v>65</v>
      </c>
      <c r="BL68" s="12"/>
      <c r="BM68" s="13"/>
      <c r="BN68" s="13"/>
      <c r="BP68" s="11">
        <v>65</v>
      </c>
      <c r="BQ68" s="12"/>
      <c r="BR68" s="13"/>
      <c r="BS68" s="13"/>
      <c r="BU68" s="11">
        <v>65</v>
      </c>
      <c r="BV68" s="12"/>
      <c r="BW68" s="12"/>
      <c r="BX68" s="12"/>
      <c r="BZ68" s="11">
        <v>65</v>
      </c>
      <c r="CA68" s="12"/>
      <c r="CC68" s="11">
        <v>65</v>
      </c>
      <c r="CD68" s="12"/>
    </row>
    <row r="69" spans="1:82">
      <c r="D69" s="121">
        <f>SUM(D57:D68)</f>
        <v>40</v>
      </c>
      <c r="E69" s="121">
        <f t="shared" ref="E69:O69" si="8">SUM(E57:E68)</f>
        <v>40</v>
      </c>
      <c r="F69" s="121">
        <f t="shared" si="8"/>
        <v>40</v>
      </c>
      <c r="G69" s="121">
        <f t="shared" si="8"/>
        <v>40</v>
      </c>
      <c r="H69" s="121">
        <f t="shared" si="8"/>
        <v>40</v>
      </c>
      <c r="I69" s="121">
        <f t="shared" si="8"/>
        <v>40</v>
      </c>
      <c r="J69" s="121">
        <f t="shared" si="8"/>
        <v>40</v>
      </c>
      <c r="K69" s="121">
        <f t="shared" si="8"/>
        <v>40</v>
      </c>
      <c r="L69" s="121">
        <f t="shared" si="8"/>
        <v>40</v>
      </c>
      <c r="M69" s="121">
        <f t="shared" si="8"/>
        <v>40</v>
      </c>
      <c r="N69" s="121">
        <f t="shared" si="8"/>
        <v>40</v>
      </c>
      <c r="O69" s="121">
        <f t="shared" si="8"/>
        <v>40</v>
      </c>
      <c r="R69" s="11">
        <v>66</v>
      </c>
      <c r="S69" s="12"/>
      <c r="T69" s="13"/>
      <c r="U69" s="13"/>
      <c r="W69" s="11">
        <v>66</v>
      </c>
      <c r="X69" s="12"/>
      <c r="Y69" s="13"/>
      <c r="Z69" s="13"/>
      <c r="AB69" s="11">
        <v>66</v>
      </c>
      <c r="AC69" s="12"/>
      <c r="AD69" s="12"/>
      <c r="AE69" s="12"/>
      <c r="AG69" s="11">
        <v>66</v>
      </c>
      <c r="AH69" s="12"/>
      <c r="AI69" s="12"/>
      <c r="AJ69" s="12"/>
      <c r="AL69" s="11">
        <v>66</v>
      </c>
      <c r="AM69" s="12"/>
      <c r="AN69" s="12"/>
      <c r="AO69" s="12"/>
      <c r="AQ69" s="11">
        <v>66</v>
      </c>
      <c r="AR69" s="13"/>
      <c r="AS69" s="13"/>
      <c r="AT69" s="11">
        <v>66</v>
      </c>
      <c r="AU69" s="13"/>
      <c r="AW69" s="11">
        <v>66</v>
      </c>
      <c r="AX69" s="12"/>
      <c r="AY69" s="12"/>
      <c r="AZ69" s="12"/>
      <c r="BA69" s="12"/>
      <c r="BB69" s="12"/>
      <c r="BC69" s="12"/>
      <c r="BD69" s="12"/>
      <c r="BE69" s="12"/>
      <c r="BF69" s="24"/>
      <c r="BG69" s="29"/>
      <c r="BH69" s="12"/>
      <c r="BI69" s="12"/>
      <c r="BK69" s="11">
        <v>66</v>
      </c>
      <c r="BL69" s="12"/>
      <c r="BM69" s="13"/>
      <c r="BN69" s="13"/>
      <c r="BP69" s="11">
        <v>66</v>
      </c>
      <c r="BQ69" s="12"/>
      <c r="BR69" s="13"/>
      <c r="BS69" s="13"/>
      <c r="BU69" s="11">
        <v>66</v>
      </c>
      <c r="BV69" s="12"/>
      <c r="BW69" s="12"/>
      <c r="BX69" s="12"/>
      <c r="BZ69" s="11">
        <v>66</v>
      </c>
      <c r="CA69" s="12"/>
      <c r="CC69" s="11">
        <v>66</v>
      </c>
      <c r="CD69" s="12"/>
    </row>
    <row r="70" spans="1:82">
      <c r="R70" s="11">
        <v>67</v>
      </c>
      <c r="S70" s="12"/>
      <c r="T70" s="13"/>
      <c r="U70" s="13"/>
      <c r="W70" s="11">
        <v>67</v>
      </c>
      <c r="X70" s="12"/>
      <c r="Y70" s="13"/>
      <c r="Z70" s="13"/>
      <c r="AB70" s="11">
        <v>67</v>
      </c>
      <c r="AC70" s="12"/>
      <c r="AD70" s="12"/>
      <c r="AE70" s="12"/>
      <c r="AG70" s="11">
        <v>67</v>
      </c>
      <c r="AH70" s="12"/>
      <c r="AI70" s="12"/>
      <c r="AJ70" s="12"/>
      <c r="AL70" s="11">
        <v>67</v>
      </c>
      <c r="AM70" s="12"/>
      <c r="AN70" s="12"/>
      <c r="AO70" s="12"/>
      <c r="AQ70" s="11">
        <v>67</v>
      </c>
      <c r="AR70" s="13"/>
      <c r="AS70" s="13"/>
      <c r="AT70" s="11">
        <v>67</v>
      </c>
      <c r="AU70" s="13"/>
      <c r="AW70" s="11">
        <v>67</v>
      </c>
      <c r="AX70" s="12"/>
      <c r="AY70" s="12"/>
      <c r="AZ70" s="12"/>
      <c r="BA70" s="12"/>
      <c r="BB70" s="12"/>
      <c r="BC70" s="12"/>
      <c r="BD70" s="12"/>
      <c r="BE70" s="12"/>
      <c r="BF70" s="24"/>
      <c r="BG70" s="29"/>
      <c r="BH70" s="12"/>
      <c r="BI70" s="12"/>
      <c r="BK70" s="11">
        <v>67</v>
      </c>
      <c r="BL70" s="12"/>
      <c r="BM70" s="13"/>
      <c r="BN70" s="13"/>
      <c r="BP70" s="11">
        <v>67</v>
      </c>
      <c r="BQ70" s="12"/>
      <c r="BR70" s="13"/>
      <c r="BS70" s="13"/>
      <c r="BU70" s="11">
        <v>67</v>
      </c>
      <c r="BV70" s="12"/>
      <c r="BW70" s="12"/>
      <c r="BX70" s="12"/>
      <c r="BZ70" s="11">
        <v>67</v>
      </c>
      <c r="CA70" s="12"/>
      <c r="CC70" s="11">
        <v>67</v>
      </c>
      <c r="CD70" s="12"/>
    </row>
    <row r="71" spans="1:82">
      <c r="A71" s="31" t="s">
        <v>42</v>
      </c>
      <c r="R71" s="11">
        <v>68</v>
      </c>
      <c r="S71" s="12"/>
      <c r="T71" s="13"/>
      <c r="U71" s="13"/>
      <c r="W71" s="11">
        <v>68</v>
      </c>
      <c r="X71" s="12"/>
      <c r="Y71" s="13"/>
      <c r="Z71" s="13"/>
      <c r="AB71" s="11">
        <v>68</v>
      </c>
      <c r="AC71" s="12"/>
      <c r="AD71" s="12"/>
      <c r="AE71" s="12"/>
      <c r="AG71" s="11">
        <v>68</v>
      </c>
      <c r="AH71" s="12"/>
      <c r="AI71" s="12"/>
      <c r="AJ71" s="12"/>
      <c r="AL71" s="11">
        <v>68</v>
      </c>
      <c r="AM71" s="12"/>
      <c r="AN71" s="12"/>
      <c r="AO71" s="12"/>
      <c r="AQ71" s="11">
        <v>68</v>
      </c>
      <c r="AR71" s="13"/>
      <c r="AS71" s="13"/>
      <c r="AT71" s="11">
        <v>68</v>
      </c>
      <c r="AU71" s="13"/>
      <c r="AW71" s="11">
        <v>68</v>
      </c>
      <c r="AX71" s="12"/>
      <c r="AY71" s="12"/>
      <c r="AZ71" s="12"/>
      <c r="BA71" s="12"/>
      <c r="BB71" s="12"/>
      <c r="BC71" s="12"/>
      <c r="BD71" s="12"/>
      <c r="BE71" s="12"/>
      <c r="BF71" s="24"/>
      <c r="BG71" s="29"/>
      <c r="BH71" s="12"/>
      <c r="BI71" s="12"/>
      <c r="BK71" s="11">
        <v>68</v>
      </c>
      <c r="BL71" s="12"/>
      <c r="BM71" s="13"/>
      <c r="BN71" s="13"/>
      <c r="BP71" s="11">
        <v>68</v>
      </c>
      <c r="BQ71" s="12"/>
      <c r="BR71" s="13"/>
      <c r="BS71" s="13"/>
      <c r="BU71" s="11">
        <v>68</v>
      </c>
      <c r="BV71" s="12"/>
      <c r="BW71" s="12"/>
      <c r="BX71" s="12"/>
      <c r="BZ71" s="11">
        <v>68</v>
      </c>
      <c r="CA71" s="12"/>
      <c r="CC71" s="11">
        <v>68</v>
      </c>
      <c r="CD71" s="12"/>
    </row>
    <row r="72" spans="1:82">
      <c r="A72" s="30" t="s">
        <v>42</v>
      </c>
      <c r="B72" s="1" t="s">
        <v>86</v>
      </c>
      <c r="C72" s="2" t="s">
        <v>114</v>
      </c>
      <c r="D72" s="3" t="s">
        <v>80</v>
      </c>
      <c r="E72" s="122" t="s">
        <v>1</v>
      </c>
      <c r="F72" s="4" t="s">
        <v>2</v>
      </c>
      <c r="R72" s="11">
        <v>69</v>
      </c>
      <c r="S72" s="12"/>
      <c r="T72" s="13"/>
      <c r="U72" s="13"/>
      <c r="W72" s="11">
        <v>69</v>
      </c>
      <c r="X72" s="12"/>
      <c r="Y72" s="13"/>
      <c r="Z72" s="13"/>
      <c r="AB72" s="11">
        <v>69</v>
      </c>
      <c r="AC72" s="12"/>
      <c r="AD72" s="12"/>
      <c r="AE72" s="12"/>
      <c r="AG72" s="11">
        <v>69</v>
      </c>
      <c r="AH72" s="12"/>
      <c r="AI72" s="12"/>
      <c r="AJ72" s="12"/>
      <c r="AL72" s="11">
        <v>69</v>
      </c>
      <c r="AM72" s="12"/>
      <c r="AN72" s="12"/>
      <c r="AO72" s="12"/>
      <c r="AQ72" s="11">
        <v>69</v>
      </c>
      <c r="AR72" s="13"/>
      <c r="AS72" s="13"/>
      <c r="AT72" s="11">
        <v>69</v>
      </c>
      <c r="AU72" s="13"/>
      <c r="AW72" s="11">
        <v>69</v>
      </c>
      <c r="AX72" s="12"/>
      <c r="AY72" s="12"/>
      <c r="AZ72" s="12"/>
      <c r="BA72" s="12"/>
      <c r="BB72" s="12"/>
      <c r="BC72" s="12"/>
      <c r="BD72" s="12"/>
      <c r="BE72" s="12"/>
      <c r="BF72" s="24"/>
      <c r="BG72" s="29"/>
      <c r="BH72" s="12"/>
      <c r="BI72" s="12"/>
      <c r="BK72" s="11">
        <v>69</v>
      </c>
      <c r="BL72" s="12"/>
      <c r="BM72" s="13"/>
      <c r="BN72" s="13"/>
      <c r="BP72" s="11">
        <v>69</v>
      </c>
      <c r="BQ72" s="12"/>
      <c r="BR72" s="13"/>
      <c r="BS72" s="13"/>
      <c r="BU72" s="11">
        <v>69</v>
      </c>
      <c r="BV72" s="12"/>
      <c r="BW72" s="12"/>
      <c r="BX72" s="12"/>
      <c r="BZ72" s="11">
        <v>69</v>
      </c>
      <c r="CA72" s="12"/>
      <c r="CC72" s="11">
        <v>69</v>
      </c>
      <c r="CD72" s="12"/>
    </row>
    <row r="73" spans="1:82">
      <c r="A73" s="1" t="s">
        <v>19</v>
      </c>
      <c r="B73" s="1">
        <v>0</v>
      </c>
      <c r="C73" s="3" t="s">
        <v>25</v>
      </c>
      <c r="D73" s="3">
        <f>SUMIF(BL$3:BL$38,$A73,BV$3:BV$38)</f>
        <v>18</v>
      </c>
      <c r="E73" s="122">
        <f t="shared" ref="E73:F84" si="9">SUMIF(BM$3:BM$38,$A73,BW$3:BW$38)</f>
        <v>18</v>
      </c>
      <c r="F73" s="4">
        <f t="shared" si="9"/>
        <v>18</v>
      </c>
      <c r="R73" s="11">
        <v>70</v>
      </c>
      <c r="S73" s="12"/>
      <c r="T73" s="13"/>
      <c r="U73" s="13"/>
      <c r="W73" s="11">
        <v>70</v>
      </c>
      <c r="X73" s="12"/>
      <c r="Y73" s="13"/>
      <c r="Z73" s="13"/>
      <c r="AB73" s="11">
        <v>70</v>
      </c>
      <c r="AC73" s="12"/>
      <c r="AD73" s="12"/>
      <c r="AE73" s="12"/>
      <c r="AG73" s="11">
        <v>70</v>
      </c>
      <c r="AH73" s="12"/>
      <c r="AI73" s="12"/>
      <c r="AJ73" s="12"/>
      <c r="AL73" s="11">
        <v>70</v>
      </c>
      <c r="AM73" s="12"/>
      <c r="AN73" s="12"/>
      <c r="AO73" s="12"/>
      <c r="AQ73" s="11">
        <v>70</v>
      </c>
      <c r="AR73" s="13"/>
      <c r="AS73" s="13"/>
      <c r="AT73" s="11">
        <v>70</v>
      </c>
      <c r="AU73" s="13"/>
      <c r="AW73" s="11">
        <v>70</v>
      </c>
      <c r="AX73" s="12"/>
      <c r="AY73" s="12"/>
      <c r="AZ73" s="12"/>
      <c r="BA73" s="12"/>
      <c r="BB73" s="12"/>
      <c r="BC73" s="12"/>
      <c r="BD73" s="12"/>
      <c r="BE73" s="12"/>
      <c r="BF73" s="24"/>
      <c r="BG73" s="29"/>
      <c r="BH73" s="12"/>
      <c r="BI73" s="12"/>
      <c r="BK73" s="11">
        <v>70</v>
      </c>
      <c r="BL73" s="12"/>
      <c r="BM73" s="13"/>
      <c r="BN73" s="13"/>
      <c r="BP73" s="11">
        <v>70</v>
      </c>
      <c r="BQ73" s="12"/>
      <c r="BR73" s="13"/>
      <c r="BS73" s="13"/>
      <c r="BU73" s="11">
        <v>70</v>
      </c>
      <c r="BV73" s="12"/>
      <c r="BW73" s="12"/>
      <c r="BX73" s="12"/>
      <c r="BZ73" s="11">
        <v>70</v>
      </c>
      <c r="CA73" s="12"/>
      <c r="CC73" s="11">
        <v>70</v>
      </c>
      <c r="CD73" s="12"/>
    </row>
    <row r="74" spans="1:82">
      <c r="A74" s="20">
        <v>0</v>
      </c>
      <c r="B74" s="20">
        <v>1</v>
      </c>
      <c r="C74" s="5">
        <v>0</v>
      </c>
      <c r="D74" s="37">
        <f t="shared" ref="D74:D84" si="10">SUMIF(BL$3:BL$38,$A74,BV$3:BV$38)</f>
        <v>0</v>
      </c>
      <c r="E74" s="121">
        <f t="shared" si="9"/>
        <v>6</v>
      </c>
      <c r="F74" s="7">
        <f t="shared" si="9"/>
        <v>6</v>
      </c>
      <c r="R74" s="11">
        <v>71</v>
      </c>
      <c r="S74" s="12"/>
      <c r="T74" s="13"/>
      <c r="U74" s="13"/>
      <c r="W74" s="11">
        <v>71</v>
      </c>
      <c r="X74" s="12"/>
      <c r="Y74" s="13"/>
      <c r="Z74" s="13"/>
      <c r="AB74" s="11">
        <v>71</v>
      </c>
      <c r="AC74" s="12"/>
      <c r="AD74" s="12"/>
      <c r="AE74" s="12"/>
      <c r="AG74" s="11">
        <v>71</v>
      </c>
      <c r="AH74" s="12"/>
      <c r="AI74" s="12"/>
      <c r="AJ74" s="12"/>
      <c r="AL74" s="11">
        <v>71</v>
      </c>
      <c r="AM74" s="12"/>
      <c r="AN74" s="12"/>
      <c r="AO74" s="12"/>
      <c r="AQ74" s="11">
        <v>71</v>
      </c>
      <c r="AR74" s="13"/>
      <c r="AS74" s="13"/>
      <c r="AT74" s="11">
        <v>71</v>
      </c>
      <c r="AU74" s="13"/>
      <c r="AW74" s="11">
        <v>71</v>
      </c>
      <c r="AX74" s="12"/>
      <c r="AY74" s="12"/>
      <c r="AZ74" s="12"/>
      <c r="BA74" s="12"/>
      <c r="BB74" s="12"/>
      <c r="BC74" s="12"/>
      <c r="BD74" s="12"/>
      <c r="BE74" s="12"/>
      <c r="BF74" s="24"/>
      <c r="BG74" s="29"/>
      <c r="BH74" s="12"/>
      <c r="BI74" s="12"/>
      <c r="BK74" s="11">
        <v>71</v>
      </c>
      <c r="BL74" s="12"/>
      <c r="BM74" s="13"/>
      <c r="BN74" s="13"/>
      <c r="BP74" s="11">
        <v>71</v>
      </c>
      <c r="BQ74" s="12"/>
      <c r="BR74" s="13"/>
      <c r="BS74" s="13"/>
      <c r="BU74" s="11">
        <v>71</v>
      </c>
      <c r="BV74" s="12"/>
      <c r="BW74" s="12"/>
      <c r="BX74" s="12"/>
      <c r="BZ74" s="11">
        <v>71</v>
      </c>
      <c r="CA74" s="12"/>
      <c r="CC74" s="11">
        <v>71</v>
      </c>
      <c r="CD74" s="12"/>
    </row>
    <row r="75" spans="1:82">
      <c r="A75" s="20">
        <v>1</v>
      </c>
      <c r="B75" s="20">
        <v>2</v>
      </c>
      <c r="C75" s="5">
        <v>1</v>
      </c>
      <c r="D75" s="6">
        <f t="shared" si="10"/>
        <v>6</v>
      </c>
      <c r="E75" s="121">
        <f t="shared" si="9"/>
        <v>6</v>
      </c>
      <c r="F75" s="7">
        <f t="shared" si="9"/>
        <v>6</v>
      </c>
      <c r="R75" s="11">
        <v>72</v>
      </c>
      <c r="S75" s="12"/>
      <c r="T75" s="13"/>
      <c r="U75" s="13"/>
      <c r="W75" s="11">
        <v>72</v>
      </c>
      <c r="X75" s="12"/>
      <c r="Y75" s="13"/>
      <c r="Z75" s="13"/>
      <c r="AB75" s="11">
        <v>72</v>
      </c>
      <c r="AC75" s="12"/>
      <c r="AD75" s="12"/>
      <c r="AE75" s="12"/>
      <c r="AG75" s="11">
        <v>72</v>
      </c>
      <c r="AH75" s="12"/>
      <c r="AI75" s="12"/>
      <c r="AJ75" s="12"/>
      <c r="AL75" s="11">
        <v>72</v>
      </c>
      <c r="AM75" s="12"/>
      <c r="AN75" s="12"/>
      <c r="AO75" s="12"/>
      <c r="AQ75" s="11">
        <v>72</v>
      </c>
      <c r="AR75" s="13"/>
      <c r="AS75" s="13"/>
      <c r="AT75" s="11">
        <v>72</v>
      </c>
      <c r="AU75" s="13"/>
      <c r="AW75" s="11">
        <v>72</v>
      </c>
      <c r="AX75" s="12"/>
      <c r="AY75" s="12"/>
      <c r="AZ75" s="12"/>
      <c r="BA75" s="12"/>
      <c r="BB75" s="12"/>
      <c r="BC75" s="12"/>
      <c r="BD75" s="12"/>
      <c r="BE75" s="12"/>
      <c r="BF75" s="24"/>
      <c r="BG75" s="29"/>
      <c r="BH75" s="12"/>
      <c r="BI75" s="12"/>
      <c r="BK75" s="11">
        <v>72</v>
      </c>
      <c r="BL75" s="12"/>
      <c r="BM75" s="13"/>
      <c r="BN75" s="13"/>
      <c r="BP75" s="11">
        <v>72</v>
      </c>
      <c r="BQ75" s="12"/>
      <c r="BR75" s="13"/>
      <c r="BS75" s="13"/>
      <c r="BU75" s="11">
        <v>72</v>
      </c>
      <c r="BV75" s="12"/>
      <c r="BW75" s="12"/>
      <c r="BX75" s="12"/>
      <c r="BZ75" s="11">
        <v>72</v>
      </c>
      <c r="CA75" s="12"/>
      <c r="CC75" s="11">
        <v>72</v>
      </c>
      <c r="CD75" s="12"/>
    </row>
    <row r="76" spans="1:82">
      <c r="A76" s="21">
        <v>5</v>
      </c>
      <c r="B76" s="21">
        <v>3</v>
      </c>
      <c r="C76" s="23">
        <v>5</v>
      </c>
      <c r="D76" s="6">
        <f t="shared" si="10"/>
        <v>6</v>
      </c>
      <c r="E76" s="121">
        <f t="shared" si="9"/>
        <v>6</v>
      </c>
      <c r="F76" s="7">
        <f t="shared" si="9"/>
        <v>6</v>
      </c>
      <c r="R76" s="11">
        <v>73</v>
      </c>
      <c r="S76" s="12"/>
      <c r="T76" s="13"/>
      <c r="U76" s="13"/>
      <c r="W76" s="11">
        <v>73</v>
      </c>
      <c r="X76" s="12"/>
      <c r="Y76" s="13"/>
      <c r="Z76" s="13"/>
      <c r="AB76" s="11">
        <v>73</v>
      </c>
      <c r="AC76" s="12"/>
      <c r="AD76" s="12"/>
      <c r="AE76" s="12"/>
      <c r="AG76" s="11">
        <v>73</v>
      </c>
      <c r="AH76" s="12"/>
      <c r="AI76" s="12"/>
      <c r="AJ76" s="12"/>
      <c r="AL76" s="11">
        <v>73</v>
      </c>
      <c r="AM76" s="12"/>
      <c r="AN76" s="12"/>
      <c r="AO76" s="12"/>
      <c r="AQ76" s="11">
        <v>73</v>
      </c>
      <c r="AR76" s="13"/>
      <c r="AS76" s="13"/>
      <c r="AT76" s="11">
        <v>73</v>
      </c>
      <c r="AU76" s="13"/>
      <c r="AW76" s="11">
        <v>73</v>
      </c>
      <c r="AX76" s="12"/>
      <c r="AY76" s="12"/>
      <c r="AZ76" s="12"/>
      <c r="BA76" s="12"/>
      <c r="BB76" s="12"/>
      <c r="BC76" s="12"/>
      <c r="BD76" s="12"/>
      <c r="BE76" s="12"/>
      <c r="BF76" s="24"/>
      <c r="BG76" s="29"/>
      <c r="BH76" s="12"/>
      <c r="BI76" s="12"/>
      <c r="BK76" s="11">
        <v>73</v>
      </c>
      <c r="BL76" s="12"/>
      <c r="BM76" s="13"/>
      <c r="BN76" s="13"/>
      <c r="BP76" s="11">
        <v>73</v>
      </c>
      <c r="BQ76" s="12"/>
      <c r="BR76" s="13"/>
      <c r="BS76" s="13"/>
      <c r="BU76" s="11">
        <v>73</v>
      </c>
      <c r="BV76" s="12"/>
      <c r="BW76" s="12"/>
      <c r="BX76" s="12"/>
      <c r="BZ76" s="11">
        <v>73</v>
      </c>
      <c r="CA76" s="12"/>
      <c r="CC76" s="11">
        <v>73</v>
      </c>
      <c r="CD76" s="12"/>
    </row>
    <row r="77" spans="1:82">
      <c r="A77" s="21">
        <v>10</v>
      </c>
      <c r="B77" s="21">
        <v>4</v>
      </c>
      <c r="C77" s="23">
        <v>10</v>
      </c>
      <c r="D77" s="6">
        <f t="shared" si="10"/>
        <v>6</v>
      </c>
      <c r="E77" s="59">
        <f t="shared" si="9"/>
        <v>0</v>
      </c>
      <c r="F77" s="38">
        <f t="shared" si="9"/>
        <v>0</v>
      </c>
      <c r="R77" s="11">
        <v>74</v>
      </c>
      <c r="S77" s="12"/>
      <c r="T77" s="13"/>
      <c r="U77" s="13"/>
      <c r="W77" s="11">
        <v>74</v>
      </c>
      <c r="X77" s="12"/>
      <c r="Y77" s="13"/>
      <c r="Z77" s="13"/>
      <c r="AB77" s="11">
        <v>74</v>
      </c>
      <c r="AC77" s="12"/>
      <c r="AD77" s="12"/>
      <c r="AE77" s="12"/>
      <c r="AG77" s="11">
        <v>74</v>
      </c>
      <c r="AH77" s="12"/>
      <c r="AI77" s="12"/>
      <c r="AJ77" s="12"/>
      <c r="AL77" s="11">
        <v>74</v>
      </c>
      <c r="AM77" s="12"/>
      <c r="AN77" s="12"/>
      <c r="AO77" s="12"/>
      <c r="AQ77" s="11">
        <v>74</v>
      </c>
      <c r="AR77" s="13"/>
      <c r="AS77" s="13"/>
      <c r="AT77" s="11">
        <v>74</v>
      </c>
      <c r="AU77" s="13"/>
      <c r="AW77" s="11">
        <v>74</v>
      </c>
      <c r="AX77" s="12"/>
      <c r="AY77" s="12"/>
      <c r="AZ77" s="12"/>
      <c r="BA77" s="12"/>
      <c r="BB77" s="12"/>
      <c r="BC77" s="12"/>
      <c r="BD77" s="12"/>
      <c r="BE77" s="12"/>
      <c r="BF77" s="24"/>
      <c r="BG77" s="29"/>
      <c r="BH77" s="12"/>
      <c r="BI77" s="12"/>
      <c r="BK77" s="11">
        <v>74</v>
      </c>
      <c r="BL77" s="12"/>
      <c r="BM77" s="13"/>
      <c r="BN77" s="13"/>
      <c r="BP77" s="11">
        <v>74</v>
      </c>
      <c r="BQ77" s="12"/>
      <c r="BR77" s="13"/>
      <c r="BS77" s="13"/>
      <c r="BU77" s="11">
        <v>74</v>
      </c>
      <c r="BV77" s="12"/>
      <c r="BW77" s="12"/>
      <c r="BX77" s="12"/>
      <c r="BZ77" s="11">
        <v>74</v>
      </c>
      <c r="CA77" s="12"/>
      <c r="CC77" s="11">
        <v>74</v>
      </c>
      <c r="CD77" s="12"/>
    </row>
    <row r="78" spans="1:82">
      <c r="A78" s="20" t="s">
        <v>20</v>
      </c>
      <c r="B78" s="20">
        <v>5</v>
      </c>
      <c r="C78" s="23" t="s">
        <v>29</v>
      </c>
      <c r="D78" s="37">
        <f t="shared" si="10"/>
        <v>0</v>
      </c>
      <c r="E78" s="59">
        <f t="shared" si="9"/>
        <v>0</v>
      </c>
      <c r="F78" s="38">
        <f t="shared" si="9"/>
        <v>0</v>
      </c>
      <c r="R78" s="11">
        <v>75</v>
      </c>
      <c r="S78" s="12"/>
      <c r="T78" s="13"/>
      <c r="U78" s="13"/>
      <c r="W78" s="11">
        <v>75</v>
      </c>
      <c r="X78" s="12"/>
      <c r="Y78" s="13"/>
      <c r="Z78" s="13"/>
      <c r="AB78" s="11">
        <v>75</v>
      </c>
      <c r="AC78" s="12"/>
      <c r="AD78" s="12"/>
      <c r="AE78" s="12"/>
      <c r="AG78" s="11">
        <v>75</v>
      </c>
      <c r="AH78" s="12"/>
      <c r="AI78" s="12"/>
      <c r="AJ78" s="12"/>
      <c r="AL78" s="11">
        <v>75</v>
      </c>
      <c r="AM78" s="12"/>
      <c r="AN78" s="12"/>
      <c r="AO78" s="12"/>
      <c r="AQ78" s="11">
        <v>75</v>
      </c>
      <c r="AR78" s="13"/>
      <c r="AS78" s="13"/>
      <c r="AT78" s="11">
        <v>75</v>
      </c>
      <c r="AU78" s="13"/>
      <c r="AW78" s="11">
        <v>75</v>
      </c>
      <c r="AX78" s="12"/>
      <c r="AY78" s="12"/>
      <c r="AZ78" s="12"/>
      <c r="BA78" s="12"/>
      <c r="BB78" s="12"/>
      <c r="BC78" s="12"/>
      <c r="BD78" s="12"/>
      <c r="BE78" s="12"/>
      <c r="BF78" s="24"/>
      <c r="BG78" s="29"/>
      <c r="BH78" s="12"/>
      <c r="BI78" s="12"/>
      <c r="BK78" s="11">
        <v>75</v>
      </c>
      <c r="BL78" s="12"/>
      <c r="BM78" s="13"/>
      <c r="BN78" s="13"/>
      <c r="BP78" s="11">
        <v>75</v>
      </c>
      <c r="BQ78" s="12"/>
      <c r="BR78" s="13"/>
      <c r="BS78" s="13"/>
      <c r="BU78" s="11">
        <v>75</v>
      </c>
      <c r="BV78" s="12"/>
      <c r="BW78" s="12"/>
      <c r="BX78" s="12"/>
      <c r="BZ78" s="11">
        <v>75</v>
      </c>
      <c r="CA78" s="12"/>
      <c r="CC78" s="11">
        <v>75</v>
      </c>
      <c r="CD78" s="12"/>
    </row>
    <row r="79" spans="1:82">
      <c r="A79" s="21" t="s">
        <v>21</v>
      </c>
      <c r="B79" s="21">
        <v>6</v>
      </c>
      <c r="C79" s="23" t="s">
        <v>26</v>
      </c>
      <c r="D79" s="37">
        <f t="shared" si="10"/>
        <v>0</v>
      </c>
      <c r="E79" s="59">
        <f t="shared" si="9"/>
        <v>0</v>
      </c>
      <c r="F79" s="38">
        <f t="shared" si="9"/>
        <v>0</v>
      </c>
      <c r="R79" s="11">
        <v>76</v>
      </c>
      <c r="S79" s="12"/>
      <c r="T79" s="13"/>
      <c r="U79" s="13"/>
      <c r="W79" s="11">
        <v>76</v>
      </c>
      <c r="X79" s="12"/>
      <c r="Y79" s="13"/>
      <c r="Z79" s="13"/>
      <c r="AB79" s="11">
        <v>76</v>
      </c>
      <c r="AC79" s="12"/>
      <c r="AD79" s="12"/>
      <c r="AE79" s="12"/>
      <c r="AG79" s="11">
        <v>76</v>
      </c>
      <c r="AH79" s="12"/>
      <c r="AI79" s="12"/>
      <c r="AJ79" s="12"/>
      <c r="AL79" s="11">
        <v>76</v>
      </c>
      <c r="AM79" s="12"/>
      <c r="AN79" s="12"/>
      <c r="AO79" s="12"/>
      <c r="AQ79" s="11">
        <v>76</v>
      </c>
      <c r="AR79" s="13"/>
      <c r="AS79" s="13"/>
      <c r="AT79" s="11">
        <v>76</v>
      </c>
      <c r="AU79" s="13"/>
      <c r="AW79" s="11">
        <v>76</v>
      </c>
      <c r="AX79" s="12"/>
      <c r="AY79" s="12"/>
      <c r="AZ79" s="12"/>
      <c r="BA79" s="12"/>
      <c r="BB79" s="12"/>
      <c r="BC79" s="12"/>
      <c r="BD79" s="12"/>
      <c r="BE79" s="12"/>
      <c r="BF79" s="24"/>
      <c r="BG79" s="29"/>
      <c r="BH79" s="12"/>
      <c r="BI79" s="12"/>
      <c r="BK79" s="11">
        <v>76</v>
      </c>
      <c r="BL79" s="12"/>
      <c r="BM79" s="13"/>
      <c r="BN79" s="13"/>
      <c r="BP79" s="11">
        <v>76</v>
      </c>
      <c r="BQ79" s="12"/>
      <c r="BR79" s="13"/>
      <c r="BS79" s="13"/>
      <c r="BU79" s="11">
        <v>76</v>
      </c>
      <c r="BV79" s="12"/>
      <c r="BW79" s="12"/>
      <c r="BX79" s="12"/>
      <c r="BZ79" s="11">
        <v>76</v>
      </c>
      <c r="CA79" s="12"/>
      <c r="CC79" s="11">
        <v>76</v>
      </c>
      <c r="CD79" s="12"/>
    </row>
    <row r="80" spans="1:82">
      <c r="A80" s="20" t="s">
        <v>22</v>
      </c>
      <c r="B80" s="20">
        <v>7</v>
      </c>
      <c r="C80" s="5" t="s">
        <v>27</v>
      </c>
      <c r="D80" s="37">
        <f t="shared" si="10"/>
        <v>0</v>
      </c>
      <c r="E80" s="59">
        <f t="shared" si="9"/>
        <v>0</v>
      </c>
      <c r="F80" s="38">
        <f t="shared" si="9"/>
        <v>0</v>
      </c>
      <c r="R80" s="11">
        <v>77</v>
      </c>
      <c r="S80" s="12"/>
      <c r="T80" s="13"/>
      <c r="U80" s="13"/>
      <c r="W80" s="11">
        <v>77</v>
      </c>
      <c r="X80" s="12"/>
      <c r="Y80" s="13"/>
      <c r="Z80" s="13"/>
      <c r="AB80" s="11">
        <v>77</v>
      </c>
      <c r="AC80" s="12"/>
      <c r="AD80" s="12"/>
      <c r="AE80" s="12"/>
      <c r="AG80" s="11">
        <v>77</v>
      </c>
      <c r="AH80" s="12"/>
      <c r="AI80" s="12"/>
      <c r="AJ80" s="12"/>
      <c r="AL80" s="11">
        <v>77</v>
      </c>
      <c r="AM80" s="12"/>
      <c r="AN80" s="12"/>
      <c r="AO80" s="12"/>
      <c r="AQ80" s="11">
        <v>77</v>
      </c>
      <c r="AR80" s="13"/>
      <c r="AS80" s="13"/>
      <c r="AT80" s="11">
        <v>77</v>
      </c>
      <c r="AU80" s="13"/>
      <c r="AW80" s="11">
        <v>77</v>
      </c>
      <c r="AX80" s="12"/>
      <c r="AY80" s="12"/>
      <c r="AZ80" s="12"/>
      <c r="BA80" s="12"/>
      <c r="BB80" s="12"/>
      <c r="BC80" s="12"/>
      <c r="BD80" s="12"/>
      <c r="BE80" s="12"/>
      <c r="BF80" s="24"/>
      <c r="BG80" s="29"/>
      <c r="BH80" s="12"/>
      <c r="BI80" s="12"/>
      <c r="BK80" s="11">
        <v>77</v>
      </c>
      <c r="BL80" s="12"/>
      <c r="BM80" s="13"/>
      <c r="BN80" s="13"/>
      <c r="BP80" s="11">
        <v>77</v>
      </c>
      <c r="BQ80" s="12"/>
      <c r="BR80" s="13"/>
      <c r="BS80" s="13"/>
      <c r="BU80" s="11">
        <v>77</v>
      </c>
      <c r="BV80" s="12"/>
      <c r="BW80" s="12"/>
      <c r="BX80" s="12"/>
      <c r="BZ80" s="11">
        <v>77</v>
      </c>
      <c r="CA80" s="12"/>
      <c r="CC80" s="11">
        <v>77</v>
      </c>
      <c r="CD80" s="12"/>
    </row>
    <row r="81" spans="1:82">
      <c r="A81" s="20" t="s">
        <v>23</v>
      </c>
      <c r="B81" s="20">
        <v>8</v>
      </c>
      <c r="C81" s="5" t="s">
        <v>28</v>
      </c>
      <c r="D81" s="37">
        <f t="shared" si="10"/>
        <v>0</v>
      </c>
      <c r="E81" s="59">
        <f t="shared" si="9"/>
        <v>0</v>
      </c>
      <c r="F81" s="38">
        <f t="shared" si="9"/>
        <v>0</v>
      </c>
      <c r="R81" s="11">
        <v>78</v>
      </c>
      <c r="S81" s="12"/>
      <c r="T81" s="13"/>
      <c r="U81" s="13"/>
      <c r="W81" s="11">
        <v>78</v>
      </c>
      <c r="X81" s="12"/>
      <c r="Y81" s="13"/>
      <c r="Z81" s="13"/>
      <c r="AB81" s="11">
        <v>78</v>
      </c>
      <c r="AC81" s="12"/>
      <c r="AD81" s="12"/>
      <c r="AE81" s="12"/>
      <c r="AG81" s="11">
        <v>78</v>
      </c>
      <c r="AH81" s="12"/>
      <c r="AI81" s="12"/>
      <c r="AJ81" s="12"/>
      <c r="AL81" s="11">
        <v>78</v>
      </c>
      <c r="AM81" s="12"/>
      <c r="AN81" s="12"/>
      <c r="AO81" s="12"/>
      <c r="AQ81" s="11">
        <v>78</v>
      </c>
      <c r="AR81" s="13"/>
      <c r="AS81" s="13"/>
      <c r="AT81" s="11">
        <v>78</v>
      </c>
      <c r="AU81" s="13"/>
      <c r="AW81" s="11">
        <v>78</v>
      </c>
      <c r="AX81" s="12"/>
      <c r="AY81" s="12"/>
      <c r="AZ81" s="12"/>
      <c r="BA81" s="12"/>
      <c r="BB81" s="12"/>
      <c r="BC81" s="12"/>
      <c r="BD81" s="12"/>
      <c r="BE81" s="12"/>
      <c r="BF81" s="24"/>
      <c r="BG81" s="29"/>
      <c r="BH81" s="12"/>
      <c r="BI81" s="12"/>
      <c r="BK81" s="11">
        <v>78</v>
      </c>
      <c r="BL81" s="12"/>
      <c r="BM81" s="13"/>
      <c r="BN81" s="13"/>
      <c r="BP81" s="11">
        <v>78</v>
      </c>
      <c r="BQ81" s="12"/>
      <c r="BR81" s="13"/>
      <c r="BS81" s="13"/>
      <c r="BU81" s="11">
        <v>78</v>
      </c>
      <c r="BV81" s="12"/>
      <c r="BW81" s="12"/>
      <c r="BX81" s="12"/>
      <c r="BZ81" s="11">
        <v>78</v>
      </c>
      <c r="CA81" s="12"/>
      <c r="CC81" s="11">
        <v>78</v>
      </c>
      <c r="CD81" s="12"/>
    </row>
    <row r="82" spans="1:82">
      <c r="A82" s="20" t="s">
        <v>24</v>
      </c>
      <c r="B82" s="20">
        <v>9</v>
      </c>
      <c r="C82" s="5" t="s">
        <v>16</v>
      </c>
      <c r="D82" s="37">
        <f t="shared" si="10"/>
        <v>0</v>
      </c>
      <c r="E82" s="59">
        <f t="shared" si="9"/>
        <v>0</v>
      </c>
      <c r="F82" s="38">
        <f t="shared" si="9"/>
        <v>0</v>
      </c>
      <c r="R82" s="11">
        <v>79</v>
      </c>
      <c r="S82" s="12"/>
      <c r="T82" s="13"/>
      <c r="U82" s="13"/>
      <c r="W82" s="11">
        <v>79</v>
      </c>
      <c r="X82" s="12"/>
      <c r="Y82" s="13"/>
      <c r="Z82" s="13"/>
      <c r="AB82" s="11">
        <v>79</v>
      </c>
      <c r="AC82" s="12"/>
      <c r="AD82" s="12"/>
      <c r="AE82" s="12"/>
      <c r="AG82" s="11">
        <v>79</v>
      </c>
      <c r="AH82" s="12"/>
      <c r="AI82" s="12"/>
      <c r="AJ82" s="12"/>
      <c r="AL82" s="11">
        <v>79</v>
      </c>
      <c r="AM82" s="12"/>
      <c r="AN82" s="12"/>
      <c r="AO82" s="12"/>
      <c r="AQ82" s="11">
        <v>79</v>
      </c>
      <c r="AR82" s="13"/>
      <c r="AS82" s="13"/>
      <c r="AT82" s="11">
        <v>79</v>
      </c>
      <c r="AU82" s="13"/>
      <c r="AW82" s="11">
        <v>79</v>
      </c>
      <c r="AX82" s="12"/>
      <c r="AY82" s="12"/>
      <c r="AZ82" s="12"/>
      <c r="BA82" s="12"/>
      <c r="BB82" s="12"/>
      <c r="BC82" s="12"/>
      <c r="BD82" s="12"/>
      <c r="BE82" s="12"/>
      <c r="BF82" s="24"/>
      <c r="BG82" s="29"/>
      <c r="BH82" s="12"/>
      <c r="BI82" s="12"/>
      <c r="BK82" s="11">
        <v>79</v>
      </c>
      <c r="BL82" s="12"/>
      <c r="BM82" s="13"/>
      <c r="BN82" s="13"/>
      <c r="BP82" s="11">
        <v>79</v>
      </c>
      <c r="BQ82" s="12"/>
      <c r="BR82" s="13"/>
      <c r="BS82" s="13"/>
      <c r="BU82" s="11">
        <v>79</v>
      </c>
      <c r="BV82" s="12"/>
      <c r="BW82" s="12"/>
      <c r="BX82" s="12"/>
      <c r="BZ82" s="11">
        <v>79</v>
      </c>
      <c r="CA82" s="12"/>
      <c r="CC82" s="11">
        <v>79</v>
      </c>
      <c r="CD82" s="12"/>
    </row>
    <row r="83" spans="1:82">
      <c r="A83" s="21" t="s">
        <v>35</v>
      </c>
      <c r="B83" s="21">
        <v>10</v>
      </c>
      <c r="C83" s="5" t="s">
        <v>37</v>
      </c>
      <c r="D83" s="37">
        <f t="shared" si="10"/>
        <v>0</v>
      </c>
      <c r="E83" s="59">
        <f t="shared" si="9"/>
        <v>0</v>
      </c>
      <c r="F83" s="38">
        <f t="shared" si="9"/>
        <v>0</v>
      </c>
      <c r="R83" s="11">
        <v>80</v>
      </c>
      <c r="S83" s="12"/>
      <c r="T83" s="13"/>
      <c r="U83" s="13"/>
      <c r="W83" s="11">
        <v>80</v>
      </c>
      <c r="X83" s="12"/>
      <c r="Y83" s="13"/>
      <c r="Z83" s="13"/>
      <c r="AB83" s="11">
        <v>80</v>
      </c>
      <c r="AC83" s="12"/>
      <c r="AD83" s="12"/>
      <c r="AE83" s="12"/>
      <c r="AG83" s="11">
        <v>80</v>
      </c>
      <c r="AH83" s="12"/>
      <c r="AI83" s="12"/>
      <c r="AJ83" s="12"/>
      <c r="AL83" s="11">
        <v>80</v>
      </c>
      <c r="AM83" s="12"/>
      <c r="AN83" s="12"/>
      <c r="AO83" s="12"/>
      <c r="AQ83" s="11">
        <v>80</v>
      </c>
      <c r="AR83" s="13"/>
      <c r="AS83" s="13"/>
      <c r="AT83" s="11">
        <v>80</v>
      </c>
      <c r="AU83" s="13"/>
      <c r="AW83" s="11">
        <v>80</v>
      </c>
      <c r="AX83" s="12"/>
      <c r="AY83" s="12"/>
      <c r="AZ83" s="12"/>
      <c r="BA83" s="12"/>
      <c r="BB83" s="12"/>
      <c r="BC83" s="12"/>
      <c r="BD83" s="12"/>
      <c r="BE83" s="12"/>
      <c r="BF83" s="24"/>
      <c r="BG83" s="29"/>
      <c r="BH83" s="12"/>
      <c r="BI83" s="12"/>
      <c r="BK83" s="11">
        <v>80</v>
      </c>
      <c r="BL83" s="12"/>
      <c r="BM83" s="13"/>
      <c r="BN83" s="13"/>
      <c r="BP83" s="11">
        <v>80</v>
      </c>
      <c r="BQ83" s="12"/>
      <c r="BR83" s="13"/>
      <c r="BS83" s="13"/>
      <c r="BU83" s="11">
        <v>80</v>
      </c>
      <c r="BV83" s="12"/>
      <c r="BW83" s="12"/>
      <c r="BX83" s="12"/>
      <c r="BZ83" s="11">
        <v>80</v>
      </c>
      <c r="CA83" s="12"/>
      <c r="CC83" s="11">
        <v>80</v>
      </c>
      <c r="CD83" s="12"/>
    </row>
    <row r="84" spans="1:82">
      <c r="A84" s="22" t="s">
        <v>39</v>
      </c>
      <c r="B84" s="22">
        <v>11</v>
      </c>
      <c r="C84" s="17" t="s">
        <v>38</v>
      </c>
      <c r="D84" s="60">
        <f t="shared" si="10"/>
        <v>0</v>
      </c>
      <c r="E84" s="39">
        <f t="shared" si="9"/>
        <v>0</v>
      </c>
      <c r="F84" s="40">
        <f t="shared" si="9"/>
        <v>0</v>
      </c>
      <c r="R84" s="11">
        <v>81</v>
      </c>
      <c r="S84" s="12"/>
      <c r="T84" s="13"/>
      <c r="U84" s="13"/>
      <c r="W84" s="11">
        <v>81</v>
      </c>
      <c r="X84" s="12"/>
      <c r="Y84" s="13"/>
      <c r="Z84" s="13"/>
      <c r="AB84" s="11">
        <v>81</v>
      </c>
      <c r="AC84" s="12"/>
      <c r="AD84" s="12"/>
      <c r="AE84" s="12"/>
      <c r="AG84" s="11">
        <v>81</v>
      </c>
      <c r="AH84" s="12"/>
      <c r="AI84" s="12"/>
      <c r="AJ84" s="12"/>
      <c r="AL84" s="11">
        <v>81</v>
      </c>
      <c r="AM84" s="12"/>
      <c r="AN84" s="12"/>
      <c r="AO84" s="12"/>
      <c r="AQ84" s="11">
        <v>81</v>
      </c>
      <c r="AR84" s="13"/>
      <c r="AS84" s="13"/>
      <c r="AT84" s="11">
        <v>81</v>
      </c>
      <c r="AU84" s="13"/>
      <c r="AW84" s="11">
        <v>81</v>
      </c>
      <c r="AX84" s="12"/>
      <c r="AY84" s="12"/>
      <c r="AZ84" s="12"/>
      <c r="BA84" s="12"/>
      <c r="BB84" s="12"/>
      <c r="BC84" s="12"/>
      <c r="BD84" s="12"/>
      <c r="BE84" s="12"/>
      <c r="BF84" s="24"/>
      <c r="BG84" s="29"/>
      <c r="BH84" s="12"/>
      <c r="BI84" s="12"/>
      <c r="BK84" s="11">
        <v>81</v>
      </c>
      <c r="BL84" s="12"/>
      <c r="BM84" s="13"/>
      <c r="BN84" s="13"/>
      <c r="BP84" s="11">
        <v>81</v>
      </c>
      <c r="BQ84" s="12"/>
      <c r="BR84" s="13"/>
      <c r="BS84" s="13"/>
      <c r="BU84" s="11">
        <v>81</v>
      </c>
      <c r="BV84" s="12"/>
      <c r="BW84" s="12"/>
      <c r="BX84" s="12"/>
      <c r="BZ84" s="11">
        <v>81</v>
      </c>
      <c r="CA84" s="12"/>
      <c r="CC84" s="11">
        <v>81</v>
      </c>
      <c r="CD84" s="12"/>
    </row>
    <row r="85" spans="1:82">
      <c r="R85" s="11">
        <v>82</v>
      </c>
      <c r="S85" s="12"/>
      <c r="T85" s="13"/>
      <c r="U85" s="13"/>
      <c r="W85" s="11">
        <v>82</v>
      </c>
      <c r="X85" s="12"/>
      <c r="Y85" s="13"/>
      <c r="Z85" s="13"/>
      <c r="AB85" s="11">
        <v>82</v>
      </c>
      <c r="AC85" s="12"/>
      <c r="AD85" s="12"/>
      <c r="AE85" s="12"/>
      <c r="AG85" s="11">
        <v>82</v>
      </c>
      <c r="AH85" s="12"/>
      <c r="AI85" s="12"/>
      <c r="AJ85" s="12"/>
      <c r="AL85" s="11">
        <v>82</v>
      </c>
      <c r="AM85" s="12"/>
      <c r="AN85" s="12"/>
      <c r="AO85" s="12"/>
      <c r="AQ85" s="11">
        <v>82</v>
      </c>
      <c r="AR85" s="13"/>
      <c r="AS85" s="13"/>
      <c r="AT85" s="11">
        <v>82</v>
      </c>
      <c r="AU85" s="13"/>
      <c r="AW85" s="11">
        <v>82</v>
      </c>
      <c r="AX85" s="12"/>
      <c r="AY85" s="12"/>
      <c r="AZ85" s="12"/>
      <c r="BA85" s="12"/>
      <c r="BB85" s="12"/>
      <c r="BC85" s="12"/>
      <c r="BD85" s="12"/>
      <c r="BE85" s="12"/>
      <c r="BF85" s="24"/>
      <c r="BG85" s="29"/>
      <c r="BH85" s="12"/>
      <c r="BI85" s="12"/>
      <c r="BK85" s="11">
        <v>82</v>
      </c>
      <c r="BL85" s="12"/>
      <c r="BM85" s="13"/>
      <c r="BN85" s="13"/>
      <c r="BP85" s="11">
        <v>82</v>
      </c>
      <c r="BQ85" s="12"/>
      <c r="BR85" s="13"/>
      <c r="BS85" s="13"/>
      <c r="BU85" s="11">
        <v>82</v>
      </c>
      <c r="BV85" s="12"/>
      <c r="BW85" s="12"/>
      <c r="BX85" s="12"/>
      <c r="BZ85" s="11">
        <v>82</v>
      </c>
      <c r="CA85" s="12"/>
      <c r="CC85" s="11">
        <v>82</v>
      </c>
      <c r="CD85" s="12"/>
    </row>
    <row r="86" spans="1:82">
      <c r="R86" s="11">
        <v>83</v>
      </c>
      <c r="S86" s="12"/>
      <c r="T86" s="13"/>
      <c r="U86" s="13"/>
      <c r="W86" s="11">
        <v>83</v>
      </c>
      <c r="X86" s="12"/>
      <c r="Y86" s="13"/>
      <c r="Z86" s="13"/>
      <c r="AB86" s="11">
        <v>83</v>
      </c>
      <c r="AC86" s="12"/>
      <c r="AD86" s="12"/>
      <c r="AE86" s="12"/>
      <c r="AG86" s="11">
        <v>83</v>
      </c>
      <c r="AH86" s="12"/>
      <c r="AI86" s="12"/>
      <c r="AJ86" s="12"/>
      <c r="AL86" s="11">
        <v>83</v>
      </c>
      <c r="AM86" s="12"/>
      <c r="AN86" s="12"/>
      <c r="AO86" s="12"/>
      <c r="AQ86" s="11">
        <v>83</v>
      </c>
      <c r="AR86" s="13"/>
      <c r="AS86" s="13"/>
      <c r="AT86" s="11">
        <v>83</v>
      </c>
      <c r="AU86" s="13"/>
      <c r="AW86" s="11">
        <v>83</v>
      </c>
      <c r="AX86" s="12"/>
      <c r="AY86" s="12"/>
      <c r="AZ86" s="12"/>
      <c r="BA86" s="12"/>
      <c r="BB86" s="12"/>
      <c r="BC86" s="12"/>
      <c r="BD86" s="12"/>
      <c r="BE86" s="12"/>
      <c r="BF86" s="24"/>
      <c r="BG86" s="29"/>
      <c r="BH86" s="12"/>
      <c r="BI86" s="12"/>
      <c r="BK86" s="11">
        <v>83</v>
      </c>
      <c r="BL86" s="12"/>
      <c r="BM86" s="13"/>
      <c r="BN86" s="13"/>
      <c r="BP86" s="11">
        <v>83</v>
      </c>
      <c r="BQ86" s="12"/>
      <c r="BR86" s="13"/>
      <c r="BS86" s="13"/>
      <c r="BU86" s="11">
        <v>83</v>
      </c>
      <c r="BV86" s="12"/>
      <c r="BW86" s="12"/>
      <c r="BX86" s="12"/>
      <c r="BZ86" s="11">
        <v>83</v>
      </c>
      <c r="CA86" s="12"/>
      <c r="CC86" s="11">
        <v>83</v>
      </c>
      <c r="CD86" s="12"/>
    </row>
    <row r="87" spans="1:82">
      <c r="R87" s="11">
        <v>84</v>
      </c>
      <c r="S87" s="12"/>
      <c r="T87" s="13"/>
      <c r="U87" s="13"/>
      <c r="W87" s="11">
        <v>84</v>
      </c>
      <c r="X87" s="12"/>
      <c r="Y87" s="13"/>
      <c r="Z87" s="13"/>
      <c r="AB87" s="11">
        <v>84</v>
      </c>
      <c r="AC87" s="12"/>
      <c r="AD87" s="12"/>
      <c r="AE87" s="12"/>
      <c r="AG87" s="11">
        <v>84</v>
      </c>
      <c r="AH87" s="12"/>
      <c r="AI87" s="12"/>
      <c r="AJ87" s="12"/>
      <c r="AL87" s="11">
        <v>84</v>
      </c>
      <c r="AM87" s="12"/>
      <c r="AN87" s="12"/>
      <c r="AO87" s="12"/>
      <c r="AQ87" s="11">
        <v>84</v>
      </c>
      <c r="AR87" s="13"/>
      <c r="AS87" s="13"/>
      <c r="AT87" s="11">
        <v>84</v>
      </c>
      <c r="AU87" s="13"/>
      <c r="AW87" s="11">
        <v>84</v>
      </c>
      <c r="AX87" s="12"/>
      <c r="AY87" s="12"/>
      <c r="AZ87" s="12"/>
      <c r="BA87" s="12"/>
      <c r="BB87" s="12"/>
      <c r="BC87" s="12"/>
      <c r="BD87" s="12"/>
      <c r="BE87" s="12"/>
      <c r="BF87" s="24"/>
      <c r="BG87" s="29"/>
      <c r="BH87" s="12"/>
      <c r="BI87" s="12"/>
      <c r="BK87" s="11">
        <v>84</v>
      </c>
      <c r="BL87" s="12"/>
      <c r="BM87" s="13"/>
      <c r="BN87" s="13"/>
      <c r="BP87" s="11">
        <v>84</v>
      </c>
      <c r="BQ87" s="12"/>
      <c r="BR87" s="13"/>
      <c r="BS87" s="13"/>
      <c r="BU87" s="11">
        <v>84</v>
      </c>
      <c r="BV87" s="12"/>
      <c r="BW87" s="12"/>
      <c r="BX87" s="12"/>
      <c r="BZ87" s="11">
        <v>84</v>
      </c>
      <c r="CA87" s="12"/>
      <c r="CC87" s="11">
        <v>84</v>
      </c>
      <c r="CD87" s="12"/>
    </row>
    <row r="88" spans="1:82">
      <c r="R88" s="11">
        <v>85</v>
      </c>
      <c r="S88" s="12"/>
      <c r="T88" s="13"/>
      <c r="U88" s="13"/>
      <c r="W88" s="11">
        <v>85</v>
      </c>
      <c r="X88" s="12"/>
      <c r="Y88" s="13"/>
      <c r="Z88" s="13"/>
      <c r="AB88" s="11">
        <v>85</v>
      </c>
      <c r="AC88" s="12"/>
      <c r="AD88" s="12"/>
      <c r="AE88" s="12"/>
      <c r="AG88" s="11">
        <v>85</v>
      </c>
      <c r="AH88" s="12"/>
      <c r="AI88" s="12"/>
      <c r="AJ88" s="12"/>
      <c r="AL88" s="11">
        <v>85</v>
      </c>
      <c r="AM88" s="12"/>
      <c r="AN88" s="12"/>
      <c r="AO88" s="12"/>
      <c r="AQ88" s="11">
        <v>85</v>
      </c>
      <c r="AR88" s="13"/>
      <c r="AS88" s="13"/>
      <c r="AT88" s="11">
        <v>85</v>
      </c>
      <c r="AU88" s="13"/>
      <c r="AW88" s="11">
        <v>85</v>
      </c>
      <c r="AX88" s="12"/>
      <c r="AY88" s="12"/>
      <c r="AZ88" s="12"/>
      <c r="BA88" s="12"/>
      <c r="BB88" s="12"/>
      <c r="BC88" s="12"/>
      <c r="BD88" s="12"/>
      <c r="BE88" s="12"/>
      <c r="BF88" s="24"/>
      <c r="BG88" s="29"/>
      <c r="BH88" s="12"/>
      <c r="BI88" s="12"/>
      <c r="BK88" s="11">
        <v>85</v>
      </c>
      <c r="BL88" s="12"/>
      <c r="BM88" s="13"/>
      <c r="BN88" s="13"/>
      <c r="BP88" s="11">
        <v>85</v>
      </c>
      <c r="BQ88" s="12"/>
      <c r="BR88" s="13"/>
      <c r="BS88" s="13"/>
      <c r="BU88" s="11">
        <v>85</v>
      </c>
      <c r="BV88" s="12"/>
      <c r="BW88" s="12"/>
      <c r="BX88" s="12"/>
      <c r="BZ88" s="11">
        <v>85</v>
      </c>
      <c r="CA88" s="12"/>
      <c r="CC88" s="11">
        <v>85</v>
      </c>
      <c r="CD88" s="12"/>
    </row>
    <row r="89" spans="1:82">
      <c r="R89" s="11">
        <v>86</v>
      </c>
      <c r="S89" s="12"/>
      <c r="T89" s="13"/>
      <c r="U89" s="13"/>
      <c r="W89" s="11">
        <v>86</v>
      </c>
      <c r="X89" s="12"/>
      <c r="Y89" s="13"/>
      <c r="Z89" s="13"/>
      <c r="AB89" s="11">
        <v>86</v>
      </c>
      <c r="AC89" s="12"/>
      <c r="AD89" s="12"/>
      <c r="AE89" s="12"/>
      <c r="AG89" s="11">
        <v>86</v>
      </c>
      <c r="AH89" s="12"/>
      <c r="AI89" s="12"/>
      <c r="AJ89" s="12"/>
      <c r="AL89" s="11">
        <v>86</v>
      </c>
      <c r="AM89" s="12"/>
      <c r="AN89" s="12"/>
      <c r="AO89" s="12"/>
      <c r="AQ89" s="11">
        <v>86</v>
      </c>
      <c r="AR89" s="13"/>
      <c r="AS89" s="13"/>
      <c r="AT89" s="11">
        <v>86</v>
      </c>
      <c r="AU89" s="13"/>
      <c r="AW89" s="11">
        <v>86</v>
      </c>
      <c r="AX89" s="12"/>
      <c r="AY89" s="12"/>
      <c r="AZ89" s="12"/>
      <c r="BA89" s="12"/>
      <c r="BB89" s="12"/>
      <c r="BC89" s="12"/>
      <c r="BD89" s="12"/>
      <c r="BE89" s="12"/>
      <c r="BF89" s="24"/>
      <c r="BG89" s="29"/>
      <c r="BH89" s="12"/>
      <c r="BI89" s="12"/>
      <c r="BK89" s="11">
        <v>86</v>
      </c>
      <c r="BL89" s="12"/>
      <c r="BM89" s="13"/>
      <c r="BN89" s="13"/>
      <c r="BP89" s="11">
        <v>86</v>
      </c>
      <c r="BQ89" s="12"/>
      <c r="BR89" s="13"/>
      <c r="BS89" s="13"/>
      <c r="BU89" s="11">
        <v>86</v>
      </c>
      <c r="BV89" s="12"/>
      <c r="BW89" s="12"/>
      <c r="BX89" s="12"/>
      <c r="BZ89" s="11">
        <v>86</v>
      </c>
      <c r="CA89" s="12"/>
      <c r="CC89" s="11">
        <v>86</v>
      </c>
      <c r="CD89" s="12"/>
    </row>
    <row r="90" spans="1:82">
      <c r="R90" s="11">
        <v>87</v>
      </c>
      <c r="S90" s="12"/>
      <c r="T90" s="13"/>
      <c r="U90" s="13"/>
      <c r="W90" s="11">
        <v>87</v>
      </c>
      <c r="X90" s="12"/>
      <c r="Y90" s="13"/>
      <c r="Z90" s="13"/>
      <c r="AB90" s="11">
        <v>87</v>
      </c>
      <c r="AC90" s="12"/>
      <c r="AD90" s="12"/>
      <c r="AE90" s="12"/>
      <c r="AG90" s="11">
        <v>87</v>
      </c>
      <c r="AH90" s="12"/>
      <c r="AI90" s="12"/>
      <c r="AJ90" s="12"/>
      <c r="AL90" s="11">
        <v>87</v>
      </c>
      <c r="AM90" s="12"/>
      <c r="AN90" s="12"/>
      <c r="AO90" s="12"/>
      <c r="AQ90" s="11">
        <v>87</v>
      </c>
      <c r="AR90" s="13"/>
      <c r="AS90" s="13"/>
      <c r="AT90" s="11">
        <v>87</v>
      </c>
      <c r="AU90" s="13"/>
      <c r="AW90" s="11">
        <v>87</v>
      </c>
      <c r="AX90" s="12"/>
      <c r="AY90" s="12"/>
      <c r="AZ90" s="12"/>
      <c r="BA90" s="12"/>
      <c r="BB90" s="12"/>
      <c r="BC90" s="12"/>
      <c r="BD90" s="12"/>
      <c r="BE90" s="12"/>
      <c r="BF90" s="24"/>
      <c r="BG90" s="29"/>
      <c r="BH90" s="12"/>
      <c r="BI90" s="12"/>
      <c r="BK90" s="11">
        <v>87</v>
      </c>
      <c r="BL90" s="12"/>
      <c r="BM90" s="13"/>
      <c r="BN90" s="13"/>
      <c r="BP90" s="11">
        <v>87</v>
      </c>
      <c r="BQ90" s="12"/>
      <c r="BR90" s="13"/>
      <c r="BS90" s="13"/>
      <c r="BU90" s="11">
        <v>87</v>
      </c>
      <c r="BV90" s="12"/>
      <c r="BW90" s="12"/>
      <c r="BX90" s="12"/>
      <c r="BZ90" s="11">
        <v>87</v>
      </c>
      <c r="CA90" s="12"/>
      <c r="CC90" s="11">
        <v>87</v>
      </c>
      <c r="CD90" s="12"/>
    </row>
    <row r="91" spans="1:82">
      <c r="R91" s="11">
        <v>88</v>
      </c>
      <c r="S91" s="12"/>
      <c r="T91" s="13"/>
      <c r="U91" s="13"/>
      <c r="W91" s="11">
        <v>88</v>
      </c>
      <c r="X91" s="12"/>
      <c r="Y91" s="13"/>
      <c r="Z91" s="13"/>
      <c r="AB91" s="11">
        <v>88</v>
      </c>
      <c r="AC91" s="12"/>
      <c r="AD91" s="12"/>
      <c r="AE91" s="12"/>
      <c r="AG91" s="11">
        <v>88</v>
      </c>
      <c r="AH91" s="12"/>
      <c r="AI91" s="12"/>
      <c r="AJ91" s="12"/>
      <c r="AL91" s="11">
        <v>88</v>
      </c>
      <c r="AM91" s="12"/>
      <c r="AN91" s="12"/>
      <c r="AO91" s="12"/>
      <c r="AQ91" s="11">
        <v>88</v>
      </c>
      <c r="AR91" s="13"/>
      <c r="AS91" s="13"/>
      <c r="AT91" s="11">
        <v>88</v>
      </c>
      <c r="AU91" s="13"/>
      <c r="AW91" s="11">
        <v>88</v>
      </c>
      <c r="AX91" s="12"/>
      <c r="AY91" s="12"/>
      <c r="AZ91" s="12"/>
      <c r="BA91" s="12"/>
      <c r="BB91" s="12"/>
      <c r="BC91" s="12"/>
      <c r="BD91" s="12"/>
      <c r="BE91" s="12"/>
      <c r="BF91" s="24"/>
      <c r="BG91" s="29"/>
      <c r="BH91" s="12"/>
      <c r="BI91" s="12"/>
      <c r="BK91" s="11">
        <v>88</v>
      </c>
      <c r="BL91" s="12"/>
      <c r="BM91" s="13"/>
      <c r="BN91" s="13"/>
      <c r="BP91" s="11">
        <v>88</v>
      </c>
      <c r="BQ91" s="12"/>
      <c r="BR91" s="13"/>
      <c r="BS91" s="13"/>
      <c r="BU91" s="11">
        <v>88</v>
      </c>
      <c r="BV91" s="12"/>
      <c r="BW91" s="12"/>
      <c r="BX91" s="12"/>
      <c r="BZ91" s="11">
        <v>88</v>
      </c>
      <c r="CA91" s="12"/>
      <c r="CC91" s="11">
        <v>88</v>
      </c>
      <c r="CD91" s="12"/>
    </row>
    <row r="92" spans="1:82">
      <c r="R92" s="11">
        <v>89</v>
      </c>
      <c r="S92" s="12"/>
      <c r="T92" s="13"/>
      <c r="U92" s="13"/>
      <c r="W92" s="11">
        <v>89</v>
      </c>
      <c r="X92" s="12"/>
      <c r="Y92" s="13"/>
      <c r="Z92" s="13"/>
      <c r="AB92" s="11">
        <v>89</v>
      </c>
      <c r="AC92" s="12"/>
      <c r="AD92" s="12"/>
      <c r="AE92" s="12"/>
      <c r="AG92" s="11">
        <v>89</v>
      </c>
      <c r="AH92" s="12"/>
      <c r="AI92" s="12"/>
      <c r="AJ92" s="12"/>
      <c r="AL92" s="11">
        <v>89</v>
      </c>
      <c r="AM92" s="12"/>
      <c r="AN92" s="12"/>
      <c r="AO92" s="12"/>
      <c r="AQ92" s="11">
        <v>89</v>
      </c>
      <c r="AR92" s="13"/>
      <c r="AS92" s="13"/>
      <c r="AT92" s="11">
        <v>89</v>
      </c>
      <c r="AU92" s="13"/>
      <c r="AW92" s="11">
        <v>89</v>
      </c>
      <c r="AX92" s="12"/>
      <c r="AY92" s="12"/>
      <c r="AZ92" s="12"/>
      <c r="BA92" s="12"/>
      <c r="BB92" s="12"/>
      <c r="BC92" s="12"/>
      <c r="BD92" s="12"/>
      <c r="BE92" s="12"/>
      <c r="BF92" s="24"/>
      <c r="BG92" s="29"/>
      <c r="BH92" s="12"/>
      <c r="BI92" s="12"/>
      <c r="BK92" s="11">
        <v>89</v>
      </c>
      <c r="BL92" s="12"/>
      <c r="BM92" s="13"/>
      <c r="BN92" s="13"/>
      <c r="BP92" s="11">
        <v>89</v>
      </c>
      <c r="BQ92" s="12"/>
      <c r="BR92" s="13"/>
      <c r="BS92" s="13"/>
      <c r="BU92" s="11">
        <v>89</v>
      </c>
      <c r="BV92" s="12"/>
      <c r="BW92" s="12"/>
      <c r="BX92" s="12"/>
      <c r="BZ92" s="11">
        <v>89</v>
      </c>
      <c r="CA92" s="12"/>
      <c r="CC92" s="11">
        <v>89</v>
      </c>
      <c r="CD92" s="12"/>
    </row>
    <row r="93" spans="1:82">
      <c r="R93" s="11">
        <v>90</v>
      </c>
      <c r="S93" s="12"/>
      <c r="T93" s="13"/>
      <c r="U93" s="13"/>
      <c r="W93" s="11">
        <v>90</v>
      </c>
      <c r="X93" s="12"/>
      <c r="Y93" s="13"/>
      <c r="Z93" s="13"/>
      <c r="AB93" s="11">
        <v>90</v>
      </c>
      <c r="AC93" s="12"/>
      <c r="AD93" s="12"/>
      <c r="AE93" s="12"/>
      <c r="AG93" s="11">
        <v>90</v>
      </c>
      <c r="AH93" s="12"/>
      <c r="AI93" s="12"/>
      <c r="AJ93" s="12"/>
      <c r="AL93" s="11">
        <v>90</v>
      </c>
      <c r="AM93" s="12"/>
      <c r="AN93" s="12"/>
      <c r="AO93" s="12"/>
      <c r="AQ93" s="11">
        <v>90</v>
      </c>
      <c r="AR93" s="13"/>
      <c r="AS93" s="13"/>
      <c r="AT93" s="11">
        <v>90</v>
      </c>
      <c r="AU93" s="13"/>
      <c r="AW93" s="11">
        <v>90</v>
      </c>
      <c r="AX93" s="12"/>
      <c r="AY93" s="12"/>
      <c r="AZ93" s="12"/>
      <c r="BA93" s="12"/>
      <c r="BB93" s="12"/>
      <c r="BC93" s="12"/>
      <c r="BD93" s="12"/>
      <c r="BE93" s="12"/>
      <c r="BF93" s="24"/>
      <c r="BG93" s="29"/>
      <c r="BH93" s="12"/>
      <c r="BI93" s="12"/>
      <c r="BK93" s="11">
        <v>90</v>
      </c>
      <c r="BL93" s="12"/>
      <c r="BM93" s="13"/>
      <c r="BN93" s="13"/>
      <c r="BP93" s="11">
        <v>90</v>
      </c>
      <c r="BQ93" s="12"/>
      <c r="BR93" s="13"/>
      <c r="BS93" s="13"/>
      <c r="BU93" s="11">
        <v>90</v>
      </c>
      <c r="BV93" s="12"/>
      <c r="BW93" s="12"/>
      <c r="BX93" s="12"/>
      <c r="BZ93" s="11">
        <v>90</v>
      </c>
      <c r="CA93" s="12"/>
      <c r="CC93" s="11">
        <v>90</v>
      </c>
      <c r="CD93" s="12"/>
    </row>
    <row r="94" spans="1:82">
      <c r="R94" s="11">
        <v>91</v>
      </c>
      <c r="S94" s="12"/>
      <c r="T94" s="13"/>
      <c r="U94" s="13"/>
      <c r="W94" s="11">
        <v>91</v>
      </c>
      <c r="X94" s="12"/>
      <c r="Y94" s="13"/>
      <c r="Z94" s="13"/>
      <c r="AB94" s="11">
        <v>91</v>
      </c>
      <c r="AC94" s="12"/>
      <c r="AD94" s="12"/>
      <c r="AE94" s="12"/>
      <c r="AG94" s="11">
        <v>91</v>
      </c>
      <c r="AH94" s="12"/>
      <c r="AI94" s="12"/>
      <c r="AJ94" s="12"/>
      <c r="AL94" s="11">
        <v>91</v>
      </c>
      <c r="AM94" s="12"/>
      <c r="AN94" s="12"/>
      <c r="AO94" s="12"/>
      <c r="AQ94" s="11">
        <v>91</v>
      </c>
      <c r="AR94" s="13"/>
      <c r="AS94" s="13"/>
      <c r="AT94" s="11">
        <v>91</v>
      </c>
      <c r="AU94" s="13"/>
      <c r="AW94" s="11">
        <v>91</v>
      </c>
      <c r="AX94" s="12"/>
      <c r="AY94" s="12"/>
      <c r="AZ94" s="12"/>
      <c r="BA94" s="12"/>
      <c r="BB94" s="12"/>
      <c r="BC94" s="12"/>
      <c r="BD94" s="12"/>
      <c r="BE94" s="12"/>
      <c r="BF94" s="24"/>
      <c r="BG94" s="29"/>
      <c r="BH94" s="12"/>
      <c r="BI94" s="12"/>
      <c r="BK94" s="11">
        <v>91</v>
      </c>
      <c r="BL94" s="12"/>
      <c r="BM94" s="13"/>
      <c r="BN94" s="13"/>
      <c r="BP94" s="11">
        <v>91</v>
      </c>
      <c r="BQ94" s="12"/>
      <c r="BR94" s="13"/>
      <c r="BS94" s="13"/>
      <c r="BU94" s="11">
        <v>91</v>
      </c>
      <c r="BV94" s="12"/>
      <c r="BW94" s="12"/>
      <c r="BX94" s="12"/>
      <c r="BZ94" s="11">
        <v>91</v>
      </c>
      <c r="CA94" s="12"/>
      <c r="CC94" s="11">
        <v>91</v>
      </c>
      <c r="CD94" s="12"/>
    </row>
    <row r="95" spans="1:82">
      <c r="R95" s="11">
        <v>92</v>
      </c>
      <c r="S95" s="12"/>
      <c r="T95" s="13"/>
      <c r="U95" s="13"/>
      <c r="W95" s="11">
        <v>92</v>
      </c>
      <c r="X95" s="12"/>
      <c r="Y95" s="13"/>
      <c r="Z95" s="13"/>
      <c r="AB95" s="11">
        <v>92</v>
      </c>
      <c r="AC95" s="12"/>
      <c r="AD95" s="12"/>
      <c r="AE95" s="12"/>
      <c r="AG95" s="11">
        <v>92</v>
      </c>
      <c r="AH95" s="12"/>
      <c r="AI95" s="12"/>
      <c r="AJ95" s="12"/>
      <c r="AL95" s="11">
        <v>92</v>
      </c>
      <c r="AM95" s="12"/>
      <c r="AN95" s="12"/>
      <c r="AO95" s="12"/>
      <c r="AQ95" s="11">
        <v>92</v>
      </c>
      <c r="AR95" s="13"/>
      <c r="AS95" s="13"/>
      <c r="AT95" s="11">
        <v>92</v>
      </c>
      <c r="AU95" s="13"/>
      <c r="AW95" s="11">
        <v>92</v>
      </c>
      <c r="AX95" s="12"/>
      <c r="AY95" s="12"/>
      <c r="AZ95" s="12"/>
      <c r="BA95" s="12"/>
      <c r="BB95" s="12"/>
      <c r="BC95" s="12"/>
      <c r="BD95" s="12"/>
      <c r="BE95" s="12"/>
      <c r="BF95" s="24"/>
      <c r="BG95" s="29"/>
      <c r="BH95" s="12"/>
      <c r="BI95" s="12"/>
      <c r="BK95" s="11">
        <v>92</v>
      </c>
      <c r="BL95" s="12"/>
      <c r="BM95" s="13"/>
      <c r="BN95" s="13"/>
      <c r="BP95" s="11">
        <v>92</v>
      </c>
      <c r="BQ95" s="12"/>
      <c r="BR95" s="13"/>
      <c r="BS95" s="13"/>
      <c r="BU95" s="11">
        <v>92</v>
      </c>
      <c r="BV95" s="12"/>
      <c r="BW95" s="12"/>
      <c r="BX95" s="12"/>
      <c r="BZ95" s="11">
        <v>92</v>
      </c>
      <c r="CA95" s="12"/>
      <c r="CC95" s="11">
        <v>92</v>
      </c>
      <c r="CD95" s="12"/>
    </row>
    <row r="96" spans="1:82">
      <c r="R96" s="11">
        <v>93</v>
      </c>
      <c r="S96" s="12"/>
      <c r="T96" s="13"/>
      <c r="U96" s="13"/>
      <c r="W96" s="11">
        <v>93</v>
      </c>
      <c r="X96" s="12"/>
      <c r="Y96" s="13"/>
      <c r="Z96" s="13"/>
      <c r="AB96" s="11">
        <v>93</v>
      </c>
      <c r="AC96" s="12"/>
      <c r="AD96" s="12"/>
      <c r="AE96" s="12"/>
      <c r="AG96" s="11">
        <v>93</v>
      </c>
      <c r="AH96" s="12"/>
      <c r="AI96" s="12"/>
      <c r="AJ96" s="12"/>
      <c r="AL96" s="11">
        <v>93</v>
      </c>
      <c r="AM96" s="12"/>
      <c r="AN96" s="12"/>
      <c r="AO96" s="12"/>
      <c r="AQ96" s="11">
        <v>93</v>
      </c>
      <c r="AR96" s="13"/>
      <c r="AS96" s="13"/>
      <c r="AT96" s="11">
        <v>93</v>
      </c>
      <c r="AU96" s="13"/>
      <c r="AW96" s="11">
        <v>93</v>
      </c>
      <c r="AX96" s="12"/>
      <c r="AY96" s="12"/>
      <c r="AZ96" s="12"/>
      <c r="BA96" s="12"/>
      <c r="BB96" s="12"/>
      <c r="BC96" s="12"/>
      <c r="BD96" s="12"/>
      <c r="BE96" s="12"/>
      <c r="BF96" s="24"/>
      <c r="BG96" s="29"/>
      <c r="BH96" s="12"/>
      <c r="BI96" s="12"/>
      <c r="BK96" s="11">
        <v>93</v>
      </c>
      <c r="BL96" s="12"/>
      <c r="BM96" s="13"/>
      <c r="BN96" s="13"/>
      <c r="BP96" s="11">
        <v>93</v>
      </c>
      <c r="BQ96" s="12"/>
      <c r="BR96" s="13"/>
      <c r="BS96" s="13"/>
      <c r="BU96" s="11">
        <v>93</v>
      </c>
      <c r="BV96" s="12"/>
      <c r="BW96" s="12"/>
      <c r="BX96" s="12"/>
      <c r="BZ96" s="11">
        <v>93</v>
      </c>
      <c r="CA96" s="12"/>
      <c r="CC96" s="11">
        <v>93</v>
      </c>
      <c r="CD96" s="12"/>
    </row>
    <row r="97" spans="18:82">
      <c r="R97" s="11">
        <v>94</v>
      </c>
      <c r="S97" s="12"/>
      <c r="T97" s="13"/>
      <c r="U97" s="13"/>
      <c r="W97" s="11">
        <v>94</v>
      </c>
      <c r="X97" s="12"/>
      <c r="Y97" s="13"/>
      <c r="Z97" s="13"/>
      <c r="AB97" s="11">
        <v>94</v>
      </c>
      <c r="AC97" s="12"/>
      <c r="AD97" s="12"/>
      <c r="AE97" s="12"/>
      <c r="AG97" s="11">
        <v>94</v>
      </c>
      <c r="AH97" s="12"/>
      <c r="AI97" s="12"/>
      <c r="AJ97" s="12"/>
      <c r="AL97" s="11">
        <v>94</v>
      </c>
      <c r="AM97" s="12"/>
      <c r="AN97" s="12"/>
      <c r="AO97" s="12"/>
      <c r="AQ97" s="11">
        <v>94</v>
      </c>
      <c r="AR97" s="13"/>
      <c r="AS97" s="13"/>
      <c r="AT97" s="11">
        <v>94</v>
      </c>
      <c r="AU97" s="13"/>
      <c r="AW97" s="11">
        <v>94</v>
      </c>
      <c r="AX97" s="12"/>
      <c r="AY97" s="12"/>
      <c r="AZ97" s="12"/>
      <c r="BA97" s="12"/>
      <c r="BB97" s="12"/>
      <c r="BC97" s="12"/>
      <c r="BD97" s="12"/>
      <c r="BE97" s="12"/>
      <c r="BF97" s="24"/>
      <c r="BG97" s="29"/>
      <c r="BH97" s="12"/>
      <c r="BI97" s="12"/>
      <c r="BK97" s="11">
        <v>94</v>
      </c>
      <c r="BL97" s="12"/>
      <c r="BM97" s="13"/>
      <c r="BN97" s="13"/>
      <c r="BP97" s="11">
        <v>94</v>
      </c>
      <c r="BQ97" s="12"/>
      <c r="BR97" s="13"/>
      <c r="BS97" s="13"/>
      <c r="BU97" s="11">
        <v>94</v>
      </c>
      <c r="BV97" s="12"/>
      <c r="BW97" s="12"/>
      <c r="BX97" s="12"/>
      <c r="BZ97" s="11">
        <v>94</v>
      </c>
      <c r="CA97" s="12"/>
      <c r="CC97" s="11">
        <v>94</v>
      </c>
      <c r="CD97" s="12"/>
    </row>
    <row r="98" spans="18:82">
      <c r="R98" s="11">
        <v>95</v>
      </c>
      <c r="S98" s="12"/>
      <c r="T98" s="13"/>
      <c r="U98" s="13"/>
      <c r="W98" s="11">
        <v>95</v>
      </c>
      <c r="X98" s="12"/>
      <c r="Y98" s="13"/>
      <c r="Z98" s="13"/>
      <c r="AB98" s="11">
        <v>95</v>
      </c>
      <c r="AC98" s="12"/>
      <c r="AD98" s="12"/>
      <c r="AE98" s="12"/>
      <c r="AG98" s="11">
        <v>95</v>
      </c>
      <c r="AH98" s="12"/>
      <c r="AI98" s="12"/>
      <c r="AJ98" s="12"/>
      <c r="AL98" s="11">
        <v>95</v>
      </c>
      <c r="AM98" s="12"/>
      <c r="AN98" s="12"/>
      <c r="AO98" s="12"/>
      <c r="AQ98" s="11">
        <v>95</v>
      </c>
      <c r="AR98" s="13"/>
      <c r="AS98" s="13"/>
      <c r="AT98" s="11">
        <v>95</v>
      </c>
      <c r="AU98" s="13"/>
      <c r="AW98" s="11">
        <v>95</v>
      </c>
      <c r="AX98" s="12"/>
      <c r="AY98" s="12"/>
      <c r="AZ98" s="12"/>
      <c r="BA98" s="12"/>
      <c r="BB98" s="12"/>
      <c r="BC98" s="12"/>
      <c r="BD98" s="12"/>
      <c r="BE98" s="12"/>
      <c r="BF98" s="24"/>
      <c r="BG98" s="29"/>
      <c r="BH98" s="12"/>
      <c r="BI98" s="12"/>
      <c r="BK98" s="11">
        <v>95</v>
      </c>
      <c r="BL98" s="12"/>
      <c r="BM98" s="13"/>
      <c r="BN98" s="13"/>
      <c r="BP98" s="11">
        <v>95</v>
      </c>
      <c r="BQ98" s="12"/>
      <c r="BR98" s="13"/>
      <c r="BS98" s="13"/>
      <c r="BU98" s="11">
        <v>95</v>
      </c>
      <c r="BV98" s="12"/>
      <c r="BW98" s="12"/>
      <c r="BX98" s="12"/>
      <c r="BZ98" s="11">
        <v>95</v>
      </c>
      <c r="CA98" s="12"/>
      <c r="CC98" s="11">
        <v>95</v>
      </c>
      <c r="CD98" s="12"/>
    </row>
    <row r="99" spans="18:82">
      <c r="R99" s="11">
        <v>96</v>
      </c>
      <c r="S99" s="12"/>
      <c r="T99" s="13"/>
      <c r="U99" s="13"/>
      <c r="W99" s="11">
        <v>96</v>
      </c>
      <c r="X99" s="12"/>
      <c r="Y99" s="13"/>
      <c r="Z99" s="13"/>
      <c r="AB99" s="11">
        <v>96</v>
      </c>
      <c r="AC99" s="12"/>
      <c r="AD99" s="12"/>
      <c r="AE99" s="12"/>
      <c r="AG99" s="11">
        <v>96</v>
      </c>
      <c r="AH99" s="12"/>
      <c r="AI99" s="12"/>
      <c r="AJ99" s="12"/>
      <c r="AL99" s="11">
        <v>96</v>
      </c>
      <c r="AM99" s="12"/>
      <c r="AN99" s="12"/>
      <c r="AO99" s="12"/>
      <c r="AQ99" s="11">
        <v>96</v>
      </c>
      <c r="AR99" s="13"/>
      <c r="AS99" s="13"/>
      <c r="AT99" s="11">
        <v>96</v>
      </c>
      <c r="AU99" s="13"/>
      <c r="AW99" s="11">
        <v>96</v>
      </c>
      <c r="AX99" s="12"/>
      <c r="AY99" s="12"/>
      <c r="AZ99" s="12"/>
      <c r="BA99" s="12"/>
      <c r="BB99" s="12"/>
      <c r="BC99" s="12"/>
      <c r="BD99" s="12"/>
      <c r="BE99" s="12"/>
      <c r="BF99" s="24"/>
      <c r="BG99" s="29"/>
      <c r="BH99" s="12"/>
      <c r="BI99" s="12"/>
      <c r="BK99" s="11">
        <v>96</v>
      </c>
      <c r="BL99" s="12"/>
      <c r="BM99" s="13"/>
      <c r="BN99" s="13"/>
      <c r="BP99" s="11">
        <v>96</v>
      </c>
      <c r="BQ99" s="12"/>
      <c r="BR99" s="13"/>
      <c r="BS99" s="13"/>
      <c r="BU99" s="11">
        <v>96</v>
      </c>
      <c r="BV99" s="12"/>
      <c r="BW99" s="12"/>
      <c r="BX99" s="12"/>
      <c r="BZ99" s="11">
        <v>96</v>
      </c>
      <c r="CA99" s="12"/>
      <c r="CC99" s="11">
        <v>96</v>
      </c>
      <c r="CD99" s="12"/>
    </row>
    <row r="100" spans="18:82">
      <c r="R100" s="11">
        <v>97</v>
      </c>
      <c r="S100" s="12"/>
      <c r="T100" s="13"/>
      <c r="U100" s="13"/>
      <c r="W100" s="11">
        <v>97</v>
      </c>
      <c r="X100" s="12"/>
      <c r="Y100" s="13"/>
      <c r="Z100" s="13"/>
      <c r="AB100" s="11">
        <v>97</v>
      </c>
      <c r="AC100" s="12"/>
      <c r="AD100" s="12"/>
      <c r="AE100" s="12"/>
      <c r="AG100" s="11">
        <v>97</v>
      </c>
      <c r="AH100" s="12"/>
      <c r="AI100" s="12"/>
      <c r="AJ100" s="12"/>
      <c r="AL100" s="11">
        <v>97</v>
      </c>
      <c r="AM100" s="12"/>
      <c r="AN100" s="12"/>
      <c r="AO100" s="12"/>
      <c r="AQ100" s="11">
        <v>97</v>
      </c>
      <c r="AR100" s="13"/>
      <c r="AS100" s="13"/>
      <c r="AT100" s="11">
        <v>97</v>
      </c>
      <c r="AU100" s="13"/>
      <c r="AW100" s="11">
        <v>97</v>
      </c>
      <c r="AX100" s="12"/>
      <c r="AY100" s="12"/>
      <c r="AZ100" s="12"/>
      <c r="BA100" s="12"/>
      <c r="BB100" s="12"/>
      <c r="BC100" s="12"/>
      <c r="BD100" s="12"/>
      <c r="BE100" s="12"/>
      <c r="BF100" s="24"/>
      <c r="BG100" s="29"/>
      <c r="BH100" s="12"/>
      <c r="BI100" s="12"/>
      <c r="BK100" s="11">
        <v>97</v>
      </c>
      <c r="BL100" s="12"/>
      <c r="BM100" s="13"/>
      <c r="BN100" s="13"/>
      <c r="BP100" s="11">
        <v>97</v>
      </c>
      <c r="BQ100" s="12"/>
      <c r="BR100" s="13"/>
      <c r="BS100" s="13"/>
      <c r="BU100" s="11">
        <v>97</v>
      </c>
      <c r="BV100" s="12"/>
      <c r="BW100" s="12"/>
      <c r="BX100" s="12"/>
      <c r="BZ100" s="11">
        <v>97</v>
      </c>
      <c r="CA100" s="12"/>
      <c r="CC100" s="11">
        <v>97</v>
      </c>
      <c r="CD100" s="12"/>
    </row>
    <row r="101" spans="18:82">
      <c r="R101" s="11">
        <v>98</v>
      </c>
      <c r="S101" s="12"/>
      <c r="T101" s="13"/>
      <c r="U101" s="13"/>
      <c r="W101" s="11">
        <v>98</v>
      </c>
      <c r="X101" s="12"/>
      <c r="Y101" s="13"/>
      <c r="Z101" s="13"/>
      <c r="AB101" s="11">
        <v>98</v>
      </c>
      <c r="AC101" s="12"/>
      <c r="AD101" s="12"/>
      <c r="AE101" s="12"/>
      <c r="AG101" s="11">
        <v>98</v>
      </c>
      <c r="AH101" s="12"/>
      <c r="AI101" s="12"/>
      <c r="AJ101" s="12"/>
      <c r="AL101" s="11">
        <v>98</v>
      </c>
      <c r="AM101" s="12"/>
      <c r="AN101" s="12"/>
      <c r="AO101" s="12"/>
      <c r="AQ101" s="11">
        <v>98</v>
      </c>
      <c r="AR101" s="13"/>
      <c r="AS101" s="13"/>
      <c r="AT101" s="11">
        <v>98</v>
      </c>
      <c r="AU101" s="13"/>
      <c r="AW101" s="11">
        <v>98</v>
      </c>
      <c r="AX101" s="12"/>
      <c r="AY101" s="12"/>
      <c r="AZ101" s="12"/>
      <c r="BA101" s="12"/>
      <c r="BB101" s="12"/>
      <c r="BC101" s="12"/>
      <c r="BD101" s="12"/>
      <c r="BE101" s="12"/>
      <c r="BF101" s="24"/>
      <c r="BG101" s="29"/>
      <c r="BH101" s="12"/>
      <c r="BI101" s="12"/>
      <c r="BK101" s="11">
        <v>98</v>
      </c>
      <c r="BL101" s="12"/>
      <c r="BM101" s="13"/>
      <c r="BN101" s="13"/>
      <c r="BP101" s="11">
        <v>98</v>
      </c>
      <c r="BQ101" s="12"/>
      <c r="BR101" s="13"/>
      <c r="BS101" s="13"/>
      <c r="BU101" s="11">
        <v>98</v>
      </c>
      <c r="BV101" s="12"/>
      <c r="BW101" s="12"/>
      <c r="BX101" s="12"/>
      <c r="BZ101" s="11">
        <v>98</v>
      </c>
      <c r="CA101" s="12"/>
      <c r="CC101" s="11">
        <v>98</v>
      </c>
      <c r="CD101" s="12"/>
    </row>
    <row r="102" spans="18:82">
      <c r="R102" s="11">
        <v>99</v>
      </c>
      <c r="S102" s="12"/>
      <c r="T102" s="13"/>
      <c r="U102" s="13"/>
      <c r="W102" s="11">
        <v>99</v>
      </c>
      <c r="X102" s="12"/>
      <c r="Y102" s="13"/>
      <c r="Z102" s="13"/>
      <c r="AB102" s="11">
        <v>99</v>
      </c>
      <c r="AC102" s="12"/>
      <c r="AD102" s="12"/>
      <c r="AE102" s="12"/>
      <c r="AG102" s="11">
        <v>99</v>
      </c>
      <c r="AH102" s="12"/>
      <c r="AI102" s="12"/>
      <c r="AJ102" s="12"/>
      <c r="AL102" s="11">
        <v>99</v>
      </c>
      <c r="AM102" s="12"/>
      <c r="AN102" s="12"/>
      <c r="AO102" s="12"/>
      <c r="AQ102" s="11">
        <v>99</v>
      </c>
      <c r="AR102" s="13"/>
      <c r="AS102" s="13"/>
      <c r="AT102" s="11">
        <v>99</v>
      </c>
      <c r="AU102" s="13"/>
      <c r="AW102" s="11">
        <v>99</v>
      </c>
      <c r="AX102" s="12"/>
      <c r="AY102" s="12"/>
      <c r="AZ102" s="12"/>
      <c r="BA102" s="12"/>
      <c r="BB102" s="12"/>
      <c r="BC102" s="12"/>
      <c r="BD102" s="12"/>
      <c r="BE102" s="12"/>
      <c r="BF102" s="24"/>
      <c r="BG102" s="29"/>
      <c r="BH102" s="12"/>
      <c r="BI102" s="12"/>
      <c r="BK102" s="11">
        <v>99</v>
      </c>
      <c r="BL102" s="12"/>
      <c r="BM102" s="13"/>
      <c r="BN102" s="13"/>
      <c r="BP102" s="11">
        <v>99</v>
      </c>
      <c r="BQ102" s="12"/>
      <c r="BR102" s="13"/>
      <c r="BS102" s="13"/>
      <c r="BU102" s="11">
        <v>99</v>
      </c>
      <c r="BV102" s="12"/>
      <c r="BW102" s="12"/>
      <c r="BX102" s="12"/>
      <c r="BZ102" s="11">
        <v>99</v>
      </c>
      <c r="CA102" s="12"/>
      <c r="CC102" s="11">
        <v>99</v>
      </c>
      <c r="CD102" s="12"/>
    </row>
    <row r="103" spans="18:82">
      <c r="R103" s="11">
        <v>100</v>
      </c>
      <c r="S103" s="12"/>
      <c r="T103" s="13"/>
      <c r="U103" s="13"/>
      <c r="W103" s="11">
        <v>100</v>
      </c>
      <c r="X103" s="12"/>
      <c r="Y103" s="13"/>
      <c r="Z103" s="13"/>
      <c r="AB103" s="11">
        <v>100</v>
      </c>
      <c r="AC103" s="12"/>
      <c r="AD103" s="12"/>
      <c r="AE103" s="12"/>
      <c r="AG103" s="11">
        <v>100</v>
      </c>
      <c r="AH103" s="12"/>
      <c r="AI103" s="12"/>
      <c r="AJ103" s="12"/>
      <c r="AL103" s="11">
        <v>100</v>
      </c>
      <c r="AM103" s="12"/>
      <c r="AN103" s="12"/>
      <c r="AO103" s="12"/>
      <c r="AQ103" s="11">
        <v>100</v>
      </c>
      <c r="AR103" s="13"/>
      <c r="AS103" s="13"/>
      <c r="AT103" s="11">
        <v>100</v>
      </c>
      <c r="AU103" s="13"/>
      <c r="AW103" s="11">
        <v>100</v>
      </c>
      <c r="AX103" s="12"/>
      <c r="AY103" s="12"/>
      <c r="AZ103" s="12"/>
      <c r="BA103" s="12"/>
      <c r="BB103" s="12"/>
      <c r="BC103" s="12"/>
      <c r="BD103" s="12"/>
      <c r="BE103" s="12"/>
      <c r="BF103" s="24"/>
      <c r="BG103" s="29"/>
      <c r="BH103" s="12"/>
      <c r="BI103" s="12"/>
      <c r="BK103" s="11">
        <v>100</v>
      </c>
      <c r="BL103" s="12"/>
      <c r="BM103" s="13"/>
      <c r="BN103" s="13"/>
      <c r="BP103" s="11">
        <v>100</v>
      </c>
      <c r="BQ103" s="12"/>
      <c r="BR103" s="13"/>
      <c r="BS103" s="13"/>
      <c r="BU103" s="11">
        <v>100</v>
      </c>
      <c r="BV103" s="12"/>
      <c r="BW103" s="12"/>
      <c r="BX103" s="12"/>
      <c r="BZ103" s="11">
        <v>100</v>
      </c>
      <c r="CA103" s="12"/>
      <c r="CC103" s="11">
        <v>100</v>
      </c>
      <c r="CD103" s="12"/>
    </row>
    <row r="111" spans="18:82">
      <c r="U111"/>
      <c r="AC111"/>
      <c r="AD111"/>
      <c r="AE111"/>
    </row>
    <row r="112" spans="18:82">
      <c r="U112" s="15"/>
      <c r="V112" s="15"/>
      <c r="W112" s="15"/>
      <c r="X112" s="15"/>
      <c r="Y112" s="15"/>
      <c r="Z112" s="15"/>
      <c r="AA112" s="15"/>
      <c r="AB112" s="15"/>
      <c r="AC112" s="15"/>
      <c r="AD112" s="15"/>
      <c r="AE112" s="15"/>
      <c r="AF112" s="15"/>
      <c r="AP112" s="15"/>
    </row>
    <row r="113" spans="9:42">
      <c r="V113" s="16"/>
      <c r="W113" s="16"/>
      <c r="X113" s="16"/>
      <c r="Y113" s="16"/>
      <c r="Z113" s="16"/>
      <c r="AA113" s="16"/>
      <c r="AB113" s="16"/>
      <c r="AF113" s="16"/>
      <c r="AP113" s="16"/>
    </row>
    <row r="126" spans="9:42">
      <c r="I126" s="34"/>
    </row>
  </sheetData>
  <mergeCells count="2">
    <mergeCell ref="J2:N2"/>
    <mergeCell ref="L5:N5"/>
  </mergeCells>
  <phoneticPr fontId="1" type="noConversion"/>
  <conditionalFormatting sqref="AF113">
    <cfRule type="cellIs" dxfId="1122" priority="204" operator="equal">
      <formula>"E"</formula>
    </cfRule>
  </conditionalFormatting>
  <conditionalFormatting sqref="Y39:Z52">
    <cfRule type="cellIs" dxfId="1121" priority="218" operator="equal">
      <formula>"M4"</formula>
    </cfRule>
    <cfRule type="cellIs" dxfId="1120" priority="219" operator="equal">
      <formula>"M3"</formula>
    </cfRule>
    <cfRule type="cellIs" dxfId="1119" priority="220" operator="equal">
      <formula>"M2"</formula>
    </cfRule>
    <cfRule type="cellIs" dxfId="1118" priority="221" operator="equal">
      <formula>"M1"</formula>
    </cfRule>
  </conditionalFormatting>
  <conditionalFormatting sqref="AB1 X2:Z2 X39:Z103">
    <cfRule type="cellIs" dxfId="1117" priority="217" operator="equal">
      <formula>"E"</formula>
    </cfRule>
  </conditionalFormatting>
  <conditionalFormatting sqref="AB2:AB70">
    <cfRule type="cellIs" dxfId="1116" priority="213" stopIfTrue="1" operator="equal">
      <formula>"WW"</formula>
    </cfRule>
    <cfRule type="cellIs" dxfId="1115" priority="214" stopIfTrue="1" operator="equal">
      <formula>"C2"</formula>
    </cfRule>
  </conditionalFormatting>
  <conditionalFormatting sqref="W2:W70">
    <cfRule type="cellIs" dxfId="1114" priority="211" stopIfTrue="1" operator="equal">
      <formula>"WW"</formula>
    </cfRule>
    <cfRule type="cellIs" dxfId="1113" priority="212" stopIfTrue="1" operator="equal">
      <formula>"C2"</formula>
    </cfRule>
  </conditionalFormatting>
  <conditionalFormatting sqref="X39:Z103">
    <cfRule type="cellIs" dxfId="1112" priority="207" operator="equal">
      <formula>"M4"</formula>
    </cfRule>
    <cfRule type="cellIs" dxfId="1111" priority="208" operator="equal">
      <formula>"M3"</formula>
    </cfRule>
    <cfRule type="cellIs" dxfId="1110" priority="209" operator="equal">
      <formula>"M2"</formula>
    </cfRule>
    <cfRule type="cellIs" dxfId="1109" priority="210" operator="equal">
      <formula>"M1"</formula>
    </cfRule>
  </conditionalFormatting>
  <conditionalFormatting sqref="V113:AB113 AP113">
    <cfRule type="cellIs" dxfId="1108" priority="206" operator="equal">
      <formula>"E"</formula>
    </cfRule>
  </conditionalFormatting>
  <conditionalFormatting sqref="J13">
    <cfRule type="dataBar" priority="20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{E05C536F-6B0C-4295-A10C-EEA0F65F5ADD}</x14:id>
        </ext>
      </extLst>
    </cfRule>
  </conditionalFormatting>
  <conditionalFormatting sqref="U113">
    <cfRule type="cellIs" dxfId="1107" priority="193" operator="equal">
      <formula>"E"</formula>
    </cfRule>
  </conditionalFormatting>
  <conditionalFormatting sqref="R1:R70">
    <cfRule type="cellIs" dxfId="1106" priority="199" stopIfTrue="1" operator="equal">
      <formula>"WW"</formula>
    </cfRule>
    <cfRule type="cellIs" dxfId="1105" priority="200" stopIfTrue="1" operator="equal">
      <formula>"C2"</formula>
    </cfRule>
  </conditionalFormatting>
  <conditionalFormatting sqref="S39:U103 S3:S38">
    <cfRule type="cellIs" dxfId="1104" priority="195" operator="equal">
      <formula>"M4"</formula>
    </cfRule>
    <cfRule type="cellIs" dxfId="1103" priority="196" operator="equal">
      <formula>"M3"</formula>
    </cfRule>
    <cfRule type="cellIs" dxfId="1102" priority="197" operator="equal">
      <formula>"M2"</formula>
    </cfRule>
    <cfRule type="cellIs" dxfId="1101" priority="198" operator="equal">
      <formula>"M1"</formula>
    </cfRule>
  </conditionalFormatting>
  <conditionalFormatting sqref="S1:U2 S114:U1048576 S111:T113 S39:U110 S3:S38">
    <cfRule type="cellIs" dxfId="1100" priority="194" operator="equal">
      <formula>"E"</formula>
    </cfRule>
  </conditionalFormatting>
  <conditionalFormatting sqref="T3:T38">
    <cfRule type="cellIs" dxfId="1099" priority="189" operator="equal">
      <formula>"M4"</formula>
    </cfRule>
    <cfRule type="cellIs" dxfId="1098" priority="190" operator="equal">
      <formula>"M3"</formula>
    </cfRule>
    <cfRule type="cellIs" dxfId="1097" priority="191" operator="equal">
      <formula>"M2"</formula>
    </cfRule>
    <cfRule type="cellIs" dxfId="1096" priority="192" operator="equal">
      <formula>"M1"</formula>
    </cfRule>
  </conditionalFormatting>
  <conditionalFormatting sqref="T3:T38">
    <cfRule type="cellIs" dxfId="1095" priority="188" operator="equal">
      <formula>"E"</formula>
    </cfRule>
  </conditionalFormatting>
  <conditionalFormatting sqref="U3:U38">
    <cfRule type="cellIs" dxfId="1094" priority="184" operator="equal">
      <formula>"M4"</formula>
    </cfRule>
    <cfRule type="cellIs" dxfId="1093" priority="185" operator="equal">
      <formula>"M3"</formula>
    </cfRule>
    <cfRule type="cellIs" dxfId="1092" priority="186" operator="equal">
      <formula>"M2"</formula>
    </cfRule>
    <cfRule type="cellIs" dxfId="1091" priority="187" operator="equal">
      <formula>"M1"</formula>
    </cfRule>
  </conditionalFormatting>
  <conditionalFormatting sqref="U3:U38">
    <cfRule type="cellIs" dxfId="1090" priority="183" operator="equal">
      <formula>"E"</formula>
    </cfRule>
  </conditionalFormatting>
  <conditionalFormatting sqref="Y3:Z38">
    <cfRule type="cellIs" dxfId="1089" priority="179" operator="equal">
      <formula>"M4"</formula>
    </cfRule>
    <cfRule type="cellIs" dxfId="1088" priority="180" operator="equal">
      <formula>"M3"</formula>
    </cfRule>
    <cfRule type="cellIs" dxfId="1087" priority="181" operator="equal">
      <formula>"M2"</formula>
    </cfRule>
    <cfRule type="cellIs" dxfId="1086" priority="182" operator="equal">
      <formula>"M1"</formula>
    </cfRule>
  </conditionalFormatting>
  <conditionalFormatting sqref="X3:Z38">
    <cfRule type="cellIs" dxfId="1085" priority="178" operator="equal">
      <formula>"E"</formula>
    </cfRule>
  </conditionalFormatting>
  <conditionalFormatting sqref="X3:Z38">
    <cfRule type="cellIs" dxfId="1084" priority="174" operator="equal">
      <formula>"M4"</formula>
    </cfRule>
    <cfRule type="cellIs" dxfId="1083" priority="175" operator="equal">
      <formula>"M3"</formula>
    </cfRule>
    <cfRule type="cellIs" dxfId="1082" priority="176" operator="equal">
      <formula>"M2"</formula>
    </cfRule>
    <cfRule type="cellIs" dxfId="1081" priority="177" operator="equal">
      <formula>"M1"</formula>
    </cfRule>
  </conditionalFormatting>
  <conditionalFormatting sqref="AL1">
    <cfRule type="cellIs" dxfId="1080" priority="168" operator="equal">
      <formula>"E"</formula>
    </cfRule>
  </conditionalFormatting>
  <conditionalFormatting sqref="AG1">
    <cfRule type="cellIs" dxfId="1079" priority="173" operator="equal">
      <formula>"E"</formula>
    </cfRule>
  </conditionalFormatting>
  <conditionalFormatting sqref="AG2:AG70">
    <cfRule type="cellIs" dxfId="1078" priority="169" stopIfTrue="1" operator="equal">
      <formula>"WW"</formula>
    </cfRule>
    <cfRule type="cellIs" dxfId="1077" priority="170" stopIfTrue="1" operator="equal">
      <formula>"C2"</formula>
    </cfRule>
  </conditionalFormatting>
  <conditionalFormatting sqref="AL2:AL70">
    <cfRule type="cellIs" dxfId="1076" priority="164" stopIfTrue="1" operator="equal">
      <formula>"WW"</formula>
    </cfRule>
    <cfRule type="cellIs" dxfId="1075" priority="165" stopIfTrue="1" operator="equal">
      <formula>"C2"</formula>
    </cfRule>
  </conditionalFormatting>
  <conditionalFormatting sqref="AQ1">
    <cfRule type="cellIs" dxfId="1074" priority="129" operator="equal">
      <formula>"E"</formula>
    </cfRule>
  </conditionalFormatting>
  <conditionalFormatting sqref="BA3:BA12 BA43:BA103">
    <cfRule type="cellIs" dxfId="1073" priority="125" operator="equal">
      <formula>"E"</formula>
    </cfRule>
  </conditionalFormatting>
  <conditionalFormatting sqref="AZ2">
    <cfRule type="cellIs" dxfId="1072" priority="126" operator="equal">
      <formula>"E"</formula>
    </cfRule>
  </conditionalFormatting>
  <conditionalFormatting sqref="BI2">
    <cfRule type="cellIs" dxfId="1071" priority="86" operator="equal">
      <formula>"E"</formula>
    </cfRule>
  </conditionalFormatting>
  <conditionalFormatting sqref="BA2">
    <cfRule type="cellIs" dxfId="1070" priority="124" operator="equal">
      <formula>"E"</formula>
    </cfRule>
  </conditionalFormatting>
  <conditionalFormatting sqref="BB43:BB103">
    <cfRule type="cellIs" dxfId="1069" priority="123" operator="equal">
      <formula>"E"</formula>
    </cfRule>
  </conditionalFormatting>
  <conditionalFormatting sqref="BB2">
    <cfRule type="cellIs" dxfId="1068" priority="122" operator="equal">
      <formula>"E"</formula>
    </cfRule>
  </conditionalFormatting>
  <conditionalFormatting sqref="BC43:BC103">
    <cfRule type="cellIs" dxfId="1067" priority="121" operator="equal">
      <formula>"E"</formula>
    </cfRule>
  </conditionalFormatting>
  <conditionalFormatting sqref="BC2">
    <cfRule type="cellIs" dxfId="1066" priority="120" operator="equal">
      <formula>"E"</formula>
    </cfRule>
  </conditionalFormatting>
  <conditionalFormatting sqref="BD43:BD103">
    <cfRule type="cellIs" dxfId="1065" priority="119" operator="equal">
      <formula>"E"</formula>
    </cfRule>
  </conditionalFormatting>
  <conditionalFormatting sqref="BD2">
    <cfRule type="cellIs" dxfId="1064" priority="118" operator="equal">
      <formula>"E"</formula>
    </cfRule>
  </conditionalFormatting>
  <conditionalFormatting sqref="BE43:BE103">
    <cfRule type="cellIs" dxfId="1063" priority="117" operator="equal">
      <formula>"E"</formula>
    </cfRule>
  </conditionalFormatting>
  <conditionalFormatting sqref="BE2">
    <cfRule type="cellIs" dxfId="1062" priority="116" operator="equal">
      <formula>"E"</formula>
    </cfRule>
  </conditionalFormatting>
  <conditionalFormatting sqref="BF43:BF103">
    <cfRule type="cellIs" dxfId="1061" priority="115" operator="equal">
      <formula>"E"</formula>
    </cfRule>
  </conditionalFormatting>
  <conditionalFormatting sqref="BF2">
    <cfRule type="cellIs" dxfId="1060" priority="114" operator="equal">
      <formula>"E"</formula>
    </cfRule>
  </conditionalFormatting>
  <conditionalFormatting sqref="BB3:BB12">
    <cfRule type="cellIs" dxfId="1059" priority="113" operator="equal">
      <formula>"E"</formula>
    </cfRule>
  </conditionalFormatting>
  <conditionalFormatting sqref="BE3:BE12">
    <cfRule type="cellIs" dxfId="1058" priority="112" operator="equal">
      <formula>"E"</formula>
    </cfRule>
  </conditionalFormatting>
  <conditionalFormatting sqref="BF3:BF12">
    <cfRule type="cellIs" dxfId="1057" priority="111" operator="equal">
      <formula>"E"</formula>
    </cfRule>
  </conditionalFormatting>
  <conditionalFormatting sqref="BG43:BG103">
    <cfRule type="cellIs" dxfId="1056" priority="110" operator="equal">
      <formula>"E"</formula>
    </cfRule>
  </conditionalFormatting>
  <conditionalFormatting sqref="BG2">
    <cfRule type="cellIs" dxfId="1055" priority="109" operator="equal">
      <formula>"E"</formula>
    </cfRule>
  </conditionalFormatting>
  <conditionalFormatting sqref="BG3:BG12">
    <cfRule type="cellIs" dxfId="1054" priority="108" operator="equal">
      <formula>"E"</formula>
    </cfRule>
  </conditionalFormatting>
  <conditionalFormatting sqref="BH43:BH103">
    <cfRule type="cellIs" dxfId="1053" priority="107" operator="equal">
      <formula>"E"</formula>
    </cfRule>
  </conditionalFormatting>
  <conditionalFormatting sqref="BH2">
    <cfRule type="cellIs" dxfId="1052" priority="106" operator="equal">
      <formula>"E"</formula>
    </cfRule>
  </conditionalFormatting>
  <conditionalFormatting sqref="BH3:BH12">
    <cfRule type="cellIs" dxfId="1051" priority="105" operator="equal">
      <formula>"E"</formula>
    </cfRule>
  </conditionalFormatting>
  <conditionalFormatting sqref="BU1 BL1:BN2 BQ2:BS103 BL39:BN1048576 BL3:BL38">
    <cfRule type="cellIs" dxfId="1050" priority="98" operator="equal">
      <formula>"E"</formula>
    </cfRule>
  </conditionalFormatting>
  <conditionalFormatting sqref="AX3:AX103">
    <cfRule type="cellIs" dxfId="1049" priority="89" operator="equal">
      <formula>"E"</formula>
    </cfRule>
  </conditionalFormatting>
  <conditionalFormatting sqref="AX2">
    <cfRule type="cellIs" dxfId="1048" priority="88" operator="equal">
      <formula>"E"</formula>
    </cfRule>
  </conditionalFormatting>
  <conditionalFormatting sqref="BI43:BI103">
    <cfRule type="cellIs" dxfId="1047" priority="87" operator="equal">
      <formula>"E"</formula>
    </cfRule>
  </conditionalFormatting>
  <conditionalFormatting sqref="BM3:BM38">
    <cfRule type="cellIs" dxfId="1046" priority="81" operator="equal">
      <formula>"E"</formula>
    </cfRule>
  </conditionalFormatting>
  <conditionalFormatting sqref="BA13:BA22">
    <cfRule type="cellIs" dxfId="1045" priority="73" operator="equal">
      <formula>"E"</formula>
    </cfRule>
  </conditionalFormatting>
  <conditionalFormatting sqref="BH13:BH22">
    <cfRule type="cellIs" dxfId="1044" priority="68" operator="equal">
      <formula>"E"</formula>
    </cfRule>
  </conditionalFormatting>
  <conditionalFormatting sqref="BE23:BE32">
    <cfRule type="cellIs" dxfId="1043" priority="63" operator="equal">
      <formula>"E"</formula>
    </cfRule>
  </conditionalFormatting>
  <conditionalFormatting sqref="AZ33:AZ42">
    <cfRule type="cellIs" dxfId="1042" priority="58" operator="equal">
      <formula>"E"</formula>
    </cfRule>
  </conditionalFormatting>
  <conditionalFormatting sqref="BA33:BA42">
    <cfRule type="cellIs" dxfId="1041" priority="57" operator="equal">
      <formula>"E"</formula>
    </cfRule>
  </conditionalFormatting>
  <conditionalFormatting sqref="BB33:BB42">
    <cfRule type="cellIs" dxfId="1040" priority="56" operator="equal">
      <formula>"E"</formula>
    </cfRule>
  </conditionalFormatting>
  <conditionalFormatting sqref="BE33:BE42">
    <cfRule type="cellIs" dxfId="1039" priority="55" operator="equal">
      <formula>"E"</formula>
    </cfRule>
  </conditionalFormatting>
  <conditionalFormatting sqref="CD3:CD1048576">
    <cfRule type="cellIs" dxfId="1038" priority="42" operator="equal">
      <formula>"E"</formula>
    </cfRule>
  </conditionalFormatting>
  <conditionalFormatting sqref="CD2">
    <cfRule type="cellIs" dxfId="1037" priority="39" operator="equal">
      <formula>"E"</formula>
    </cfRule>
  </conditionalFormatting>
  <conditionalFormatting sqref="BC23:BC32">
    <cfRule type="cellIs" dxfId="1036" priority="36" operator="equal">
      <formula>"E"</formula>
    </cfRule>
  </conditionalFormatting>
  <conditionalFormatting sqref="BC33:BC42">
    <cfRule type="cellIs" dxfId="1035" priority="35" operator="equal">
      <formula>"E"</formula>
    </cfRule>
  </conditionalFormatting>
  <conditionalFormatting sqref="BD3:BD12">
    <cfRule type="cellIs" dxfId="1034" priority="34" operator="equal">
      <formula>"E"</formula>
    </cfRule>
  </conditionalFormatting>
  <conditionalFormatting sqref="AU3:AU42">
    <cfRule type="cellIs" dxfId="1033" priority="157" operator="equal">
      <formula>"M4"</formula>
    </cfRule>
    <cfRule type="cellIs" dxfId="1032" priority="158" operator="equal">
      <formula>"M3"</formula>
    </cfRule>
    <cfRule type="cellIs" dxfId="1031" priority="159" operator="equal">
      <formula>"M2"</formula>
    </cfRule>
    <cfRule type="cellIs" dxfId="1030" priority="160" operator="equal">
      <formula>"M1"</formula>
    </cfRule>
  </conditionalFormatting>
  <conditionalFormatting sqref="AS39:AS103 AU2:AU42 BW1 AR1:AR1048576 BV2:BW1048576 BX1:BX1048576">
    <cfRule type="cellIs" dxfId="1029" priority="155" operator="equal">
      <formula>"E"</formula>
    </cfRule>
  </conditionalFormatting>
  <conditionalFormatting sqref="AS39:AS103 AU3:AU42 AR3:AR103">
    <cfRule type="cellIs" dxfId="1028" priority="144" operator="equal">
      <formula>"RE"</formula>
    </cfRule>
    <cfRule type="cellIs" dxfId="1027" priority="145" operator="equal">
      <formula>"3000"</formula>
    </cfRule>
    <cfRule type="cellIs" dxfId="1026" priority="146" operator="equal">
      <formula>"300"</formula>
    </cfRule>
    <cfRule type="cellIs" dxfId="1025" priority="147" operator="equal">
      <formula>"100"</formula>
    </cfRule>
    <cfRule type="cellIs" dxfId="1024" priority="148" operator="equal">
      <formula>"50"</formula>
    </cfRule>
    <cfRule type="cellIs" dxfId="1023" priority="149" operator="equal">
      <formula>"40"</formula>
    </cfRule>
    <cfRule type="cellIs" dxfId="1022" priority="150" operator="equal">
      <formula>"20"</formula>
    </cfRule>
  </conditionalFormatting>
  <conditionalFormatting sqref="AR1 AR104:AR1048576">
    <cfRule type="cellIs" dxfId="1021" priority="151" operator="equal">
      <formula>"M4"</formula>
    </cfRule>
    <cfRule type="cellIs" dxfId="1020" priority="152" operator="equal">
      <formula>"M3"</formula>
    </cfRule>
    <cfRule type="cellIs" dxfId="1019" priority="153" operator="equal">
      <formula>"M1"</formula>
    </cfRule>
    <cfRule type="cellIs" dxfId="1018" priority="154" operator="equal">
      <formula>"M2"</formula>
    </cfRule>
    <cfRule type="cellIs" dxfId="1017" priority="156" stopIfTrue="1" operator="between">
      <formula>"C1"</formula>
      <formula>"C2"</formula>
    </cfRule>
  </conditionalFormatting>
  <conditionalFormatting sqref="AQ2:AQ70">
    <cfRule type="cellIs" dxfId="1016" priority="142" stopIfTrue="1" operator="equal">
      <formula>"WW"</formula>
    </cfRule>
    <cfRule type="cellIs" dxfId="1015" priority="143" stopIfTrue="1" operator="equal">
      <formula>"C2"</formula>
    </cfRule>
  </conditionalFormatting>
  <conditionalFormatting sqref="AT2:AT70">
    <cfRule type="cellIs" dxfId="1014" priority="140" stopIfTrue="1" operator="equal">
      <formula>"WW"</formula>
    </cfRule>
    <cfRule type="cellIs" dxfId="1013" priority="141" stopIfTrue="1" operator="equal">
      <formula>"C2"</formula>
    </cfRule>
  </conditionalFormatting>
  <conditionalFormatting sqref="AU43:AU103">
    <cfRule type="cellIs" dxfId="1012" priority="139" operator="equal">
      <formula>"E"</formula>
    </cfRule>
  </conditionalFormatting>
  <conditionalFormatting sqref="AU43:AU103">
    <cfRule type="cellIs" dxfId="1011" priority="135" operator="equal">
      <formula>"M4"</formula>
    </cfRule>
    <cfRule type="cellIs" dxfId="1010" priority="136" operator="equal">
      <formula>"M3"</formula>
    </cfRule>
    <cfRule type="cellIs" dxfId="1009" priority="137" operator="equal">
      <formula>"M2"</formula>
    </cfRule>
    <cfRule type="cellIs" dxfId="1008" priority="138" operator="equal">
      <formula>"M1"</formula>
    </cfRule>
  </conditionalFormatting>
  <conditionalFormatting sqref="AW1">
    <cfRule type="cellIs" dxfId="1007" priority="134" operator="equal">
      <formula>"E"</formula>
    </cfRule>
  </conditionalFormatting>
  <conditionalFormatting sqref="AY3:AY103">
    <cfRule type="cellIs" dxfId="1006" priority="133" operator="equal">
      <formula>"E"</formula>
    </cfRule>
  </conditionalFormatting>
  <conditionalFormatting sqref="AY2">
    <cfRule type="cellIs" dxfId="1005" priority="132" operator="equal">
      <formula>"E"</formula>
    </cfRule>
  </conditionalFormatting>
  <conditionalFormatting sqref="AW2:AW70">
    <cfRule type="cellIs" dxfId="1004" priority="130" stopIfTrue="1" operator="equal">
      <formula>"WW"</formula>
    </cfRule>
    <cfRule type="cellIs" dxfId="1003" priority="131" stopIfTrue="1" operator="equal">
      <formula>"C2"</formula>
    </cfRule>
  </conditionalFormatting>
  <conditionalFormatting sqref="AT1">
    <cfRule type="cellIs" dxfId="1002" priority="128" operator="equal">
      <formula>"E"</formula>
    </cfRule>
  </conditionalFormatting>
  <conditionalFormatting sqref="AZ3:AZ12 AZ43:AZ103">
    <cfRule type="cellIs" dxfId="1001" priority="127" operator="equal">
      <formula>"E"</formula>
    </cfRule>
  </conditionalFormatting>
  <conditionalFormatting sqref="BK1:BK70">
    <cfRule type="cellIs" dxfId="1000" priority="103" stopIfTrue="1" operator="equal">
      <formula>"WW"</formula>
    </cfRule>
    <cfRule type="cellIs" dxfId="999" priority="104" stopIfTrue="1" operator="equal">
      <formula>"C2"</formula>
    </cfRule>
  </conditionalFormatting>
  <conditionalFormatting sqref="BL39:BN103 BR3:BS52 BL3:BL38">
    <cfRule type="cellIs" dxfId="998" priority="99" operator="equal">
      <formula>"M4"</formula>
    </cfRule>
    <cfRule type="cellIs" dxfId="997" priority="100" operator="equal">
      <formula>"M3"</formula>
    </cfRule>
    <cfRule type="cellIs" dxfId="996" priority="101" operator="equal">
      <formula>"M2"</formula>
    </cfRule>
    <cfRule type="cellIs" dxfId="995" priority="102" operator="equal">
      <formula>"M1"</formula>
    </cfRule>
  </conditionalFormatting>
  <conditionalFormatting sqref="BU2:BU70">
    <cfRule type="cellIs" dxfId="994" priority="96" stopIfTrue="1" operator="equal">
      <formula>"WW"</formula>
    </cfRule>
    <cfRule type="cellIs" dxfId="993" priority="97" stopIfTrue="1" operator="equal">
      <formula>"C2"</formula>
    </cfRule>
  </conditionalFormatting>
  <conditionalFormatting sqref="BP2:BP70">
    <cfRule type="cellIs" dxfId="992" priority="94" stopIfTrue="1" operator="equal">
      <formula>"WW"</formula>
    </cfRule>
    <cfRule type="cellIs" dxfId="991" priority="95" stopIfTrue="1" operator="equal">
      <formula>"C2"</formula>
    </cfRule>
  </conditionalFormatting>
  <conditionalFormatting sqref="BQ3:BS103">
    <cfRule type="cellIs" dxfId="990" priority="90" operator="equal">
      <formula>"M4"</formula>
    </cfRule>
    <cfRule type="cellIs" dxfId="989" priority="91" operator="equal">
      <formula>"M3"</formula>
    </cfRule>
    <cfRule type="cellIs" dxfId="988" priority="92" operator="equal">
      <formula>"M2"</formula>
    </cfRule>
    <cfRule type="cellIs" dxfId="987" priority="93" operator="equal">
      <formula>"M1"</formula>
    </cfRule>
  </conditionalFormatting>
  <conditionalFormatting sqref="BM3:BM38">
    <cfRule type="cellIs" dxfId="986" priority="82" operator="equal">
      <formula>"M4"</formula>
    </cfRule>
    <cfRule type="cellIs" dxfId="985" priority="83" operator="equal">
      <formula>"M3"</formula>
    </cfRule>
    <cfRule type="cellIs" dxfId="984" priority="84" operator="equal">
      <formula>"M2"</formula>
    </cfRule>
    <cfRule type="cellIs" dxfId="983" priority="85" operator="equal">
      <formula>"M1"</formula>
    </cfRule>
  </conditionalFormatting>
  <conditionalFormatting sqref="BN3:BN38">
    <cfRule type="cellIs" dxfId="982" priority="77" operator="equal">
      <formula>"M4"</formula>
    </cfRule>
    <cfRule type="cellIs" dxfId="981" priority="78" operator="equal">
      <formula>"M3"</formula>
    </cfRule>
    <cfRule type="cellIs" dxfId="980" priority="79" operator="equal">
      <formula>"M2"</formula>
    </cfRule>
    <cfRule type="cellIs" dxfId="979" priority="80" operator="equal">
      <formula>"M1"</formula>
    </cfRule>
  </conditionalFormatting>
  <conditionalFormatting sqref="BN3:BN38">
    <cfRule type="cellIs" dxfId="978" priority="76" operator="equal">
      <formula>"E"</formula>
    </cfRule>
  </conditionalFormatting>
  <conditionalFormatting sqref="BI3:BI12">
    <cfRule type="cellIs" dxfId="977" priority="75" operator="equal">
      <formula>"E"</formula>
    </cfRule>
  </conditionalFormatting>
  <conditionalFormatting sqref="AZ13:AZ22">
    <cfRule type="cellIs" dxfId="976" priority="74" operator="equal">
      <formula>"E"</formula>
    </cfRule>
  </conditionalFormatting>
  <conditionalFormatting sqref="BB13:BB22">
    <cfRule type="cellIs" dxfId="975" priority="72" operator="equal">
      <formula>"E"</formula>
    </cfRule>
  </conditionalFormatting>
  <conditionalFormatting sqref="BF13:BF22">
    <cfRule type="cellIs" dxfId="974" priority="70" operator="equal">
      <formula>"E"</formula>
    </cfRule>
  </conditionalFormatting>
  <conditionalFormatting sqref="BE13:BE22">
    <cfRule type="cellIs" dxfId="973" priority="71" operator="equal">
      <formula>"E"</formula>
    </cfRule>
  </conditionalFormatting>
  <conditionalFormatting sqref="BG13:BG22">
    <cfRule type="cellIs" dxfId="972" priority="69" operator="equal">
      <formula>"E"</formula>
    </cfRule>
  </conditionalFormatting>
  <conditionalFormatting sqref="BI13:BI22">
    <cfRule type="cellIs" dxfId="971" priority="67" operator="equal">
      <formula>"E"</formula>
    </cfRule>
  </conditionalFormatting>
  <conditionalFormatting sqref="AZ23:AZ32">
    <cfRule type="cellIs" dxfId="970" priority="66" operator="equal">
      <formula>"E"</formula>
    </cfRule>
  </conditionalFormatting>
  <conditionalFormatting sqref="BA23:BA32">
    <cfRule type="cellIs" dxfId="969" priority="65" operator="equal">
      <formula>"E"</formula>
    </cfRule>
  </conditionalFormatting>
  <conditionalFormatting sqref="BB23:BB32">
    <cfRule type="cellIs" dxfId="968" priority="64" operator="equal">
      <formula>"E"</formula>
    </cfRule>
  </conditionalFormatting>
  <conditionalFormatting sqref="BH23:BH32">
    <cfRule type="cellIs" dxfId="967" priority="60" operator="equal">
      <formula>"E"</formula>
    </cfRule>
  </conditionalFormatting>
  <conditionalFormatting sqref="BF23:BF32">
    <cfRule type="cellIs" dxfId="966" priority="62" operator="equal">
      <formula>"E"</formula>
    </cfRule>
  </conditionalFormatting>
  <conditionalFormatting sqref="BG23:BG32">
    <cfRule type="cellIs" dxfId="965" priority="61" operator="equal">
      <formula>"E"</formula>
    </cfRule>
  </conditionalFormatting>
  <conditionalFormatting sqref="BI23:BI32">
    <cfRule type="cellIs" dxfId="964" priority="59" operator="equal">
      <formula>"E"</formula>
    </cfRule>
  </conditionalFormatting>
  <conditionalFormatting sqref="BH33:BH42">
    <cfRule type="cellIs" dxfId="963" priority="52" operator="equal">
      <formula>"E"</formula>
    </cfRule>
  </conditionalFormatting>
  <conditionalFormatting sqref="BF33:BF42">
    <cfRule type="cellIs" dxfId="962" priority="54" operator="equal">
      <formula>"E"</formula>
    </cfRule>
  </conditionalFormatting>
  <conditionalFormatting sqref="BG33:BG42">
    <cfRule type="cellIs" dxfId="961" priority="53" operator="equal">
      <formula>"E"</formula>
    </cfRule>
  </conditionalFormatting>
  <conditionalFormatting sqref="BI33:BI42">
    <cfRule type="cellIs" dxfId="960" priority="51" operator="equal">
      <formula>"E"</formula>
    </cfRule>
  </conditionalFormatting>
  <conditionalFormatting sqref="CA1:CA1048576">
    <cfRule type="cellIs" dxfId="959" priority="44" operator="equal">
      <formula>"E"</formula>
    </cfRule>
  </conditionalFormatting>
  <conditionalFormatting sqref="CC1">
    <cfRule type="cellIs" dxfId="958" priority="43" operator="equal">
      <formula>"E"</formula>
    </cfRule>
  </conditionalFormatting>
  <conditionalFormatting sqref="BZ1:BZ70">
    <cfRule type="cellIs" dxfId="957" priority="49" stopIfTrue="1" operator="equal">
      <formula>"WW"</formula>
    </cfRule>
    <cfRule type="cellIs" dxfId="956" priority="50" stopIfTrue="1" operator="equal">
      <formula>"C2"</formula>
    </cfRule>
  </conditionalFormatting>
  <conditionalFormatting sqref="CA3:CA103">
    <cfRule type="cellIs" dxfId="955" priority="45" operator="equal">
      <formula>"M4"</formula>
    </cfRule>
    <cfRule type="cellIs" dxfId="954" priority="46" operator="equal">
      <formula>"M3"</formula>
    </cfRule>
    <cfRule type="cellIs" dxfId="953" priority="47" operator="equal">
      <formula>"M2"</formula>
    </cfRule>
    <cfRule type="cellIs" dxfId="952" priority="48" operator="equal">
      <formula>"M1"</formula>
    </cfRule>
  </conditionalFormatting>
  <conditionalFormatting sqref="CC2:CC70">
    <cfRule type="cellIs" dxfId="951" priority="40" stopIfTrue="1" operator="equal">
      <formula>"WW"</formula>
    </cfRule>
    <cfRule type="cellIs" dxfId="950" priority="41" stopIfTrue="1" operator="equal">
      <formula>"C2"</formula>
    </cfRule>
  </conditionalFormatting>
  <conditionalFormatting sqref="BC3:BC12">
    <cfRule type="cellIs" dxfId="949" priority="38" operator="equal">
      <formula>"E"</formula>
    </cfRule>
  </conditionalFormatting>
  <conditionalFormatting sqref="BC13:BC22">
    <cfRule type="cellIs" dxfId="948" priority="37" operator="equal">
      <formula>"E"</formula>
    </cfRule>
  </conditionalFormatting>
  <conditionalFormatting sqref="BD13:BD22">
    <cfRule type="cellIs" dxfId="947" priority="33" operator="equal">
      <formula>"E"</formula>
    </cfRule>
  </conditionalFormatting>
  <conditionalFormatting sqref="BD23:BD32">
    <cfRule type="cellIs" dxfId="946" priority="32" operator="equal">
      <formula>"E"</formula>
    </cfRule>
  </conditionalFormatting>
  <conditionalFormatting sqref="BD33:BD42">
    <cfRule type="cellIs" dxfId="945" priority="31" operator="equal">
      <formula>"E"</formula>
    </cfRule>
  </conditionalFormatting>
  <conditionalFormatting sqref="AD1:AE1">
    <cfRule type="cellIs" dxfId="944" priority="30" operator="equal">
      <formula>"E"</formula>
    </cfRule>
  </conditionalFormatting>
  <conditionalFormatting sqref="AC39:AE110 AC114:AE1048576 AC3:AC38">
    <cfRule type="cellIs" dxfId="943" priority="29" operator="equal">
      <formula>"E"</formula>
    </cfRule>
  </conditionalFormatting>
  <conditionalFormatting sqref="AC2:AE2">
    <cfRule type="cellIs" dxfId="942" priority="28" operator="equal">
      <formula>"E"</formula>
    </cfRule>
  </conditionalFormatting>
  <conditionalFormatting sqref="AC113:AE113">
    <cfRule type="cellIs" dxfId="941" priority="27" operator="equal">
      <formula>"E"</formula>
    </cfRule>
  </conditionalFormatting>
  <conditionalFormatting sqref="AE4:AE38">
    <cfRule type="cellIs" dxfId="940" priority="26" operator="equal">
      <formula>"E"</formula>
    </cfRule>
  </conditionalFormatting>
  <conditionalFormatting sqref="AE3">
    <cfRule type="cellIs" dxfId="939" priority="25" operator="equal">
      <formula>"E"</formula>
    </cfRule>
  </conditionalFormatting>
  <conditionalFormatting sqref="AD3:AD38">
    <cfRule type="cellIs" dxfId="938" priority="24" operator="equal">
      <formula>"E"</formula>
    </cfRule>
  </conditionalFormatting>
  <conditionalFormatting sqref="AI1:AJ1">
    <cfRule type="cellIs" dxfId="937" priority="23" operator="equal">
      <formula>"E"</formula>
    </cfRule>
  </conditionalFormatting>
  <conditionalFormatting sqref="AH39:AJ103">
    <cfRule type="cellIs" dxfId="936" priority="22" operator="equal">
      <formula>"E"</formula>
    </cfRule>
  </conditionalFormatting>
  <conditionalFormatting sqref="AH2:AJ2">
    <cfRule type="cellIs" dxfId="935" priority="21" operator="equal">
      <formula>"E"</formula>
    </cfRule>
  </conditionalFormatting>
  <conditionalFormatting sqref="AH3:AH38">
    <cfRule type="cellIs" dxfId="934" priority="8" operator="equal">
      <formula>"E"</formula>
    </cfRule>
  </conditionalFormatting>
  <conditionalFormatting sqref="AN1:AO1">
    <cfRule type="cellIs" dxfId="933" priority="15" operator="equal">
      <formula>"E"</formula>
    </cfRule>
  </conditionalFormatting>
  <conditionalFormatting sqref="AM39:AO103">
    <cfRule type="cellIs" dxfId="932" priority="14" operator="equal">
      <formula>"E"</formula>
    </cfRule>
  </conditionalFormatting>
  <conditionalFormatting sqref="AM2:AO2">
    <cfRule type="cellIs" dxfId="931" priority="13" operator="equal">
      <formula>"E"</formula>
    </cfRule>
  </conditionalFormatting>
  <conditionalFormatting sqref="AJ4:AJ38">
    <cfRule type="cellIs" dxfId="930" priority="7" operator="equal">
      <formula>"E"</formula>
    </cfRule>
  </conditionalFormatting>
  <conditionalFormatting sqref="AJ3">
    <cfRule type="cellIs" dxfId="929" priority="6" operator="equal">
      <formula>"E"</formula>
    </cfRule>
  </conditionalFormatting>
  <conditionalFormatting sqref="AI3:AI38">
    <cfRule type="cellIs" dxfId="928" priority="5" operator="equal">
      <formula>"E"</formula>
    </cfRule>
  </conditionalFormatting>
  <conditionalFormatting sqref="AM3:AM38">
    <cfRule type="cellIs" dxfId="927" priority="4" operator="equal">
      <formula>"E"</formula>
    </cfRule>
  </conditionalFormatting>
  <conditionalFormatting sqref="AO4:AO38">
    <cfRule type="cellIs" dxfId="926" priority="3" operator="equal">
      <formula>"E"</formula>
    </cfRule>
  </conditionalFormatting>
  <conditionalFormatting sqref="AO3">
    <cfRule type="cellIs" dxfId="925" priority="2" operator="equal">
      <formula>"E"</formula>
    </cfRule>
  </conditionalFormatting>
  <conditionalFormatting sqref="AN3:AN38">
    <cfRule type="cellIs" dxfId="924" priority="1" operator="equal">
      <formula>"E"</formula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05C536F-6B0C-4295-A10C-EEA0F65F5AD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J13</xm:sqref>
        </x14:conditionalFormatting>
      </x14:conditionalFormatting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A82927-E8FC-436E-AE9F-BE606A167914}">
  <dimension ref="A1:CD126"/>
  <sheetViews>
    <sheetView workbookViewId="0">
      <selection sqref="A1:C1"/>
    </sheetView>
  </sheetViews>
  <sheetFormatPr defaultRowHeight="16.2"/>
  <cols>
    <col min="1" max="1" width="14.44140625" customWidth="1"/>
    <col min="2" max="2" width="5.77734375" customWidth="1"/>
    <col min="3" max="3" width="20.109375" customWidth="1"/>
    <col min="4" max="4" width="8.77734375" customWidth="1"/>
    <col min="5" max="6" width="9.33203125" bestFit="1" customWidth="1"/>
    <col min="10" max="10" width="12.88671875" customWidth="1"/>
    <col min="13" max="15" width="8.6640625" customWidth="1"/>
    <col min="16" max="16" width="10.44140625" bestFit="1" customWidth="1"/>
    <col min="18" max="18" width="10.6640625" style="15" customWidth="1"/>
    <col min="19" max="21" width="9.77734375" style="16" customWidth="1"/>
    <col min="22" max="22" width="3.77734375" customWidth="1"/>
    <col min="24" max="26" width="4.44140625" customWidth="1"/>
    <col min="27" max="27" width="3.77734375" customWidth="1"/>
    <col min="28" max="28" width="9.88671875" customWidth="1"/>
    <col min="29" max="31" width="5.109375" style="16" customWidth="1"/>
    <col min="32" max="32" width="3.6640625" customWidth="1"/>
    <col min="34" max="36" width="5.33203125" customWidth="1"/>
    <col min="37" max="37" width="3.44140625" customWidth="1"/>
    <col min="39" max="41" width="5.33203125" customWidth="1"/>
    <col min="42" max="42" width="13.44140625" customWidth="1"/>
    <col min="44" max="44" width="13.44140625" style="16" customWidth="1"/>
    <col min="45" max="45" width="3.77734375" customWidth="1"/>
    <col min="48" max="48" width="3.77734375" customWidth="1"/>
    <col min="49" max="49" width="12.44140625" customWidth="1"/>
    <col min="59" max="59" width="9.44140625" style="26" customWidth="1"/>
    <col min="60" max="60" width="8.88671875" customWidth="1"/>
    <col min="61" max="61" width="15.33203125" customWidth="1"/>
    <col min="63" max="63" width="10.6640625" style="15" bestFit="1" customWidth="1"/>
    <col min="64" max="66" width="9.77734375" style="16" customWidth="1"/>
    <col min="67" max="67" width="3.77734375" customWidth="1"/>
    <col min="69" max="71" width="4.44140625" customWidth="1"/>
    <col min="72" max="72" width="3.77734375" customWidth="1"/>
    <col min="73" max="73" width="9.88671875" customWidth="1"/>
    <col min="74" max="76" width="5.44140625" style="16" customWidth="1"/>
    <col min="78" max="78" width="10.6640625" style="15" bestFit="1" customWidth="1"/>
    <col min="79" max="79" width="9.77734375" style="16" customWidth="1"/>
    <col min="80" max="80" width="6.44140625" customWidth="1"/>
    <col min="81" max="81" width="9.88671875" customWidth="1"/>
    <col min="82" max="82" width="11.88671875" style="16" customWidth="1"/>
  </cols>
  <sheetData>
    <row r="1" spans="1:82">
      <c r="A1" s="30" t="s">
        <v>115</v>
      </c>
      <c r="D1" s="119"/>
      <c r="E1" s="119"/>
      <c r="F1" s="119"/>
      <c r="R1" s="9" t="s">
        <v>41</v>
      </c>
      <c r="S1" s="10"/>
      <c r="T1" s="10"/>
      <c r="U1" s="10"/>
      <c r="W1" s="18" t="s">
        <v>30</v>
      </c>
      <c r="AB1" s="10" t="s">
        <v>93</v>
      </c>
      <c r="AD1" s="10"/>
      <c r="AE1" s="10"/>
      <c r="AG1" s="10" t="s">
        <v>94</v>
      </c>
      <c r="AH1" s="16"/>
      <c r="AI1" s="10"/>
      <c r="AJ1" s="10"/>
      <c r="AL1" s="10" t="s">
        <v>95</v>
      </c>
      <c r="AM1" s="16"/>
      <c r="AN1" s="10"/>
      <c r="AO1" s="10"/>
      <c r="AQ1" s="19" t="s">
        <v>31</v>
      </c>
      <c r="AR1" s="10"/>
      <c r="AT1" s="19" t="s">
        <v>32</v>
      </c>
      <c r="AW1" s="19" t="s">
        <v>141</v>
      </c>
      <c r="AX1" s="16" t="s">
        <v>60</v>
      </c>
      <c r="AY1" s="16" t="s">
        <v>48</v>
      </c>
      <c r="AZ1" s="16" t="s">
        <v>49</v>
      </c>
      <c r="BA1" s="16" t="s">
        <v>50</v>
      </c>
      <c r="BB1" s="16" t="s">
        <v>51</v>
      </c>
      <c r="BC1" s="16" t="s">
        <v>52</v>
      </c>
      <c r="BD1" s="16" t="s">
        <v>53</v>
      </c>
      <c r="BE1" s="16" t="s">
        <v>54</v>
      </c>
      <c r="BF1" s="16" t="s">
        <v>55</v>
      </c>
      <c r="BG1" s="25" t="s">
        <v>87</v>
      </c>
      <c r="BH1" s="16" t="s">
        <v>88</v>
      </c>
      <c r="BI1" s="41" t="s">
        <v>89</v>
      </c>
      <c r="BK1" s="9" t="s">
        <v>43</v>
      </c>
      <c r="BL1" s="10"/>
      <c r="BM1" s="10"/>
      <c r="BN1" s="10"/>
      <c r="BP1" s="18" t="s">
        <v>45</v>
      </c>
      <c r="BU1" s="19" t="s">
        <v>44</v>
      </c>
      <c r="BW1" s="10"/>
      <c r="BX1" s="10"/>
      <c r="BZ1" s="9" t="s">
        <v>70</v>
      </c>
      <c r="CA1" s="10"/>
      <c r="CC1" s="19" t="s">
        <v>139</v>
      </c>
    </row>
    <row r="2" spans="1:82" ht="18" customHeight="1">
      <c r="D2" s="119"/>
      <c r="E2" s="119"/>
      <c r="F2" s="119"/>
      <c r="J2" s="301" t="s">
        <v>112</v>
      </c>
      <c r="K2" s="318"/>
      <c r="L2" s="318"/>
      <c r="M2" s="318"/>
      <c r="N2" s="319"/>
      <c r="R2" s="11" t="s">
        <v>17</v>
      </c>
      <c r="S2" s="12" t="s">
        <v>0</v>
      </c>
      <c r="T2" s="13" t="s">
        <v>1</v>
      </c>
      <c r="U2" s="12" t="s">
        <v>2</v>
      </c>
      <c r="W2" s="11" t="s">
        <v>17</v>
      </c>
      <c r="X2" s="12" t="s">
        <v>0</v>
      </c>
      <c r="Y2" s="13" t="s">
        <v>1</v>
      </c>
      <c r="Z2" s="12" t="s">
        <v>2</v>
      </c>
      <c r="AB2" s="11" t="s">
        <v>17</v>
      </c>
      <c r="AC2" s="12" t="s">
        <v>0</v>
      </c>
      <c r="AD2" s="13" t="s">
        <v>1</v>
      </c>
      <c r="AE2" s="12" t="s">
        <v>2</v>
      </c>
      <c r="AG2" s="11" t="s">
        <v>17</v>
      </c>
      <c r="AH2" s="12" t="s">
        <v>0</v>
      </c>
      <c r="AI2" s="13" t="s">
        <v>1</v>
      </c>
      <c r="AJ2" s="12" t="s">
        <v>2</v>
      </c>
      <c r="AL2" s="11" t="s">
        <v>17</v>
      </c>
      <c r="AM2" s="12" t="s">
        <v>0</v>
      </c>
      <c r="AN2" s="13" t="s">
        <v>1</v>
      </c>
      <c r="AO2" s="12" t="s">
        <v>2</v>
      </c>
      <c r="AQ2" s="11" t="s">
        <v>17</v>
      </c>
      <c r="AR2" s="13" t="s">
        <v>3</v>
      </c>
      <c r="AT2" s="11" t="s">
        <v>17</v>
      </c>
      <c r="AU2" s="13" t="s">
        <v>4</v>
      </c>
      <c r="AW2" s="11" t="s">
        <v>17</v>
      </c>
      <c r="AX2" s="12" t="s">
        <v>3</v>
      </c>
      <c r="AY2" s="12" t="s">
        <v>3</v>
      </c>
      <c r="AZ2" s="12" t="s">
        <v>3</v>
      </c>
      <c r="BA2" s="12" t="s">
        <v>3</v>
      </c>
      <c r="BB2" s="12" t="s">
        <v>3</v>
      </c>
      <c r="BC2" s="12" t="s">
        <v>3</v>
      </c>
      <c r="BD2" s="12" t="s">
        <v>3</v>
      </c>
      <c r="BE2" s="12" t="s">
        <v>3</v>
      </c>
      <c r="BF2" s="24" t="s">
        <v>3</v>
      </c>
      <c r="BG2" s="29" t="s">
        <v>3</v>
      </c>
      <c r="BH2" s="12" t="s">
        <v>3</v>
      </c>
      <c r="BI2" s="12" t="s">
        <v>3</v>
      </c>
      <c r="BK2" s="11" t="s">
        <v>17</v>
      </c>
      <c r="BL2" s="12" t="s">
        <v>0</v>
      </c>
      <c r="BM2" s="13" t="s">
        <v>1</v>
      </c>
      <c r="BN2" s="12" t="s">
        <v>2</v>
      </c>
      <c r="BP2" s="11" t="s">
        <v>17</v>
      </c>
      <c r="BQ2" s="12" t="s">
        <v>0</v>
      </c>
      <c r="BR2" s="13" t="s">
        <v>1</v>
      </c>
      <c r="BS2" s="12" t="s">
        <v>2</v>
      </c>
      <c r="BU2" s="11" t="s">
        <v>17</v>
      </c>
      <c r="BV2" s="12" t="s">
        <v>0</v>
      </c>
      <c r="BW2" s="13" t="s">
        <v>1</v>
      </c>
      <c r="BX2" s="12" t="s">
        <v>2</v>
      </c>
      <c r="BZ2" s="11" t="s">
        <v>17</v>
      </c>
      <c r="CA2" s="12" t="s">
        <v>69</v>
      </c>
      <c r="CC2" s="11" t="s">
        <v>17</v>
      </c>
      <c r="CD2" s="12" t="s">
        <v>140</v>
      </c>
    </row>
    <row r="3" spans="1:82" ht="16.8">
      <c r="D3" s="119"/>
      <c r="E3" s="119"/>
      <c r="F3" s="119"/>
      <c r="H3" s="27"/>
      <c r="I3" s="27"/>
      <c r="J3" s="64" t="s">
        <v>79</v>
      </c>
      <c r="K3" s="64" t="s">
        <v>78</v>
      </c>
      <c r="L3" s="2" t="s">
        <v>80</v>
      </c>
      <c r="M3" s="2" t="s">
        <v>72</v>
      </c>
      <c r="N3" s="2" t="s">
        <v>73</v>
      </c>
      <c r="R3" s="11">
        <v>0</v>
      </c>
      <c r="S3" s="12">
        <v>1</v>
      </c>
      <c r="T3" s="12" t="s">
        <v>15</v>
      </c>
      <c r="U3" s="12" t="s">
        <v>15</v>
      </c>
      <c r="W3" s="11">
        <v>0</v>
      </c>
      <c r="X3" s="12">
        <v>2</v>
      </c>
      <c r="Y3" s="12">
        <v>0</v>
      </c>
      <c r="Z3" s="12">
        <v>0</v>
      </c>
      <c r="AB3" s="11">
        <v>0</v>
      </c>
      <c r="AC3" s="12">
        <v>1172</v>
      </c>
      <c r="AD3" s="12">
        <v>33</v>
      </c>
      <c r="AE3" s="12">
        <v>556</v>
      </c>
      <c r="AG3" s="11">
        <v>0</v>
      </c>
      <c r="AH3" s="12">
        <v>632</v>
      </c>
      <c r="AI3" s="12">
        <v>177</v>
      </c>
      <c r="AJ3" s="12">
        <v>0</v>
      </c>
      <c r="AL3" s="11">
        <v>0</v>
      </c>
      <c r="AM3" s="12">
        <v>5</v>
      </c>
      <c r="AN3" s="12">
        <v>177</v>
      </c>
      <c r="AO3" s="12">
        <v>254</v>
      </c>
      <c r="AQ3" s="11">
        <v>0</v>
      </c>
      <c r="AR3" s="14" t="s">
        <v>5</v>
      </c>
      <c r="AT3" s="11">
        <v>0</v>
      </c>
      <c r="AU3" s="12">
        <v>6</v>
      </c>
      <c r="AW3" s="11">
        <v>0</v>
      </c>
      <c r="AX3" s="12">
        <v>149</v>
      </c>
      <c r="AY3" s="12">
        <v>18</v>
      </c>
      <c r="AZ3" s="12">
        <v>1381</v>
      </c>
      <c r="BA3" s="12">
        <v>67</v>
      </c>
      <c r="BB3" s="12">
        <v>5</v>
      </c>
      <c r="BC3" s="12">
        <v>34</v>
      </c>
      <c r="BD3" s="12">
        <v>255</v>
      </c>
      <c r="BE3" s="12">
        <v>10</v>
      </c>
      <c r="BF3" s="24">
        <v>512</v>
      </c>
      <c r="BG3" s="29">
        <v>367</v>
      </c>
      <c r="BH3" s="12">
        <v>241</v>
      </c>
      <c r="BI3" s="12">
        <v>241</v>
      </c>
      <c r="BK3" s="11">
        <v>0</v>
      </c>
      <c r="BL3" s="12">
        <v>1</v>
      </c>
      <c r="BM3" s="12" t="s">
        <v>15</v>
      </c>
      <c r="BN3" s="12" t="s">
        <v>15</v>
      </c>
      <c r="BP3" s="11">
        <v>0</v>
      </c>
      <c r="BQ3" s="12">
        <v>2</v>
      </c>
      <c r="BR3" s="12">
        <v>0</v>
      </c>
      <c r="BS3" s="12">
        <v>0</v>
      </c>
      <c r="BU3" s="11">
        <v>0</v>
      </c>
      <c r="BV3" s="12">
        <v>0</v>
      </c>
      <c r="BW3" s="12">
        <v>0</v>
      </c>
      <c r="BX3" s="12">
        <v>0</v>
      </c>
      <c r="BZ3" s="11">
        <v>0</v>
      </c>
      <c r="CA3" s="12">
        <v>100</v>
      </c>
      <c r="CC3" s="11">
        <v>0</v>
      </c>
      <c r="CD3" s="12">
        <v>136</v>
      </c>
    </row>
    <row r="4" spans="1:82" ht="16.8">
      <c r="A4" s="30" t="s">
        <v>46</v>
      </c>
      <c r="B4" s="1" t="s">
        <v>86</v>
      </c>
      <c r="C4" s="2" t="s">
        <v>114</v>
      </c>
      <c r="D4" s="3" t="s">
        <v>80</v>
      </c>
      <c r="E4" s="122" t="s">
        <v>1</v>
      </c>
      <c r="F4" s="4" t="s">
        <v>2</v>
      </c>
      <c r="H4" s="27"/>
      <c r="J4" s="61" t="s">
        <v>77</v>
      </c>
      <c r="K4" s="61" t="s">
        <v>7</v>
      </c>
      <c r="L4" s="2">
        <v>6</v>
      </c>
      <c r="M4" s="2">
        <v>1</v>
      </c>
      <c r="N4" s="2">
        <v>7</v>
      </c>
      <c r="O4" s="6"/>
      <c r="R4" s="11">
        <v>1</v>
      </c>
      <c r="S4" s="12" t="s">
        <v>15</v>
      </c>
      <c r="T4" s="12">
        <v>0</v>
      </c>
      <c r="U4" s="12">
        <v>0</v>
      </c>
      <c r="W4" s="11">
        <v>1</v>
      </c>
      <c r="X4" s="12">
        <v>0</v>
      </c>
      <c r="Y4" s="12">
        <v>1</v>
      </c>
      <c r="Z4" s="12">
        <v>1</v>
      </c>
      <c r="AB4" s="11">
        <v>1</v>
      </c>
      <c r="AC4" s="12">
        <v>5</v>
      </c>
      <c r="AD4" s="12">
        <v>352</v>
      </c>
      <c r="AE4" s="12">
        <v>0</v>
      </c>
      <c r="AG4" s="11">
        <v>1</v>
      </c>
      <c r="AH4" s="12">
        <v>280</v>
      </c>
      <c r="AI4" s="12">
        <v>74</v>
      </c>
      <c r="AJ4" s="12">
        <v>542</v>
      </c>
      <c r="AL4" s="11">
        <v>1</v>
      </c>
      <c r="AM4" s="12">
        <v>547</v>
      </c>
      <c r="AN4" s="12">
        <v>711</v>
      </c>
      <c r="AO4" s="12">
        <v>900</v>
      </c>
      <c r="AQ4" s="11">
        <v>1</v>
      </c>
      <c r="AR4" s="12" t="s">
        <v>15</v>
      </c>
      <c r="AT4" s="11">
        <v>1</v>
      </c>
      <c r="AU4" s="12">
        <v>0</v>
      </c>
      <c r="AW4" s="11">
        <v>1</v>
      </c>
      <c r="AX4" s="12">
        <v>402</v>
      </c>
      <c r="AY4" s="12">
        <v>27</v>
      </c>
      <c r="AZ4" s="12">
        <v>13</v>
      </c>
      <c r="BA4" s="12">
        <v>279</v>
      </c>
      <c r="BB4" s="12">
        <v>390</v>
      </c>
      <c r="BC4" s="12">
        <v>456</v>
      </c>
      <c r="BD4" s="12">
        <v>316</v>
      </c>
      <c r="BE4" s="12">
        <v>462</v>
      </c>
      <c r="BF4" s="24">
        <v>312</v>
      </c>
      <c r="BG4" s="29">
        <v>196</v>
      </c>
      <c r="BH4" s="12">
        <v>304</v>
      </c>
      <c r="BI4" s="12">
        <v>304</v>
      </c>
      <c r="BK4" s="11">
        <v>1</v>
      </c>
      <c r="BL4" s="12" t="s">
        <v>15</v>
      </c>
      <c r="BM4" s="12">
        <v>0</v>
      </c>
      <c r="BN4" s="12">
        <v>0</v>
      </c>
      <c r="BP4" s="11">
        <v>1</v>
      </c>
      <c r="BQ4" s="12">
        <v>0</v>
      </c>
      <c r="BR4" s="12">
        <v>1</v>
      </c>
      <c r="BS4" s="12">
        <v>1</v>
      </c>
      <c r="BU4" s="11">
        <v>1</v>
      </c>
      <c r="BV4" s="12">
        <v>62</v>
      </c>
      <c r="BW4" s="12">
        <v>676</v>
      </c>
      <c r="BX4" s="12">
        <v>1667</v>
      </c>
      <c r="BZ4" s="11">
        <v>1</v>
      </c>
      <c r="CA4" s="12">
        <v>30</v>
      </c>
      <c r="CC4" s="11">
        <v>1</v>
      </c>
      <c r="CD4" s="12">
        <v>344</v>
      </c>
    </row>
    <row r="5" spans="1:82" ht="16.8">
      <c r="A5" s="1" t="s">
        <v>19</v>
      </c>
      <c r="B5" s="1">
        <v>0</v>
      </c>
      <c r="C5" s="3" t="s">
        <v>25</v>
      </c>
      <c r="D5" s="3">
        <f>SUMIF(S$3:S$38,$A5,AC$3:AC$38)</f>
        <v>74</v>
      </c>
      <c r="E5" s="122">
        <f>SUMIF(T$3:T$52,$A5,AD$3:AD$52)</f>
        <v>804</v>
      </c>
      <c r="F5" s="4">
        <f t="shared" ref="F5:F16" si="0">SUMIF(U$3:U$38,$A5,AE$3:AE$38)</f>
        <v>10000</v>
      </c>
      <c r="H5" s="27"/>
      <c r="I5" s="27"/>
      <c r="J5" s="91"/>
      <c r="K5" s="91"/>
      <c r="L5" s="320" t="s">
        <v>84</v>
      </c>
      <c r="M5" s="320"/>
      <c r="N5" s="320"/>
      <c r="R5" s="11">
        <v>2</v>
      </c>
      <c r="S5" s="12">
        <v>5</v>
      </c>
      <c r="T5" s="12" t="s">
        <v>15</v>
      </c>
      <c r="U5" s="12" t="s">
        <v>15</v>
      </c>
      <c r="W5" s="11">
        <v>2</v>
      </c>
      <c r="X5" s="12">
        <v>3</v>
      </c>
      <c r="Y5" s="12">
        <v>0</v>
      </c>
      <c r="Z5" s="12">
        <v>0</v>
      </c>
      <c r="AB5" s="11">
        <v>2</v>
      </c>
      <c r="AC5" s="12">
        <v>402</v>
      </c>
      <c r="AD5" s="12">
        <v>33</v>
      </c>
      <c r="AE5" s="12">
        <v>556</v>
      </c>
      <c r="AG5" s="11">
        <v>2</v>
      </c>
      <c r="AH5" s="12">
        <v>181</v>
      </c>
      <c r="AI5" s="12">
        <v>177</v>
      </c>
      <c r="AJ5" s="12">
        <v>0</v>
      </c>
      <c r="AL5" s="11">
        <v>2</v>
      </c>
      <c r="AM5" s="12">
        <v>9</v>
      </c>
      <c r="AN5" s="12">
        <v>177</v>
      </c>
      <c r="AO5" s="12">
        <v>254</v>
      </c>
      <c r="AQ5" s="11">
        <v>2</v>
      </c>
      <c r="AR5" s="14" t="s">
        <v>7</v>
      </c>
      <c r="AT5" s="11">
        <v>2</v>
      </c>
      <c r="AU5" s="12">
        <v>9</v>
      </c>
      <c r="AW5" s="11">
        <v>2</v>
      </c>
      <c r="AX5" s="12">
        <v>15</v>
      </c>
      <c r="AY5" s="12">
        <v>45</v>
      </c>
      <c r="AZ5" s="12">
        <v>137</v>
      </c>
      <c r="BA5" s="12">
        <v>92</v>
      </c>
      <c r="BB5" s="12">
        <v>2</v>
      </c>
      <c r="BC5" s="12">
        <v>51</v>
      </c>
      <c r="BD5" s="12">
        <v>127</v>
      </c>
      <c r="BE5" s="12">
        <v>5</v>
      </c>
      <c r="BF5" s="24">
        <v>215</v>
      </c>
      <c r="BG5" s="29">
        <v>569</v>
      </c>
      <c r="BH5" s="12">
        <v>113</v>
      </c>
      <c r="BI5" s="12">
        <v>113</v>
      </c>
      <c r="BK5" s="11">
        <v>2</v>
      </c>
      <c r="BL5" s="12">
        <v>5</v>
      </c>
      <c r="BM5" s="12" t="s">
        <v>15</v>
      </c>
      <c r="BN5" s="12" t="s">
        <v>15</v>
      </c>
      <c r="BP5" s="11">
        <v>2</v>
      </c>
      <c r="BQ5" s="12">
        <v>3</v>
      </c>
      <c r="BR5" s="12">
        <v>0</v>
      </c>
      <c r="BS5" s="12">
        <v>0</v>
      </c>
      <c r="BU5" s="11">
        <v>2</v>
      </c>
      <c r="BV5" s="12">
        <v>1122</v>
      </c>
      <c r="BW5" s="12">
        <v>0</v>
      </c>
      <c r="BX5" s="12">
        <v>0</v>
      </c>
      <c r="BZ5" s="11">
        <v>2</v>
      </c>
      <c r="CA5" s="12">
        <v>500</v>
      </c>
      <c r="CC5" s="11">
        <v>2</v>
      </c>
      <c r="CD5" s="12">
        <v>2</v>
      </c>
    </row>
    <row r="6" spans="1:82">
      <c r="A6" s="20">
        <v>0</v>
      </c>
      <c r="B6" s="20">
        <v>1</v>
      </c>
      <c r="C6" s="5">
        <v>0</v>
      </c>
      <c r="D6" s="37">
        <f t="shared" ref="D6:D16" si="1">SUMIF(S$3:S$38,$A6,AC$3:AC$38)</f>
        <v>0</v>
      </c>
      <c r="E6" s="121">
        <f t="shared" ref="E6:E16" si="2">SUMIF(T$3:T$52,$A6,AD$3:AD$52)</f>
        <v>1758</v>
      </c>
      <c r="F6" s="7">
        <f t="shared" si="0"/>
        <v>0</v>
      </c>
      <c r="H6" s="27"/>
      <c r="I6" s="27"/>
      <c r="J6" s="27"/>
      <c r="R6" s="11">
        <v>3</v>
      </c>
      <c r="S6" s="12" t="s">
        <v>15</v>
      </c>
      <c r="T6" s="12">
        <v>1</v>
      </c>
      <c r="U6" s="12">
        <v>1</v>
      </c>
      <c r="W6" s="11">
        <v>3</v>
      </c>
      <c r="X6" s="12">
        <v>0</v>
      </c>
      <c r="Y6" s="12">
        <v>2</v>
      </c>
      <c r="Z6" s="12">
        <v>2</v>
      </c>
      <c r="AB6" s="11">
        <v>3</v>
      </c>
      <c r="AC6" s="12">
        <v>5</v>
      </c>
      <c r="AD6" s="12">
        <v>660</v>
      </c>
      <c r="AE6" s="12">
        <v>0</v>
      </c>
      <c r="AG6" s="11">
        <v>3</v>
      </c>
      <c r="AH6" s="12">
        <v>280</v>
      </c>
      <c r="AI6" s="12">
        <v>487</v>
      </c>
      <c r="AJ6" s="12">
        <v>592</v>
      </c>
      <c r="AL6" s="11">
        <v>3</v>
      </c>
      <c r="AM6" s="12">
        <v>547</v>
      </c>
      <c r="AN6" s="12">
        <v>6</v>
      </c>
      <c r="AO6" s="12">
        <v>0</v>
      </c>
      <c r="AQ6" s="11">
        <v>3</v>
      </c>
      <c r="AR6" s="12" t="s">
        <v>15</v>
      </c>
      <c r="AT6" s="11">
        <v>3</v>
      </c>
      <c r="AU6" s="12">
        <v>0</v>
      </c>
      <c r="AW6" s="11">
        <v>3</v>
      </c>
      <c r="AX6" s="12">
        <v>393</v>
      </c>
      <c r="AY6" s="12">
        <v>23</v>
      </c>
      <c r="AZ6" s="12">
        <v>20</v>
      </c>
      <c r="BA6" s="12">
        <v>279</v>
      </c>
      <c r="BB6" s="12">
        <v>390</v>
      </c>
      <c r="BC6" s="12">
        <v>456</v>
      </c>
      <c r="BD6" s="12">
        <v>316</v>
      </c>
      <c r="BE6" s="12">
        <v>462</v>
      </c>
      <c r="BF6" s="24">
        <v>312</v>
      </c>
      <c r="BG6" s="29">
        <v>196</v>
      </c>
      <c r="BH6" s="12">
        <v>304</v>
      </c>
      <c r="BI6" s="12">
        <v>304</v>
      </c>
      <c r="BK6" s="11">
        <v>3</v>
      </c>
      <c r="BL6" s="12" t="s">
        <v>15</v>
      </c>
      <c r="BM6" s="12">
        <v>1</v>
      </c>
      <c r="BN6" s="12">
        <v>1</v>
      </c>
      <c r="BP6" s="11">
        <v>3</v>
      </c>
      <c r="BQ6" s="12">
        <v>0</v>
      </c>
      <c r="BR6" s="12">
        <v>2</v>
      </c>
      <c r="BS6" s="12">
        <v>2</v>
      </c>
      <c r="BU6" s="11">
        <v>3</v>
      </c>
      <c r="BV6" s="12">
        <v>62</v>
      </c>
      <c r="BW6" s="12">
        <v>905</v>
      </c>
      <c r="BX6" s="12">
        <v>0</v>
      </c>
      <c r="BZ6" s="11">
        <v>3</v>
      </c>
      <c r="CA6" s="12">
        <v>10</v>
      </c>
      <c r="CC6" s="11">
        <v>3</v>
      </c>
      <c r="CD6" s="12">
        <v>4998</v>
      </c>
    </row>
    <row r="7" spans="1:82" ht="16.8">
      <c r="A7" s="20">
        <v>1</v>
      </c>
      <c r="B7" s="20">
        <v>2</v>
      </c>
      <c r="C7" s="5">
        <v>1</v>
      </c>
      <c r="D7" s="6">
        <f t="shared" si="1"/>
        <v>7029</v>
      </c>
      <c r="E7" s="121">
        <f t="shared" si="2"/>
        <v>3300</v>
      </c>
      <c r="F7" s="7">
        <f t="shared" si="0"/>
        <v>0</v>
      </c>
      <c r="H7" s="27"/>
      <c r="J7" s="64" t="s">
        <v>81</v>
      </c>
      <c r="K7" s="64" t="s">
        <v>82</v>
      </c>
      <c r="L7" s="64" t="s">
        <v>83</v>
      </c>
      <c r="M7" s="64" t="s">
        <v>113</v>
      </c>
      <c r="R7" s="11">
        <v>4</v>
      </c>
      <c r="S7" s="12">
        <v>10</v>
      </c>
      <c r="T7" s="12" t="s">
        <v>15</v>
      </c>
      <c r="U7" s="12" t="s">
        <v>15</v>
      </c>
      <c r="W7" s="11">
        <v>4</v>
      </c>
      <c r="X7" s="12">
        <v>4</v>
      </c>
      <c r="Y7" s="12">
        <v>0</v>
      </c>
      <c r="Z7" s="12">
        <v>0</v>
      </c>
      <c r="AB7" s="11">
        <v>4</v>
      </c>
      <c r="AC7" s="12">
        <v>81</v>
      </c>
      <c r="AD7" s="12">
        <v>33</v>
      </c>
      <c r="AE7" s="12">
        <v>556</v>
      </c>
      <c r="AG7" s="11">
        <v>4</v>
      </c>
      <c r="AH7" s="12">
        <v>17</v>
      </c>
      <c r="AI7" s="12">
        <v>177</v>
      </c>
      <c r="AJ7" s="12">
        <v>0</v>
      </c>
      <c r="AL7" s="11">
        <v>4</v>
      </c>
      <c r="AM7" s="12">
        <v>14</v>
      </c>
      <c r="AN7" s="12">
        <v>177</v>
      </c>
      <c r="AO7" s="12">
        <v>254</v>
      </c>
      <c r="AQ7" s="11">
        <v>4</v>
      </c>
      <c r="AR7" s="14" t="s">
        <v>6</v>
      </c>
      <c r="AT7" s="11">
        <v>4</v>
      </c>
      <c r="AU7" s="12">
        <v>7</v>
      </c>
      <c r="AW7" s="11">
        <v>4</v>
      </c>
      <c r="AX7" s="12">
        <v>156</v>
      </c>
      <c r="AY7" s="12">
        <v>19</v>
      </c>
      <c r="AZ7" s="12">
        <v>24</v>
      </c>
      <c r="BA7" s="12">
        <v>612</v>
      </c>
      <c r="BB7" s="12">
        <v>451</v>
      </c>
      <c r="BC7" s="12">
        <v>5</v>
      </c>
      <c r="BD7" s="12">
        <v>255</v>
      </c>
      <c r="BE7" s="12">
        <v>10</v>
      </c>
      <c r="BF7" s="24">
        <v>21</v>
      </c>
      <c r="BG7" s="29">
        <v>273</v>
      </c>
      <c r="BH7" s="12">
        <v>253</v>
      </c>
      <c r="BI7" s="12">
        <v>253</v>
      </c>
      <c r="BK7" s="11">
        <v>4</v>
      </c>
      <c r="BL7" s="12">
        <v>10</v>
      </c>
      <c r="BM7" s="12" t="s">
        <v>15</v>
      </c>
      <c r="BN7" s="12" t="s">
        <v>15</v>
      </c>
      <c r="BP7" s="11">
        <v>4</v>
      </c>
      <c r="BQ7" s="12">
        <v>4</v>
      </c>
      <c r="BR7" s="12">
        <v>0</v>
      </c>
      <c r="BS7" s="12">
        <v>0</v>
      </c>
      <c r="BU7" s="11">
        <v>4</v>
      </c>
      <c r="BV7" s="12">
        <v>362</v>
      </c>
      <c r="BW7" s="12">
        <v>0</v>
      </c>
      <c r="BX7" s="12">
        <v>0</v>
      </c>
      <c r="BZ7" s="11">
        <v>4</v>
      </c>
      <c r="CA7" s="12">
        <v>50</v>
      </c>
      <c r="CC7" s="11">
        <v>4</v>
      </c>
      <c r="CD7" s="12">
        <v>1168</v>
      </c>
    </row>
    <row r="8" spans="1:82" ht="16.8">
      <c r="A8" s="21">
        <v>5</v>
      </c>
      <c r="B8" s="21">
        <v>3</v>
      </c>
      <c r="C8" s="23">
        <v>5</v>
      </c>
      <c r="D8" s="6">
        <f t="shared" si="1"/>
        <v>2410</v>
      </c>
      <c r="E8" s="121">
        <f t="shared" si="2"/>
        <v>2173</v>
      </c>
      <c r="F8" s="7">
        <f t="shared" si="0"/>
        <v>0</v>
      </c>
      <c r="H8" s="27"/>
      <c r="J8" s="64" t="s">
        <v>80</v>
      </c>
      <c r="K8" s="64">
        <v>3</v>
      </c>
      <c r="L8" s="64">
        <v>3</v>
      </c>
      <c r="M8" s="64">
        <v>94</v>
      </c>
      <c r="R8" s="11">
        <v>5</v>
      </c>
      <c r="S8" s="12" t="s">
        <v>15</v>
      </c>
      <c r="T8" s="12">
        <v>5</v>
      </c>
      <c r="U8" s="12">
        <v>5</v>
      </c>
      <c r="W8" s="11">
        <v>5</v>
      </c>
      <c r="X8" s="12">
        <v>0</v>
      </c>
      <c r="Y8" s="12">
        <v>3</v>
      </c>
      <c r="Z8" s="12">
        <v>3</v>
      </c>
      <c r="AB8" s="11">
        <v>5</v>
      </c>
      <c r="AC8" s="12">
        <v>4</v>
      </c>
      <c r="AD8" s="12">
        <v>435</v>
      </c>
      <c r="AE8" s="12">
        <v>0</v>
      </c>
      <c r="AG8" s="11">
        <v>5</v>
      </c>
      <c r="AH8" s="12">
        <v>280</v>
      </c>
      <c r="AI8" s="12">
        <v>164</v>
      </c>
      <c r="AJ8" s="12">
        <v>535</v>
      </c>
      <c r="AL8" s="11">
        <v>5</v>
      </c>
      <c r="AM8" s="12">
        <v>547</v>
      </c>
      <c r="AN8" s="12">
        <v>9</v>
      </c>
      <c r="AO8" s="12">
        <v>6</v>
      </c>
      <c r="AQ8" s="11">
        <v>5</v>
      </c>
      <c r="AR8" s="12" t="s">
        <v>15</v>
      </c>
      <c r="AT8" s="11">
        <v>5</v>
      </c>
      <c r="AU8" s="12">
        <v>0</v>
      </c>
      <c r="AW8" s="11">
        <v>5</v>
      </c>
      <c r="AX8" s="12">
        <v>411</v>
      </c>
      <c r="AY8" s="12">
        <v>23</v>
      </c>
      <c r="AZ8" s="12">
        <v>20</v>
      </c>
      <c r="BA8" s="12">
        <v>279</v>
      </c>
      <c r="BB8" s="12">
        <v>390</v>
      </c>
      <c r="BC8" s="12">
        <v>456</v>
      </c>
      <c r="BD8" s="12">
        <v>316</v>
      </c>
      <c r="BE8" s="12">
        <v>461</v>
      </c>
      <c r="BF8" s="24">
        <v>312</v>
      </c>
      <c r="BG8" s="29">
        <v>196</v>
      </c>
      <c r="BH8" s="12">
        <v>304</v>
      </c>
      <c r="BI8" s="12">
        <v>304</v>
      </c>
      <c r="BK8" s="11">
        <v>5</v>
      </c>
      <c r="BL8" s="12" t="s">
        <v>15</v>
      </c>
      <c r="BM8" s="12">
        <v>5</v>
      </c>
      <c r="BN8" s="12">
        <v>5</v>
      </c>
      <c r="BP8" s="11">
        <v>5</v>
      </c>
      <c r="BQ8" s="12">
        <v>0</v>
      </c>
      <c r="BR8" s="12">
        <v>3</v>
      </c>
      <c r="BS8" s="12">
        <v>3</v>
      </c>
      <c r="BU8" s="11">
        <v>5</v>
      </c>
      <c r="BV8" s="12">
        <v>62</v>
      </c>
      <c r="BW8" s="12">
        <v>113</v>
      </c>
      <c r="BX8" s="12">
        <v>0</v>
      </c>
      <c r="BZ8" s="11">
        <v>5</v>
      </c>
      <c r="CA8" s="12">
        <v>1000</v>
      </c>
      <c r="CC8" s="11">
        <v>5</v>
      </c>
      <c r="CD8" s="12">
        <v>2</v>
      </c>
    </row>
    <row r="9" spans="1:82" ht="15.6" customHeight="1">
      <c r="A9" s="21">
        <v>10</v>
      </c>
      <c r="B9" s="21">
        <v>4</v>
      </c>
      <c r="C9" s="23">
        <v>10</v>
      </c>
      <c r="D9" s="6">
        <f t="shared" si="1"/>
        <v>486</v>
      </c>
      <c r="E9" s="101">
        <f t="shared" si="2"/>
        <v>101</v>
      </c>
      <c r="F9" s="38">
        <f t="shared" si="0"/>
        <v>0</v>
      </c>
      <c r="H9" s="27"/>
      <c r="J9" s="64" t="s">
        <v>72</v>
      </c>
      <c r="K9" s="64">
        <v>0</v>
      </c>
      <c r="L9" s="64">
        <v>0</v>
      </c>
      <c r="M9" s="64">
        <v>0</v>
      </c>
      <c r="N9" s="92"/>
      <c r="O9" s="92"/>
      <c r="R9" s="11">
        <v>6</v>
      </c>
      <c r="S9" s="12">
        <v>1</v>
      </c>
      <c r="T9" s="12" t="s">
        <v>15</v>
      </c>
      <c r="U9" s="12" t="s">
        <v>15</v>
      </c>
      <c r="W9" s="11">
        <v>6</v>
      </c>
      <c r="X9" s="12">
        <v>2</v>
      </c>
      <c r="Y9" s="12">
        <v>0</v>
      </c>
      <c r="Z9" s="12">
        <v>0</v>
      </c>
      <c r="AB9" s="11">
        <v>6</v>
      </c>
      <c r="AC9" s="12">
        <v>1172</v>
      </c>
      <c r="AD9" s="12">
        <v>33</v>
      </c>
      <c r="AE9" s="12">
        <v>556</v>
      </c>
      <c r="AG9" s="11">
        <v>6</v>
      </c>
      <c r="AH9" s="12">
        <v>632</v>
      </c>
      <c r="AI9" s="12">
        <v>177</v>
      </c>
      <c r="AJ9" s="12">
        <v>0</v>
      </c>
      <c r="AL9" s="11">
        <v>6</v>
      </c>
      <c r="AM9" s="12">
        <v>5</v>
      </c>
      <c r="AN9" s="12">
        <v>177</v>
      </c>
      <c r="AO9" s="12">
        <v>254</v>
      </c>
      <c r="AQ9" s="11">
        <v>6</v>
      </c>
      <c r="AR9" s="14" t="s">
        <v>40</v>
      </c>
      <c r="AT9" s="11">
        <v>6</v>
      </c>
      <c r="AU9" s="12">
        <v>11</v>
      </c>
      <c r="AW9" s="11">
        <v>6</v>
      </c>
      <c r="AX9" s="12">
        <v>12</v>
      </c>
      <c r="AY9" s="12">
        <v>197</v>
      </c>
      <c r="AZ9" s="12">
        <v>403</v>
      </c>
      <c r="BA9" s="12">
        <v>227</v>
      </c>
      <c r="BB9" s="12">
        <v>57</v>
      </c>
      <c r="BC9" s="12">
        <v>33</v>
      </c>
      <c r="BD9" s="12">
        <v>203</v>
      </c>
      <c r="BE9" s="12">
        <v>144</v>
      </c>
      <c r="BF9" s="24">
        <v>96</v>
      </c>
      <c r="BG9" s="29">
        <v>308</v>
      </c>
      <c r="BH9" s="12">
        <v>170</v>
      </c>
      <c r="BI9" s="12">
        <v>170</v>
      </c>
      <c r="BK9" s="11">
        <v>6</v>
      </c>
      <c r="BL9" s="12">
        <v>1</v>
      </c>
      <c r="BM9" s="12" t="s">
        <v>15</v>
      </c>
      <c r="BN9" s="12" t="s">
        <v>15</v>
      </c>
      <c r="BP9" s="11">
        <v>6</v>
      </c>
      <c r="BQ9" s="12">
        <v>2</v>
      </c>
      <c r="BR9" s="12">
        <v>0</v>
      </c>
      <c r="BS9" s="12">
        <v>0</v>
      </c>
      <c r="BU9" s="11">
        <v>6</v>
      </c>
      <c r="BV9" s="12">
        <v>0</v>
      </c>
      <c r="BW9" s="12">
        <v>0</v>
      </c>
      <c r="BX9" s="12">
        <v>0</v>
      </c>
      <c r="BZ9" s="11">
        <v>6</v>
      </c>
      <c r="CA9" s="12">
        <v>200</v>
      </c>
      <c r="CC9" s="11">
        <v>6</v>
      </c>
      <c r="CD9" s="12">
        <v>15</v>
      </c>
    </row>
    <row r="10" spans="1:82" ht="16.8">
      <c r="A10" s="20" t="s">
        <v>20</v>
      </c>
      <c r="B10" s="20">
        <v>5</v>
      </c>
      <c r="C10" s="23" t="s">
        <v>29</v>
      </c>
      <c r="D10" s="37">
        <f t="shared" si="1"/>
        <v>0</v>
      </c>
      <c r="E10" s="101">
        <f t="shared" si="2"/>
        <v>1865</v>
      </c>
      <c r="F10" s="38">
        <f t="shared" si="0"/>
        <v>0</v>
      </c>
      <c r="H10" s="27"/>
      <c r="J10" s="64" t="s">
        <v>73</v>
      </c>
      <c r="K10" s="64">
        <v>0</v>
      </c>
      <c r="L10" s="64">
        <v>0</v>
      </c>
      <c r="M10" s="64">
        <v>0</v>
      </c>
      <c r="N10" s="93"/>
      <c r="O10" s="93"/>
      <c r="R10" s="11">
        <v>7</v>
      </c>
      <c r="S10" s="12" t="s">
        <v>15</v>
      </c>
      <c r="T10" s="12">
        <v>10</v>
      </c>
      <c r="U10" s="12">
        <v>0</v>
      </c>
      <c r="W10" s="11">
        <v>7</v>
      </c>
      <c r="X10" s="12">
        <v>0</v>
      </c>
      <c r="Y10" s="12">
        <v>4</v>
      </c>
      <c r="Z10" s="12">
        <v>1</v>
      </c>
      <c r="AB10" s="11">
        <v>7</v>
      </c>
      <c r="AC10" s="12">
        <v>4</v>
      </c>
      <c r="AD10" s="12">
        <v>21</v>
      </c>
      <c r="AE10" s="12">
        <v>0</v>
      </c>
      <c r="AG10" s="11">
        <v>7</v>
      </c>
      <c r="AH10" s="12">
        <v>280</v>
      </c>
      <c r="AI10" s="12">
        <v>21</v>
      </c>
      <c r="AJ10" s="12">
        <v>542</v>
      </c>
      <c r="AL10" s="11">
        <v>7</v>
      </c>
      <c r="AM10" s="12">
        <v>547</v>
      </c>
      <c r="AN10" s="12">
        <v>21</v>
      </c>
      <c r="AO10" s="12">
        <v>899</v>
      </c>
      <c r="AQ10" s="11">
        <v>7</v>
      </c>
      <c r="AR10" s="12" t="s">
        <v>15</v>
      </c>
      <c r="AT10" s="11">
        <v>7</v>
      </c>
      <c r="AU10" s="12">
        <v>0</v>
      </c>
      <c r="AW10" s="11">
        <v>7</v>
      </c>
      <c r="AX10" s="12">
        <v>404</v>
      </c>
      <c r="AY10" s="12">
        <v>23</v>
      </c>
      <c r="AZ10" s="12">
        <v>20</v>
      </c>
      <c r="BA10" s="12">
        <v>279</v>
      </c>
      <c r="BB10" s="12">
        <v>390</v>
      </c>
      <c r="BC10" s="12">
        <v>455</v>
      </c>
      <c r="BD10" s="12">
        <v>316</v>
      </c>
      <c r="BE10" s="12">
        <v>461</v>
      </c>
      <c r="BF10" s="24">
        <v>312</v>
      </c>
      <c r="BG10" s="29">
        <v>196</v>
      </c>
      <c r="BH10" s="12">
        <v>304</v>
      </c>
      <c r="BI10" s="12">
        <v>304</v>
      </c>
      <c r="BK10" s="11">
        <v>7</v>
      </c>
      <c r="BL10" s="12" t="s">
        <v>15</v>
      </c>
      <c r="BM10" s="12">
        <v>10</v>
      </c>
      <c r="BN10" s="12">
        <v>0</v>
      </c>
      <c r="BP10" s="11">
        <v>7</v>
      </c>
      <c r="BQ10" s="12">
        <v>0</v>
      </c>
      <c r="BR10" s="12">
        <v>4</v>
      </c>
      <c r="BS10" s="12">
        <v>1</v>
      </c>
      <c r="BU10" s="11">
        <v>7</v>
      </c>
      <c r="BV10" s="12">
        <v>62</v>
      </c>
      <c r="BW10" s="12">
        <v>148</v>
      </c>
      <c r="BX10" s="12">
        <v>1667</v>
      </c>
      <c r="BZ10" s="11">
        <v>7</v>
      </c>
      <c r="CA10" s="12">
        <v>20</v>
      </c>
      <c r="CC10" s="11">
        <v>7</v>
      </c>
      <c r="CD10" s="12">
        <v>3335</v>
      </c>
    </row>
    <row r="11" spans="1:82" ht="16.8">
      <c r="A11" s="21" t="s">
        <v>21</v>
      </c>
      <c r="B11" s="21">
        <v>6</v>
      </c>
      <c r="C11" s="23" t="s">
        <v>26</v>
      </c>
      <c r="D11" s="37">
        <f t="shared" si="1"/>
        <v>0</v>
      </c>
      <c r="E11" s="59">
        <f t="shared" si="2"/>
        <v>0</v>
      </c>
      <c r="F11" s="38">
        <f t="shared" si="0"/>
        <v>0</v>
      </c>
      <c r="H11" s="27"/>
      <c r="J11" s="64" t="s">
        <v>4</v>
      </c>
      <c r="K11" s="64">
        <v>7</v>
      </c>
      <c r="L11" s="64">
        <v>7</v>
      </c>
      <c r="M11" s="64">
        <v>86</v>
      </c>
      <c r="N11" s="93"/>
      <c r="O11" s="93"/>
      <c r="R11" s="11">
        <v>8</v>
      </c>
      <c r="S11" s="12">
        <v>5</v>
      </c>
      <c r="T11" s="12" t="s">
        <v>15</v>
      </c>
      <c r="U11" s="12" t="s">
        <v>15</v>
      </c>
      <c r="W11" s="11">
        <v>8</v>
      </c>
      <c r="X11" s="12">
        <v>3</v>
      </c>
      <c r="Y11" s="12">
        <v>0</v>
      </c>
      <c r="Z11" s="12">
        <v>0</v>
      </c>
      <c r="AB11" s="11">
        <v>8</v>
      </c>
      <c r="AC11" s="12">
        <v>402</v>
      </c>
      <c r="AD11" s="12">
        <v>32</v>
      </c>
      <c r="AE11" s="12">
        <v>556</v>
      </c>
      <c r="AG11" s="11">
        <v>8</v>
      </c>
      <c r="AH11" s="12">
        <v>181</v>
      </c>
      <c r="AI11" s="12">
        <v>177</v>
      </c>
      <c r="AJ11" s="12">
        <v>0</v>
      </c>
      <c r="AL11" s="11">
        <v>8</v>
      </c>
      <c r="AM11" s="12">
        <v>9</v>
      </c>
      <c r="AN11" s="12">
        <v>177</v>
      </c>
      <c r="AO11" s="12">
        <v>254</v>
      </c>
      <c r="AQ11" s="11">
        <v>8</v>
      </c>
      <c r="AR11" s="14" t="s">
        <v>9</v>
      </c>
      <c r="AT11" s="11">
        <v>8</v>
      </c>
      <c r="AU11" s="12">
        <v>8</v>
      </c>
      <c r="AW11" s="11">
        <v>8</v>
      </c>
      <c r="AX11" s="12">
        <v>151</v>
      </c>
      <c r="AY11" s="12">
        <v>2110</v>
      </c>
      <c r="AZ11" s="12">
        <v>459</v>
      </c>
      <c r="BA11" s="12">
        <v>111</v>
      </c>
      <c r="BB11" s="12">
        <v>40</v>
      </c>
      <c r="BC11" s="12">
        <v>102</v>
      </c>
      <c r="BD11" s="12">
        <v>83</v>
      </c>
      <c r="BE11" s="12">
        <v>28</v>
      </c>
      <c r="BF11" s="24">
        <v>99</v>
      </c>
      <c r="BG11" s="29">
        <v>8</v>
      </c>
      <c r="BH11" s="12">
        <v>207</v>
      </c>
      <c r="BI11" s="12">
        <v>207</v>
      </c>
      <c r="BK11" s="11">
        <v>8</v>
      </c>
      <c r="BL11" s="12">
        <v>5</v>
      </c>
      <c r="BM11" s="12" t="s">
        <v>15</v>
      </c>
      <c r="BN11" s="12" t="s">
        <v>15</v>
      </c>
      <c r="BP11" s="11">
        <v>8</v>
      </c>
      <c r="BQ11" s="12">
        <v>3</v>
      </c>
      <c r="BR11" s="12">
        <v>0</v>
      </c>
      <c r="BS11" s="12">
        <v>0</v>
      </c>
      <c r="BU11" s="11">
        <v>8</v>
      </c>
      <c r="BV11" s="12">
        <v>1122</v>
      </c>
      <c r="BW11" s="12">
        <v>0</v>
      </c>
      <c r="BX11" s="12">
        <v>0</v>
      </c>
      <c r="BZ11" s="11">
        <v>8</v>
      </c>
      <c r="CA11" s="12"/>
      <c r="CC11" s="11">
        <v>8</v>
      </c>
      <c r="CD11" s="12"/>
    </row>
    <row r="12" spans="1:82">
      <c r="A12" s="20" t="s">
        <v>22</v>
      </c>
      <c r="B12" s="20">
        <v>7</v>
      </c>
      <c r="C12" s="5" t="s">
        <v>27</v>
      </c>
      <c r="D12" s="37">
        <f t="shared" si="1"/>
        <v>0</v>
      </c>
      <c r="E12" s="59">
        <f t="shared" si="2"/>
        <v>0</v>
      </c>
      <c r="F12" s="38">
        <f t="shared" si="0"/>
        <v>0</v>
      </c>
      <c r="H12" s="27"/>
      <c r="J12" s="27"/>
      <c r="K12" s="27"/>
      <c r="R12" s="11">
        <v>9</v>
      </c>
      <c r="S12" s="12" t="s">
        <v>15</v>
      </c>
      <c r="T12" s="12" t="s">
        <v>18</v>
      </c>
      <c r="U12" s="12">
        <v>1</v>
      </c>
      <c r="W12" s="11">
        <v>9</v>
      </c>
      <c r="X12" s="12">
        <v>0</v>
      </c>
      <c r="Y12" s="12">
        <v>5</v>
      </c>
      <c r="Z12" s="12">
        <v>2</v>
      </c>
      <c r="AB12" s="11">
        <v>9</v>
      </c>
      <c r="AC12" s="12">
        <v>4</v>
      </c>
      <c r="AD12" s="12">
        <v>373</v>
      </c>
      <c r="AE12" s="12">
        <v>0</v>
      </c>
      <c r="AG12" s="11">
        <v>9</v>
      </c>
      <c r="AH12" s="12">
        <v>280</v>
      </c>
      <c r="AI12" s="12">
        <v>373</v>
      </c>
      <c r="AJ12" s="12">
        <v>591</v>
      </c>
      <c r="AL12" s="11">
        <v>9</v>
      </c>
      <c r="AM12" s="12">
        <v>547</v>
      </c>
      <c r="AN12" s="12">
        <v>373</v>
      </c>
      <c r="AO12" s="12">
        <v>0</v>
      </c>
      <c r="AQ12" s="11">
        <v>9</v>
      </c>
      <c r="AR12" s="12" t="s">
        <v>15</v>
      </c>
      <c r="AT12" s="11">
        <v>9</v>
      </c>
      <c r="AU12" s="12">
        <v>0</v>
      </c>
      <c r="AW12" s="11">
        <v>9</v>
      </c>
      <c r="AX12" s="12">
        <v>404</v>
      </c>
      <c r="AY12" s="12">
        <v>23</v>
      </c>
      <c r="AZ12" s="12">
        <v>20</v>
      </c>
      <c r="BA12" s="12">
        <v>279</v>
      </c>
      <c r="BB12" s="12">
        <v>390</v>
      </c>
      <c r="BC12" s="12">
        <v>455</v>
      </c>
      <c r="BD12" s="12">
        <v>316</v>
      </c>
      <c r="BE12" s="12">
        <v>461</v>
      </c>
      <c r="BF12" s="24">
        <v>312</v>
      </c>
      <c r="BG12" s="29">
        <v>196</v>
      </c>
      <c r="BH12" s="12">
        <v>304</v>
      </c>
      <c r="BI12" s="12">
        <v>304</v>
      </c>
      <c r="BK12" s="11">
        <v>9</v>
      </c>
      <c r="BL12" s="12" t="s">
        <v>15</v>
      </c>
      <c r="BM12" s="12" t="s">
        <v>18</v>
      </c>
      <c r="BN12" s="12">
        <v>1</v>
      </c>
      <c r="BP12" s="11">
        <v>9</v>
      </c>
      <c r="BQ12" s="12">
        <v>0</v>
      </c>
      <c r="BR12" s="12">
        <v>5</v>
      </c>
      <c r="BS12" s="12">
        <v>2</v>
      </c>
      <c r="BU12" s="11">
        <v>9</v>
      </c>
      <c r="BV12" s="12">
        <v>62</v>
      </c>
      <c r="BW12" s="12">
        <v>159</v>
      </c>
      <c r="BX12" s="12">
        <v>0</v>
      </c>
      <c r="BZ12" s="11">
        <v>9</v>
      </c>
      <c r="CA12" s="12"/>
      <c r="CC12" s="11">
        <v>9</v>
      </c>
      <c r="CD12" s="12"/>
    </row>
    <row r="13" spans="1:82" ht="18" customHeight="1">
      <c r="A13" s="20" t="s">
        <v>23</v>
      </c>
      <c r="B13" s="20">
        <v>8</v>
      </c>
      <c r="C13" s="5" t="s">
        <v>28</v>
      </c>
      <c r="D13" s="37">
        <f t="shared" si="1"/>
        <v>0</v>
      </c>
      <c r="E13" s="59">
        <f t="shared" si="2"/>
        <v>0</v>
      </c>
      <c r="F13" s="38">
        <f t="shared" si="0"/>
        <v>0</v>
      </c>
      <c r="H13" s="27"/>
      <c r="J13" s="66"/>
      <c r="K13" s="64" t="s">
        <v>90</v>
      </c>
      <c r="L13" s="64" t="s">
        <v>91</v>
      </c>
      <c r="M13" s="64" t="s">
        <v>92</v>
      </c>
      <c r="R13" s="11">
        <v>10</v>
      </c>
      <c r="S13" s="12">
        <v>10</v>
      </c>
      <c r="T13" s="12" t="s">
        <v>15</v>
      </c>
      <c r="U13" s="12" t="s">
        <v>15</v>
      </c>
      <c r="W13" s="11">
        <v>10</v>
      </c>
      <c r="X13" s="12">
        <v>4</v>
      </c>
      <c r="Y13" s="12">
        <v>0</v>
      </c>
      <c r="Z13" s="12">
        <v>0</v>
      </c>
      <c r="AB13" s="11">
        <v>10</v>
      </c>
      <c r="AC13" s="12">
        <v>81</v>
      </c>
      <c r="AD13" s="12">
        <v>32</v>
      </c>
      <c r="AE13" s="12">
        <v>556</v>
      </c>
      <c r="AG13" s="11">
        <v>10</v>
      </c>
      <c r="AH13" s="12">
        <v>17</v>
      </c>
      <c r="AI13" s="12">
        <v>177</v>
      </c>
      <c r="AJ13" s="12">
        <v>0</v>
      </c>
      <c r="AL13" s="11">
        <v>10</v>
      </c>
      <c r="AM13" s="12">
        <v>14</v>
      </c>
      <c r="AN13" s="12">
        <v>177</v>
      </c>
      <c r="AO13" s="12">
        <v>254</v>
      </c>
      <c r="AQ13" s="11">
        <v>10</v>
      </c>
      <c r="AR13" s="14" t="s">
        <v>5</v>
      </c>
      <c r="AT13" s="11">
        <v>10</v>
      </c>
      <c r="AU13" s="12">
        <v>6</v>
      </c>
      <c r="AW13" s="11">
        <v>10</v>
      </c>
      <c r="AX13" s="12">
        <v>149</v>
      </c>
      <c r="AY13" s="12">
        <v>18</v>
      </c>
      <c r="AZ13" s="12">
        <v>1380</v>
      </c>
      <c r="BA13" s="12">
        <v>67</v>
      </c>
      <c r="BB13" s="12">
        <v>4</v>
      </c>
      <c r="BC13" s="12">
        <v>34</v>
      </c>
      <c r="BD13" s="12">
        <v>255</v>
      </c>
      <c r="BE13" s="12">
        <v>10</v>
      </c>
      <c r="BF13" s="24">
        <v>512</v>
      </c>
      <c r="BG13" s="29">
        <v>366</v>
      </c>
      <c r="BH13" s="12">
        <v>240</v>
      </c>
      <c r="BI13" s="12">
        <v>240</v>
      </c>
      <c r="BK13" s="11">
        <v>10</v>
      </c>
      <c r="BL13" s="12">
        <v>10</v>
      </c>
      <c r="BM13" s="12" t="s">
        <v>15</v>
      </c>
      <c r="BN13" s="12" t="s">
        <v>15</v>
      </c>
      <c r="BP13" s="11">
        <v>10</v>
      </c>
      <c r="BQ13" s="12">
        <v>4</v>
      </c>
      <c r="BR13" s="12">
        <v>0</v>
      </c>
      <c r="BS13" s="12">
        <v>0</v>
      </c>
      <c r="BU13" s="11">
        <v>10</v>
      </c>
      <c r="BV13" s="12">
        <v>361</v>
      </c>
      <c r="BW13" s="12">
        <v>0</v>
      </c>
      <c r="BX13" s="12">
        <v>0</v>
      </c>
      <c r="BZ13" s="11">
        <v>10</v>
      </c>
      <c r="CA13" s="12"/>
      <c r="CC13" s="11">
        <v>10</v>
      </c>
      <c r="CD13" s="12"/>
    </row>
    <row r="14" spans="1:82" ht="16.8">
      <c r="A14" s="20" t="s">
        <v>24</v>
      </c>
      <c r="B14" s="20">
        <v>9</v>
      </c>
      <c r="C14" s="5" t="s">
        <v>16</v>
      </c>
      <c r="D14" s="37">
        <f t="shared" si="1"/>
        <v>0</v>
      </c>
      <c r="E14" s="59">
        <f t="shared" si="2"/>
        <v>0</v>
      </c>
      <c r="F14" s="38">
        <f t="shared" si="0"/>
        <v>0</v>
      </c>
      <c r="H14" s="27"/>
      <c r="J14" s="64" t="s">
        <v>96</v>
      </c>
      <c r="K14" s="64">
        <v>29</v>
      </c>
      <c r="L14" s="64">
        <v>69</v>
      </c>
      <c r="M14" s="64">
        <v>902</v>
      </c>
      <c r="R14" s="11">
        <v>11</v>
      </c>
      <c r="S14" s="12" t="s">
        <v>15</v>
      </c>
      <c r="T14" s="12">
        <v>0</v>
      </c>
      <c r="U14" s="12">
        <v>5</v>
      </c>
      <c r="W14" s="11">
        <v>11</v>
      </c>
      <c r="X14" s="12">
        <v>0</v>
      </c>
      <c r="Y14" s="12">
        <v>1</v>
      </c>
      <c r="Z14" s="12">
        <v>3</v>
      </c>
      <c r="AB14" s="11">
        <v>11</v>
      </c>
      <c r="AC14" s="12">
        <v>4</v>
      </c>
      <c r="AD14" s="12">
        <v>352</v>
      </c>
      <c r="AE14" s="12">
        <v>0</v>
      </c>
      <c r="AG14" s="11">
        <v>11</v>
      </c>
      <c r="AH14" s="12">
        <v>280</v>
      </c>
      <c r="AI14" s="12">
        <v>73</v>
      </c>
      <c r="AJ14" s="12">
        <v>534</v>
      </c>
      <c r="AL14" s="11">
        <v>11</v>
      </c>
      <c r="AM14" s="12">
        <v>547</v>
      </c>
      <c r="AN14" s="12">
        <v>711</v>
      </c>
      <c r="AO14" s="12">
        <v>6</v>
      </c>
      <c r="AQ14" s="11">
        <v>11</v>
      </c>
      <c r="AR14" s="12" t="s">
        <v>15</v>
      </c>
      <c r="AT14" s="11">
        <v>11</v>
      </c>
      <c r="AU14" s="12">
        <v>0</v>
      </c>
      <c r="AW14" s="11">
        <v>11</v>
      </c>
      <c r="AX14" s="12">
        <v>404</v>
      </c>
      <c r="AY14" s="12">
        <v>23</v>
      </c>
      <c r="AZ14" s="12">
        <v>20</v>
      </c>
      <c r="BA14" s="12">
        <v>279</v>
      </c>
      <c r="BB14" s="12">
        <v>390</v>
      </c>
      <c r="BC14" s="12">
        <v>455</v>
      </c>
      <c r="BD14" s="12">
        <v>316</v>
      </c>
      <c r="BE14" s="12">
        <v>461</v>
      </c>
      <c r="BF14" s="24">
        <v>312</v>
      </c>
      <c r="BG14" s="29">
        <v>196</v>
      </c>
      <c r="BH14" s="12">
        <v>304</v>
      </c>
      <c r="BI14" s="12">
        <v>304</v>
      </c>
      <c r="BK14" s="11">
        <v>11</v>
      </c>
      <c r="BL14" s="12" t="s">
        <v>15</v>
      </c>
      <c r="BM14" s="12">
        <v>0</v>
      </c>
      <c r="BN14" s="12">
        <v>5</v>
      </c>
      <c r="BP14" s="11">
        <v>11</v>
      </c>
      <c r="BQ14" s="12">
        <v>0</v>
      </c>
      <c r="BR14" s="12">
        <v>1</v>
      </c>
      <c r="BS14" s="12">
        <v>3</v>
      </c>
      <c r="BU14" s="11">
        <v>11</v>
      </c>
      <c r="BV14" s="12">
        <v>62</v>
      </c>
      <c r="BW14" s="12">
        <v>676</v>
      </c>
      <c r="BX14" s="12">
        <v>0</v>
      </c>
      <c r="BZ14" s="11">
        <v>11</v>
      </c>
      <c r="CA14" s="12"/>
      <c r="CC14" s="11">
        <v>11</v>
      </c>
      <c r="CD14" s="12"/>
    </row>
    <row r="15" spans="1:82">
      <c r="A15" s="21" t="s">
        <v>35</v>
      </c>
      <c r="B15" s="21">
        <v>10</v>
      </c>
      <c r="C15" s="5" t="s">
        <v>37</v>
      </c>
      <c r="D15" s="37">
        <f t="shared" si="1"/>
        <v>0</v>
      </c>
      <c r="E15" s="59">
        <f t="shared" si="2"/>
        <v>0</v>
      </c>
      <c r="F15" s="38">
        <f t="shared" si="0"/>
        <v>0</v>
      </c>
      <c r="R15" s="11">
        <v>12</v>
      </c>
      <c r="S15" s="12">
        <v>1</v>
      </c>
      <c r="T15" s="12" t="s">
        <v>15</v>
      </c>
      <c r="U15" s="12" t="s">
        <v>15</v>
      </c>
      <c r="W15" s="11">
        <v>12</v>
      </c>
      <c r="X15" s="12">
        <v>2</v>
      </c>
      <c r="Y15" s="12">
        <v>0</v>
      </c>
      <c r="Z15" s="12">
        <v>0</v>
      </c>
      <c r="AB15" s="11">
        <v>12</v>
      </c>
      <c r="AC15" s="12">
        <v>1172</v>
      </c>
      <c r="AD15" s="12">
        <v>32</v>
      </c>
      <c r="AE15" s="12">
        <v>556</v>
      </c>
      <c r="AG15" s="11">
        <v>12</v>
      </c>
      <c r="AH15" s="12">
        <v>631</v>
      </c>
      <c r="AI15" s="12">
        <v>177</v>
      </c>
      <c r="AJ15" s="12">
        <v>0</v>
      </c>
      <c r="AL15" s="11">
        <v>12</v>
      </c>
      <c r="AM15" s="12">
        <v>5</v>
      </c>
      <c r="AN15" s="12">
        <v>177</v>
      </c>
      <c r="AO15" s="12">
        <v>254</v>
      </c>
      <c r="AQ15" s="11">
        <v>12</v>
      </c>
      <c r="AR15" s="14" t="s">
        <v>7</v>
      </c>
      <c r="AT15" s="11">
        <v>12</v>
      </c>
      <c r="AU15" s="12">
        <v>9</v>
      </c>
      <c r="AW15" s="11">
        <v>12</v>
      </c>
      <c r="AX15" s="12">
        <v>15</v>
      </c>
      <c r="AY15" s="12">
        <v>45</v>
      </c>
      <c r="AZ15" s="12">
        <v>136</v>
      </c>
      <c r="BA15" s="12">
        <v>91</v>
      </c>
      <c r="BB15" s="12">
        <v>2</v>
      </c>
      <c r="BC15" s="12">
        <v>51</v>
      </c>
      <c r="BD15" s="12">
        <v>127</v>
      </c>
      <c r="BE15" s="12">
        <v>5</v>
      </c>
      <c r="BF15" s="24">
        <v>214</v>
      </c>
      <c r="BG15" s="29">
        <v>568</v>
      </c>
      <c r="BH15" s="12">
        <v>113</v>
      </c>
      <c r="BI15" s="12">
        <v>113</v>
      </c>
      <c r="BK15" s="11">
        <v>12</v>
      </c>
      <c r="BL15" s="12">
        <v>1</v>
      </c>
      <c r="BM15" s="12" t="s">
        <v>15</v>
      </c>
      <c r="BN15" s="12" t="s">
        <v>15</v>
      </c>
      <c r="BP15" s="11">
        <v>12</v>
      </c>
      <c r="BQ15" s="12">
        <v>2</v>
      </c>
      <c r="BR15" s="12">
        <v>0</v>
      </c>
      <c r="BS15" s="12">
        <v>0</v>
      </c>
      <c r="BU15" s="11">
        <v>12</v>
      </c>
      <c r="BV15" s="12">
        <v>0</v>
      </c>
      <c r="BW15" s="12">
        <v>0</v>
      </c>
      <c r="BX15" s="12">
        <v>0</v>
      </c>
      <c r="BZ15" s="11">
        <v>12</v>
      </c>
      <c r="CA15" s="12"/>
      <c r="CC15" s="11">
        <v>12</v>
      </c>
      <c r="CD15" s="12"/>
    </row>
    <row r="16" spans="1:82" ht="16.8">
      <c r="A16" s="22" t="s">
        <v>39</v>
      </c>
      <c r="B16" s="22">
        <v>11</v>
      </c>
      <c r="C16" s="17" t="s">
        <v>38</v>
      </c>
      <c r="D16" s="60">
        <f t="shared" si="1"/>
        <v>0</v>
      </c>
      <c r="E16" s="39">
        <f t="shared" si="2"/>
        <v>0</v>
      </c>
      <c r="F16" s="40">
        <f t="shared" si="0"/>
        <v>0</v>
      </c>
      <c r="J16" s="2"/>
      <c r="K16" s="2" t="s">
        <v>119</v>
      </c>
      <c r="L16" s="2" t="s">
        <v>120</v>
      </c>
      <c r="R16" s="11">
        <v>13</v>
      </c>
      <c r="S16" s="12" t="s">
        <v>15</v>
      </c>
      <c r="T16" s="12">
        <v>1</v>
      </c>
      <c r="U16" s="12">
        <v>0</v>
      </c>
      <c r="W16" s="11">
        <v>13</v>
      </c>
      <c r="X16" s="12">
        <v>0</v>
      </c>
      <c r="Y16" s="12">
        <v>2</v>
      </c>
      <c r="Z16" s="12">
        <v>1</v>
      </c>
      <c r="AB16" s="11">
        <v>13</v>
      </c>
      <c r="AC16" s="12">
        <v>4</v>
      </c>
      <c r="AD16" s="12">
        <v>660</v>
      </c>
      <c r="AE16" s="12">
        <v>0</v>
      </c>
      <c r="AG16" s="11">
        <v>13</v>
      </c>
      <c r="AH16" s="12">
        <v>280</v>
      </c>
      <c r="AI16" s="12">
        <v>487</v>
      </c>
      <c r="AJ16" s="12">
        <v>541</v>
      </c>
      <c r="AL16" s="11">
        <v>13</v>
      </c>
      <c r="AM16" s="12">
        <v>547</v>
      </c>
      <c r="AN16" s="12">
        <v>6</v>
      </c>
      <c r="AO16" s="12">
        <v>899</v>
      </c>
      <c r="AQ16" s="11">
        <v>13</v>
      </c>
      <c r="AR16" s="12" t="s">
        <v>15</v>
      </c>
      <c r="AT16" s="11">
        <v>13</v>
      </c>
      <c r="AU16" s="12">
        <v>0</v>
      </c>
      <c r="AW16" s="11">
        <v>13</v>
      </c>
      <c r="AX16" s="12">
        <v>404</v>
      </c>
      <c r="AY16" s="12">
        <v>22</v>
      </c>
      <c r="AZ16" s="12">
        <v>20</v>
      </c>
      <c r="BA16" s="12">
        <v>279</v>
      </c>
      <c r="BB16" s="12">
        <v>390</v>
      </c>
      <c r="BC16" s="12">
        <v>455</v>
      </c>
      <c r="BD16" s="12">
        <v>316</v>
      </c>
      <c r="BE16" s="12">
        <v>461</v>
      </c>
      <c r="BF16" s="24">
        <v>312</v>
      </c>
      <c r="BG16" s="29">
        <v>196</v>
      </c>
      <c r="BH16" s="12">
        <v>304</v>
      </c>
      <c r="BI16" s="12">
        <v>304</v>
      </c>
      <c r="BK16" s="11">
        <v>13</v>
      </c>
      <c r="BL16" s="12" t="s">
        <v>15</v>
      </c>
      <c r="BM16" s="12">
        <v>1</v>
      </c>
      <c r="BN16" s="12">
        <v>0</v>
      </c>
      <c r="BP16" s="11">
        <v>13</v>
      </c>
      <c r="BQ16" s="12">
        <v>0</v>
      </c>
      <c r="BR16" s="12">
        <v>2</v>
      </c>
      <c r="BS16" s="12">
        <v>1</v>
      </c>
      <c r="BU16" s="11">
        <v>13</v>
      </c>
      <c r="BV16" s="12">
        <v>61</v>
      </c>
      <c r="BW16" s="12">
        <v>905</v>
      </c>
      <c r="BX16" s="12">
        <v>1667</v>
      </c>
      <c r="BZ16" s="11">
        <v>13</v>
      </c>
      <c r="CA16" s="12"/>
      <c r="CC16" s="11">
        <v>13</v>
      </c>
      <c r="CD16" s="12"/>
    </row>
    <row r="17" spans="1:82" ht="16.8">
      <c r="D17" s="121">
        <f>SUM(D5:D16)</f>
        <v>9999</v>
      </c>
      <c r="E17" s="121">
        <f>SUM(E5:E16)</f>
        <v>10001</v>
      </c>
      <c r="F17" s="121">
        <f>SUM(F5:F16)</f>
        <v>10000</v>
      </c>
      <c r="J17" s="2" t="s">
        <v>118</v>
      </c>
      <c r="K17" s="33">
        <v>100</v>
      </c>
      <c r="L17" s="33">
        <v>0</v>
      </c>
      <c r="R17" s="11">
        <v>14</v>
      </c>
      <c r="S17" s="12">
        <v>5</v>
      </c>
      <c r="T17" s="12" t="s">
        <v>15</v>
      </c>
      <c r="U17" s="12" t="s">
        <v>15</v>
      </c>
      <c r="W17" s="11">
        <v>14</v>
      </c>
      <c r="X17" s="12">
        <v>3</v>
      </c>
      <c r="Y17" s="12">
        <v>0</v>
      </c>
      <c r="Z17" s="12">
        <v>0</v>
      </c>
      <c r="AB17" s="11">
        <v>14</v>
      </c>
      <c r="AC17" s="12">
        <v>402</v>
      </c>
      <c r="AD17" s="12">
        <v>32</v>
      </c>
      <c r="AE17" s="12">
        <v>556</v>
      </c>
      <c r="AG17" s="11">
        <v>14</v>
      </c>
      <c r="AH17" s="12">
        <v>181</v>
      </c>
      <c r="AI17" s="12">
        <v>177</v>
      </c>
      <c r="AJ17" s="12">
        <v>0</v>
      </c>
      <c r="AL17" s="11">
        <v>14</v>
      </c>
      <c r="AM17" s="12">
        <v>9</v>
      </c>
      <c r="AN17" s="12">
        <v>177</v>
      </c>
      <c r="AO17" s="12">
        <v>254</v>
      </c>
      <c r="AQ17" s="11">
        <v>14</v>
      </c>
      <c r="AR17" s="14" t="s">
        <v>6</v>
      </c>
      <c r="AT17" s="11">
        <v>14</v>
      </c>
      <c r="AU17" s="12">
        <v>7</v>
      </c>
      <c r="AW17" s="11">
        <v>14</v>
      </c>
      <c r="AX17" s="12">
        <v>155</v>
      </c>
      <c r="AY17" s="12">
        <v>19</v>
      </c>
      <c r="AZ17" s="12">
        <v>24</v>
      </c>
      <c r="BA17" s="12">
        <v>612</v>
      </c>
      <c r="BB17" s="12">
        <v>451</v>
      </c>
      <c r="BC17" s="12">
        <v>5</v>
      </c>
      <c r="BD17" s="12">
        <v>255</v>
      </c>
      <c r="BE17" s="12">
        <v>10</v>
      </c>
      <c r="BF17" s="24">
        <v>21</v>
      </c>
      <c r="BG17" s="29">
        <v>273</v>
      </c>
      <c r="BH17" s="12">
        <v>253</v>
      </c>
      <c r="BI17" s="12">
        <v>253</v>
      </c>
      <c r="BK17" s="11">
        <v>14</v>
      </c>
      <c r="BL17" s="12">
        <v>5</v>
      </c>
      <c r="BM17" s="12" t="s">
        <v>15</v>
      </c>
      <c r="BN17" s="12" t="s">
        <v>15</v>
      </c>
      <c r="BP17" s="11">
        <v>14</v>
      </c>
      <c r="BQ17" s="12">
        <v>3</v>
      </c>
      <c r="BR17" s="12">
        <v>0</v>
      </c>
      <c r="BS17" s="12">
        <v>0</v>
      </c>
      <c r="BU17" s="11">
        <v>14</v>
      </c>
      <c r="BV17" s="12">
        <v>1122</v>
      </c>
      <c r="BW17" s="12">
        <v>0</v>
      </c>
      <c r="BX17" s="12">
        <v>0</v>
      </c>
      <c r="BZ17" s="11">
        <v>14</v>
      </c>
      <c r="CA17" s="12"/>
      <c r="CC17" s="11">
        <v>14</v>
      </c>
      <c r="CD17" s="12"/>
    </row>
    <row r="18" spans="1:82">
      <c r="C18" s="8"/>
      <c r="R18" s="11">
        <v>15</v>
      </c>
      <c r="S18" s="12" t="s">
        <v>15</v>
      </c>
      <c r="T18" s="12">
        <v>5</v>
      </c>
      <c r="U18" s="12">
        <v>1</v>
      </c>
      <c r="W18" s="11">
        <v>15</v>
      </c>
      <c r="X18" s="12">
        <v>0</v>
      </c>
      <c r="Y18" s="12">
        <v>3</v>
      </c>
      <c r="Z18" s="12">
        <v>2</v>
      </c>
      <c r="AB18" s="11">
        <v>15</v>
      </c>
      <c r="AC18" s="12">
        <v>4</v>
      </c>
      <c r="AD18" s="12">
        <v>435</v>
      </c>
      <c r="AE18" s="12">
        <v>0</v>
      </c>
      <c r="AG18" s="11">
        <v>15</v>
      </c>
      <c r="AH18" s="12">
        <v>279</v>
      </c>
      <c r="AI18" s="12">
        <v>164</v>
      </c>
      <c r="AJ18" s="12">
        <v>591</v>
      </c>
      <c r="AL18" s="11">
        <v>15</v>
      </c>
      <c r="AM18" s="12">
        <v>547</v>
      </c>
      <c r="AN18" s="12">
        <v>9</v>
      </c>
      <c r="AO18" s="12">
        <v>0</v>
      </c>
      <c r="AQ18" s="11">
        <v>15</v>
      </c>
      <c r="AR18" s="12" t="s">
        <v>15</v>
      </c>
      <c r="AT18" s="11">
        <v>15</v>
      </c>
      <c r="AU18" s="12">
        <v>0</v>
      </c>
      <c r="AW18" s="11">
        <v>15</v>
      </c>
      <c r="AX18" s="12">
        <v>404</v>
      </c>
      <c r="AY18" s="12">
        <v>22</v>
      </c>
      <c r="AZ18" s="12">
        <v>20</v>
      </c>
      <c r="BA18" s="12">
        <v>279</v>
      </c>
      <c r="BB18" s="12">
        <v>389</v>
      </c>
      <c r="BC18" s="12">
        <v>455</v>
      </c>
      <c r="BD18" s="12">
        <v>316</v>
      </c>
      <c r="BE18" s="12">
        <v>461</v>
      </c>
      <c r="BF18" s="24">
        <v>312</v>
      </c>
      <c r="BG18" s="29">
        <v>196</v>
      </c>
      <c r="BH18" s="12">
        <v>304</v>
      </c>
      <c r="BI18" s="12">
        <v>304</v>
      </c>
      <c r="BK18" s="11">
        <v>15</v>
      </c>
      <c r="BL18" s="12" t="s">
        <v>15</v>
      </c>
      <c r="BM18" s="12">
        <v>5</v>
      </c>
      <c r="BN18" s="12">
        <v>1</v>
      </c>
      <c r="BP18" s="11">
        <v>15</v>
      </c>
      <c r="BQ18" s="12">
        <v>0</v>
      </c>
      <c r="BR18" s="12">
        <v>3</v>
      </c>
      <c r="BS18" s="12">
        <v>2</v>
      </c>
      <c r="BU18" s="11">
        <v>15</v>
      </c>
      <c r="BV18" s="12">
        <v>61</v>
      </c>
      <c r="BW18" s="12">
        <v>113</v>
      </c>
      <c r="BX18" s="12">
        <v>0</v>
      </c>
      <c r="BZ18" s="11">
        <v>15</v>
      </c>
      <c r="CA18" s="12"/>
      <c r="CC18" s="11">
        <v>15</v>
      </c>
      <c r="CD18" s="12"/>
    </row>
    <row r="19" spans="1:82">
      <c r="A19" s="30" t="s">
        <v>116</v>
      </c>
      <c r="D19" s="119"/>
      <c r="E19" s="119"/>
      <c r="F19" s="119"/>
      <c r="J19" s="94" t="s">
        <v>125</v>
      </c>
      <c r="K19" s="121"/>
      <c r="R19" s="11">
        <v>16</v>
      </c>
      <c r="S19" s="12">
        <v>10</v>
      </c>
      <c r="T19" s="12" t="s">
        <v>15</v>
      </c>
      <c r="U19" s="12" t="s">
        <v>15</v>
      </c>
      <c r="W19" s="11">
        <v>16</v>
      </c>
      <c r="X19" s="12">
        <v>4</v>
      </c>
      <c r="Y19" s="12">
        <v>0</v>
      </c>
      <c r="Z19" s="12">
        <v>0</v>
      </c>
      <c r="AB19" s="11">
        <v>16</v>
      </c>
      <c r="AC19" s="12">
        <v>81</v>
      </c>
      <c r="AD19" s="12">
        <v>32</v>
      </c>
      <c r="AE19" s="12">
        <v>556</v>
      </c>
      <c r="AG19" s="11">
        <v>16</v>
      </c>
      <c r="AH19" s="12">
        <v>16</v>
      </c>
      <c r="AI19" s="12">
        <v>177</v>
      </c>
      <c r="AJ19" s="12">
        <v>0</v>
      </c>
      <c r="AL19" s="11">
        <v>16</v>
      </c>
      <c r="AM19" s="12">
        <v>14</v>
      </c>
      <c r="AN19" s="12">
        <v>177</v>
      </c>
      <c r="AO19" s="12">
        <v>254</v>
      </c>
      <c r="AQ19" s="11">
        <v>16</v>
      </c>
      <c r="AR19" s="14" t="s">
        <v>40</v>
      </c>
      <c r="AT19" s="11">
        <v>16</v>
      </c>
      <c r="AU19" s="12">
        <v>11</v>
      </c>
      <c r="AW19" s="11">
        <v>16</v>
      </c>
      <c r="AX19" s="12">
        <v>12</v>
      </c>
      <c r="AY19" s="12">
        <v>196</v>
      </c>
      <c r="AZ19" s="12">
        <v>403</v>
      </c>
      <c r="BA19" s="12">
        <v>226</v>
      </c>
      <c r="BB19" s="12">
        <v>57</v>
      </c>
      <c r="BC19" s="12">
        <v>33</v>
      </c>
      <c r="BD19" s="12">
        <v>203</v>
      </c>
      <c r="BE19" s="12">
        <v>143</v>
      </c>
      <c r="BF19" s="24">
        <v>96</v>
      </c>
      <c r="BG19" s="29">
        <v>307</v>
      </c>
      <c r="BH19" s="12">
        <v>170</v>
      </c>
      <c r="BI19" s="12">
        <v>170</v>
      </c>
      <c r="BK19" s="11">
        <v>16</v>
      </c>
      <c r="BL19" s="12">
        <v>10</v>
      </c>
      <c r="BM19" s="12" t="s">
        <v>15</v>
      </c>
      <c r="BN19" s="12" t="s">
        <v>15</v>
      </c>
      <c r="BP19" s="11">
        <v>16</v>
      </c>
      <c r="BQ19" s="12">
        <v>4</v>
      </c>
      <c r="BR19" s="12">
        <v>0</v>
      </c>
      <c r="BS19" s="12">
        <v>0</v>
      </c>
      <c r="BU19" s="11">
        <v>16</v>
      </c>
      <c r="BV19" s="12">
        <v>361</v>
      </c>
      <c r="BW19" s="12">
        <v>0</v>
      </c>
      <c r="BX19" s="12">
        <v>0</v>
      </c>
      <c r="BZ19" s="11">
        <v>16</v>
      </c>
      <c r="CA19" s="12"/>
      <c r="CC19" s="11">
        <v>16</v>
      </c>
      <c r="CD19" s="12"/>
    </row>
    <row r="20" spans="1:82">
      <c r="D20" s="119"/>
      <c r="E20" s="119"/>
      <c r="F20" s="119"/>
      <c r="J20" s="2" t="s">
        <v>66</v>
      </c>
      <c r="K20" s="2" t="s">
        <v>67</v>
      </c>
      <c r="R20" s="11">
        <v>17</v>
      </c>
      <c r="S20" s="12" t="s">
        <v>15</v>
      </c>
      <c r="T20" s="12">
        <v>10</v>
      </c>
      <c r="U20" s="12">
        <v>5</v>
      </c>
      <c r="W20" s="11">
        <v>17</v>
      </c>
      <c r="X20" s="12">
        <v>0</v>
      </c>
      <c r="Y20" s="12">
        <v>4</v>
      </c>
      <c r="Z20" s="12">
        <v>3</v>
      </c>
      <c r="AB20" s="11">
        <v>17</v>
      </c>
      <c r="AC20" s="12">
        <v>4</v>
      </c>
      <c r="AD20" s="12">
        <v>20</v>
      </c>
      <c r="AE20" s="12">
        <v>0</v>
      </c>
      <c r="AG20" s="11">
        <v>17</v>
      </c>
      <c r="AH20" s="12">
        <v>279</v>
      </c>
      <c r="AI20" s="12">
        <v>20</v>
      </c>
      <c r="AJ20" s="12">
        <v>534</v>
      </c>
      <c r="AL20" s="11">
        <v>17</v>
      </c>
      <c r="AM20" s="12">
        <v>547</v>
      </c>
      <c r="AN20" s="12">
        <v>20</v>
      </c>
      <c r="AO20" s="12">
        <v>6</v>
      </c>
      <c r="AQ20" s="11">
        <v>17</v>
      </c>
      <c r="AR20" s="12" t="s">
        <v>15</v>
      </c>
      <c r="AT20" s="11">
        <v>17</v>
      </c>
      <c r="AU20" s="12">
        <v>0</v>
      </c>
      <c r="AW20" s="11">
        <v>17</v>
      </c>
      <c r="AX20" s="12">
        <v>404</v>
      </c>
      <c r="AY20" s="12">
        <v>22</v>
      </c>
      <c r="AZ20" s="12">
        <v>20</v>
      </c>
      <c r="BA20" s="12">
        <v>279</v>
      </c>
      <c r="BB20" s="12">
        <v>389</v>
      </c>
      <c r="BC20" s="12">
        <v>455</v>
      </c>
      <c r="BD20" s="12">
        <v>316</v>
      </c>
      <c r="BE20" s="12">
        <v>461</v>
      </c>
      <c r="BF20" s="24">
        <v>312</v>
      </c>
      <c r="BG20" s="29">
        <v>196</v>
      </c>
      <c r="BH20" s="12">
        <v>304</v>
      </c>
      <c r="BI20" s="12">
        <v>304</v>
      </c>
      <c r="BK20" s="11">
        <v>17</v>
      </c>
      <c r="BL20" s="12" t="s">
        <v>15</v>
      </c>
      <c r="BM20" s="12">
        <v>10</v>
      </c>
      <c r="BN20" s="12">
        <v>5</v>
      </c>
      <c r="BP20" s="11">
        <v>17</v>
      </c>
      <c r="BQ20" s="12">
        <v>0</v>
      </c>
      <c r="BR20" s="12">
        <v>4</v>
      </c>
      <c r="BS20" s="12">
        <v>3</v>
      </c>
      <c r="BU20" s="11">
        <v>17</v>
      </c>
      <c r="BV20" s="12">
        <v>61</v>
      </c>
      <c r="BW20" s="12">
        <v>148</v>
      </c>
      <c r="BX20" s="12">
        <v>0</v>
      </c>
      <c r="BZ20" s="11">
        <v>17</v>
      </c>
      <c r="CA20" s="12"/>
      <c r="CC20" s="11">
        <v>17</v>
      </c>
      <c r="CD20" s="12"/>
    </row>
    <row r="21" spans="1:82">
      <c r="D21" s="119"/>
      <c r="E21" s="119"/>
      <c r="F21" s="119"/>
      <c r="J21" s="2">
        <v>0</v>
      </c>
      <c r="K21" s="2">
        <v>1</v>
      </c>
      <c r="R21" s="11">
        <v>18</v>
      </c>
      <c r="S21" s="12">
        <v>1</v>
      </c>
      <c r="T21" s="12" t="s">
        <v>15</v>
      </c>
      <c r="U21" s="12" t="s">
        <v>15</v>
      </c>
      <c r="W21" s="11">
        <v>18</v>
      </c>
      <c r="X21" s="12">
        <v>2</v>
      </c>
      <c r="Y21" s="12">
        <v>0</v>
      </c>
      <c r="Z21" s="12">
        <v>0</v>
      </c>
      <c r="AB21" s="11">
        <v>18</v>
      </c>
      <c r="AC21" s="12">
        <v>1171</v>
      </c>
      <c r="AD21" s="12">
        <v>32</v>
      </c>
      <c r="AE21" s="12">
        <v>556</v>
      </c>
      <c r="AG21" s="11">
        <v>18</v>
      </c>
      <c r="AH21" s="12">
        <v>631</v>
      </c>
      <c r="AI21" s="12">
        <v>177</v>
      </c>
      <c r="AJ21" s="12">
        <v>0</v>
      </c>
      <c r="AL21" s="11">
        <v>18</v>
      </c>
      <c r="AM21" s="12">
        <v>5</v>
      </c>
      <c r="AN21" s="12">
        <v>177</v>
      </c>
      <c r="AO21" s="12">
        <v>254</v>
      </c>
      <c r="AQ21" s="11">
        <v>18</v>
      </c>
      <c r="AR21" s="14" t="s">
        <v>9</v>
      </c>
      <c r="AT21" s="11">
        <v>18</v>
      </c>
      <c r="AU21" s="12">
        <v>8</v>
      </c>
      <c r="AW21" s="11">
        <v>18</v>
      </c>
      <c r="AX21" s="12">
        <v>151</v>
      </c>
      <c r="AY21" s="12">
        <v>2110</v>
      </c>
      <c r="AZ21" s="12">
        <v>459</v>
      </c>
      <c r="BA21" s="12">
        <v>111</v>
      </c>
      <c r="BB21" s="12">
        <v>40</v>
      </c>
      <c r="BC21" s="12">
        <v>102</v>
      </c>
      <c r="BD21" s="12">
        <v>83</v>
      </c>
      <c r="BE21" s="12">
        <v>28</v>
      </c>
      <c r="BF21" s="24">
        <v>99</v>
      </c>
      <c r="BG21" s="29">
        <v>8</v>
      </c>
      <c r="BH21" s="12">
        <v>207</v>
      </c>
      <c r="BI21" s="12">
        <v>207</v>
      </c>
      <c r="BK21" s="11">
        <v>18</v>
      </c>
      <c r="BL21" s="12">
        <v>1</v>
      </c>
      <c r="BM21" s="12" t="s">
        <v>15</v>
      </c>
      <c r="BN21" s="12" t="s">
        <v>15</v>
      </c>
      <c r="BP21" s="11">
        <v>18</v>
      </c>
      <c r="BQ21" s="12">
        <v>2</v>
      </c>
      <c r="BR21" s="12">
        <v>0</v>
      </c>
      <c r="BS21" s="12">
        <v>0</v>
      </c>
      <c r="BU21" s="11">
        <v>18</v>
      </c>
      <c r="BV21" s="12">
        <v>0</v>
      </c>
      <c r="BW21" s="12">
        <v>0</v>
      </c>
      <c r="BX21" s="12">
        <v>0</v>
      </c>
      <c r="BZ21" s="11">
        <v>18</v>
      </c>
      <c r="CA21" s="12"/>
      <c r="CC21" s="11">
        <v>18</v>
      </c>
      <c r="CD21" s="12"/>
    </row>
    <row r="22" spans="1:82">
      <c r="A22" s="30" t="s">
        <v>46</v>
      </c>
      <c r="B22" s="1" t="s">
        <v>10</v>
      </c>
      <c r="C22" s="2" t="s">
        <v>11</v>
      </c>
      <c r="D22" s="3" t="s">
        <v>80</v>
      </c>
      <c r="E22" s="122" t="s">
        <v>1</v>
      </c>
      <c r="F22" s="4" t="s">
        <v>2</v>
      </c>
      <c r="R22" s="11">
        <v>19</v>
      </c>
      <c r="S22" s="12" t="s">
        <v>15</v>
      </c>
      <c r="T22" s="12" t="s">
        <v>18</v>
      </c>
      <c r="U22" s="12">
        <v>0</v>
      </c>
      <c r="W22" s="11">
        <v>19</v>
      </c>
      <c r="X22" s="12">
        <v>0</v>
      </c>
      <c r="Y22" s="12">
        <v>5</v>
      </c>
      <c r="Z22" s="12">
        <v>1</v>
      </c>
      <c r="AB22" s="11">
        <v>19</v>
      </c>
      <c r="AC22" s="12">
        <v>4</v>
      </c>
      <c r="AD22" s="12">
        <v>373</v>
      </c>
      <c r="AE22" s="12">
        <v>0</v>
      </c>
      <c r="AG22" s="11">
        <v>19</v>
      </c>
      <c r="AH22" s="12">
        <v>279</v>
      </c>
      <c r="AI22" s="12">
        <v>373</v>
      </c>
      <c r="AJ22" s="12">
        <v>541</v>
      </c>
      <c r="AL22" s="11">
        <v>19</v>
      </c>
      <c r="AM22" s="12">
        <v>547</v>
      </c>
      <c r="AN22" s="12">
        <v>373</v>
      </c>
      <c r="AO22" s="12">
        <v>899</v>
      </c>
      <c r="AQ22" s="11">
        <v>19</v>
      </c>
      <c r="AR22" s="12" t="s">
        <v>15</v>
      </c>
      <c r="AT22" s="11">
        <v>19</v>
      </c>
      <c r="AU22" s="12">
        <v>0</v>
      </c>
      <c r="AW22" s="11">
        <v>19</v>
      </c>
      <c r="AX22" s="12">
        <v>404</v>
      </c>
      <c r="AY22" s="12">
        <v>22</v>
      </c>
      <c r="AZ22" s="12">
        <v>20</v>
      </c>
      <c r="BA22" s="12">
        <v>279</v>
      </c>
      <c r="BB22" s="12">
        <v>389</v>
      </c>
      <c r="BC22" s="12">
        <v>455</v>
      </c>
      <c r="BD22" s="12">
        <v>316</v>
      </c>
      <c r="BE22" s="12">
        <v>461</v>
      </c>
      <c r="BF22" s="24">
        <v>312</v>
      </c>
      <c r="BG22" s="29">
        <v>196</v>
      </c>
      <c r="BH22" s="12">
        <v>304</v>
      </c>
      <c r="BI22" s="12">
        <v>304</v>
      </c>
      <c r="BK22" s="11">
        <v>19</v>
      </c>
      <c r="BL22" s="12" t="s">
        <v>15</v>
      </c>
      <c r="BM22" s="12" t="s">
        <v>18</v>
      </c>
      <c r="BN22" s="12">
        <v>0</v>
      </c>
      <c r="BP22" s="11">
        <v>19</v>
      </c>
      <c r="BQ22" s="12">
        <v>0</v>
      </c>
      <c r="BR22" s="12">
        <v>5</v>
      </c>
      <c r="BS22" s="12">
        <v>1</v>
      </c>
      <c r="BU22" s="11">
        <v>19</v>
      </c>
      <c r="BV22" s="12">
        <v>61</v>
      </c>
      <c r="BW22" s="12">
        <v>159</v>
      </c>
      <c r="BX22" s="12">
        <v>1667</v>
      </c>
      <c r="BZ22" s="11">
        <v>19</v>
      </c>
      <c r="CA22" s="12"/>
      <c r="CC22" s="11">
        <v>19</v>
      </c>
      <c r="CD22" s="12"/>
    </row>
    <row r="23" spans="1:82">
      <c r="A23" s="1" t="s">
        <v>19</v>
      </c>
      <c r="B23" s="1">
        <v>0</v>
      </c>
      <c r="C23" s="3" t="s">
        <v>25</v>
      </c>
      <c r="D23" s="3">
        <f>SUMIF(S$3:S$38,$A23,AH$3:AH$38)</f>
        <v>5029</v>
      </c>
      <c r="E23" s="122">
        <f>SUMIF(T$3:T$52,$A23,AI$3:AI$52)</f>
        <v>4414</v>
      </c>
      <c r="F23" s="4">
        <f t="shared" ref="F23:F34" si="3">SUMIF(U$3:U$38,$A23,AJ$3:AJ$38)</f>
        <v>0</v>
      </c>
      <c r="R23" s="11">
        <v>20</v>
      </c>
      <c r="S23" s="12">
        <v>5</v>
      </c>
      <c r="T23" s="12" t="s">
        <v>15</v>
      </c>
      <c r="U23" s="12" t="s">
        <v>15</v>
      </c>
      <c r="W23" s="11">
        <v>20</v>
      </c>
      <c r="X23" s="12">
        <v>3</v>
      </c>
      <c r="Y23" s="12">
        <v>0</v>
      </c>
      <c r="Z23" s="12">
        <v>0</v>
      </c>
      <c r="AB23" s="11">
        <v>20</v>
      </c>
      <c r="AC23" s="12">
        <v>402</v>
      </c>
      <c r="AD23" s="12">
        <v>32</v>
      </c>
      <c r="AE23" s="12">
        <v>555</v>
      </c>
      <c r="AG23" s="11">
        <v>20</v>
      </c>
      <c r="AH23" s="12">
        <v>181</v>
      </c>
      <c r="AI23" s="12">
        <v>177</v>
      </c>
      <c r="AJ23" s="12">
        <v>0</v>
      </c>
      <c r="AL23" s="11">
        <v>20</v>
      </c>
      <c r="AM23" s="12">
        <v>8</v>
      </c>
      <c r="AN23" s="12">
        <v>176</v>
      </c>
      <c r="AO23" s="12">
        <v>254</v>
      </c>
      <c r="AQ23" s="11">
        <v>20</v>
      </c>
      <c r="AR23" s="14" t="s">
        <v>5</v>
      </c>
      <c r="AT23" s="11">
        <v>20</v>
      </c>
      <c r="AU23" s="12">
        <v>6</v>
      </c>
      <c r="AW23" s="11">
        <v>20</v>
      </c>
      <c r="AX23" s="12">
        <v>149</v>
      </c>
      <c r="AY23" s="12">
        <v>18</v>
      </c>
      <c r="AZ23" s="12">
        <v>1380</v>
      </c>
      <c r="BA23" s="12">
        <v>67</v>
      </c>
      <c r="BB23" s="12">
        <v>4</v>
      </c>
      <c r="BC23" s="12">
        <v>34</v>
      </c>
      <c r="BD23" s="12">
        <v>254</v>
      </c>
      <c r="BE23" s="12">
        <v>9</v>
      </c>
      <c r="BF23" s="24">
        <v>511</v>
      </c>
      <c r="BG23" s="29">
        <v>366</v>
      </c>
      <c r="BH23" s="12">
        <v>240</v>
      </c>
      <c r="BI23" s="12">
        <v>240</v>
      </c>
      <c r="BK23" s="11">
        <v>20</v>
      </c>
      <c r="BL23" s="12">
        <v>5</v>
      </c>
      <c r="BM23" s="12" t="s">
        <v>15</v>
      </c>
      <c r="BN23" s="12" t="s">
        <v>15</v>
      </c>
      <c r="BP23" s="11">
        <v>20</v>
      </c>
      <c r="BQ23" s="12">
        <v>3</v>
      </c>
      <c r="BR23" s="12">
        <v>0</v>
      </c>
      <c r="BS23" s="12">
        <v>0</v>
      </c>
      <c r="BU23" s="11">
        <v>20</v>
      </c>
      <c r="BV23" s="12">
        <v>1121</v>
      </c>
      <c r="BW23" s="12">
        <v>0</v>
      </c>
      <c r="BX23" s="12">
        <v>0</v>
      </c>
      <c r="BZ23" s="11">
        <v>20</v>
      </c>
      <c r="CA23" s="12"/>
      <c r="CC23" s="11">
        <v>20</v>
      </c>
      <c r="CD23" s="12"/>
    </row>
    <row r="24" spans="1:82">
      <c r="A24" s="20">
        <v>0</v>
      </c>
      <c r="B24" s="20">
        <v>1</v>
      </c>
      <c r="C24" s="5">
        <v>0</v>
      </c>
      <c r="D24" s="37">
        <f t="shared" ref="D24:D34" si="4">SUMIF(S$3:S$38,$A24,AH$3:AH$38)</f>
        <v>0</v>
      </c>
      <c r="E24" s="121">
        <f t="shared" ref="E24:E34" si="5">SUMIF(T$3:T$52,$A24,AI$3:AI$52)</f>
        <v>366</v>
      </c>
      <c r="F24" s="7">
        <f t="shared" si="3"/>
        <v>3248</v>
      </c>
      <c r="R24" s="11">
        <v>21</v>
      </c>
      <c r="S24" s="12" t="s">
        <v>15</v>
      </c>
      <c r="T24" s="12">
        <v>0</v>
      </c>
      <c r="U24" s="12">
        <v>1</v>
      </c>
      <c r="W24" s="11">
        <v>21</v>
      </c>
      <c r="X24" s="12">
        <v>0</v>
      </c>
      <c r="Y24" s="12">
        <v>1</v>
      </c>
      <c r="Z24" s="12">
        <v>2</v>
      </c>
      <c r="AB24" s="11">
        <v>21</v>
      </c>
      <c r="AC24" s="12">
        <v>4</v>
      </c>
      <c r="AD24" s="12">
        <v>352</v>
      </c>
      <c r="AE24" s="12">
        <v>0</v>
      </c>
      <c r="AG24" s="11">
        <v>21</v>
      </c>
      <c r="AH24" s="12">
        <v>279</v>
      </c>
      <c r="AI24" s="12">
        <v>73</v>
      </c>
      <c r="AJ24" s="12">
        <v>591</v>
      </c>
      <c r="AL24" s="11">
        <v>21</v>
      </c>
      <c r="AM24" s="12">
        <v>547</v>
      </c>
      <c r="AN24" s="12">
        <v>711</v>
      </c>
      <c r="AO24" s="12">
        <v>0</v>
      </c>
      <c r="AQ24" s="11">
        <v>21</v>
      </c>
      <c r="AR24" s="12" t="s">
        <v>15</v>
      </c>
      <c r="AT24" s="11">
        <v>21</v>
      </c>
      <c r="AU24" s="12">
        <v>0</v>
      </c>
      <c r="AW24" s="11">
        <v>21</v>
      </c>
      <c r="AX24" s="12">
        <v>404</v>
      </c>
      <c r="AY24" s="12">
        <v>22</v>
      </c>
      <c r="AZ24" s="12">
        <v>20</v>
      </c>
      <c r="BA24" s="12">
        <v>279</v>
      </c>
      <c r="BB24" s="12">
        <v>389</v>
      </c>
      <c r="BC24" s="12">
        <v>455</v>
      </c>
      <c r="BD24" s="12">
        <v>316</v>
      </c>
      <c r="BE24" s="12">
        <v>461</v>
      </c>
      <c r="BF24" s="24">
        <v>312</v>
      </c>
      <c r="BG24" s="29">
        <v>196</v>
      </c>
      <c r="BH24" s="12">
        <v>304</v>
      </c>
      <c r="BI24" s="12">
        <v>304</v>
      </c>
      <c r="BK24" s="11">
        <v>21</v>
      </c>
      <c r="BL24" s="12" t="s">
        <v>15</v>
      </c>
      <c r="BM24" s="12">
        <v>0</v>
      </c>
      <c r="BN24" s="12">
        <v>1</v>
      </c>
      <c r="BP24" s="11">
        <v>21</v>
      </c>
      <c r="BQ24" s="12">
        <v>0</v>
      </c>
      <c r="BR24" s="12">
        <v>1</v>
      </c>
      <c r="BS24" s="12">
        <v>2</v>
      </c>
      <c r="BU24" s="11">
        <v>21</v>
      </c>
      <c r="BV24" s="12">
        <v>61</v>
      </c>
      <c r="BW24" s="12">
        <v>676</v>
      </c>
      <c r="BX24" s="12">
        <v>0</v>
      </c>
      <c r="BZ24" s="11">
        <v>21</v>
      </c>
      <c r="CA24" s="12"/>
      <c r="CC24" s="11">
        <v>21</v>
      </c>
      <c r="CD24" s="12"/>
    </row>
    <row r="25" spans="1:82">
      <c r="A25" s="20">
        <v>1</v>
      </c>
      <c r="B25" s="20">
        <v>2</v>
      </c>
      <c r="C25" s="5">
        <v>1</v>
      </c>
      <c r="D25" s="6">
        <f t="shared" si="4"/>
        <v>3788</v>
      </c>
      <c r="E25" s="121">
        <f t="shared" si="5"/>
        <v>2435</v>
      </c>
      <c r="F25" s="7">
        <f t="shared" si="3"/>
        <v>3547</v>
      </c>
      <c r="R25" s="11">
        <v>22</v>
      </c>
      <c r="S25" s="12">
        <v>10</v>
      </c>
      <c r="T25" s="12" t="s">
        <v>15</v>
      </c>
      <c r="U25" s="12" t="s">
        <v>15</v>
      </c>
      <c r="W25" s="11">
        <v>22</v>
      </c>
      <c r="X25" s="12">
        <v>4</v>
      </c>
      <c r="Y25" s="12">
        <v>0</v>
      </c>
      <c r="Z25" s="12">
        <v>0</v>
      </c>
      <c r="AB25" s="11">
        <v>22</v>
      </c>
      <c r="AC25" s="12">
        <v>81</v>
      </c>
      <c r="AD25" s="12">
        <v>32</v>
      </c>
      <c r="AE25" s="12">
        <v>555</v>
      </c>
      <c r="AG25" s="11">
        <v>22</v>
      </c>
      <c r="AH25" s="12">
        <v>16</v>
      </c>
      <c r="AI25" s="12">
        <v>177</v>
      </c>
      <c r="AJ25" s="12">
        <v>0</v>
      </c>
      <c r="AL25" s="11">
        <v>22</v>
      </c>
      <c r="AM25" s="12">
        <v>13</v>
      </c>
      <c r="AN25" s="12">
        <v>176</v>
      </c>
      <c r="AO25" s="12">
        <v>254</v>
      </c>
      <c r="AQ25" s="11">
        <v>22</v>
      </c>
      <c r="AR25" s="14" t="s">
        <v>7</v>
      </c>
      <c r="AT25" s="11">
        <v>22</v>
      </c>
      <c r="AU25" s="12">
        <v>9</v>
      </c>
      <c r="AW25" s="11">
        <v>22</v>
      </c>
      <c r="AX25" s="12">
        <v>15</v>
      </c>
      <c r="AY25" s="12">
        <v>45</v>
      </c>
      <c r="AZ25" s="12">
        <v>136</v>
      </c>
      <c r="BA25" s="12">
        <v>91</v>
      </c>
      <c r="BB25" s="12">
        <v>2</v>
      </c>
      <c r="BC25" s="12">
        <v>51</v>
      </c>
      <c r="BD25" s="12">
        <v>127</v>
      </c>
      <c r="BE25" s="12">
        <v>4</v>
      </c>
      <c r="BF25" s="24">
        <v>214</v>
      </c>
      <c r="BG25" s="29">
        <v>568</v>
      </c>
      <c r="BH25" s="12">
        <v>113</v>
      </c>
      <c r="BI25" s="12">
        <v>113</v>
      </c>
      <c r="BK25" s="11">
        <v>22</v>
      </c>
      <c r="BL25" s="12">
        <v>10</v>
      </c>
      <c r="BM25" s="12" t="s">
        <v>15</v>
      </c>
      <c r="BN25" s="12" t="s">
        <v>15</v>
      </c>
      <c r="BP25" s="11">
        <v>22</v>
      </c>
      <c r="BQ25" s="12">
        <v>4</v>
      </c>
      <c r="BR25" s="12">
        <v>0</v>
      </c>
      <c r="BS25" s="12">
        <v>0</v>
      </c>
      <c r="BU25" s="11">
        <v>22</v>
      </c>
      <c r="BV25" s="12">
        <v>361</v>
      </c>
      <c r="BW25" s="12">
        <v>0</v>
      </c>
      <c r="BX25" s="12">
        <v>0</v>
      </c>
      <c r="BZ25" s="11">
        <v>22</v>
      </c>
      <c r="CA25" s="12"/>
      <c r="CC25" s="11">
        <v>22</v>
      </c>
      <c r="CD25" s="12"/>
    </row>
    <row r="26" spans="1:82">
      <c r="A26" s="21">
        <v>5</v>
      </c>
      <c r="B26" s="21">
        <v>3</v>
      </c>
      <c r="C26" s="23">
        <v>5</v>
      </c>
      <c r="D26" s="6">
        <f t="shared" si="4"/>
        <v>1085</v>
      </c>
      <c r="E26" s="121">
        <f t="shared" si="5"/>
        <v>819</v>
      </c>
      <c r="F26" s="7">
        <f t="shared" si="3"/>
        <v>3205</v>
      </c>
      <c r="R26" s="11">
        <v>23</v>
      </c>
      <c r="S26" s="12" t="s">
        <v>15</v>
      </c>
      <c r="T26" s="12">
        <v>1</v>
      </c>
      <c r="U26" s="12">
        <v>5</v>
      </c>
      <c r="W26" s="11">
        <v>23</v>
      </c>
      <c r="X26" s="12">
        <v>0</v>
      </c>
      <c r="Y26" s="12">
        <v>2</v>
      </c>
      <c r="Z26" s="12">
        <v>3</v>
      </c>
      <c r="AB26" s="11">
        <v>23</v>
      </c>
      <c r="AC26" s="12">
        <v>4</v>
      </c>
      <c r="AD26" s="12">
        <v>660</v>
      </c>
      <c r="AE26" s="12">
        <v>0</v>
      </c>
      <c r="AG26" s="11">
        <v>23</v>
      </c>
      <c r="AH26" s="12">
        <v>279</v>
      </c>
      <c r="AI26" s="12">
        <v>487</v>
      </c>
      <c r="AJ26" s="12">
        <v>534</v>
      </c>
      <c r="AL26" s="11">
        <v>23</v>
      </c>
      <c r="AM26" s="12">
        <v>546</v>
      </c>
      <c r="AN26" s="12">
        <v>6</v>
      </c>
      <c r="AO26" s="12">
        <v>6</v>
      </c>
      <c r="AQ26" s="11">
        <v>23</v>
      </c>
      <c r="AR26" s="12" t="s">
        <v>15</v>
      </c>
      <c r="AT26" s="11">
        <v>23</v>
      </c>
      <c r="AU26" s="12">
        <v>0</v>
      </c>
      <c r="AW26" s="11">
        <v>23</v>
      </c>
      <c r="AX26" s="12">
        <v>404</v>
      </c>
      <c r="AY26" s="12">
        <v>22</v>
      </c>
      <c r="AZ26" s="12">
        <v>20</v>
      </c>
      <c r="BA26" s="12">
        <v>279</v>
      </c>
      <c r="BB26" s="12">
        <v>389</v>
      </c>
      <c r="BC26" s="12">
        <v>455</v>
      </c>
      <c r="BD26" s="12">
        <v>316</v>
      </c>
      <c r="BE26" s="12">
        <v>461</v>
      </c>
      <c r="BF26" s="24">
        <v>312</v>
      </c>
      <c r="BG26" s="29">
        <v>196</v>
      </c>
      <c r="BH26" s="12">
        <v>303</v>
      </c>
      <c r="BI26" s="12">
        <v>303</v>
      </c>
      <c r="BK26" s="11">
        <v>23</v>
      </c>
      <c r="BL26" s="12" t="s">
        <v>15</v>
      </c>
      <c r="BM26" s="12">
        <v>1</v>
      </c>
      <c r="BN26" s="12">
        <v>5</v>
      </c>
      <c r="BP26" s="11">
        <v>23</v>
      </c>
      <c r="BQ26" s="12">
        <v>0</v>
      </c>
      <c r="BR26" s="12">
        <v>2</v>
      </c>
      <c r="BS26" s="12">
        <v>3</v>
      </c>
      <c r="BU26" s="11">
        <v>23</v>
      </c>
      <c r="BV26" s="12">
        <v>61</v>
      </c>
      <c r="BW26" s="12">
        <v>905</v>
      </c>
      <c r="BX26" s="12">
        <v>0</v>
      </c>
      <c r="BZ26" s="11">
        <v>23</v>
      </c>
      <c r="CA26" s="12"/>
      <c r="CC26" s="11">
        <v>23</v>
      </c>
      <c r="CD26" s="12"/>
    </row>
    <row r="27" spans="1:82">
      <c r="A27" s="21">
        <v>10</v>
      </c>
      <c r="B27" s="21">
        <v>4</v>
      </c>
      <c r="C27" s="23">
        <v>10</v>
      </c>
      <c r="D27" s="6">
        <f t="shared" si="4"/>
        <v>98</v>
      </c>
      <c r="E27" s="101">
        <f t="shared" si="5"/>
        <v>101</v>
      </c>
      <c r="F27" s="38">
        <f t="shared" si="3"/>
        <v>0</v>
      </c>
      <c r="R27" s="11">
        <v>24</v>
      </c>
      <c r="S27" s="12">
        <v>1</v>
      </c>
      <c r="T27" s="12" t="s">
        <v>15</v>
      </c>
      <c r="U27" s="12" t="s">
        <v>15</v>
      </c>
      <c r="W27" s="11">
        <v>24</v>
      </c>
      <c r="X27" s="12">
        <v>2</v>
      </c>
      <c r="Y27" s="12">
        <v>0</v>
      </c>
      <c r="Z27" s="12">
        <v>0</v>
      </c>
      <c r="AB27" s="11">
        <v>24</v>
      </c>
      <c r="AC27" s="12">
        <v>1171</v>
      </c>
      <c r="AD27" s="12">
        <v>32</v>
      </c>
      <c r="AE27" s="12">
        <v>555</v>
      </c>
      <c r="AG27" s="11">
        <v>24</v>
      </c>
      <c r="AH27" s="12">
        <v>631</v>
      </c>
      <c r="AI27" s="12">
        <v>177</v>
      </c>
      <c r="AJ27" s="12">
        <v>0</v>
      </c>
      <c r="AL27" s="11">
        <v>24</v>
      </c>
      <c r="AM27" s="12">
        <v>5</v>
      </c>
      <c r="AN27" s="12">
        <v>176</v>
      </c>
      <c r="AO27" s="12">
        <v>254</v>
      </c>
      <c r="AQ27" s="11">
        <v>24</v>
      </c>
      <c r="AR27" s="14" t="s">
        <v>6</v>
      </c>
      <c r="AT27" s="11">
        <v>24</v>
      </c>
      <c r="AU27" s="12">
        <v>7</v>
      </c>
      <c r="AW27" s="11">
        <v>24</v>
      </c>
      <c r="AX27" s="12">
        <v>155</v>
      </c>
      <c r="AY27" s="12">
        <v>18</v>
      </c>
      <c r="AZ27" s="12">
        <v>24</v>
      </c>
      <c r="BA27" s="12">
        <v>612</v>
      </c>
      <c r="BB27" s="12">
        <v>451</v>
      </c>
      <c r="BC27" s="12">
        <v>5</v>
      </c>
      <c r="BD27" s="12">
        <v>255</v>
      </c>
      <c r="BE27" s="12">
        <v>10</v>
      </c>
      <c r="BF27" s="24">
        <v>21</v>
      </c>
      <c r="BG27" s="29">
        <v>273</v>
      </c>
      <c r="BH27" s="12">
        <v>253</v>
      </c>
      <c r="BI27" s="12">
        <v>253</v>
      </c>
      <c r="BK27" s="11">
        <v>24</v>
      </c>
      <c r="BL27" s="12">
        <v>1</v>
      </c>
      <c r="BM27" s="12" t="s">
        <v>15</v>
      </c>
      <c r="BN27" s="12" t="s">
        <v>15</v>
      </c>
      <c r="BP27" s="11">
        <v>24</v>
      </c>
      <c r="BQ27" s="12">
        <v>2</v>
      </c>
      <c r="BR27" s="12">
        <v>0</v>
      </c>
      <c r="BS27" s="12">
        <v>0</v>
      </c>
      <c r="BU27" s="11">
        <v>24</v>
      </c>
      <c r="BV27" s="12">
        <v>0</v>
      </c>
      <c r="BW27" s="12">
        <v>0</v>
      </c>
      <c r="BX27" s="12">
        <v>0</v>
      </c>
      <c r="BZ27" s="11">
        <v>24</v>
      </c>
      <c r="CA27" s="12"/>
      <c r="CC27" s="11">
        <v>24</v>
      </c>
      <c r="CD27" s="12"/>
    </row>
    <row r="28" spans="1:82">
      <c r="A28" s="20" t="s">
        <v>20</v>
      </c>
      <c r="B28" s="20">
        <v>5</v>
      </c>
      <c r="C28" s="23" t="s">
        <v>29</v>
      </c>
      <c r="D28" s="37">
        <f t="shared" si="4"/>
        <v>0</v>
      </c>
      <c r="E28" s="101">
        <f t="shared" si="5"/>
        <v>1865</v>
      </c>
      <c r="F28" s="38">
        <f t="shared" si="3"/>
        <v>0</v>
      </c>
      <c r="R28" s="11">
        <v>25</v>
      </c>
      <c r="S28" s="12" t="s">
        <v>15</v>
      </c>
      <c r="T28" s="12">
        <v>5</v>
      </c>
      <c r="U28" s="12">
        <v>0</v>
      </c>
      <c r="W28" s="11">
        <v>25</v>
      </c>
      <c r="X28" s="12">
        <v>0</v>
      </c>
      <c r="Y28" s="12">
        <v>3</v>
      </c>
      <c r="Z28" s="12">
        <v>1</v>
      </c>
      <c r="AB28" s="11">
        <v>25</v>
      </c>
      <c r="AC28" s="12">
        <v>4</v>
      </c>
      <c r="AD28" s="12">
        <v>435</v>
      </c>
      <c r="AE28" s="12">
        <v>0</v>
      </c>
      <c r="AG28" s="11">
        <v>25</v>
      </c>
      <c r="AH28" s="12">
        <v>279</v>
      </c>
      <c r="AI28" s="12">
        <v>164</v>
      </c>
      <c r="AJ28" s="12">
        <v>541</v>
      </c>
      <c r="AL28" s="11">
        <v>25</v>
      </c>
      <c r="AM28" s="12">
        <v>546</v>
      </c>
      <c r="AN28" s="12">
        <v>9</v>
      </c>
      <c r="AO28" s="12">
        <v>899</v>
      </c>
      <c r="AQ28" s="11">
        <v>25</v>
      </c>
      <c r="AR28" s="12" t="s">
        <v>15</v>
      </c>
      <c r="AT28" s="11">
        <v>25</v>
      </c>
      <c r="AU28" s="12">
        <v>0</v>
      </c>
      <c r="AW28" s="11">
        <v>25</v>
      </c>
      <c r="AX28" s="12">
        <v>404</v>
      </c>
      <c r="AY28" s="12">
        <v>22</v>
      </c>
      <c r="AZ28" s="12">
        <v>20</v>
      </c>
      <c r="BA28" s="12">
        <v>279</v>
      </c>
      <c r="BB28" s="12">
        <v>389</v>
      </c>
      <c r="BC28" s="12">
        <v>455</v>
      </c>
      <c r="BD28" s="12">
        <v>316</v>
      </c>
      <c r="BE28" s="12">
        <v>461</v>
      </c>
      <c r="BF28" s="24">
        <v>312</v>
      </c>
      <c r="BG28" s="29">
        <v>195</v>
      </c>
      <c r="BH28" s="12">
        <v>303</v>
      </c>
      <c r="BI28" s="12">
        <v>303</v>
      </c>
      <c r="BK28" s="11">
        <v>25</v>
      </c>
      <c r="BL28" s="12" t="s">
        <v>15</v>
      </c>
      <c r="BM28" s="12">
        <v>5</v>
      </c>
      <c r="BN28" s="12">
        <v>0</v>
      </c>
      <c r="BP28" s="11">
        <v>25</v>
      </c>
      <c r="BQ28" s="12">
        <v>0</v>
      </c>
      <c r="BR28" s="12">
        <v>3</v>
      </c>
      <c r="BS28" s="12">
        <v>1</v>
      </c>
      <c r="BU28" s="11">
        <v>25</v>
      </c>
      <c r="BV28" s="12">
        <v>61</v>
      </c>
      <c r="BW28" s="12">
        <v>113</v>
      </c>
      <c r="BX28" s="12">
        <v>1666</v>
      </c>
      <c r="BZ28" s="11">
        <v>25</v>
      </c>
      <c r="CA28" s="12"/>
      <c r="CC28" s="11">
        <v>25</v>
      </c>
      <c r="CD28" s="12"/>
    </row>
    <row r="29" spans="1:82">
      <c r="A29" s="21" t="s">
        <v>21</v>
      </c>
      <c r="B29" s="21">
        <v>6</v>
      </c>
      <c r="C29" s="23" t="s">
        <v>26</v>
      </c>
      <c r="D29" s="37">
        <f t="shared" si="4"/>
        <v>0</v>
      </c>
      <c r="E29" s="59">
        <f t="shared" si="5"/>
        <v>0</v>
      </c>
      <c r="F29" s="38">
        <f t="shared" si="3"/>
        <v>0</v>
      </c>
      <c r="R29" s="11">
        <v>26</v>
      </c>
      <c r="S29" s="12">
        <v>5</v>
      </c>
      <c r="T29" s="12" t="s">
        <v>15</v>
      </c>
      <c r="U29" s="12" t="s">
        <v>15</v>
      </c>
      <c r="W29" s="11">
        <v>26</v>
      </c>
      <c r="X29" s="12">
        <v>3</v>
      </c>
      <c r="Y29" s="12">
        <v>0</v>
      </c>
      <c r="Z29" s="12">
        <v>0</v>
      </c>
      <c r="AB29" s="11">
        <v>26</v>
      </c>
      <c r="AC29" s="12">
        <v>401</v>
      </c>
      <c r="AD29" s="12">
        <v>32</v>
      </c>
      <c r="AE29" s="12">
        <v>555</v>
      </c>
      <c r="AG29" s="11">
        <v>26</v>
      </c>
      <c r="AH29" s="12">
        <v>181</v>
      </c>
      <c r="AI29" s="12">
        <v>177</v>
      </c>
      <c r="AJ29" s="12">
        <v>0</v>
      </c>
      <c r="AL29" s="11">
        <v>26</v>
      </c>
      <c r="AM29" s="12">
        <v>8</v>
      </c>
      <c r="AN29" s="12">
        <v>176</v>
      </c>
      <c r="AO29" s="12">
        <v>254</v>
      </c>
      <c r="AQ29" s="11">
        <v>26</v>
      </c>
      <c r="AR29" s="14" t="s">
        <v>40</v>
      </c>
      <c r="AT29" s="11">
        <v>26</v>
      </c>
      <c r="AU29" s="12">
        <v>11</v>
      </c>
      <c r="AW29" s="11">
        <v>26</v>
      </c>
      <c r="AX29" s="12">
        <v>12</v>
      </c>
      <c r="AY29" s="12">
        <v>196</v>
      </c>
      <c r="AZ29" s="12">
        <v>403</v>
      </c>
      <c r="BA29" s="12">
        <v>226</v>
      </c>
      <c r="BB29" s="12">
        <v>56</v>
      </c>
      <c r="BC29" s="12">
        <v>32</v>
      </c>
      <c r="BD29" s="12">
        <v>202</v>
      </c>
      <c r="BE29" s="12">
        <v>143</v>
      </c>
      <c r="BF29" s="24">
        <v>96</v>
      </c>
      <c r="BG29" s="29">
        <v>307</v>
      </c>
      <c r="BH29" s="12">
        <v>169</v>
      </c>
      <c r="BI29" s="12">
        <v>169</v>
      </c>
      <c r="BK29" s="11">
        <v>26</v>
      </c>
      <c r="BL29" s="12">
        <v>5</v>
      </c>
      <c r="BM29" s="12" t="s">
        <v>15</v>
      </c>
      <c r="BN29" s="12" t="s">
        <v>15</v>
      </c>
      <c r="BP29" s="11">
        <v>26</v>
      </c>
      <c r="BQ29" s="12">
        <v>3</v>
      </c>
      <c r="BR29" s="12">
        <v>0</v>
      </c>
      <c r="BS29" s="12">
        <v>0</v>
      </c>
      <c r="BU29" s="11">
        <v>26</v>
      </c>
      <c r="BV29" s="12">
        <v>1121</v>
      </c>
      <c r="BW29" s="12">
        <v>0</v>
      </c>
      <c r="BX29" s="12">
        <v>0</v>
      </c>
      <c r="BZ29" s="11">
        <v>26</v>
      </c>
      <c r="CA29" s="12"/>
      <c r="CC29" s="11">
        <v>26</v>
      </c>
      <c r="CD29" s="12"/>
    </row>
    <row r="30" spans="1:82">
      <c r="A30" s="20" t="s">
        <v>22</v>
      </c>
      <c r="B30" s="20">
        <v>7</v>
      </c>
      <c r="C30" s="5" t="s">
        <v>27</v>
      </c>
      <c r="D30" s="37">
        <f t="shared" si="4"/>
        <v>0</v>
      </c>
      <c r="E30" s="59">
        <f t="shared" si="5"/>
        <v>0</v>
      </c>
      <c r="F30" s="38">
        <f t="shared" si="3"/>
        <v>0</v>
      </c>
      <c r="R30" s="11">
        <v>27</v>
      </c>
      <c r="S30" s="12" t="s">
        <v>15</v>
      </c>
      <c r="T30" s="12">
        <v>10</v>
      </c>
      <c r="U30" s="12">
        <v>1</v>
      </c>
      <c r="W30" s="11">
        <v>27</v>
      </c>
      <c r="X30" s="12">
        <v>0</v>
      </c>
      <c r="Y30" s="12">
        <v>4</v>
      </c>
      <c r="Z30" s="12">
        <v>2</v>
      </c>
      <c r="AB30" s="11">
        <v>27</v>
      </c>
      <c r="AC30" s="12">
        <v>4</v>
      </c>
      <c r="AD30" s="12">
        <v>20</v>
      </c>
      <c r="AE30" s="12">
        <v>0</v>
      </c>
      <c r="AG30" s="11">
        <v>27</v>
      </c>
      <c r="AH30" s="12">
        <v>279</v>
      </c>
      <c r="AI30" s="12">
        <v>20</v>
      </c>
      <c r="AJ30" s="12">
        <v>591</v>
      </c>
      <c r="AL30" s="11">
        <v>27</v>
      </c>
      <c r="AM30" s="12">
        <v>546</v>
      </c>
      <c r="AN30" s="12">
        <v>20</v>
      </c>
      <c r="AO30" s="12">
        <v>0</v>
      </c>
      <c r="AQ30" s="11">
        <v>27</v>
      </c>
      <c r="AR30" s="12" t="s">
        <v>15</v>
      </c>
      <c r="AT30" s="11">
        <v>27</v>
      </c>
      <c r="AU30" s="12">
        <v>0</v>
      </c>
      <c r="AW30" s="11">
        <v>27</v>
      </c>
      <c r="AX30" s="12">
        <v>404</v>
      </c>
      <c r="AY30" s="12">
        <v>22</v>
      </c>
      <c r="AZ30" s="12">
        <v>20</v>
      </c>
      <c r="BA30" s="12">
        <v>278</v>
      </c>
      <c r="BB30" s="12">
        <v>389</v>
      </c>
      <c r="BC30" s="12">
        <v>455</v>
      </c>
      <c r="BD30" s="12">
        <v>316</v>
      </c>
      <c r="BE30" s="12">
        <v>461</v>
      </c>
      <c r="BF30" s="24">
        <v>312</v>
      </c>
      <c r="BG30" s="29">
        <v>195</v>
      </c>
      <c r="BH30" s="12">
        <v>303</v>
      </c>
      <c r="BI30" s="12">
        <v>303</v>
      </c>
      <c r="BK30" s="11">
        <v>27</v>
      </c>
      <c r="BL30" s="12" t="s">
        <v>15</v>
      </c>
      <c r="BM30" s="12">
        <v>10</v>
      </c>
      <c r="BN30" s="12">
        <v>1</v>
      </c>
      <c r="BP30" s="11">
        <v>27</v>
      </c>
      <c r="BQ30" s="12">
        <v>0</v>
      </c>
      <c r="BR30" s="12">
        <v>4</v>
      </c>
      <c r="BS30" s="12">
        <v>2</v>
      </c>
      <c r="BU30" s="11">
        <v>27</v>
      </c>
      <c r="BV30" s="12">
        <v>61</v>
      </c>
      <c r="BW30" s="12">
        <v>148</v>
      </c>
      <c r="BX30" s="12">
        <v>0</v>
      </c>
      <c r="BZ30" s="11">
        <v>27</v>
      </c>
      <c r="CA30" s="12"/>
      <c r="CC30" s="11">
        <v>27</v>
      </c>
      <c r="CD30" s="12"/>
    </row>
    <row r="31" spans="1:82">
      <c r="A31" s="20" t="s">
        <v>23</v>
      </c>
      <c r="B31" s="20">
        <v>8</v>
      </c>
      <c r="C31" s="5" t="s">
        <v>28</v>
      </c>
      <c r="D31" s="37">
        <f t="shared" si="4"/>
        <v>0</v>
      </c>
      <c r="E31" s="59">
        <f t="shared" si="5"/>
        <v>0</v>
      </c>
      <c r="F31" s="38">
        <f t="shared" si="3"/>
        <v>0</v>
      </c>
      <c r="R31" s="11">
        <v>28</v>
      </c>
      <c r="S31" s="12">
        <v>10</v>
      </c>
      <c r="T31" s="12" t="s">
        <v>15</v>
      </c>
      <c r="U31" s="12" t="s">
        <v>15</v>
      </c>
      <c r="W31" s="11">
        <v>28</v>
      </c>
      <c r="X31" s="12">
        <v>4</v>
      </c>
      <c r="Y31" s="12">
        <v>0</v>
      </c>
      <c r="Z31" s="12">
        <v>0</v>
      </c>
      <c r="AB31" s="11">
        <v>28</v>
      </c>
      <c r="AC31" s="12">
        <v>81</v>
      </c>
      <c r="AD31" s="12">
        <v>32</v>
      </c>
      <c r="AE31" s="12">
        <v>555</v>
      </c>
      <c r="AG31" s="11">
        <v>28</v>
      </c>
      <c r="AH31" s="12">
        <v>16</v>
      </c>
      <c r="AI31" s="12">
        <v>176</v>
      </c>
      <c r="AJ31" s="12">
        <v>0</v>
      </c>
      <c r="AL31" s="11">
        <v>28</v>
      </c>
      <c r="AM31" s="12">
        <v>13</v>
      </c>
      <c r="AN31" s="12">
        <v>176</v>
      </c>
      <c r="AO31" s="12">
        <v>254</v>
      </c>
      <c r="AQ31" s="11">
        <v>28</v>
      </c>
      <c r="AR31" s="14" t="s">
        <v>9</v>
      </c>
      <c r="AT31" s="11">
        <v>28</v>
      </c>
      <c r="AU31" s="12">
        <v>8</v>
      </c>
      <c r="AW31" s="11">
        <v>28</v>
      </c>
      <c r="AX31" s="12">
        <v>151</v>
      </c>
      <c r="AY31" s="12">
        <v>2110</v>
      </c>
      <c r="AZ31" s="12">
        <v>458</v>
      </c>
      <c r="BA31" s="12">
        <v>111</v>
      </c>
      <c r="BB31" s="12">
        <v>39</v>
      </c>
      <c r="BC31" s="12">
        <v>102</v>
      </c>
      <c r="BD31" s="12">
        <v>83</v>
      </c>
      <c r="BE31" s="12">
        <v>27</v>
      </c>
      <c r="BF31" s="24">
        <v>99</v>
      </c>
      <c r="BG31" s="29">
        <v>8</v>
      </c>
      <c r="BH31" s="12">
        <v>207</v>
      </c>
      <c r="BI31" s="12">
        <v>207</v>
      </c>
      <c r="BK31" s="11">
        <v>28</v>
      </c>
      <c r="BL31" s="12">
        <v>10</v>
      </c>
      <c r="BM31" s="12" t="s">
        <v>15</v>
      </c>
      <c r="BN31" s="12" t="s">
        <v>15</v>
      </c>
      <c r="BP31" s="11">
        <v>28</v>
      </c>
      <c r="BQ31" s="12">
        <v>4</v>
      </c>
      <c r="BR31" s="12">
        <v>0</v>
      </c>
      <c r="BS31" s="12">
        <v>0</v>
      </c>
      <c r="BU31" s="11">
        <v>28</v>
      </c>
      <c r="BV31" s="12">
        <v>361</v>
      </c>
      <c r="BW31" s="12">
        <v>0</v>
      </c>
      <c r="BX31" s="12">
        <v>0</v>
      </c>
      <c r="BZ31" s="11">
        <v>28</v>
      </c>
      <c r="CA31" s="12"/>
      <c r="CC31" s="11">
        <v>28</v>
      </c>
      <c r="CD31" s="12"/>
    </row>
    <row r="32" spans="1:82">
      <c r="A32" s="20" t="s">
        <v>24</v>
      </c>
      <c r="B32" s="20">
        <v>9</v>
      </c>
      <c r="C32" s="5" t="s">
        <v>16</v>
      </c>
      <c r="D32" s="37">
        <f t="shared" si="4"/>
        <v>0</v>
      </c>
      <c r="E32" s="59">
        <f t="shared" si="5"/>
        <v>0</v>
      </c>
      <c r="F32" s="38">
        <f t="shared" si="3"/>
        <v>0</v>
      </c>
      <c r="R32" s="11">
        <v>29</v>
      </c>
      <c r="S32" s="12" t="s">
        <v>15</v>
      </c>
      <c r="T32" s="12" t="s">
        <v>18</v>
      </c>
      <c r="U32" s="12">
        <v>5</v>
      </c>
      <c r="W32" s="11">
        <v>29</v>
      </c>
      <c r="X32" s="12">
        <v>0</v>
      </c>
      <c r="Y32" s="12">
        <v>5</v>
      </c>
      <c r="Z32" s="12">
        <v>3</v>
      </c>
      <c r="AB32" s="11">
        <v>29</v>
      </c>
      <c r="AC32" s="12">
        <v>4</v>
      </c>
      <c r="AD32" s="12">
        <v>373</v>
      </c>
      <c r="AE32" s="12">
        <v>0</v>
      </c>
      <c r="AG32" s="11">
        <v>29</v>
      </c>
      <c r="AH32" s="12">
        <v>279</v>
      </c>
      <c r="AI32" s="12">
        <v>373</v>
      </c>
      <c r="AJ32" s="12">
        <v>534</v>
      </c>
      <c r="AL32" s="11">
        <v>29</v>
      </c>
      <c r="AM32" s="12">
        <v>546</v>
      </c>
      <c r="AN32" s="12">
        <v>373</v>
      </c>
      <c r="AO32" s="12">
        <v>5</v>
      </c>
      <c r="AQ32" s="11">
        <v>29</v>
      </c>
      <c r="AR32" s="12" t="s">
        <v>15</v>
      </c>
      <c r="AT32" s="11">
        <v>29</v>
      </c>
      <c r="AU32" s="12">
        <v>0</v>
      </c>
      <c r="AW32" s="11">
        <v>29</v>
      </c>
      <c r="AX32" s="12">
        <v>404</v>
      </c>
      <c r="AY32" s="12">
        <v>22</v>
      </c>
      <c r="AZ32" s="12">
        <v>20</v>
      </c>
      <c r="BA32" s="12">
        <v>278</v>
      </c>
      <c r="BB32" s="12">
        <v>389</v>
      </c>
      <c r="BC32" s="12">
        <v>455</v>
      </c>
      <c r="BD32" s="12">
        <v>315</v>
      </c>
      <c r="BE32" s="12">
        <v>461</v>
      </c>
      <c r="BF32" s="24">
        <v>312</v>
      </c>
      <c r="BG32" s="29">
        <v>195</v>
      </c>
      <c r="BH32" s="12">
        <v>303</v>
      </c>
      <c r="BI32" s="12">
        <v>303</v>
      </c>
      <c r="BK32" s="11">
        <v>29</v>
      </c>
      <c r="BL32" s="12" t="s">
        <v>15</v>
      </c>
      <c r="BM32" s="12" t="s">
        <v>18</v>
      </c>
      <c r="BN32" s="12">
        <v>5</v>
      </c>
      <c r="BP32" s="11">
        <v>29</v>
      </c>
      <c r="BQ32" s="12">
        <v>0</v>
      </c>
      <c r="BR32" s="12">
        <v>5</v>
      </c>
      <c r="BS32" s="12">
        <v>3</v>
      </c>
      <c r="BU32" s="11">
        <v>29</v>
      </c>
      <c r="BV32" s="12">
        <v>61</v>
      </c>
      <c r="BW32" s="12">
        <v>159</v>
      </c>
      <c r="BX32" s="12">
        <v>0</v>
      </c>
      <c r="BZ32" s="11">
        <v>29</v>
      </c>
      <c r="CA32" s="12"/>
      <c r="CC32" s="11">
        <v>29</v>
      </c>
      <c r="CD32" s="12"/>
    </row>
    <row r="33" spans="1:82">
      <c r="A33" s="21" t="s">
        <v>35</v>
      </c>
      <c r="B33" s="21">
        <v>10</v>
      </c>
      <c r="C33" s="5" t="s">
        <v>37</v>
      </c>
      <c r="D33" s="37">
        <f t="shared" si="4"/>
        <v>0</v>
      </c>
      <c r="E33" s="59">
        <f t="shared" si="5"/>
        <v>0</v>
      </c>
      <c r="F33" s="38">
        <f t="shared" si="3"/>
        <v>0</v>
      </c>
      <c r="G33" s="121"/>
      <c r="H33" s="94" t="s">
        <v>34</v>
      </c>
      <c r="J33" s="121"/>
      <c r="R33" s="11">
        <v>30</v>
      </c>
      <c r="S33" s="12">
        <v>1</v>
      </c>
      <c r="T33" s="12" t="s">
        <v>15</v>
      </c>
      <c r="U33" s="12" t="s">
        <v>15</v>
      </c>
      <c r="W33" s="11">
        <v>30</v>
      </c>
      <c r="X33" s="12">
        <v>2</v>
      </c>
      <c r="Y33" s="12">
        <v>0</v>
      </c>
      <c r="Z33" s="12">
        <v>0</v>
      </c>
      <c r="AB33" s="11">
        <v>30</v>
      </c>
      <c r="AC33" s="12">
        <v>1171</v>
      </c>
      <c r="AD33" s="12">
        <v>32</v>
      </c>
      <c r="AE33" s="12">
        <v>555</v>
      </c>
      <c r="AG33" s="11">
        <v>30</v>
      </c>
      <c r="AH33" s="12">
        <v>631</v>
      </c>
      <c r="AI33" s="12">
        <v>176</v>
      </c>
      <c r="AJ33" s="12">
        <v>0</v>
      </c>
      <c r="AL33" s="11">
        <v>30</v>
      </c>
      <c r="AM33" s="12">
        <v>4</v>
      </c>
      <c r="AN33" s="12">
        <v>176</v>
      </c>
      <c r="AO33" s="12">
        <v>254</v>
      </c>
      <c r="AQ33" s="11">
        <v>30</v>
      </c>
      <c r="AR33" s="14" t="s">
        <v>5</v>
      </c>
      <c r="AT33" s="11">
        <v>30</v>
      </c>
      <c r="AU33" s="12">
        <v>6</v>
      </c>
      <c r="AW33" s="11">
        <v>30</v>
      </c>
      <c r="AX33" s="12">
        <v>149</v>
      </c>
      <c r="AY33" s="12">
        <v>17</v>
      </c>
      <c r="AZ33" s="12">
        <v>1380</v>
      </c>
      <c r="BA33" s="12">
        <v>66</v>
      </c>
      <c r="BB33" s="12">
        <v>4</v>
      </c>
      <c r="BC33" s="12">
        <v>34</v>
      </c>
      <c r="BD33" s="12">
        <v>254</v>
      </c>
      <c r="BE33" s="12">
        <v>9</v>
      </c>
      <c r="BF33" s="24">
        <v>511</v>
      </c>
      <c r="BG33" s="29">
        <v>366</v>
      </c>
      <c r="BH33" s="12">
        <v>240</v>
      </c>
      <c r="BI33" s="12">
        <v>240</v>
      </c>
      <c r="BK33" s="11">
        <v>30</v>
      </c>
      <c r="BL33" s="12">
        <v>1</v>
      </c>
      <c r="BM33" s="12" t="s">
        <v>15</v>
      </c>
      <c r="BN33" s="12" t="s">
        <v>15</v>
      </c>
      <c r="BP33" s="11">
        <v>30</v>
      </c>
      <c r="BQ33" s="12">
        <v>2</v>
      </c>
      <c r="BR33" s="12">
        <v>0</v>
      </c>
      <c r="BS33" s="12">
        <v>0</v>
      </c>
      <c r="BU33" s="11">
        <v>30</v>
      </c>
      <c r="BV33" s="12">
        <v>0</v>
      </c>
      <c r="BW33" s="12">
        <v>0</v>
      </c>
      <c r="BX33" s="12">
        <v>0</v>
      </c>
      <c r="BZ33" s="11">
        <v>30</v>
      </c>
      <c r="CA33" s="12"/>
      <c r="CC33" s="11">
        <v>30</v>
      </c>
      <c r="CD33" s="12"/>
    </row>
    <row r="34" spans="1:82">
      <c r="A34" s="22" t="s">
        <v>39</v>
      </c>
      <c r="B34" s="22">
        <v>11</v>
      </c>
      <c r="C34" s="17" t="s">
        <v>38</v>
      </c>
      <c r="D34" s="60">
        <f t="shared" si="4"/>
        <v>0</v>
      </c>
      <c r="E34" s="39">
        <f t="shared" si="5"/>
        <v>0</v>
      </c>
      <c r="F34" s="40">
        <f t="shared" si="3"/>
        <v>0</v>
      </c>
      <c r="G34" s="121"/>
      <c r="H34" s="95" t="s">
        <v>57</v>
      </c>
      <c r="I34" s="58" t="s">
        <v>58</v>
      </c>
      <c r="R34" s="11">
        <v>31</v>
      </c>
      <c r="S34" s="12" t="s">
        <v>15</v>
      </c>
      <c r="T34" s="12">
        <v>0</v>
      </c>
      <c r="U34" s="12">
        <v>0</v>
      </c>
      <c r="W34" s="11">
        <v>31</v>
      </c>
      <c r="X34" s="12">
        <v>0</v>
      </c>
      <c r="Y34" s="12">
        <v>1</v>
      </c>
      <c r="Z34" s="12">
        <v>1</v>
      </c>
      <c r="AB34" s="11">
        <v>31</v>
      </c>
      <c r="AC34" s="12">
        <v>4</v>
      </c>
      <c r="AD34" s="12">
        <v>351</v>
      </c>
      <c r="AE34" s="12">
        <v>0</v>
      </c>
      <c r="AG34" s="11">
        <v>31</v>
      </c>
      <c r="AH34" s="12">
        <v>279</v>
      </c>
      <c r="AI34" s="12">
        <v>73</v>
      </c>
      <c r="AJ34" s="12">
        <v>541</v>
      </c>
      <c r="AL34" s="11">
        <v>31</v>
      </c>
      <c r="AM34" s="12">
        <v>546</v>
      </c>
      <c r="AN34" s="12">
        <v>710</v>
      </c>
      <c r="AO34" s="12">
        <v>899</v>
      </c>
      <c r="AQ34" s="11">
        <v>31</v>
      </c>
      <c r="AR34" s="12" t="s">
        <v>15</v>
      </c>
      <c r="AT34" s="11">
        <v>31</v>
      </c>
      <c r="AU34" s="12">
        <v>0</v>
      </c>
      <c r="AW34" s="11">
        <v>31</v>
      </c>
      <c r="AX34" s="12">
        <v>404</v>
      </c>
      <c r="AY34" s="12">
        <v>22</v>
      </c>
      <c r="AZ34" s="12">
        <v>20</v>
      </c>
      <c r="BA34" s="12">
        <v>278</v>
      </c>
      <c r="BB34" s="12">
        <v>389</v>
      </c>
      <c r="BC34" s="12">
        <v>455</v>
      </c>
      <c r="BD34" s="12">
        <v>315</v>
      </c>
      <c r="BE34" s="12">
        <v>461</v>
      </c>
      <c r="BF34" s="24">
        <v>311</v>
      </c>
      <c r="BG34" s="29">
        <v>195</v>
      </c>
      <c r="BH34" s="12">
        <v>303</v>
      </c>
      <c r="BI34" s="12">
        <v>303</v>
      </c>
      <c r="BK34" s="11">
        <v>31</v>
      </c>
      <c r="BL34" s="12" t="s">
        <v>15</v>
      </c>
      <c r="BM34" s="12">
        <v>0</v>
      </c>
      <c r="BN34" s="12">
        <v>0</v>
      </c>
      <c r="BP34" s="11">
        <v>31</v>
      </c>
      <c r="BQ34" s="12">
        <v>0</v>
      </c>
      <c r="BR34" s="12">
        <v>1</v>
      </c>
      <c r="BS34" s="12">
        <v>1</v>
      </c>
      <c r="BU34" s="11">
        <v>31</v>
      </c>
      <c r="BV34" s="12">
        <v>61</v>
      </c>
      <c r="BW34" s="12">
        <v>676</v>
      </c>
      <c r="BX34" s="12">
        <v>1666</v>
      </c>
      <c r="BZ34" s="11">
        <v>31</v>
      </c>
      <c r="CA34" s="12"/>
      <c r="CC34" s="11">
        <v>31</v>
      </c>
      <c r="CD34" s="12"/>
    </row>
    <row r="35" spans="1:82">
      <c r="D35" s="121">
        <f>SUM(D23:D34)</f>
        <v>10000</v>
      </c>
      <c r="E35" s="121">
        <f>SUM(E23:E34)</f>
        <v>10000</v>
      </c>
      <c r="F35" s="121">
        <f>SUM(F23:F34)</f>
        <v>10000</v>
      </c>
      <c r="G35" s="121"/>
      <c r="H35" s="21">
        <v>10</v>
      </c>
      <c r="I35" s="7">
        <f>SUMIF(CA$3:CA$38,$H35,$CD$3:$CD$38)</f>
        <v>4998</v>
      </c>
      <c r="R35" s="11">
        <v>32</v>
      </c>
      <c r="S35" s="12">
        <v>5</v>
      </c>
      <c r="T35" s="12" t="s">
        <v>15</v>
      </c>
      <c r="U35" s="12" t="s">
        <v>15</v>
      </c>
      <c r="W35" s="11">
        <v>32</v>
      </c>
      <c r="X35" s="12">
        <v>3</v>
      </c>
      <c r="Y35" s="12">
        <v>0</v>
      </c>
      <c r="Z35" s="12">
        <v>0</v>
      </c>
      <c r="AB35" s="11">
        <v>32</v>
      </c>
      <c r="AC35" s="12">
        <v>401</v>
      </c>
      <c r="AD35" s="12">
        <v>32</v>
      </c>
      <c r="AE35" s="12">
        <v>555</v>
      </c>
      <c r="AG35" s="11">
        <v>32</v>
      </c>
      <c r="AH35" s="12">
        <v>180</v>
      </c>
      <c r="AI35" s="12">
        <v>176</v>
      </c>
      <c r="AJ35" s="12">
        <v>0</v>
      </c>
      <c r="AL35" s="11">
        <v>32</v>
      </c>
      <c r="AM35" s="12">
        <v>8</v>
      </c>
      <c r="AN35" s="12">
        <v>176</v>
      </c>
      <c r="AO35" s="12">
        <v>254</v>
      </c>
      <c r="AQ35" s="11">
        <v>32</v>
      </c>
      <c r="AR35" s="14" t="s">
        <v>7</v>
      </c>
      <c r="AT35" s="11">
        <v>32</v>
      </c>
      <c r="AU35" s="12">
        <v>9</v>
      </c>
      <c r="AW35" s="11">
        <v>32</v>
      </c>
      <c r="AX35" s="12">
        <v>14</v>
      </c>
      <c r="AY35" s="12">
        <v>45</v>
      </c>
      <c r="AZ35" s="12">
        <v>136</v>
      </c>
      <c r="BA35" s="12">
        <v>91</v>
      </c>
      <c r="BB35" s="12">
        <v>2</v>
      </c>
      <c r="BC35" s="12">
        <v>51</v>
      </c>
      <c r="BD35" s="12">
        <v>126</v>
      </c>
      <c r="BE35" s="12">
        <v>4</v>
      </c>
      <c r="BF35" s="24">
        <v>214</v>
      </c>
      <c r="BG35" s="29">
        <v>568</v>
      </c>
      <c r="BH35" s="12">
        <v>113</v>
      </c>
      <c r="BI35" s="12">
        <v>113</v>
      </c>
      <c r="BK35" s="11">
        <v>32</v>
      </c>
      <c r="BL35" s="12">
        <v>5</v>
      </c>
      <c r="BM35" s="12" t="s">
        <v>15</v>
      </c>
      <c r="BN35" s="12" t="s">
        <v>15</v>
      </c>
      <c r="BP35" s="11">
        <v>32</v>
      </c>
      <c r="BQ35" s="12">
        <v>3</v>
      </c>
      <c r="BR35" s="12">
        <v>0</v>
      </c>
      <c r="BS35" s="12">
        <v>0</v>
      </c>
      <c r="BU35" s="11">
        <v>32</v>
      </c>
      <c r="BV35" s="12">
        <v>1121</v>
      </c>
      <c r="BW35" s="12">
        <v>0</v>
      </c>
      <c r="BX35" s="12">
        <v>0</v>
      </c>
      <c r="BZ35" s="11">
        <v>32</v>
      </c>
      <c r="CA35" s="12"/>
      <c r="CC35" s="11">
        <v>32</v>
      </c>
      <c r="CD35" s="12"/>
    </row>
    <row r="36" spans="1:82">
      <c r="G36" s="121"/>
      <c r="H36" s="21">
        <v>20</v>
      </c>
      <c r="I36" s="7">
        <f t="shared" ref="I36:I42" si="6">SUMIF(CA$3:CA$38,$H36,$CD$3:$CD$38)</f>
        <v>3335</v>
      </c>
      <c r="K36" s="121"/>
      <c r="L36" s="121"/>
      <c r="M36" s="121"/>
      <c r="N36" s="121"/>
      <c r="O36" s="121"/>
      <c r="R36" s="11">
        <v>33</v>
      </c>
      <c r="S36" s="12" t="s">
        <v>15</v>
      </c>
      <c r="T36" s="12">
        <v>1</v>
      </c>
      <c r="U36" s="12">
        <v>1</v>
      </c>
      <c r="W36" s="11">
        <v>33</v>
      </c>
      <c r="X36" s="12">
        <v>0</v>
      </c>
      <c r="Y36" s="12">
        <v>2</v>
      </c>
      <c r="Z36" s="12">
        <v>2</v>
      </c>
      <c r="AB36" s="11">
        <v>33</v>
      </c>
      <c r="AC36" s="12">
        <v>4</v>
      </c>
      <c r="AD36" s="12">
        <v>660</v>
      </c>
      <c r="AE36" s="12">
        <v>0</v>
      </c>
      <c r="AG36" s="11">
        <v>33</v>
      </c>
      <c r="AH36" s="12">
        <v>279</v>
      </c>
      <c r="AI36" s="12">
        <v>487</v>
      </c>
      <c r="AJ36" s="12">
        <v>591</v>
      </c>
      <c r="AL36" s="11">
        <v>33</v>
      </c>
      <c r="AM36" s="12">
        <v>546</v>
      </c>
      <c r="AN36" s="12">
        <v>5</v>
      </c>
      <c r="AO36" s="12">
        <v>0</v>
      </c>
      <c r="AQ36" s="11">
        <v>33</v>
      </c>
      <c r="AR36" s="12" t="s">
        <v>15</v>
      </c>
      <c r="AT36" s="11">
        <v>33</v>
      </c>
      <c r="AU36" s="12">
        <v>0</v>
      </c>
      <c r="AW36" s="11">
        <v>33</v>
      </c>
      <c r="AX36" s="12">
        <v>404</v>
      </c>
      <c r="AY36" s="12">
        <v>22</v>
      </c>
      <c r="AZ36" s="12">
        <v>20</v>
      </c>
      <c r="BA36" s="12">
        <v>278</v>
      </c>
      <c r="BB36" s="12">
        <v>389</v>
      </c>
      <c r="BC36" s="12">
        <v>455</v>
      </c>
      <c r="BD36" s="12">
        <v>315</v>
      </c>
      <c r="BE36" s="12">
        <v>461</v>
      </c>
      <c r="BF36" s="24">
        <v>311</v>
      </c>
      <c r="BG36" s="29">
        <v>195</v>
      </c>
      <c r="BH36" s="12">
        <v>303</v>
      </c>
      <c r="BI36" s="12">
        <v>303</v>
      </c>
      <c r="BK36" s="11">
        <v>33</v>
      </c>
      <c r="BL36" s="12" t="s">
        <v>15</v>
      </c>
      <c r="BM36" s="12">
        <v>1</v>
      </c>
      <c r="BN36" s="12">
        <v>1</v>
      </c>
      <c r="BP36" s="11">
        <v>33</v>
      </c>
      <c r="BQ36" s="12">
        <v>0</v>
      </c>
      <c r="BR36" s="12">
        <v>2</v>
      </c>
      <c r="BS36" s="12">
        <v>2</v>
      </c>
      <c r="BU36" s="11">
        <v>33</v>
      </c>
      <c r="BV36" s="12">
        <v>61</v>
      </c>
      <c r="BW36" s="12">
        <v>905</v>
      </c>
      <c r="BX36" s="12">
        <v>0</v>
      </c>
      <c r="BZ36" s="11">
        <v>33</v>
      </c>
      <c r="CA36" s="12"/>
      <c r="CC36" s="11">
        <v>33</v>
      </c>
      <c r="CD36" s="12"/>
    </row>
    <row r="37" spans="1:82">
      <c r="A37" s="30" t="s">
        <v>117</v>
      </c>
      <c r="D37" s="119"/>
      <c r="E37" s="119"/>
      <c r="F37" s="119"/>
      <c r="G37" s="121"/>
      <c r="H37" s="21">
        <v>30</v>
      </c>
      <c r="I37" s="7">
        <f t="shared" si="6"/>
        <v>344</v>
      </c>
      <c r="K37" s="121"/>
      <c r="L37" s="121"/>
      <c r="M37" s="121"/>
      <c r="N37" s="121"/>
      <c r="O37" s="121"/>
      <c r="R37" s="11">
        <v>34</v>
      </c>
      <c r="S37" s="12">
        <v>10</v>
      </c>
      <c r="T37" s="12" t="s">
        <v>15</v>
      </c>
      <c r="U37" s="12" t="s">
        <v>15</v>
      </c>
      <c r="W37" s="11">
        <v>34</v>
      </c>
      <c r="X37" s="12">
        <v>4</v>
      </c>
      <c r="Y37" s="12">
        <v>0</v>
      </c>
      <c r="Z37" s="12">
        <v>0</v>
      </c>
      <c r="AB37" s="11">
        <v>34</v>
      </c>
      <c r="AC37" s="12">
        <v>81</v>
      </c>
      <c r="AD37" s="12">
        <v>32</v>
      </c>
      <c r="AE37" s="12">
        <v>555</v>
      </c>
      <c r="AG37" s="11">
        <v>34</v>
      </c>
      <c r="AH37" s="12">
        <v>16</v>
      </c>
      <c r="AI37" s="12">
        <v>176</v>
      </c>
      <c r="AJ37" s="12">
        <v>0</v>
      </c>
      <c r="AL37" s="11">
        <v>34</v>
      </c>
      <c r="AM37" s="12">
        <v>13</v>
      </c>
      <c r="AN37" s="12">
        <v>176</v>
      </c>
      <c r="AO37" s="12">
        <v>253</v>
      </c>
      <c r="AQ37" s="11">
        <v>34</v>
      </c>
      <c r="AR37" s="14" t="s">
        <v>6</v>
      </c>
      <c r="AT37" s="11">
        <v>34</v>
      </c>
      <c r="AU37" s="12">
        <v>7</v>
      </c>
      <c r="AW37" s="11">
        <v>34</v>
      </c>
      <c r="AX37" s="12">
        <v>155</v>
      </c>
      <c r="AY37" s="12">
        <v>18</v>
      </c>
      <c r="AZ37" s="12">
        <v>24</v>
      </c>
      <c r="BA37" s="12">
        <v>611</v>
      </c>
      <c r="BB37" s="12">
        <v>451</v>
      </c>
      <c r="BC37" s="12">
        <v>5</v>
      </c>
      <c r="BD37" s="12">
        <v>255</v>
      </c>
      <c r="BE37" s="12">
        <v>9</v>
      </c>
      <c r="BF37" s="24">
        <v>20</v>
      </c>
      <c r="BG37" s="29">
        <v>272</v>
      </c>
      <c r="BH37" s="12">
        <v>252</v>
      </c>
      <c r="BI37" s="12">
        <v>252</v>
      </c>
      <c r="BK37" s="11">
        <v>34</v>
      </c>
      <c r="BL37" s="12">
        <v>10</v>
      </c>
      <c r="BM37" s="12" t="s">
        <v>15</v>
      </c>
      <c r="BN37" s="12" t="s">
        <v>15</v>
      </c>
      <c r="BP37" s="11">
        <v>34</v>
      </c>
      <c r="BQ37" s="12">
        <v>4</v>
      </c>
      <c r="BR37" s="12">
        <v>0</v>
      </c>
      <c r="BS37" s="12">
        <v>0</v>
      </c>
      <c r="BU37" s="11">
        <v>34</v>
      </c>
      <c r="BV37" s="12">
        <v>361</v>
      </c>
      <c r="BW37" s="12">
        <v>0</v>
      </c>
      <c r="BX37" s="12">
        <v>0</v>
      </c>
      <c r="BZ37" s="11">
        <v>34</v>
      </c>
      <c r="CA37" s="12"/>
      <c r="CC37" s="11">
        <v>34</v>
      </c>
      <c r="CD37" s="12"/>
    </row>
    <row r="38" spans="1:82">
      <c r="D38" s="119"/>
      <c r="E38" s="119"/>
      <c r="F38" s="119"/>
      <c r="G38" s="121"/>
      <c r="H38" s="21">
        <v>50</v>
      </c>
      <c r="I38" s="7">
        <f t="shared" si="6"/>
        <v>1168</v>
      </c>
      <c r="K38" s="121"/>
      <c r="L38" s="121"/>
      <c r="M38" s="121"/>
      <c r="N38" s="121"/>
      <c r="O38" s="121"/>
      <c r="R38" s="11">
        <v>35</v>
      </c>
      <c r="S38" s="12" t="s">
        <v>8</v>
      </c>
      <c r="T38" s="12">
        <v>5</v>
      </c>
      <c r="U38" s="12">
        <v>5</v>
      </c>
      <c r="W38" s="11">
        <v>35</v>
      </c>
      <c r="X38" s="12">
        <v>0</v>
      </c>
      <c r="Y38" s="12">
        <v>3</v>
      </c>
      <c r="Z38" s="12">
        <v>3</v>
      </c>
      <c r="AB38" s="11">
        <v>35</v>
      </c>
      <c r="AC38" s="12">
        <v>4</v>
      </c>
      <c r="AD38" s="12">
        <v>434</v>
      </c>
      <c r="AE38" s="12">
        <v>0</v>
      </c>
      <c r="AG38" s="11">
        <v>35</v>
      </c>
      <c r="AH38" s="12">
        <v>279</v>
      </c>
      <c r="AI38" s="12">
        <v>164</v>
      </c>
      <c r="AJ38" s="12">
        <v>534</v>
      </c>
      <c r="AL38" s="11">
        <v>35</v>
      </c>
      <c r="AM38" s="12">
        <v>546</v>
      </c>
      <c r="AN38" s="12">
        <v>8</v>
      </c>
      <c r="AO38" s="12">
        <v>5</v>
      </c>
      <c r="AQ38" s="11">
        <v>35</v>
      </c>
      <c r="AR38" s="12" t="s">
        <v>15</v>
      </c>
      <c r="AT38" s="11">
        <v>35</v>
      </c>
      <c r="AU38" s="12">
        <v>0</v>
      </c>
      <c r="AW38" s="11">
        <v>35</v>
      </c>
      <c r="AX38" s="12">
        <v>404</v>
      </c>
      <c r="AY38" s="12">
        <v>22</v>
      </c>
      <c r="AZ38" s="12">
        <v>20</v>
      </c>
      <c r="BA38" s="12">
        <v>278</v>
      </c>
      <c r="BB38" s="12">
        <v>389</v>
      </c>
      <c r="BC38" s="12">
        <v>455</v>
      </c>
      <c r="BD38" s="12">
        <v>315</v>
      </c>
      <c r="BE38" s="12">
        <v>461</v>
      </c>
      <c r="BF38" s="24">
        <v>311</v>
      </c>
      <c r="BG38" s="29">
        <v>195</v>
      </c>
      <c r="BH38" s="12">
        <v>303</v>
      </c>
      <c r="BI38" s="12">
        <v>303</v>
      </c>
      <c r="BK38" s="11">
        <v>35</v>
      </c>
      <c r="BL38" s="12" t="s">
        <v>8</v>
      </c>
      <c r="BM38" s="12">
        <v>5</v>
      </c>
      <c r="BN38" s="12">
        <v>5</v>
      </c>
      <c r="BP38" s="11">
        <v>35</v>
      </c>
      <c r="BQ38" s="12">
        <v>0</v>
      </c>
      <c r="BR38" s="12">
        <v>3</v>
      </c>
      <c r="BS38" s="12">
        <v>3</v>
      </c>
      <c r="BU38" s="11">
        <v>35</v>
      </c>
      <c r="BV38" s="12">
        <v>61</v>
      </c>
      <c r="BW38" s="12">
        <v>113</v>
      </c>
      <c r="BX38" s="12">
        <v>0</v>
      </c>
      <c r="BZ38" s="11">
        <v>35</v>
      </c>
      <c r="CA38" s="12"/>
      <c r="CC38" s="11">
        <v>35</v>
      </c>
      <c r="CD38" s="12"/>
    </row>
    <row r="39" spans="1:82">
      <c r="D39" s="119"/>
      <c r="E39" s="119"/>
      <c r="F39" s="119"/>
      <c r="G39" s="121"/>
      <c r="H39" s="21">
        <v>100</v>
      </c>
      <c r="I39" s="7">
        <f t="shared" si="6"/>
        <v>136</v>
      </c>
      <c r="K39" s="121"/>
      <c r="L39" s="121"/>
      <c r="M39" s="121"/>
      <c r="N39" s="121"/>
      <c r="O39" s="121"/>
      <c r="R39" s="11">
        <v>36</v>
      </c>
      <c r="S39" s="12"/>
      <c r="T39" s="12" t="s">
        <v>15</v>
      </c>
      <c r="U39" s="12"/>
      <c r="W39" s="11">
        <v>36</v>
      </c>
      <c r="X39" s="12"/>
      <c r="Y39" s="12">
        <f t="shared" ref="Y39:Y52" si="7">VLOOKUP(T39,$A$3:$F$14,2,0)</f>
        <v>0</v>
      </c>
      <c r="Z39" s="12"/>
      <c r="AB39" s="11">
        <v>36</v>
      </c>
      <c r="AC39" s="12"/>
      <c r="AD39" s="12">
        <v>32</v>
      </c>
      <c r="AE39" s="12"/>
      <c r="AG39" s="11">
        <v>36</v>
      </c>
      <c r="AH39" s="12"/>
      <c r="AI39" s="12">
        <v>176</v>
      </c>
      <c r="AJ39" s="12"/>
      <c r="AL39" s="11">
        <v>36</v>
      </c>
      <c r="AM39" s="12"/>
      <c r="AN39" s="12">
        <v>176</v>
      </c>
      <c r="AO39" s="12"/>
      <c r="AQ39" s="11">
        <v>36</v>
      </c>
      <c r="AR39" s="14" t="s">
        <v>40</v>
      </c>
      <c r="AS39" s="14"/>
      <c r="AT39" s="11">
        <v>36</v>
      </c>
      <c r="AU39" s="12">
        <v>11</v>
      </c>
      <c r="AW39" s="11">
        <v>36</v>
      </c>
      <c r="AX39" s="12">
        <v>11</v>
      </c>
      <c r="AY39" s="12">
        <v>196</v>
      </c>
      <c r="AZ39" s="12">
        <v>403</v>
      </c>
      <c r="BA39" s="12">
        <v>226</v>
      </c>
      <c r="BB39" s="12">
        <v>56</v>
      </c>
      <c r="BC39" s="12">
        <v>32</v>
      </c>
      <c r="BD39" s="12">
        <v>202</v>
      </c>
      <c r="BE39" s="12">
        <v>143</v>
      </c>
      <c r="BF39" s="24">
        <v>95</v>
      </c>
      <c r="BG39" s="29">
        <v>307</v>
      </c>
      <c r="BH39" s="12">
        <v>169</v>
      </c>
      <c r="BI39" s="12">
        <v>169</v>
      </c>
      <c r="BK39" s="11">
        <v>36</v>
      </c>
      <c r="BL39" s="12"/>
      <c r="BM39" s="12" t="s">
        <v>15</v>
      </c>
      <c r="BN39" s="12"/>
      <c r="BP39" s="11">
        <v>36</v>
      </c>
      <c r="BQ39" s="12"/>
      <c r="BR39" s="12">
        <f t="shared" ref="BR39:BR52" si="8">VLOOKUP(BM39,$A$3:$F$14,2,0)</f>
        <v>0</v>
      </c>
      <c r="BS39" s="12"/>
      <c r="BU39" s="11">
        <v>36</v>
      </c>
      <c r="BV39" s="12"/>
      <c r="BW39" s="12">
        <v>0</v>
      </c>
      <c r="BX39" s="12"/>
      <c r="BZ39" s="11">
        <v>36</v>
      </c>
      <c r="CA39" s="12"/>
      <c r="CC39" s="11">
        <v>36</v>
      </c>
      <c r="CD39" s="12"/>
    </row>
    <row r="40" spans="1:82">
      <c r="A40" s="30" t="s">
        <v>46</v>
      </c>
      <c r="B40" s="1" t="s">
        <v>10</v>
      </c>
      <c r="C40" s="2" t="s">
        <v>11</v>
      </c>
      <c r="D40" s="3" t="s">
        <v>80</v>
      </c>
      <c r="E40" s="122" t="s">
        <v>13</v>
      </c>
      <c r="F40" s="4" t="s">
        <v>14</v>
      </c>
      <c r="G40" s="121"/>
      <c r="H40" s="21">
        <v>200</v>
      </c>
      <c r="I40" s="7">
        <f t="shared" si="6"/>
        <v>15</v>
      </c>
      <c r="K40" s="121"/>
      <c r="L40" s="121"/>
      <c r="M40" s="121"/>
      <c r="N40" s="121"/>
      <c r="O40" s="121"/>
      <c r="R40" s="11">
        <v>37</v>
      </c>
      <c r="S40" s="12"/>
      <c r="T40" s="12">
        <v>10</v>
      </c>
      <c r="U40" s="12"/>
      <c r="W40" s="11">
        <v>37</v>
      </c>
      <c r="X40" s="12"/>
      <c r="Y40" s="12">
        <f t="shared" si="7"/>
        <v>4</v>
      </c>
      <c r="Z40" s="12"/>
      <c r="AB40" s="11">
        <v>37</v>
      </c>
      <c r="AC40" s="12"/>
      <c r="AD40" s="12">
        <v>20</v>
      </c>
      <c r="AE40" s="12"/>
      <c r="AG40" s="11">
        <v>37</v>
      </c>
      <c r="AH40" s="12"/>
      <c r="AI40" s="12">
        <v>20</v>
      </c>
      <c r="AJ40" s="12"/>
      <c r="AL40" s="11">
        <v>37</v>
      </c>
      <c r="AM40" s="12"/>
      <c r="AN40" s="12">
        <v>20</v>
      </c>
      <c r="AO40" s="12"/>
      <c r="AQ40" s="11">
        <v>37</v>
      </c>
      <c r="AR40" s="12" t="s">
        <v>15</v>
      </c>
      <c r="AS40" s="12"/>
      <c r="AT40" s="11">
        <v>37</v>
      </c>
      <c r="AU40" s="12">
        <v>0</v>
      </c>
      <c r="AW40" s="11">
        <v>37</v>
      </c>
      <c r="AX40" s="12">
        <v>404</v>
      </c>
      <c r="AY40" s="12">
        <v>22</v>
      </c>
      <c r="AZ40" s="12">
        <v>20</v>
      </c>
      <c r="BA40" s="12">
        <v>278</v>
      </c>
      <c r="BB40" s="12">
        <v>389</v>
      </c>
      <c r="BC40" s="12">
        <v>455</v>
      </c>
      <c r="BD40" s="12">
        <v>315</v>
      </c>
      <c r="BE40" s="12">
        <v>461</v>
      </c>
      <c r="BF40" s="24">
        <v>311</v>
      </c>
      <c r="BG40" s="29">
        <v>195</v>
      </c>
      <c r="BH40" s="12">
        <v>303</v>
      </c>
      <c r="BI40" s="12">
        <v>303</v>
      </c>
      <c r="BK40" s="11">
        <v>37</v>
      </c>
      <c r="BL40" s="12"/>
      <c r="BM40" s="12">
        <v>10</v>
      </c>
      <c r="BN40" s="12"/>
      <c r="BP40" s="11">
        <v>37</v>
      </c>
      <c r="BQ40" s="12"/>
      <c r="BR40" s="12">
        <f t="shared" si="8"/>
        <v>4</v>
      </c>
      <c r="BS40" s="12"/>
      <c r="BU40" s="11">
        <v>37</v>
      </c>
      <c r="BV40" s="12"/>
      <c r="BW40" s="12">
        <v>147</v>
      </c>
      <c r="BX40" s="12"/>
      <c r="BZ40" s="11">
        <v>37</v>
      </c>
      <c r="CA40" s="12"/>
      <c r="CC40" s="11">
        <v>37</v>
      </c>
      <c r="CD40" s="12"/>
    </row>
    <row r="41" spans="1:82">
      <c r="A41" s="1" t="s">
        <v>19</v>
      </c>
      <c r="B41" s="1">
        <v>0</v>
      </c>
      <c r="C41" s="3" t="s">
        <v>25</v>
      </c>
      <c r="D41" s="3">
        <f>SUMIF(S$3:S$38,$A41,AM$3:AM$38)</f>
        <v>9839</v>
      </c>
      <c r="E41" s="122">
        <f>SUMIF(T$3:T$52,$A41,AN$3:AN$52)</f>
        <v>4410</v>
      </c>
      <c r="F41" s="4">
        <f t="shared" ref="F41:F52" si="9">SUMIF(U$3:U$38,$A41,AO$3:AO$38)</f>
        <v>4571</v>
      </c>
      <c r="G41" s="121"/>
      <c r="H41" s="21">
        <v>500</v>
      </c>
      <c r="I41" s="7">
        <f t="shared" si="6"/>
        <v>2</v>
      </c>
      <c r="K41" s="121"/>
      <c r="L41" s="121"/>
      <c r="M41" s="121"/>
      <c r="N41" s="121"/>
      <c r="O41" s="121"/>
      <c r="R41" s="11">
        <v>38</v>
      </c>
      <c r="S41" s="12"/>
      <c r="T41" s="12" t="s">
        <v>15</v>
      </c>
      <c r="U41" s="12"/>
      <c r="W41" s="11">
        <v>38</v>
      </c>
      <c r="X41" s="12"/>
      <c r="Y41" s="12">
        <f t="shared" si="7"/>
        <v>0</v>
      </c>
      <c r="Z41" s="12"/>
      <c r="AB41" s="11">
        <v>38</v>
      </c>
      <c r="AC41" s="12"/>
      <c r="AD41" s="12">
        <v>32</v>
      </c>
      <c r="AE41" s="12"/>
      <c r="AG41" s="11">
        <v>38</v>
      </c>
      <c r="AH41" s="12"/>
      <c r="AI41" s="12">
        <v>176</v>
      </c>
      <c r="AJ41" s="12"/>
      <c r="AL41" s="11">
        <v>38</v>
      </c>
      <c r="AM41" s="12"/>
      <c r="AN41" s="12">
        <v>176</v>
      </c>
      <c r="AO41" s="12"/>
      <c r="AQ41" s="11">
        <v>38</v>
      </c>
      <c r="AR41" s="14" t="s">
        <v>9</v>
      </c>
      <c r="AS41" s="14"/>
      <c r="AT41" s="11">
        <v>38</v>
      </c>
      <c r="AU41" s="12">
        <v>8</v>
      </c>
      <c r="AW41" s="11">
        <v>38</v>
      </c>
      <c r="AX41" s="12">
        <v>151</v>
      </c>
      <c r="AY41" s="12">
        <v>2109</v>
      </c>
      <c r="AZ41" s="12">
        <v>458</v>
      </c>
      <c r="BA41" s="12">
        <v>110</v>
      </c>
      <c r="BB41" s="12">
        <v>39</v>
      </c>
      <c r="BC41" s="12">
        <v>101</v>
      </c>
      <c r="BD41" s="12">
        <v>82</v>
      </c>
      <c r="BE41" s="12">
        <v>27</v>
      </c>
      <c r="BF41" s="24">
        <v>99</v>
      </c>
      <c r="BG41" s="29">
        <v>7</v>
      </c>
      <c r="BH41" s="12">
        <v>206</v>
      </c>
      <c r="BI41" s="12">
        <v>206</v>
      </c>
      <c r="BK41" s="11">
        <v>38</v>
      </c>
      <c r="BL41" s="12"/>
      <c r="BM41" s="12" t="s">
        <v>15</v>
      </c>
      <c r="BN41" s="12"/>
      <c r="BP41" s="11">
        <v>38</v>
      </c>
      <c r="BQ41" s="12"/>
      <c r="BR41" s="12">
        <f t="shared" si="8"/>
        <v>0</v>
      </c>
      <c r="BS41" s="12"/>
      <c r="BU41" s="11">
        <v>38</v>
      </c>
      <c r="BV41" s="12"/>
      <c r="BW41" s="12">
        <v>0</v>
      </c>
      <c r="BX41" s="12"/>
      <c r="BZ41" s="11">
        <v>38</v>
      </c>
      <c r="CA41" s="12"/>
      <c r="CC41" s="11">
        <v>38</v>
      </c>
      <c r="CD41" s="12"/>
    </row>
    <row r="42" spans="1:82">
      <c r="A42" s="20">
        <v>0</v>
      </c>
      <c r="B42" s="20">
        <v>1</v>
      </c>
      <c r="C42" s="5">
        <v>0</v>
      </c>
      <c r="D42" s="37">
        <f t="shared" ref="D42:D52" si="10">SUMIF(S$3:S$38,$A42,AM$3:AM$38)</f>
        <v>0</v>
      </c>
      <c r="E42" s="121">
        <f t="shared" ref="E42:E52" si="11">SUMIF(T$3:T$52,$A42,AN$3:AN$52)</f>
        <v>3553</v>
      </c>
      <c r="F42" s="7">
        <f t="shared" si="9"/>
        <v>5395</v>
      </c>
      <c r="H42" s="22">
        <v>1000</v>
      </c>
      <c r="I42" s="96">
        <f t="shared" si="6"/>
        <v>2</v>
      </c>
      <c r="R42" s="11">
        <v>39</v>
      </c>
      <c r="S42" s="12"/>
      <c r="T42" s="12" t="s">
        <v>18</v>
      </c>
      <c r="U42" s="12"/>
      <c r="W42" s="11">
        <v>39</v>
      </c>
      <c r="X42" s="12"/>
      <c r="Y42" s="12">
        <f t="shared" si="7"/>
        <v>5</v>
      </c>
      <c r="Z42" s="12"/>
      <c r="AB42" s="11">
        <v>39</v>
      </c>
      <c r="AC42" s="12"/>
      <c r="AD42" s="12">
        <v>373</v>
      </c>
      <c r="AE42" s="12"/>
      <c r="AG42" s="11">
        <v>39</v>
      </c>
      <c r="AH42" s="12"/>
      <c r="AI42" s="12">
        <v>373</v>
      </c>
      <c r="AJ42" s="12"/>
      <c r="AL42" s="11">
        <v>39</v>
      </c>
      <c r="AM42" s="12"/>
      <c r="AN42" s="12">
        <v>373</v>
      </c>
      <c r="AO42" s="12"/>
      <c r="AQ42" s="11">
        <v>39</v>
      </c>
      <c r="AR42" s="12" t="s">
        <v>15</v>
      </c>
      <c r="AS42" s="12"/>
      <c r="AT42" s="11">
        <v>39</v>
      </c>
      <c r="AU42" s="12">
        <v>0</v>
      </c>
      <c r="AW42" s="11">
        <v>39</v>
      </c>
      <c r="AX42" s="12">
        <v>404</v>
      </c>
      <c r="AY42" s="12">
        <v>22</v>
      </c>
      <c r="AZ42" s="12">
        <v>20</v>
      </c>
      <c r="BA42" s="12">
        <v>278</v>
      </c>
      <c r="BB42" s="12">
        <v>389</v>
      </c>
      <c r="BC42" s="12">
        <v>455</v>
      </c>
      <c r="BD42" s="12">
        <v>315</v>
      </c>
      <c r="BE42" s="12">
        <v>461</v>
      </c>
      <c r="BF42" s="24">
        <v>311</v>
      </c>
      <c r="BG42" s="29">
        <v>195</v>
      </c>
      <c r="BH42" s="12">
        <v>303</v>
      </c>
      <c r="BI42" s="12">
        <v>303</v>
      </c>
      <c r="BK42" s="11">
        <v>39</v>
      </c>
      <c r="BL42" s="12"/>
      <c r="BM42" s="12" t="s">
        <v>18</v>
      </c>
      <c r="BN42" s="12"/>
      <c r="BP42" s="11">
        <v>39</v>
      </c>
      <c r="BQ42" s="12"/>
      <c r="BR42" s="12">
        <f t="shared" si="8"/>
        <v>5</v>
      </c>
      <c r="BS42" s="12"/>
      <c r="BU42" s="11">
        <v>39</v>
      </c>
      <c r="BV42" s="12"/>
      <c r="BW42" s="12">
        <v>159</v>
      </c>
      <c r="BX42" s="12"/>
      <c r="BZ42" s="11">
        <v>39</v>
      </c>
      <c r="CA42" s="12"/>
      <c r="CC42" s="11">
        <v>39</v>
      </c>
      <c r="CD42" s="12"/>
    </row>
    <row r="43" spans="1:82">
      <c r="A43" s="20">
        <v>1</v>
      </c>
      <c r="B43" s="20">
        <v>2</v>
      </c>
      <c r="C43" s="5">
        <v>1</v>
      </c>
      <c r="D43" s="6">
        <f t="shared" si="10"/>
        <v>29</v>
      </c>
      <c r="E43" s="121">
        <f t="shared" si="11"/>
        <v>28</v>
      </c>
      <c r="F43" s="7">
        <f t="shared" si="9"/>
        <v>0</v>
      </c>
      <c r="R43" s="11">
        <v>40</v>
      </c>
      <c r="S43" s="12"/>
      <c r="T43" s="12" t="s">
        <v>15</v>
      </c>
      <c r="U43" s="12"/>
      <c r="W43" s="11">
        <v>40</v>
      </c>
      <c r="X43" s="12"/>
      <c r="Y43" s="12">
        <f t="shared" si="7"/>
        <v>0</v>
      </c>
      <c r="Z43" s="12"/>
      <c r="AB43" s="11">
        <v>40</v>
      </c>
      <c r="AC43" s="12"/>
      <c r="AD43" s="12">
        <v>32</v>
      </c>
      <c r="AE43" s="12"/>
      <c r="AG43" s="11">
        <v>40</v>
      </c>
      <c r="AH43" s="12"/>
      <c r="AI43" s="12">
        <v>176</v>
      </c>
      <c r="AJ43" s="12"/>
      <c r="AL43" s="11">
        <v>40</v>
      </c>
      <c r="AM43" s="12"/>
      <c r="AN43" s="12">
        <v>176</v>
      </c>
      <c r="AO43" s="12"/>
      <c r="AQ43" s="11">
        <v>40</v>
      </c>
      <c r="AR43" s="14"/>
      <c r="AS43" s="14"/>
      <c r="AT43" s="11">
        <v>40</v>
      </c>
      <c r="AU43" s="12"/>
      <c r="AW43" s="11">
        <v>40</v>
      </c>
      <c r="AX43" s="12"/>
      <c r="AY43" s="12"/>
      <c r="AZ43" s="12"/>
      <c r="BA43" s="12"/>
      <c r="BB43" s="12"/>
      <c r="BC43" s="12"/>
      <c r="BD43" s="12"/>
      <c r="BE43" s="12"/>
      <c r="BF43" s="24"/>
      <c r="BG43" s="29"/>
      <c r="BH43" s="12"/>
      <c r="BI43" s="12"/>
      <c r="BK43" s="11">
        <v>40</v>
      </c>
      <c r="BL43" s="12"/>
      <c r="BM43" s="12" t="s">
        <v>15</v>
      </c>
      <c r="BN43" s="12"/>
      <c r="BP43" s="11">
        <v>40</v>
      </c>
      <c r="BQ43" s="12"/>
      <c r="BR43" s="12">
        <f t="shared" si="8"/>
        <v>0</v>
      </c>
      <c r="BS43" s="12"/>
      <c r="BU43" s="11">
        <v>40</v>
      </c>
      <c r="BV43" s="12"/>
      <c r="BW43" s="12">
        <v>0</v>
      </c>
      <c r="BX43" s="12"/>
      <c r="BZ43" s="11">
        <v>40</v>
      </c>
      <c r="CA43" s="12"/>
      <c r="CC43" s="11">
        <v>40</v>
      </c>
      <c r="CD43" s="12"/>
    </row>
    <row r="44" spans="1:82">
      <c r="A44" s="21">
        <v>5</v>
      </c>
      <c r="B44" s="21">
        <v>3</v>
      </c>
      <c r="C44" s="23">
        <v>5</v>
      </c>
      <c r="D44" s="6">
        <f t="shared" si="10"/>
        <v>51</v>
      </c>
      <c r="E44" s="121">
        <f t="shared" si="11"/>
        <v>43</v>
      </c>
      <c r="F44" s="7">
        <f t="shared" si="9"/>
        <v>34</v>
      </c>
      <c r="R44" s="11">
        <v>41</v>
      </c>
      <c r="S44" s="12"/>
      <c r="T44" s="12">
        <v>0</v>
      </c>
      <c r="U44" s="12"/>
      <c r="W44" s="11">
        <v>41</v>
      </c>
      <c r="X44" s="12"/>
      <c r="Y44" s="12">
        <f t="shared" si="7"/>
        <v>1</v>
      </c>
      <c r="Z44" s="12"/>
      <c r="AB44" s="11">
        <v>41</v>
      </c>
      <c r="AC44" s="12"/>
      <c r="AD44" s="12">
        <v>351</v>
      </c>
      <c r="AE44" s="12"/>
      <c r="AG44" s="11">
        <v>41</v>
      </c>
      <c r="AH44" s="12"/>
      <c r="AI44" s="12">
        <v>73</v>
      </c>
      <c r="AJ44" s="12"/>
      <c r="AL44" s="11">
        <v>41</v>
      </c>
      <c r="AM44" s="12"/>
      <c r="AN44" s="12">
        <v>710</v>
      </c>
      <c r="AO44" s="12"/>
      <c r="AQ44" s="11">
        <v>41</v>
      </c>
      <c r="AR44" s="12"/>
      <c r="AS44" s="12"/>
      <c r="AT44" s="11">
        <v>41</v>
      </c>
      <c r="AU44" s="12"/>
      <c r="AW44" s="11">
        <v>41</v>
      </c>
      <c r="AX44" s="12"/>
      <c r="AY44" s="12"/>
      <c r="AZ44" s="12"/>
      <c r="BA44" s="12"/>
      <c r="BB44" s="12"/>
      <c r="BC44" s="12"/>
      <c r="BD44" s="12"/>
      <c r="BE44" s="12"/>
      <c r="BF44" s="24"/>
      <c r="BG44" s="29"/>
      <c r="BH44" s="12"/>
      <c r="BI44" s="12"/>
      <c r="BK44" s="11">
        <v>41</v>
      </c>
      <c r="BL44" s="12"/>
      <c r="BM44" s="12">
        <v>0</v>
      </c>
      <c r="BN44" s="12"/>
      <c r="BP44" s="11">
        <v>41</v>
      </c>
      <c r="BQ44" s="12"/>
      <c r="BR44" s="12">
        <f t="shared" si="8"/>
        <v>1</v>
      </c>
      <c r="BS44" s="12"/>
      <c r="BU44" s="11">
        <v>41</v>
      </c>
      <c r="BV44" s="12"/>
      <c r="BW44" s="12">
        <v>675</v>
      </c>
      <c r="BX44" s="12"/>
      <c r="BZ44" s="11">
        <v>41</v>
      </c>
      <c r="CA44" s="12"/>
      <c r="CC44" s="11">
        <v>41</v>
      </c>
      <c r="CD44" s="12"/>
    </row>
    <row r="45" spans="1:82">
      <c r="A45" s="21">
        <v>10</v>
      </c>
      <c r="B45" s="21">
        <v>4</v>
      </c>
      <c r="C45" s="23">
        <v>10</v>
      </c>
      <c r="D45" s="6">
        <f t="shared" si="10"/>
        <v>81</v>
      </c>
      <c r="E45" s="101">
        <f t="shared" si="11"/>
        <v>101</v>
      </c>
      <c r="F45" s="38">
        <f t="shared" si="9"/>
        <v>0</v>
      </c>
      <c r="R45" s="11">
        <v>42</v>
      </c>
      <c r="S45" s="12"/>
      <c r="T45" s="12" t="s">
        <v>15</v>
      </c>
      <c r="U45" s="12"/>
      <c r="W45" s="11">
        <v>42</v>
      </c>
      <c r="X45" s="12"/>
      <c r="Y45" s="12">
        <f t="shared" si="7"/>
        <v>0</v>
      </c>
      <c r="Z45" s="12"/>
      <c r="AB45" s="11">
        <v>42</v>
      </c>
      <c r="AC45" s="12"/>
      <c r="AD45" s="12">
        <v>32</v>
      </c>
      <c r="AE45" s="12"/>
      <c r="AG45" s="11">
        <v>42</v>
      </c>
      <c r="AH45" s="12"/>
      <c r="AI45" s="12">
        <v>176</v>
      </c>
      <c r="AJ45" s="12"/>
      <c r="AL45" s="11">
        <v>42</v>
      </c>
      <c r="AM45" s="12"/>
      <c r="AN45" s="12">
        <v>176</v>
      </c>
      <c r="AO45" s="12"/>
      <c r="AQ45" s="11">
        <v>42</v>
      </c>
      <c r="AR45" s="14"/>
      <c r="AS45" s="14"/>
      <c r="AT45" s="11">
        <v>42</v>
      </c>
      <c r="AU45" s="12"/>
      <c r="AW45" s="11">
        <v>42</v>
      </c>
      <c r="AX45" s="12"/>
      <c r="AY45" s="12"/>
      <c r="AZ45" s="12"/>
      <c r="BA45" s="12"/>
      <c r="BB45" s="12"/>
      <c r="BC45" s="12"/>
      <c r="BD45" s="12"/>
      <c r="BE45" s="12"/>
      <c r="BF45" s="24"/>
      <c r="BG45" s="29"/>
      <c r="BH45" s="12"/>
      <c r="BI45" s="12"/>
      <c r="BK45" s="11">
        <v>42</v>
      </c>
      <c r="BL45" s="12"/>
      <c r="BM45" s="12" t="s">
        <v>15</v>
      </c>
      <c r="BN45" s="12"/>
      <c r="BP45" s="11">
        <v>42</v>
      </c>
      <c r="BQ45" s="12"/>
      <c r="BR45" s="12">
        <f t="shared" si="8"/>
        <v>0</v>
      </c>
      <c r="BS45" s="12"/>
      <c r="BU45" s="11">
        <v>42</v>
      </c>
      <c r="BV45" s="12"/>
      <c r="BW45" s="12">
        <v>0</v>
      </c>
      <c r="BX45" s="12"/>
      <c r="BZ45" s="11">
        <v>42</v>
      </c>
      <c r="CA45" s="12"/>
      <c r="CC45" s="11">
        <v>42</v>
      </c>
      <c r="CD45" s="12"/>
    </row>
    <row r="46" spans="1:82">
      <c r="A46" s="20" t="s">
        <v>20</v>
      </c>
      <c r="B46" s="20">
        <v>5</v>
      </c>
      <c r="C46" s="23" t="s">
        <v>29</v>
      </c>
      <c r="D46" s="37">
        <f t="shared" si="10"/>
        <v>0</v>
      </c>
      <c r="E46" s="101">
        <f t="shared" si="11"/>
        <v>1865</v>
      </c>
      <c r="F46" s="38">
        <f t="shared" si="9"/>
        <v>0</v>
      </c>
      <c r="R46" s="11">
        <v>43</v>
      </c>
      <c r="S46" s="12"/>
      <c r="T46" s="12">
        <v>1</v>
      </c>
      <c r="U46" s="12"/>
      <c r="W46" s="11">
        <v>43</v>
      </c>
      <c r="X46" s="12"/>
      <c r="Y46" s="12">
        <f t="shared" si="7"/>
        <v>2</v>
      </c>
      <c r="Z46" s="12"/>
      <c r="AB46" s="11">
        <v>43</v>
      </c>
      <c r="AC46" s="12"/>
      <c r="AD46" s="12">
        <v>660</v>
      </c>
      <c r="AE46" s="12"/>
      <c r="AG46" s="11">
        <v>43</v>
      </c>
      <c r="AH46" s="12"/>
      <c r="AI46" s="12">
        <v>487</v>
      </c>
      <c r="AJ46" s="12"/>
      <c r="AL46" s="11">
        <v>43</v>
      </c>
      <c r="AM46" s="12"/>
      <c r="AN46" s="12">
        <v>5</v>
      </c>
      <c r="AO46" s="12"/>
      <c r="AQ46" s="11">
        <v>43</v>
      </c>
      <c r="AR46" s="12"/>
      <c r="AS46" s="12"/>
      <c r="AT46" s="11">
        <v>43</v>
      </c>
      <c r="AU46" s="12"/>
      <c r="AW46" s="11">
        <v>43</v>
      </c>
      <c r="AX46" s="12"/>
      <c r="AY46" s="12"/>
      <c r="AZ46" s="12"/>
      <c r="BA46" s="12"/>
      <c r="BB46" s="12"/>
      <c r="BC46" s="12"/>
      <c r="BD46" s="12"/>
      <c r="BE46" s="12"/>
      <c r="BF46" s="24"/>
      <c r="BG46" s="29"/>
      <c r="BH46" s="12"/>
      <c r="BI46" s="12"/>
      <c r="BK46" s="11">
        <v>43</v>
      </c>
      <c r="BL46" s="12"/>
      <c r="BM46" s="12">
        <v>1</v>
      </c>
      <c r="BN46" s="12"/>
      <c r="BP46" s="11">
        <v>43</v>
      </c>
      <c r="BQ46" s="12"/>
      <c r="BR46" s="12">
        <f t="shared" si="8"/>
        <v>2</v>
      </c>
      <c r="BS46" s="12"/>
      <c r="BU46" s="11">
        <v>43</v>
      </c>
      <c r="BV46" s="12"/>
      <c r="BW46" s="12">
        <v>904</v>
      </c>
      <c r="BX46" s="12"/>
      <c r="BZ46" s="11">
        <v>43</v>
      </c>
      <c r="CA46" s="12"/>
      <c r="CC46" s="11">
        <v>43</v>
      </c>
      <c r="CD46" s="12"/>
    </row>
    <row r="47" spans="1:82">
      <c r="A47" s="21" t="s">
        <v>21</v>
      </c>
      <c r="B47" s="21">
        <v>6</v>
      </c>
      <c r="C47" s="23" t="s">
        <v>26</v>
      </c>
      <c r="D47" s="37">
        <f t="shared" si="10"/>
        <v>0</v>
      </c>
      <c r="E47" s="59">
        <f t="shared" si="11"/>
        <v>0</v>
      </c>
      <c r="F47" s="38">
        <f t="shared" si="9"/>
        <v>0</v>
      </c>
      <c r="R47" s="11">
        <v>44</v>
      </c>
      <c r="S47" s="12"/>
      <c r="T47" s="12" t="s">
        <v>15</v>
      </c>
      <c r="U47" s="12"/>
      <c r="W47" s="11">
        <v>44</v>
      </c>
      <c r="X47" s="12"/>
      <c r="Y47" s="12">
        <f t="shared" si="7"/>
        <v>0</v>
      </c>
      <c r="Z47" s="12"/>
      <c r="AB47" s="11">
        <v>44</v>
      </c>
      <c r="AC47" s="12"/>
      <c r="AD47" s="12">
        <v>32</v>
      </c>
      <c r="AE47" s="12"/>
      <c r="AG47" s="11">
        <v>44</v>
      </c>
      <c r="AH47" s="12"/>
      <c r="AI47" s="12">
        <v>176</v>
      </c>
      <c r="AJ47" s="12"/>
      <c r="AL47" s="11">
        <v>44</v>
      </c>
      <c r="AM47" s="12"/>
      <c r="AN47" s="12">
        <v>176</v>
      </c>
      <c r="AO47" s="12"/>
      <c r="AQ47" s="11">
        <v>44</v>
      </c>
      <c r="AR47" s="14"/>
      <c r="AS47" s="14"/>
      <c r="AT47" s="11">
        <v>44</v>
      </c>
      <c r="AU47" s="12"/>
      <c r="AW47" s="11">
        <v>44</v>
      </c>
      <c r="AX47" s="12"/>
      <c r="AY47" s="12"/>
      <c r="AZ47" s="12"/>
      <c r="BA47" s="12"/>
      <c r="BB47" s="12"/>
      <c r="BC47" s="12"/>
      <c r="BD47" s="12"/>
      <c r="BE47" s="12"/>
      <c r="BF47" s="24"/>
      <c r="BG47" s="29"/>
      <c r="BH47" s="12"/>
      <c r="BI47" s="12"/>
      <c r="BK47" s="11">
        <v>44</v>
      </c>
      <c r="BL47" s="12"/>
      <c r="BM47" s="12" t="s">
        <v>15</v>
      </c>
      <c r="BN47" s="12"/>
      <c r="BP47" s="11">
        <v>44</v>
      </c>
      <c r="BQ47" s="12"/>
      <c r="BR47" s="12">
        <f t="shared" si="8"/>
        <v>0</v>
      </c>
      <c r="BS47" s="12"/>
      <c r="BU47" s="11">
        <v>44</v>
      </c>
      <c r="BV47" s="12"/>
      <c r="BW47" s="12">
        <v>0</v>
      </c>
      <c r="BX47" s="12"/>
      <c r="BZ47" s="11">
        <v>44</v>
      </c>
      <c r="CA47" s="12"/>
      <c r="CC47" s="11">
        <v>44</v>
      </c>
      <c r="CD47" s="12"/>
    </row>
    <row r="48" spans="1:82">
      <c r="A48" s="20" t="s">
        <v>22</v>
      </c>
      <c r="B48" s="20">
        <v>7</v>
      </c>
      <c r="C48" s="5" t="s">
        <v>27</v>
      </c>
      <c r="D48" s="37">
        <f t="shared" si="10"/>
        <v>0</v>
      </c>
      <c r="E48" s="59">
        <f t="shared" si="11"/>
        <v>0</v>
      </c>
      <c r="F48" s="38">
        <f t="shared" si="9"/>
        <v>0</v>
      </c>
      <c r="R48" s="11">
        <v>45</v>
      </c>
      <c r="S48" s="12"/>
      <c r="T48" s="12">
        <v>5</v>
      </c>
      <c r="U48" s="12"/>
      <c r="W48" s="11">
        <v>45</v>
      </c>
      <c r="X48" s="12"/>
      <c r="Y48" s="12">
        <f t="shared" si="7"/>
        <v>3</v>
      </c>
      <c r="Z48" s="12"/>
      <c r="AB48" s="11">
        <v>45</v>
      </c>
      <c r="AC48" s="12"/>
      <c r="AD48" s="12">
        <v>434</v>
      </c>
      <c r="AE48" s="12"/>
      <c r="AG48" s="11">
        <v>45</v>
      </c>
      <c r="AH48" s="12"/>
      <c r="AI48" s="12">
        <v>163</v>
      </c>
      <c r="AJ48" s="12"/>
      <c r="AL48" s="11">
        <v>45</v>
      </c>
      <c r="AM48" s="12"/>
      <c r="AN48" s="12">
        <v>8</v>
      </c>
      <c r="AO48" s="12"/>
      <c r="AQ48" s="11">
        <v>45</v>
      </c>
      <c r="AR48" s="12"/>
      <c r="AS48" s="12"/>
      <c r="AT48" s="11">
        <v>45</v>
      </c>
      <c r="AU48" s="12"/>
      <c r="AW48" s="11">
        <v>45</v>
      </c>
      <c r="AX48" s="12"/>
      <c r="AY48" s="12"/>
      <c r="AZ48" s="12"/>
      <c r="BA48" s="12"/>
      <c r="BB48" s="12"/>
      <c r="BC48" s="12"/>
      <c r="BD48" s="12"/>
      <c r="BE48" s="12"/>
      <c r="BF48" s="24"/>
      <c r="BG48" s="29"/>
      <c r="BH48" s="12"/>
      <c r="BI48" s="12"/>
      <c r="BK48" s="11">
        <v>45</v>
      </c>
      <c r="BL48" s="12"/>
      <c r="BM48" s="12">
        <v>5</v>
      </c>
      <c r="BN48" s="12"/>
      <c r="BP48" s="11">
        <v>45</v>
      </c>
      <c r="BQ48" s="12"/>
      <c r="BR48" s="12">
        <f t="shared" si="8"/>
        <v>3</v>
      </c>
      <c r="BS48" s="12"/>
      <c r="BU48" s="11">
        <v>45</v>
      </c>
      <c r="BV48" s="12"/>
      <c r="BW48" s="12">
        <v>112</v>
      </c>
      <c r="BX48" s="12"/>
      <c r="BZ48" s="11">
        <v>45</v>
      </c>
      <c r="CA48" s="12"/>
      <c r="CC48" s="11">
        <v>45</v>
      </c>
      <c r="CD48" s="12"/>
    </row>
    <row r="49" spans="1:82">
      <c r="A49" s="20" t="s">
        <v>23</v>
      </c>
      <c r="B49" s="20">
        <v>8</v>
      </c>
      <c r="C49" s="5" t="s">
        <v>28</v>
      </c>
      <c r="D49" s="37">
        <f t="shared" si="10"/>
        <v>0</v>
      </c>
      <c r="E49" s="59">
        <f t="shared" si="11"/>
        <v>0</v>
      </c>
      <c r="F49" s="38">
        <f t="shared" si="9"/>
        <v>0</v>
      </c>
      <c r="R49" s="11">
        <v>46</v>
      </c>
      <c r="S49" s="12"/>
      <c r="T49" s="12" t="s">
        <v>15</v>
      </c>
      <c r="U49" s="12"/>
      <c r="W49" s="11">
        <v>46</v>
      </c>
      <c r="X49" s="12"/>
      <c r="Y49" s="12">
        <f t="shared" si="7"/>
        <v>0</v>
      </c>
      <c r="Z49" s="12"/>
      <c r="AB49" s="11">
        <v>46</v>
      </c>
      <c r="AC49" s="12"/>
      <c r="AD49" s="12">
        <v>32</v>
      </c>
      <c r="AE49" s="12"/>
      <c r="AG49" s="11">
        <v>46</v>
      </c>
      <c r="AH49" s="12"/>
      <c r="AI49" s="12">
        <v>176</v>
      </c>
      <c r="AJ49" s="12"/>
      <c r="AL49" s="11">
        <v>46</v>
      </c>
      <c r="AM49" s="12"/>
      <c r="AN49" s="12">
        <v>176</v>
      </c>
      <c r="AO49" s="12"/>
      <c r="AQ49" s="11">
        <v>46</v>
      </c>
      <c r="AR49" s="14"/>
      <c r="AS49" s="14"/>
      <c r="AT49" s="11">
        <v>46</v>
      </c>
      <c r="AU49" s="12"/>
      <c r="AW49" s="11">
        <v>46</v>
      </c>
      <c r="AX49" s="12"/>
      <c r="AY49" s="12"/>
      <c r="AZ49" s="12"/>
      <c r="BA49" s="12"/>
      <c r="BB49" s="12"/>
      <c r="BC49" s="12"/>
      <c r="BD49" s="12"/>
      <c r="BE49" s="12"/>
      <c r="BF49" s="24"/>
      <c r="BG49" s="29"/>
      <c r="BH49" s="12"/>
      <c r="BI49" s="12"/>
      <c r="BK49" s="11">
        <v>46</v>
      </c>
      <c r="BL49" s="12"/>
      <c r="BM49" s="12" t="s">
        <v>15</v>
      </c>
      <c r="BN49" s="12"/>
      <c r="BP49" s="11">
        <v>46</v>
      </c>
      <c r="BQ49" s="12"/>
      <c r="BR49" s="12">
        <f t="shared" si="8"/>
        <v>0</v>
      </c>
      <c r="BS49" s="12"/>
      <c r="BU49" s="11">
        <v>46</v>
      </c>
      <c r="BV49" s="12"/>
      <c r="BW49" s="12">
        <v>0</v>
      </c>
      <c r="BX49" s="12"/>
      <c r="BZ49" s="11">
        <v>46</v>
      </c>
      <c r="CA49" s="12"/>
      <c r="CC49" s="11">
        <v>46</v>
      </c>
      <c r="CD49" s="12"/>
    </row>
    <row r="50" spans="1:82">
      <c r="A50" s="20" t="s">
        <v>24</v>
      </c>
      <c r="B50" s="20">
        <v>9</v>
      </c>
      <c r="C50" s="5" t="s">
        <v>16</v>
      </c>
      <c r="D50" s="37">
        <f t="shared" si="10"/>
        <v>0</v>
      </c>
      <c r="E50" s="59">
        <f t="shared" si="11"/>
        <v>0</v>
      </c>
      <c r="F50" s="38">
        <f t="shared" si="9"/>
        <v>0</v>
      </c>
      <c r="R50" s="11">
        <v>47</v>
      </c>
      <c r="S50" s="12"/>
      <c r="T50" s="12">
        <v>10</v>
      </c>
      <c r="U50" s="12"/>
      <c r="W50" s="11">
        <v>47</v>
      </c>
      <c r="X50" s="12"/>
      <c r="Y50" s="12">
        <f t="shared" si="7"/>
        <v>4</v>
      </c>
      <c r="Z50" s="12"/>
      <c r="AB50" s="11">
        <v>47</v>
      </c>
      <c r="AC50" s="12"/>
      <c r="AD50" s="12">
        <v>20</v>
      </c>
      <c r="AE50" s="12"/>
      <c r="AG50" s="11">
        <v>47</v>
      </c>
      <c r="AH50" s="12"/>
      <c r="AI50" s="12">
        <v>20</v>
      </c>
      <c r="AJ50" s="12"/>
      <c r="AL50" s="11">
        <v>47</v>
      </c>
      <c r="AM50" s="12"/>
      <c r="AN50" s="12">
        <v>20</v>
      </c>
      <c r="AO50" s="12"/>
      <c r="AQ50" s="11">
        <v>47</v>
      </c>
      <c r="AR50" s="12"/>
      <c r="AS50" s="12"/>
      <c r="AT50" s="11">
        <v>47</v>
      </c>
      <c r="AU50" s="12"/>
      <c r="AW50" s="11">
        <v>47</v>
      </c>
      <c r="AX50" s="12"/>
      <c r="AY50" s="12"/>
      <c r="AZ50" s="12"/>
      <c r="BA50" s="12"/>
      <c r="BB50" s="12"/>
      <c r="BC50" s="12"/>
      <c r="BD50" s="12"/>
      <c r="BE50" s="12"/>
      <c r="BF50" s="24"/>
      <c r="BG50" s="29"/>
      <c r="BH50" s="12"/>
      <c r="BI50" s="12"/>
      <c r="BK50" s="11">
        <v>47</v>
      </c>
      <c r="BL50" s="12"/>
      <c r="BM50" s="12">
        <v>10</v>
      </c>
      <c r="BN50" s="12"/>
      <c r="BP50" s="11">
        <v>47</v>
      </c>
      <c r="BQ50" s="12"/>
      <c r="BR50" s="12">
        <f t="shared" si="8"/>
        <v>4</v>
      </c>
      <c r="BS50" s="12"/>
      <c r="BU50" s="11">
        <v>47</v>
      </c>
      <c r="BV50" s="12"/>
      <c r="BW50" s="12">
        <v>147</v>
      </c>
      <c r="BX50" s="12"/>
      <c r="BZ50" s="11">
        <v>47</v>
      </c>
      <c r="CA50" s="12"/>
      <c r="CC50" s="11">
        <v>47</v>
      </c>
      <c r="CD50" s="12"/>
    </row>
    <row r="51" spans="1:82">
      <c r="A51" s="21" t="s">
        <v>35</v>
      </c>
      <c r="B51" s="21">
        <v>10</v>
      </c>
      <c r="C51" s="5" t="s">
        <v>37</v>
      </c>
      <c r="D51" s="37">
        <f t="shared" si="10"/>
        <v>0</v>
      </c>
      <c r="E51" s="59">
        <f t="shared" si="11"/>
        <v>0</v>
      </c>
      <c r="F51" s="38">
        <f t="shared" si="9"/>
        <v>0</v>
      </c>
      <c r="R51" s="11">
        <v>48</v>
      </c>
      <c r="S51" s="12"/>
      <c r="T51" s="12" t="s">
        <v>15</v>
      </c>
      <c r="U51" s="12"/>
      <c r="W51" s="11">
        <v>48</v>
      </c>
      <c r="X51" s="12"/>
      <c r="Y51" s="12">
        <f t="shared" si="7"/>
        <v>0</v>
      </c>
      <c r="Z51" s="12"/>
      <c r="AB51" s="11">
        <v>48</v>
      </c>
      <c r="AC51" s="12"/>
      <c r="AD51" s="12">
        <v>32</v>
      </c>
      <c r="AE51" s="12"/>
      <c r="AG51" s="11">
        <v>48</v>
      </c>
      <c r="AH51" s="12"/>
      <c r="AI51" s="12">
        <v>176</v>
      </c>
      <c r="AJ51" s="12"/>
      <c r="AL51" s="11">
        <v>48</v>
      </c>
      <c r="AM51" s="12"/>
      <c r="AN51" s="12">
        <v>176</v>
      </c>
      <c r="AO51" s="12"/>
      <c r="AQ51" s="11">
        <v>48</v>
      </c>
      <c r="AR51" s="12"/>
      <c r="AS51" s="12"/>
      <c r="AT51" s="11">
        <v>48</v>
      </c>
      <c r="AU51" s="12"/>
      <c r="AW51" s="11">
        <v>48</v>
      </c>
      <c r="AX51" s="12"/>
      <c r="AY51" s="12"/>
      <c r="AZ51" s="12"/>
      <c r="BA51" s="12"/>
      <c r="BB51" s="12"/>
      <c r="BC51" s="12"/>
      <c r="BD51" s="12"/>
      <c r="BE51" s="12"/>
      <c r="BF51" s="24"/>
      <c r="BG51" s="29"/>
      <c r="BH51" s="12"/>
      <c r="BI51" s="12"/>
      <c r="BK51" s="11">
        <v>48</v>
      </c>
      <c r="BL51" s="12"/>
      <c r="BM51" s="12" t="s">
        <v>15</v>
      </c>
      <c r="BN51" s="12"/>
      <c r="BP51" s="11">
        <v>48</v>
      </c>
      <c r="BQ51" s="12"/>
      <c r="BR51" s="12">
        <f t="shared" si="8"/>
        <v>0</v>
      </c>
      <c r="BS51" s="12"/>
      <c r="BU51" s="11">
        <v>48</v>
      </c>
      <c r="BV51" s="12"/>
      <c r="BW51" s="12">
        <v>0</v>
      </c>
      <c r="BX51" s="12"/>
      <c r="BZ51" s="11">
        <v>48</v>
      </c>
      <c r="CA51" s="12"/>
      <c r="CC51" s="11">
        <v>48</v>
      </c>
      <c r="CD51" s="12"/>
    </row>
    <row r="52" spans="1:82">
      <c r="A52" s="22" t="s">
        <v>39</v>
      </c>
      <c r="B52" s="22">
        <v>11</v>
      </c>
      <c r="C52" s="17" t="s">
        <v>38</v>
      </c>
      <c r="D52" s="60">
        <f t="shared" si="10"/>
        <v>0</v>
      </c>
      <c r="E52" s="39">
        <f t="shared" si="11"/>
        <v>0</v>
      </c>
      <c r="F52" s="40">
        <f t="shared" si="9"/>
        <v>0</v>
      </c>
      <c r="R52" s="11">
        <v>49</v>
      </c>
      <c r="S52" s="12"/>
      <c r="T52" s="12" t="s">
        <v>18</v>
      </c>
      <c r="U52" s="12"/>
      <c r="W52" s="11">
        <v>49</v>
      </c>
      <c r="X52" s="12"/>
      <c r="Y52" s="12">
        <f t="shared" si="7"/>
        <v>5</v>
      </c>
      <c r="Z52" s="12"/>
      <c r="AB52" s="11">
        <v>49</v>
      </c>
      <c r="AC52" s="12"/>
      <c r="AD52" s="12">
        <v>373</v>
      </c>
      <c r="AE52" s="12"/>
      <c r="AG52" s="11">
        <v>49</v>
      </c>
      <c r="AH52" s="12"/>
      <c r="AI52" s="12">
        <v>373</v>
      </c>
      <c r="AJ52" s="12"/>
      <c r="AL52" s="11">
        <v>49</v>
      </c>
      <c r="AM52" s="12"/>
      <c r="AN52" s="12">
        <v>373</v>
      </c>
      <c r="AO52" s="12"/>
      <c r="AQ52" s="11">
        <v>49</v>
      </c>
      <c r="AR52" s="12"/>
      <c r="AS52" s="12"/>
      <c r="AT52" s="11">
        <v>49</v>
      </c>
      <c r="AU52" s="12"/>
      <c r="AW52" s="11">
        <v>49</v>
      </c>
      <c r="AX52" s="12"/>
      <c r="AY52" s="12"/>
      <c r="AZ52" s="12"/>
      <c r="BA52" s="12"/>
      <c r="BB52" s="12"/>
      <c r="BC52" s="12"/>
      <c r="BD52" s="12"/>
      <c r="BE52" s="12"/>
      <c r="BF52" s="24"/>
      <c r="BG52" s="29"/>
      <c r="BH52" s="12"/>
      <c r="BI52" s="12"/>
      <c r="BK52" s="11">
        <v>49</v>
      </c>
      <c r="BL52" s="12"/>
      <c r="BM52" s="12" t="s">
        <v>18</v>
      </c>
      <c r="BN52" s="12"/>
      <c r="BP52" s="11">
        <v>49</v>
      </c>
      <c r="BQ52" s="12"/>
      <c r="BR52" s="12">
        <f t="shared" si="8"/>
        <v>5</v>
      </c>
      <c r="BS52" s="12"/>
      <c r="BU52" s="11">
        <v>49</v>
      </c>
      <c r="BV52" s="12"/>
      <c r="BW52" s="12">
        <v>159</v>
      </c>
      <c r="BX52" s="12"/>
      <c r="BZ52" s="11">
        <v>49</v>
      </c>
      <c r="CA52" s="12"/>
      <c r="CC52" s="11">
        <v>49</v>
      </c>
      <c r="CD52" s="12"/>
    </row>
    <row r="53" spans="1:82">
      <c r="D53" s="121">
        <f>SUM(D41:D52)</f>
        <v>10000</v>
      </c>
      <c r="E53" s="121">
        <f>SUM(E41:E52)</f>
        <v>10000</v>
      </c>
      <c r="F53" s="121">
        <f>SUM(F41:F52)</f>
        <v>10000</v>
      </c>
      <c r="R53" s="11">
        <v>50</v>
      </c>
      <c r="S53" s="12"/>
      <c r="T53" s="12"/>
      <c r="U53" s="12"/>
      <c r="W53" s="11">
        <v>50</v>
      </c>
      <c r="X53" s="12"/>
      <c r="Y53" s="12"/>
      <c r="Z53" s="12"/>
      <c r="AB53" s="11">
        <v>50</v>
      </c>
      <c r="AC53" s="12"/>
      <c r="AD53" s="12"/>
      <c r="AE53" s="12"/>
      <c r="AG53" s="11">
        <v>50</v>
      </c>
      <c r="AH53" s="12"/>
      <c r="AI53" s="12"/>
      <c r="AJ53" s="12"/>
      <c r="AL53" s="11">
        <v>50</v>
      </c>
      <c r="AM53" s="12"/>
      <c r="AN53" s="12"/>
      <c r="AO53" s="12"/>
      <c r="AQ53" s="11">
        <v>50</v>
      </c>
      <c r="AR53" s="12"/>
      <c r="AS53" s="12"/>
      <c r="AT53" s="11">
        <v>50</v>
      </c>
      <c r="AU53" s="12"/>
      <c r="AW53" s="11">
        <v>50</v>
      </c>
      <c r="AX53" s="12"/>
      <c r="AY53" s="12"/>
      <c r="AZ53" s="12"/>
      <c r="BA53" s="12"/>
      <c r="BB53" s="12"/>
      <c r="BC53" s="12"/>
      <c r="BD53" s="12"/>
      <c r="BE53" s="12"/>
      <c r="BF53" s="24"/>
      <c r="BG53" s="29"/>
      <c r="BH53" s="12"/>
      <c r="BI53" s="12"/>
      <c r="BK53" s="11">
        <v>50</v>
      </c>
      <c r="BL53" s="12"/>
      <c r="BM53" s="12"/>
      <c r="BN53" s="12"/>
      <c r="BP53" s="11">
        <v>50</v>
      </c>
      <c r="BQ53" s="12"/>
      <c r="BR53" s="12"/>
      <c r="BS53" s="12"/>
      <c r="BU53" s="11">
        <v>50</v>
      </c>
      <c r="BV53" s="12"/>
      <c r="BW53" s="12"/>
      <c r="BX53" s="12"/>
      <c r="BZ53" s="11">
        <v>50</v>
      </c>
      <c r="CA53" s="12"/>
      <c r="CC53" s="11">
        <v>50</v>
      </c>
      <c r="CD53" s="12"/>
    </row>
    <row r="54" spans="1:82">
      <c r="R54" s="11">
        <v>51</v>
      </c>
      <c r="S54" s="12"/>
      <c r="T54" s="12"/>
      <c r="U54" s="12"/>
      <c r="W54" s="11">
        <v>51</v>
      </c>
      <c r="X54" s="12"/>
      <c r="Y54" s="12"/>
      <c r="Z54" s="12"/>
      <c r="AB54" s="11">
        <v>51</v>
      </c>
      <c r="AC54" s="12"/>
      <c r="AD54" s="12"/>
      <c r="AE54" s="12"/>
      <c r="AG54" s="11">
        <v>51</v>
      </c>
      <c r="AH54" s="12"/>
      <c r="AI54" s="12"/>
      <c r="AJ54" s="12"/>
      <c r="AL54" s="11">
        <v>51</v>
      </c>
      <c r="AM54" s="12"/>
      <c r="AN54" s="12"/>
      <c r="AO54" s="12"/>
      <c r="AQ54" s="11">
        <v>51</v>
      </c>
      <c r="AR54" s="12"/>
      <c r="AS54" s="12"/>
      <c r="AT54" s="11">
        <v>51</v>
      </c>
      <c r="AU54" s="12"/>
      <c r="AW54" s="11">
        <v>51</v>
      </c>
      <c r="AX54" s="12"/>
      <c r="AY54" s="12"/>
      <c r="AZ54" s="12"/>
      <c r="BA54" s="12"/>
      <c r="BB54" s="12"/>
      <c r="BC54" s="12"/>
      <c r="BD54" s="12"/>
      <c r="BE54" s="12"/>
      <c r="BF54" s="24"/>
      <c r="BG54" s="29"/>
      <c r="BH54" s="12"/>
      <c r="BI54" s="12"/>
      <c r="BK54" s="11">
        <v>51</v>
      </c>
      <c r="BL54" s="12"/>
      <c r="BM54" s="12"/>
      <c r="BN54" s="12"/>
      <c r="BP54" s="11">
        <v>51</v>
      </c>
      <c r="BQ54" s="12"/>
      <c r="BR54" s="12"/>
      <c r="BS54" s="12"/>
      <c r="BU54" s="11">
        <v>51</v>
      </c>
      <c r="BV54" s="12"/>
      <c r="BW54" s="12"/>
      <c r="BX54" s="12"/>
      <c r="BZ54" s="11">
        <v>51</v>
      </c>
      <c r="CA54" s="12"/>
      <c r="CC54" s="11">
        <v>51</v>
      </c>
      <c r="CD54" s="12"/>
    </row>
    <row r="55" spans="1:82" ht="16.8" thickBot="1">
      <c r="A55" s="31" t="s">
        <v>47</v>
      </c>
      <c r="R55" s="11">
        <v>52</v>
      </c>
      <c r="S55" s="12"/>
      <c r="T55" s="12"/>
      <c r="U55" s="12"/>
      <c r="W55" s="11">
        <v>52</v>
      </c>
      <c r="X55" s="12"/>
      <c r="Y55" s="12"/>
      <c r="Z55" s="12"/>
      <c r="AB55" s="11">
        <v>52</v>
      </c>
      <c r="AC55" s="12"/>
      <c r="AD55" s="12"/>
      <c r="AE55" s="12"/>
      <c r="AG55" s="11">
        <v>52</v>
      </c>
      <c r="AH55" s="12"/>
      <c r="AI55" s="12"/>
      <c r="AJ55" s="12"/>
      <c r="AL55" s="11">
        <v>52</v>
      </c>
      <c r="AM55" s="12"/>
      <c r="AN55" s="12"/>
      <c r="AO55" s="12"/>
      <c r="AQ55" s="11">
        <v>52</v>
      </c>
      <c r="AR55" s="12"/>
      <c r="AS55" s="12"/>
      <c r="AT55" s="11">
        <v>52</v>
      </c>
      <c r="AU55" s="12"/>
      <c r="AW55" s="11">
        <v>52</v>
      </c>
      <c r="AX55" s="12"/>
      <c r="AY55" s="12"/>
      <c r="AZ55" s="12"/>
      <c r="BA55" s="12"/>
      <c r="BB55" s="12"/>
      <c r="BC55" s="12"/>
      <c r="BD55" s="12"/>
      <c r="BE55" s="12"/>
      <c r="BF55" s="24"/>
      <c r="BG55" s="29"/>
      <c r="BH55" s="12"/>
      <c r="BI55" s="12"/>
      <c r="BK55" s="11">
        <v>52</v>
      </c>
      <c r="BL55" s="12"/>
      <c r="BM55" s="12"/>
      <c r="BN55" s="12"/>
      <c r="BP55" s="11">
        <v>52</v>
      </c>
      <c r="BQ55" s="12"/>
      <c r="BR55" s="12"/>
      <c r="BS55" s="12"/>
      <c r="BU55" s="11">
        <v>52</v>
      </c>
      <c r="BV55" s="12"/>
      <c r="BW55" s="12"/>
      <c r="BX55" s="12"/>
      <c r="BZ55" s="11">
        <v>52</v>
      </c>
      <c r="CA55" s="12"/>
      <c r="CC55" s="11">
        <v>52</v>
      </c>
      <c r="CD55" s="12"/>
    </row>
    <row r="56" spans="1:82">
      <c r="A56" s="30" t="s">
        <v>42</v>
      </c>
      <c r="B56" s="1" t="s">
        <v>10</v>
      </c>
      <c r="C56" s="42" t="s">
        <v>11</v>
      </c>
      <c r="D56" s="67" t="s">
        <v>56</v>
      </c>
      <c r="E56" s="52" t="s">
        <v>48</v>
      </c>
      <c r="F56" s="43" t="s">
        <v>49</v>
      </c>
      <c r="G56" s="44" t="s">
        <v>50</v>
      </c>
      <c r="H56" s="44" t="s">
        <v>51</v>
      </c>
      <c r="I56" s="44" t="s">
        <v>52</v>
      </c>
      <c r="J56" s="44" t="s">
        <v>53</v>
      </c>
      <c r="K56" s="44" t="s">
        <v>54</v>
      </c>
      <c r="L56" s="44" t="s">
        <v>55</v>
      </c>
      <c r="M56" s="45" t="s">
        <v>74</v>
      </c>
      <c r="N56" s="35" t="s">
        <v>75</v>
      </c>
      <c r="O56" s="36" t="s">
        <v>76</v>
      </c>
      <c r="R56" s="11">
        <v>53</v>
      </c>
      <c r="S56" s="12"/>
      <c r="T56" s="12"/>
      <c r="U56" s="12"/>
      <c r="W56" s="11">
        <v>53</v>
      </c>
      <c r="X56" s="12"/>
      <c r="Y56" s="12"/>
      <c r="Z56" s="12"/>
      <c r="AB56" s="11">
        <v>53</v>
      </c>
      <c r="AC56" s="12"/>
      <c r="AD56" s="12"/>
      <c r="AE56" s="12"/>
      <c r="AG56" s="11">
        <v>53</v>
      </c>
      <c r="AH56" s="12"/>
      <c r="AI56" s="12"/>
      <c r="AJ56" s="12"/>
      <c r="AL56" s="11">
        <v>53</v>
      </c>
      <c r="AM56" s="12"/>
      <c r="AN56" s="12"/>
      <c r="AO56" s="12"/>
      <c r="AQ56" s="11">
        <v>53</v>
      </c>
      <c r="AR56" s="12"/>
      <c r="AS56" s="12"/>
      <c r="AT56" s="11">
        <v>53</v>
      </c>
      <c r="AU56" s="12"/>
      <c r="AW56" s="11">
        <v>53</v>
      </c>
      <c r="AX56" s="12"/>
      <c r="AY56" s="12"/>
      <c r="AZ56" s="12"/>
      <c r="BA56" s="12"/>
      <c r="BB56" s="12"/>
      <c r="BC56" s="12"/>
      <c r="BD56" s="12"/>
      <c r="BE56" s="12"/>
      <c r="BF56" s="24"/>
      <c r="BG56" s="29"/>
      <c r="BH56" s="12"/>
      <c r="BI56" s="12"/>
      <c r="BK56" s="11">
        <v>53</v>
      </c>
      <c r="BL56" s="12"/>
      <c r="BM56" s="12"/>
      <c r="BN56" s="12"/>
      <c r="BP56" s="11">
        <v>53</v>
      </c>
      <c r="BQ56" s="12"/>
      <c r="BR56" s="12"/>
      <c r="BS56" s="12"/>
      <c r="BU56" s="11">
        <v>53</v>
      </c>
      <c r="BV56" s="12"/>
      <c r="BW56" s="12"/>
      <c r="BX56" s="12"/>
      <c r="BZ56" s="11">
        <v>53</v>
      </c>
      <c r="CA56" s="12"/>
      <c r="CC56" s="11">
        <v>53</v>
      </c>
      <c r="CD56" s="12"/>
    </row>
    <row r="57" spans="1:82">
      <c r="A57" s="1" t="s">
        <v>19</v>
      </c>
      <c r="B57" s="1">
        <v>0</v>
      </c>
      <c r="C57" s="3" t="s">
        <v>25</v>
      </c>
      <c r="D57" s="53">
        <f t="shared" ref="D57:O68" si="12">SUMIF($AR$3:$AR$42,$A57,AX$3:AX$42)</f>
        <v>8074</v>
      </c>
      <c r="E57" s="122">
        <f t="shared" si="12"/>
        <v>450</v>
      </c>
      <c r="F57" s="122">
        <f t="shared" si="12"/>
        <v>393</v>
      </c>
      <c r="G57" s="3">
        <f t="shared" si="12"/>
        <v>5573</v>
      </c>
      <c r="H57" s="122">
        <f t="shared" si="12"/>
        <v>7787</v>
      </c>
      <c r="I57" s="122">
        <f t="shared" si="12"/>
        <v>9103</v>
      </c>
      <c r="J57" s="122">
        <f t="shared" si="12"/>
        <v>6314</v>
      </c>
      <c r="K57" s="122">
        <f t="shared" si="12"/>
        <v>9222</v>
      </c>
      <c r="L57" s="122">
        <f t="shared" si="12"/>
        <v>6235</v>
      </c>
      <c r="M57" s="46">
        <f t="shared" si="12"/>
        <v>3912</v>
      </c>
      <c r="N57" s="122">
        <f t="shared" si="12"/>
        <v>6071</v>
      </c>
      <c r="O57" s="4">
        <f t="shared" si="12"/>
        <v>6071</v>
      </c>
      <c r="R57" s="11">
        <v>54</v>
      </c>
      <c r="S57" s="12"/>
      <c r="T57" s="12"/>
      <c r="U57" s="12"/>
      <c r="W57" s="11">
        <v>54</v>
      </c>
      <c r="X57" s="12"/>
      <c r="Y57" s="12"/>
      <c r="Z57" s="12"/>
      <c r="AB57" s="11">
        <v>54</v>
      </c>
      <c r="AC57" s="12"/>
      <c r="AD57" s="12"/>
      <c r="AE57" s="12"/>
      <c r="AG57" s="11">
        <v>54</v>
      </c>
      <c r="AH57" s="12"/>
      <c r="AI57" s="12"/>
      <c r="AJ57" s="12"/>
      <c r="AL57" s="11">
        <v>54</v>
      </c>
      <c r="AM57" s="12"/>
      <c r="AN57" s="12"/>
      <c r="AO57" s="12"/>
      <c r="AQ57" s="11">
        <v>54</v>
      </c>
      <c r="AR57" s="12"/>
      <c r="AS57" s="12"/>
      <c r="AT57" s="11">
        <v>54</v>
      </c>
      <c r="AU57" s="12"/>
      <c r="AW57" s="11">
        <v>54</v>
      </c>
      <c r="AX57" s="12"/>
      <c r="AY57" s="12"/>
      <c r="AZ57" s="12"/>
      <c r="BA57" s="12"/>
      <c r="BB57" s="12"/>
      <c r="BC57" s="12"/>
      <c r="BD57" s="12"/>
      <c r="BE57" s="12"/>
      <c r="BF57" s="24"/>
      <c r="BG57" s="29"/>
      <c r="BH57" s="12"/>
      <c r="BI57" s="12"/>
      <c r="BK57" s="11">
        <v>54</v>
      </c>
      <c r="BL57" s="12"/>
      <c r="BM57" s="12"/>
      <c r="BN57" s="12"/>
      <c r="BP57" s="11">
        <v>54</v>
      </c>
      <c r="BQ57" s="12"/>
      <c r="BR57" s="12"/>
      <c r="BS57" s="12"/>
      <c r="BU57" s="11">
        <v>54</v>
      </c>
      <c r="BV57" s="12"/>
      <c r="BW57" s="12"/>
      <c r="BX57" s="12"/>
      <c r="BZ57" s="11">
        <v>54</v>
      </c>
      <c r="CA57" s="12"/>
      <c r="CC57" s="11">
        <v>54</v>
      </c>
      <c r="CD57" s="12"/>
    </row>
    <row r="58" spans="1:82">
      <c r="A58" s="20">
        <v>0</v>
      </c>
      <c r="B58" s="20">
        <v>1</v>
      </c>
      <c r="C58" s="5">
        <v>0</v>
      </c>
      <c r="D58" s="54">
        <f t="shared" si="12"/>
        <v>0</v>
      </c>
      <c r="E58" s="59">
        <f t="shared" si="12"/>
        <v>0</v>
      </c>
      <c r="F58" s="38">
        <f t="shared" si="12"/>
        <v>0</v>
      </c>
      <c r="G58" s="37">
        <f t="shared" si="12"/>
        <v>0</v>
      </c>
      <c r="H58" s="59">
        <f t="shared" si="12"/>
        <v>0</v>
      </c>
      <c r="I58" s="59">
        <f t="shared" si="12"/>
        <v>0</v>
      </c>
      <c r="J58" s="59">
        <f t="shared" si="12"/>
        <v>0</v>
      </c>
      <c r="K58" s="59">
        <f t="shared" si="12"/>
        <v>0</v>
      </c>
      <c r="L58" s="59">
        <f t="shared" si="12"/>
        <v>0</v>
      </c>
      <c r="M58" s="47">
        <f t="shared" si="12"/>
        <v>0</v>
      </c>
      <c r="N58" s="59">
        <f t="shared" si="12"/>
        <v>0</v>
      </c>
      <c r="O58" s="38">
        <f t="shared" si="12"/>
        <v>0</v>
      </c>
      <c r="R58" s="11">
        <v>55</v>
      </c>
      <c r="S58" s="12"/>
      <c r="T58" s="12"/>
      <c r="U58" s="12"/>
      <c r="W58" s="11">
        <v>55</v>
      </c>
      <c r="X58" s="12"/>
      <c r="Y58" s="12"/>
      <c r="Z58" s="12"/>
      <c r="AB58" s="11">
        <v>55</v>
      </c>
      <c r="AC58" s="12"/>
      <c r="AD58" s="12"/>
      <c r="AE58" s="12"/>
      <c r="AG58" s="11">
        <v>55</v>
      </c>
      <c r="AH58" s="12"/>
      <c r="AI58" s="12"/>
      <c r="AJ58" s="12"/>
      <c r="AL58" s="11">
        <v>55</v>
      </c>
      <c r="AM58" s="12"/>
      <c r="AN58" s="12"/>
      <c r="AO58" s="12"/>
      <c r="AQ58" s="11">
        <v>55</v>
      </c>
      <c r="AR58" s="12"/>
      <c r="AS58" s="12"/>
      <c r="AT58" s="11">
        <v>55</v>
      </c>
      <c r="AU58" s="12"/>
      <c r="AW58" s="11">
        <v>55</v>
      </c>
      <c r="AX58" s="12"/>
      <c r="AY58" s="12"/>
      <c r="AZ58" s="12"/>
      <c r="BA58" s="12"/>
      <c r="BB58" s="12"/>
      <c r="BC58" s="12"/>
      <c r="BD58" s="12"/>
      <c r="BE58" s="12"/>
      <c r="BF58" s="24"/>
      <c r="BG58" s="29"/>
      <c r="BH58" s="12"/>
      <c r="BI58" s="12"/>
      <c r="BK58" s="11">
        <v>55</v>
      </c>
      <c r="BL58" s="12"/>
      <c r="BM58" s="12"/>
      <c r="BN58" s="12"/>
      <c r="BP58" s="11">
        <v>55</v>
      </c>
      <c r="BQ58" s="12"/>
      <c r="BR58" s="12"/>
      <c r="BS58" s="12"/>
      <c r="BU58" s="11">
        <v>55</v>
      </c>
      <c r="BV58" s="12"/>
      <c r="BW58" s="12"/>
      <c r="BX58" s="12"/>
      <c r="BZ58" s="11">
        <v>55</v>
      </c>
      <c r="CA58" s="12"/>
      <c r="CC58" s="11">
        <v>55</v>
      </c>
      <c r="CD58" s="12"/>
    </row>
    <row r="59" spans="1:82">
      <c r="A59" s="20">
        <v>1</v>
      </c>
      <c r="B59" s="20">
        <v>2</v>
      </c>
      <c r="C59" s="5">
        <v>1</v>
      </c>
      <c r="D59" s="54">
        <f t="shared" si="12"/>
        <v>0</v>
      </c>
      <c r="E59" s="59">
        <f t="shared" si="12"/>
        <v>0</v>
      </c>
      <c r="F59" s="38">
        <f t="shared" si="12"/>
        <v>0</v>
      </c>
      <c r="G59" s="37">
        <f t="shared" si="12"/>
        <v>0</v>
      </c>
      <c r="H59" s="59">
        <f t="shared" si="12"/>
        <v>0</v>
      </c>
      <c r="I59" s="59">
        <f t="shared" si="12"/>
        <v>0</v>
      </c>
      <c r="J59" s="59">
        <f t="shared" si="12"/>
        <v>0</v>
      </c>
      <c r="K59" s="59">
        <f t="shared" si="12"/>
        <v>0</v>
      </c>
      <c r="L59" s="59">
        <f t="shared" si="12"/>
        <v>0</v>
      </c>
      <c r="M59" s="47">
        <f t="shared" si="12"/>
        <v>0</v>
      </c>
      <c r="N59" s="59">
        <f t="shared" si="12"/>
        <v>0</v>
      </c>
      <c r="O59" s="38">
        <f t="shared" si="12"/>
        <v>0</v>
      </c>
      <c r="R59" s="11">
        <v>56</v>
      </c>
      <c r="S59" s="12"/>
      <c r="T59" s="12"/>
      <c r="U59" s="12"/>
      <c r="W59" s="11">
        <v>56</v>
      </c>
      <c r="X59" s="12"/>
      <c r="Y59" s="12"/>
      <c r="Z59" s="12"/>
      <c r="AB59" s="11">
        <v>56</v>
      </c>
      <c r="AC59" s="12"/>
      <c r="AD59" s="12"/>
      <c r="AE59" s="12"/>
      <c r="AG59" s="11">
        <v>56</v>
      </c>
      <c r="AH59" s="12"/>
      <c r="AI59" s="12"/>
      <c r="AJ59" s="12"/>
      <c r="AL59" s="11">
        <v>56</v>
      </c>
      <c r="AM59" s="12"/>
      <c r="AN59" s="12"/>
      <c r="AO59" s="12"/>
      <c r="AQ59" s="11">
        <v>56</v>
      </c>
      <c r="AR59" s="12"/>
      <c r="AS59" s="12"/>
      <c r="AT59" s="11">
        <v>56</v>
      </c>
      <c r="AU59" s="12"/>
      <c r="AW59" s="11">
        <v>56</v>
      </c>
      <c r="AX59" s="12"/>
      <c r="AY59" s="12"/>
      <c r="AZ59" s="12"/>
      <c r="BA59" s="12"/>
      <c r="BB59" s="12"/>
      <c r="BC59" s="12"/>
      <c r="BD59" s="12"/>
      <c r="BE59" s="12"/>
      <c r="BF59" s="24"/>
      <c r="BG59" s="29"/>
      <c r="BH59" s="12"/>
      <c r="BI59" s="12"/>
      <c r="BK59" s="11">
        <v>56</v>
      </c>
      <c r="BL59" s="12"/>
      <c r="BM59" s="12"/>
      <c r="BN59" s="12"/>
      <c r="BP59" s="11">
        <v>56</v>
      </c>
      <c r="BQ59" s="12"/>
      <c r="BR59" s="12"/>
      <c r="BS59" s="12"/>
      <c r="BU59" s="11">
        <v>56</v>
      </c>
      <c r="BV59" s="12"/>
      <c r="BW59" s="12"/>
      <c r="BX59" s="12"/>
      <c r="BZ59" s="11">
        <v>56</v>
      </c>
      <c r="CA59" s="12"/>
      <c r="CC59" s="11">
        <v>56</v>
      </c>
      <c r="CD59" s="12"/>
    </row>
    <row r="60" spans="1:82">
      <c r="A60" s="21">
        <v>5</v>
      </c>
      <c r="B60" s="21">
        <v>3</v>
      </c>
      <c r="C60" s="23">
        <v>5</v>
      </c>
      <c r="D60" s="54">
        <f t="shared" si="12"/>
        <v>0</v>
      </c>
      <c r="E60" s="59">
        <f t="shared" si="12"/>
        <v>0</v>
      </c>
      <c r="F60" s="38">
        <f t="shared" si="12"/>
        <v>0</v>
      </c>
      <c r="G60" s="37">
        <f t="shared" si="12"/>
        <v>0</v>
      </c>
      <c r="H60" s="59">
        <f t="shared" si="12"/>
        <v>0</v>
      </c>
      <c r="I60" s="59">
        <f t="shared" si="12"/>
        <v>0</v>
      </c>
      <c r="J60" s="59">
        <f t="shared" si="12"/>
        <v>0</v>
      </c>
      <c r="K60" s="59">
        <f t="shared" si="12"/>
        <v>0</v>
      </c>
      <c r="L60" s="59">
        <f t="shared" si="12"/>
        <v>0</v>
      </c>
      <c r="M60" s="47">
        <f t="shared" si="12"/>
        <v>0</v>
      </c>
      <c r="N60" s="59">
        <f t="shared" si="12"/>
        <v>0</v>
      </c>
      <c r="O60" s="38">
        <f t="shared" si="12"/>
        <v>0</v>
      </c>
      <c r="R60" s="11">
        <v>57</v>
      </c>
      <c r="S60" s="12"/>
      <c r="T60" s="12"/>
      <c r="U60" s="12"/>
      <c r="W60" s="11">
        <v>57</v>
      </c>
      <c r="X60" s="12"/>
      <c r="Y60" s="12"/>
      <c r="Z60" s="12"/>
      <c r="AB60" s="11">
        <v>57</v>
      </c>
      <c r="AC60" s="12"/>
      <c r="AD60" s="12"/>
      <c r="AE60" s="12"/>
      <c r="AG60" s="11">
        <v>57</v>
      </c>
      <c r="AH60" s="12"/>
      <c r="AI60" s="12"/>
      <c r="AJ60" s="12"/>
      <c r="AL60" s="11">
        <v>57</v>
      </c>
      <c r="AM60" s="12"/>
      <c r="AN60" s="12"/>
      <c r="AO60" s="12"/>
      <c r="AQ60" s="11">
        <v>57</v>
      </c>
      <c r="AR60" s="12"/>
      <c r="AS60" s="12"/>
      <c r="AT60" s="11">
        <v>57</v>
      </c>
      <c r="AU60" s="12"/>
      <c r="AW60" s="11">
        <v>57</v>
      </c>
      <c r="AX60" s="12"/>
      <c r="AY60" s="12"/>
      <c r="AZ60" s="12"/>
      <c r="BA60" s="12"/>
      <c r="BB60" s="12"/>
      <c r="BC60" s="12"/>
      <c r="BD60" s="12"/>
      <c r="BE60" s="12"/>
      <c r="BF60" s="24"/>
      <c r="BG60" s="29"/>
      <c r="BH60" s="12"/>
      <c r="BI60" s="12"/>
      <c r="BK60" s="11">
        <v>57</v>
      </c>
      <c r="BL60" s="12"/>
      <c r="BM60" s="12"/>
      <c r="BN60" s="12"/>
      <c r="BP60" s="11">
        <v>57</v>
      </c>
      <c r="BQ60" s="12"/>
      <c r="BR60" s="12"/>
      <c r="BS60" s="12"/>
      <c r="BU60" s="11">
        <v>57</v>
      </c>
      <c r="BV60" s="12"/>
      <c r="BW60" s="12"/>
      <c r="BX60" s="12"/>
      <c r="BZ60" s="11">
        <v>57</v>
      </c>
      <c r="CA60" s="12"/>
      <c r="CC60" s="11">
        <v>57</v>
      </c>
      <c r="CD60" s="12"/>
    </row>
    <row r="61" spans="1:82">
      <c r="A61" s="21">
        <v>10</v>
      </c>
      <c r="B61" s="21">
        <v>4</v>
      </c>
      <c r="C61" s="23">
        <v>10</v>
      </c>
      <c r="D61" s="54">
        <f t="shared" si="12"/>
        <v>0</v>
      </c>
      <c r="E61" s="59">
        <f t="shared" si="12"/>
        <v>0</v>
      </c>
      <c r="F61" s="38">
        <f t="shared" si="12"/>
        <v>0</v>
      </c>
      <c r="G61" s="37">
        <f t="shared" si="12"/>
        <v>0</v>
      </c>
      <c r="H61" s="59">
        <f t="shared" si="12"/>
        <v>0</v>
      </c>
      <c r="I61" s="59">
        <f t="shared" si="12"/>
        <v>0</v>
      </c>
      <c r="J61" s="59">
        <f t="shared" si="12"/>
        <v>0</v>
      </c>
      <c r="K61" s="59">
        <f t="shared" si="12"/>
        <v>0</v>
      </c>
      <c r="L61" s="59">
        <f t="shared" si="12"/>
        <v>0</v>
      </c>
      <c r="M61" s="47">
        <f t="shared" si="12"/>
        <v>0</v>
      </c>
      <c r="N61" s="59">
        <f t="shared" si="12"/>
        <v>0</v>
      </c>
      <c r="O61" s="38">
        <f t="shared" si="12"/>
        <v>0</v>
      </c>
      <c r="R61" s="11">
        <v>58</v>
      </c>
      <c r="S61" s="12"/>
      <c r="T61" s="12"/>
      <c r="U61" s="12"/>
      <c r="W61" s="11">
        <v>58</v>
      </c>
      <c r="X61" s="12"/>
      <c r="Y61" s="12"/>
      <c r="Z61" s="12"/>
      <c r="AB61" s="11">
        <v>58</v>
      </c>
      <c r="AC61" s="12"/>
      <c r="AD61" s="12"/>
      <c r="AE61" s="12"/>
      <c r="AG61" s="11">
        <v>58</v>
      </c>
      <c r="AH61" s="12"/>
      <c r="AI61" s="12"/>
      <c r="AJ61" s="12"/>
      <c r="AL61" s="11">
        <v>58</v>
      </c>
      <c r="AM61" s="12"/>
      <c r="AN61" s="12"/>
      <c r="AO61" s="12"/>
      <c r="AQ61" s="11">
        <v>58</v>
      </c>
      <c r="AR61" s="12"/>
      <c r="AS61" s="12"/>
      <c r="AT61" s="11">
        <v>58</v>
      </c>
      <c r="AU61" s="12"/>
      <c r="AW61" s="11">
        <v>58</v>
      </c>
      <c r="AX61" s="12"/>
      <c r="AY61" s="12"/>
      <c r="AZ61" s="12"/>
      <c r="BA61" s="12"/>
      <c r="BB61" s="12"/>
      <c r="BC61" s="12"/>
      <c r="BD61" s="12"/>
      <c r="BE61" s="12"/>
      <c r="BF61" s="24"/>
      <c r="BG61" s="29"/>
      <c r="BH61" s="12"/>
      <c r="BI61" s="12"/>
      <c r="BK61" s="11">
        <v>58</v>
      </c>
      <c r="BL61" s="12"/>
      <c r="BM61" s="12"/>
      <c r="BN61" s="12"/>
      <c r="BP61" s="11">
        <v>58</v>
      </c>
      <c r="BQ61" s="12"/>
      <c r="BR61" s="12"/>
      <c r="BS61" s="12"/>
      <c r="BU61" s="11">
        <v>58</v>
      </c>
      <c r="BV61" s="12"/>
      <c r="BW61" s="12"/>
      <c r="BX61" s="12"/>
      <c r="BZ61" s="11">
        <v>58</v>
      </c>
      <c r="CA61" s="12"/>
      <c r="CC61" s="11">
        <v>58</v>
      </c>
      <c r="CD61" s="12"/>
    </row>
    <row r="62" spans="1:82">
      <c r="A62" s="20" t="s">
        <v>20</v>
      </c>
      <c r="B62" s="20">
        <v>5</v>
      </c>
      <c r="C62" s="23" t="s">
        <v>29</v>
      </c>
      <c r="D62" s="54">
        <f t="shared" si="12"/>
        <v>0</v>
      </c>
      <c r="E62" s="59">
        <f t="shared" si="12"/>
        <v>0</v>
      </c>
      <c r="F62" s="38">
        <f t="shared" si="12"/>
        <v>0</v>
      </c>
      <c r="G62" s="37">
        <f t="shared" si="12"/>
        <v>0</v>
      </c>
      <c r="H62" s="59">
        <f t="shared" si="12"/>
        <v>0</v>
      </c>
      <c r="I62" s="59">
        <f t="shared" si="12"/>
        <v>0</v>
      </c>
      <c r="J62" s="59">
        <f t="shared" si="12"/>
        <v>0</v>
      </c>
      <c r="K62" s="59">
        <f t="shared" si="12"/>
        <v>0</v>
      </c>
      <c r="L62" s="59">
        <f t="shared" si="12"/>
        <v>0</v>
      </c>
      <c r="M62" s="47">
        <f t="shared" si="12"/>
        <v>0</v>
      </c>
      <c r="N62" s="59">
        <f t="shared" si="12"/>
        <v>0</v>
      </c>
      <c r="O62" s="38">
        <f t="shared" si="12"/>
        <v>0</v>
      </c>
      <c r="R62" s="11">
        <v>59</v>
      </c>
      <c r="S62" s="12"/>
      <c r="T62" s="12"/>
      <c r="U62" s="12"/>
      <c r="W62" s="11">
        <v>59</v>
      </c>
      <c r="X62" s="12"/>
      <c r="Y62" s="12"/>
      <c r="Z62" s="12"/>
      <c r="AB62" s="11">
        <v>59</v>
      </c>
      <c r="AC62" s="12"/>
      <c r="AD62" s="12"/>
      <c r="AE62" s="12"/>
      <c r="AG62" s="11">
        <v>59</v>
      </c>
      <c r="AH62" s="12"/>
      <c r="AI62" s="12"/>
      <c r="AJ62" s="12"/>
      <c r="AL62" s="11">
        <v>59</v>
      </c>
      <c r="AM62" s="12"/>
      <c r="AN62" s="12"/>
      <c r="AO62" s="12"/>
      <c r="AQ62" s="11">
        <v>59</v>
      </c>
      <c r="AR62" s="12"/>
      <c r="AS62" s="12"/>
      <c r="AT62" s="11">
        <v>59</v>
      </c>
      <c r="AU62" s="12"/>
      <c r="AW62" s="11">
        <v>59</v>
      </c>
      <c r="AX62" s="12"/>
      <c r="AY62" s="12"/>
      <c r="AZ62" s="12"/>
      <c r="BA62" s="12"/>
      <c r="BB62" s="12"/>
      <c r="BC62" s="12"/>
      <c r="BD62" s="12"/>
      <c r="BE62" s="12"/>
      <c r="BF62" s="24"/>
      <c r="BG62" s="29"/>
      <c r="BH62" s="12"/>
      <c r="BI62" s="12"/>
      <c r="BK62" s="11">
        <v>59</v>
      </c>
      <c r="BL62" s="12"/>
      <c r="BM62" s="12"/>
      <c r="BN62" s="12"/>
      <c r="BP62" s="11">
        <v>59</v>
      </c>
      <c r="BQ62" s="12"/>
      <c r="BR62" s="12"/>
      <c r="BS62" s="12"/>
      <c r="BU62" s="11">
        <v>59</v>
      </c>
      <c r="BV62" s="12"/>
      <c r="BW62" s="12"/>
      <c r="BX62" s="12"/>
      <c r="BZ62" s="11">
        <v>59</v>
      </c>
      <c r="CA62" s="12"/>
      <c r="CC62" s="11">
        <v>59</v>
      </c>
      <c r="CD62" s="12"/>
    </row>
    <row r="63" spans="1:82">
      <c r="A63" s="21" t="s">
        <v>21</v>
      </c>
      <c r="B63" s="21">
        <v>6</v>
      </c>
      <c r="C63" s="23" t="s">
        <v>26</v>
      </c>
      <c r="D63" s="55">
        <f t="shared" si="12"/>
        <v>596</v>
      </c>
      <c r="E63" s="121">
        <f t="shared" si="12"/>
        <v>71</v>
      </c>
      <c r="F63" s="7">
        <f t="shared" si="12"/>
        <v>5521</v>
      </c>
      <c r="G63" s="6">
        <f t="shared" si="12"/>
        <v>267</v>
      </c>
      <c r="H63" s="121">
        <f t="shared" si="12"/>
        <v>17</v>
      </c>
      <c r="I63" s="121">
        <f t="shared" si="12"/>
        <v>136</v>
      </c>
      <c r="J63" s="121">
        <f t="shared" si="12"/>
        <v>1018</v>
      </c>
      <c r="K63" s="121">
        <f t="shared" si="12"/>
        <v>38</v>
      </c>
      <c r="L63" s="121">
        <f t="shared" si="12"/>
        <v>2046</v>
      </c>
      <c r="M63" s="48">
        <f t="shared" si="12"/>
        <v>1465</v>
      </c>
      <c r="N63" s="121">
        <f t="shared" si="12"/>
        <v>961</v>
      </c>
      <c r="O63" s="7">
        <f t="shared" si="12"/>
        <v>961</v>
      </c>
      <c r="R63" s="11">
        <v>60</v>
      </c>
      <c r="S63" s="12"/>
      <c r="T63" s="12"/>
      <c r="U63" s="12"/>
      <c r="W63" s="11">
        <v>60</v>
      </c>
      <c r="X63" s="12"/>
      <c r="Y63" s="12"/>
      <c r="Z63" s="12"/>
      <c r="AB63" s="11">
        <v>60</v>
      </c>
      <c r="AC63" s="12"/>
      <c r="AD63" s="12"/>
      <c r="AE63" s="12"/>
      <c r="AG63" s="11">
        <v>60</v>
      </c>
      <c r="AH63" s="12"/>
      <c r="AI63" s="12"/>
      <c r="AJ63" s="12"/>
      <c r="AL63" s="11">
        <v>60</v>
      </c>
      <c r="AM63" s="12"/>
      <c r="AN63" s="12"/>
      <c r="AO63" s="12"/>
      <c r="AQ63" s="11">
        <v>60</v>
      </c>
      <c r="AR63" s="13"/>
      <c r="AS63" s="13"/>
      <c r="AT63" s="11">
        <v>60</v>
      </c>
      <c r="AU63" s="12"/>
      <c r="AW63" s="11">
        <v>60</v>
      </c>
      <c r="AX63" s="12"/>
      <c r="AY63" s="12"/>
      <c r="AZ63" s="12"/>
      <c r="BA63" s="12"/>
      <c r="BB63" s="12"/>
      <c r="BC63" s="12"/>
      <c r="BD63" s="12"/>
      <c r="BE63" s="12"/>
      <c r="BF63" s="24"/>
      <c r="BG63" s="29"/>
      <c r="BH63" s="12"/>
      <c r="BI63" s="12"/>
      <c r="BK63" s="11">
        <v>60</v>
      </c>
      <c r="BL63" s="12"/>
      <c r="BM63" s="12"/>
      <c r="BN63" s="12"/>
      <c r="BP63" s="11">
        <v>60</v>
      </c>
      <c r="BQ63" s="12"/>
      <c r="BR63" s="12"/>
      <c r="BS63" s="12"/>
      <c r="BU63" s="11">
        <v>60</v>
      </c>
      <c r="BV63" s="12"/>
      <c r="BW63" s="12"/>
      <c r="BX63" s="12"/>
      <c r="BZ63" s="11">
        <v>60</v>
      </c>
      <c r="CA63" s="12"/>
      <c r="CC63" s="11">
        <v>60</v>
      </c>
      <c r="CD63" s="12"/>
    </row>
    <row r="64" spans="1:82">
      <c r="A64" s="20" t="s">
        <v>22</v>
      </c>
      <c r="B64" s="20">
        <v>7</v>
      </c>
      <c r="C64" s="5" t="s">
        <v>27</v>
      </c>
      <c r="D64" s="55">
        <f t="shared" si="12"/>
        <v>621</v>
      </c>
      <c r="E64" s="121">
        <f t="shared" si="12"/>
        <v>74</v>
      </c>
      <c r="F64" s="7">
        <f t="shared" si="12"/>
        <v>96</v>
      </c>
      <c r="G64" s="6">
        <f t="shared" si="12"/>
        <v>2447</v>
      </c>
      <c r="H64" s="121">
        <f t="shared" si="12"/>
        <v>1804</v>
      </c>
      <c r="I64" s="121">
        <f t="shared" si="12"/>
        <v>20</v>
      </c>
      <c r="J64" s="121">
        <f t="shared" si="12"/>
        <v>1020</v>
      </c>
      <c r="K64" s="121">
        <f t="shared" si="12"/>
        <v>39</v>
      </c>
      <c r="L64" s="121">
        <f t="shared" si="12"/>
        <v>83</v>
      </c>
      <c r="M64" s="48">
        <f t="shared" si="12"/>
        <v>1091</v>
      </c>
      <c r="N64" s="121">
        <f t="shared" si="12"/>
        <v>1011</v>
      </c>
      <c r="O64" s="7">
        <f t="shared" si="12"/>
        <v>1011</v>
      </c>
      <c r="R64" s="11">
        <v>61</v>
      </c>
      <c r="S64" s="12"/>
      <c r="T64" s="13"/>
      <c r="U64" s="12"/>
      <c r="W64" s="11">
        <v>61</v>
      </c>
      <c r="X64" s="12"/>
      <c r="Y64" s="13"/>
      <c r="Z64" s="12"/>
      <c r="AB64" s="11">
        <v>61</v>
      </c>
      <c r="AC64" s="12"/>
      <c r="AD64" s="12"/>
      <c r="AE64" s="12"/>
      <c r="AG64" s="11">
        <v>61</v>
      </c>
      <c r="AH64" s="12"/>
      <c r="AI64" s="12"/>
      <c r="AJ64" s="12"/>
      <c r="AL64" s="11">
        <v>61</v>
      </c>
      <c r="AM64" s="12"/>
      <c r="AN64" s="12"/>
      <c r="AO64" s="12"/>
      <c r="AQ64" s="11">
        <v>61</v>
      </c>
      <c r="AR64" s="13"/>
      <c r="AS64" s="13"/>
      <c r="AT64" s="11">
        <v>61</v>
      </c>
      <c r="AU64" s="12"/>
      <c r="AW64" s="11">
        <v>61</v>
      </c>
      <c r="AX64" s="12"/>
      <c r="AY64" s="12"/>
      <c r="AZ64" s="12"/>
      <c r="BA64" s="12"/>
      <c r="BB64" s="12"/>
      <c r="BC64" s="12"/>
      <c r="BD64" s="12"/>
      <c r="BE64" s="12"/>
      <c r="BF64" s="24"/>
      <c r="BG64" s="29"/>
      <c r="BH64" s="12"/>
      <c r="BI64" s="12"/>
      <c r="BK64" s="11">
        <v>61</v>
      </c>
      <c r="BL64" s="12"/>
      <c r="BM64" s="13"/>
      <c r="BN64" s="12"/>
      <c r="BP64" s="11">
        <v>61</v>
      </c>
      <c r="BQ64" s="12"/>
      <c r="BR64" s="13"/>
      <c r="BS64" s="12"/>
      <c r="BU64" s="11">
        <v>61</v>
      </c>
      <c r="BV64" s="12"/>
      <c r="BW64" s="12"/>
      <c r="BX64" s="12"/>
      <c r="BZ64" s="11">
        <v>61</v>
      </c>
      <c r="CA64" s="12"/>
      <c r="CC64" s="11">
        <v>61</v>
      </c>
      <c r="CD64" s="12"/>
    </row>
    <row r="65" spans="1:82">
      <c r="A65" s="20" t="s">
        <v>23</v>
      </c>
      <c r="B65" s="20">
        <v>8</v>
      </c>
      <c r="C65" s="5" t="s">
        <v>28</v>
      </c>
      <c r="D65" s="55">
        <f t="shared" si="12"/>
        <v>604</v>
      </c>
      <c r="E65" s="121">
        <f t="shared" si="12"/>
        <v>8439</v>
      </c>
      <c r="F65" s="7">
        <f t="shared" si="12"/>
        <v>1834</v>
      </c>
      <c r="G65" s="6">
        <f t="shared" si="12"/>
        <v>443</v>
      </c>
      <c r="H65" s="121">
        <f t="shared" si="12"/>
        <v>158</v>
      </c>
      <c r="I65" s="121">
        <f t="shared" si="12"/>
        <v>407</v>
      </c>
      <c r="J65" s="121">
        <f t="shared" si="12"/>
        <v>331</v>
      </c>
      <c r="K65" s="121">
        <f t="shared" si="12"/>
        <v>110</v>
      </c>
      <c r="L65" s="121">
        <f t="shared" si="12"/>
        <v>396</v>
      </c>
      <c r="M65" s="48">
        <f t="shared" si="12"/>
        <v>31</v>
      </c>
      <c r="N65" s="121">
        <f t="shared" si="12"/>
        <v>827</v>
      </c>
      <c r="O65" s="7">
        <f t="shared" si="12"/>
        <v>827</v>
      </c>
      <c r="R65" s="11">
        <v>62</v>
      </c>
      <c r="S65" s="12"/>
      <c r="T65" s="13"/>
      <c r="U65" s="12"/>
      <c r="W65" s="11">
        <v>62</v>
      </c>
      <c r="X65" s="12"/>
      <c r="Y65" s="13"/>
      <c r="Z65" s="12"/>
      <c r="AB65" s="11">
        <v>62</v>
      </c>
      <c r="AC65" s="12"/>
      <c r="AD65" s="12"/>
      <c r="AE65" s="12"/>
      <c r="AG65" s="11">
        <v>62</v>
      </c>
      <c r="AH65" s="12"/>
      <c r="AI65" s="12"/>
      <c r="AJ65" s="12"/>
      <c r="AL65" s="11">
        <v>62</v>
      </c>
      <c r="AM65" s="12"/>
      <c r="AN65" s="12"/>
      <c r="AO65" s="12"/>
      <c r="AQ65" s="11">
        <v>62</v>
      </c>
      <c r="AR65" s="13"/>
      <c r="AS65" s="13"/>
      <c r="AT65" s="11">
        <v>62</v>
      </c>
      <c r="AU65" s="12"/>
      <c r="AW65" s="11">
        <v>62</v>
      </c>
      <c r="AX65" s="12"/>
      <c r="AY65" s="12"/>
      <c r="AZ65" s="12"/>
      <c r="BA65" s="12"/>
      <c r="BB65" s="12"/>
      <c r="BC65" s="12"/>
      <c r="BD65" s="12"/>
      <c r="BE65" s="12"/>
      <c r="BF65" s="24"/>
      <c r="BG65" s="29"/>
      <c r="BH65" s="12"/>
      <c r="BI65" s="12"/>
      <c r="BK65" s="11">
        <v>62</v>
      </c>
      <c r="BL65" s="12"/>
      <c r="BM65" s="13"/>
      <c r="BN65" s="12"/>
      <c r="BP65" s="11">
        <v>62</v>
      </c>
      <c r="BQ65" s="12"/>
      <c r="BR65" s="13"/>
      <c r="BS65" s="12"/>
      <c r="BU65" s="11">
        <v>62</v>
      </c>
      <c r="BV65" s="12"/>
      <c r="BW65" s="12"/>
      <c r="BX65" s="12"/>
      <c r="BZ65" s="11">
        <v>62</v>
      </c>
      <c r="CA65" s="12"/>
      <c r="CC65" s="11">
        <v>62</v>
      </c>
      <c r="CD65" s="12"/>
    </row>
    <row r="66" spans="1:82">
      <c r="A66" s="20" t="s">
        <v>24</v>
      </c>
      <c r="B66" s="20">
        <v>9</v>
      </c>
      <c r="C66" s="5" t="s">
        <v>16</v>
      </c>
      <c r="D66" s="55">
        <f t="shared" si="12"/>
        <v>59</v>
      </c>
      <c r="E66" s="121">
        <f t="shared" si="12"/>
        <v>180</v>
      </c>
      <c r="F66" s="7">
        <f t="shared" si="12"/>
        <v>545</v>
      </c>
      <c r="G66" s="6">
        <f t="shared" si="12"/>
        <v>365</v>
      </c>
      <c r="H66" s="121">
        <f t="shared" si="12"/>
        <v>8</v>
      </c>
      <c r="I66" s="121">
        <f t="shared" si="12"/>
        <v>204</v>
      </c>
      <c r="J66" s="121">
        <f t="shared" si="12"/>
        <v>507</v>
      </c>
      <c r="K66" s="121">
        <f t="shared" si="12"/>
        <v>18</v>
      </c>
      <c r="L66" s="121">
        <f t="shared" si="12"/>
        <v>857</v>
      </c>
      <c r="M66" s="48">
        <f t="shared" si="12"/>
        <v>2273</v>
      </c>
      <c r="N66" s="121">
        <f t="shared" si="12"/>
        <v>452</v>
      </c>
      <c r="O66" s="7">
        <f t="shared" si="12"/>
        <v>452</v>
      </c>
      <c r="R66" s="11">
        <v>63</v>
      </c>
      <c r="S66" s="12"/>
      <c r="T66" s="13"/>
      <c r="U66" s="13"/>
      <c r="W66" s="11">
        <v>63</v>
      </c>
      <c r="X66" s="12"/>
      <c r="Y66" s="13"/>
      <c r="Z66" s="13"/>
      <c r="AB66" s="11">
        <v>63</v>
      </c>
      <c r="AC66" s="12"/>
      <c r="AD66" s="12"/>
      <c r="AE66" s="12"/>
      <c r="AG66" s="11">
        <v>63</v>
      </c>
      <c r="AH66" s="12"/>
      <c r="AI66" s="12"/>
      <c r="AJ66" s="12"/>
      <c r="AL66" s="11">
        <v>63</v>
      </c>
      <c r="AM66" s="12"/>
      <c r="AN66" s="12"/>
      <c r="AO66" s="12"/>
      <c r="AQ66" s="11">
        <v>63</v>
      </c>
      <c r="AR66" s="13"/>
      <c r="AS66" s="13"/>
      <c r="AT66" s="11">
        <v>63</v>
      </c>
      <c r="AU66" s="13"/>
      <c r="AW66" s="11">
        <v>63</v>
      </c>
      <c r="AX66" s="12"/>
      <c r="AY66" s="12"/>
      <c r="AZ66" s="12"/>
      <c r="BA66" s="12"/>
      <c r="BB66" s="12"/>
      <c r="BC66" s="12"/>
      <c r="BD66" s="12"/>
      <c r="BE66" s="12"/>
      <c r="BF66" s="24"/>
      <c r="BG66" s="29"/>
      <c r="BH66" s="12"/>
      <c r="BI66" s="12"/>
      <c r="BK66" s="11">
        <v>63</v>
      </c>
      <c r="BL66" s="12"/>
      <c r="BM66" s="13"/>
      <c r="BN66" s="13"/>
      <c r="BP66" s="11">
        <v>63</v>
      </c>
      <c r="BQ66" s="12"/>
      <c r="BR66" s="13"/>
      <c r="BS66" s="13"/>
      <c r="BU66" s="11">
        <v>63</v>
      </c>
      <c r="BV66" s="12"/>
      <c r="BW66" s="12"/>
      <c r="BX66" s="12"/>
      <c r="BZ66" s="11">
        <v>63</v>
      </c>
      <c r="CA66" s="12"/>
      <c r="CC66" s="11">
        <v>63</v>
      </c>
      <c r="CD66" s="12"/>
    </row>
    <row r="67" spans="1:82">
      <c r="A67" s="21" t="s">
        <v>35</v>
      </c>
      <c r="B67" s="21">
        <v>10</v>
      </c>
      <c r="C67" s="5" t="s">
        <v>37</v>
      </c>
      <c r="D67" s="55">
        <f t="shared" si="12"/>
        <v>0</v>
      </c>
      <c r="E67" s="121">
        <f t="shared" si="12"/>
        <v>0</v>
      </c>
      <c r="F67" s="7">
        <f t="shared" si="12"/>
        <v>0</v>
      </c>
      <c r="G67" s="6">
        <f t="shared" si="12"/>
        <v>0</v>
      </c>
      <c r="H67" s="121">
        <f t="shared" si="12"/>
        <v>0</v>
      </c>
      <c r="I67" s="121">
        <f t="shared" si="12"/>
        <v>0</v>
      </c>
      <c r="J67" s="121">
        <f t="shared" si="12"/>
        <v>0</v>
      </c>
      <c r="K67" s="121">
        <f t="shared" si="12"/>
        <v>0</v>
      </c>
      <c r="L67" s="121">
        <f t="shared" si="12"/>
        <v>0</v>
      </c>
      <c r="M67" s="48">
        <f t="shared" si="12"/>
        <v>0</v>
      </c>
      <c r="N67" s="121">
        <f t="shared" si="12"/>
        <v>0</v>
      </c>
      <c r="O67" s="7">
        <f t="shared" si="12"/>
        <v>0</v>
      </c>
      <c r="R67" s="11">
        <v>64</v>
      </c>
      <c r="S67" s="12"/>
      <c r="T67" s="13"/>
      <c r="U67" s="13"/>
      <c r="W67" s="11">
        <v>64</v>
      </c>
      <c r="X67" s="12"/>
      <c r="Y67" s="13"/>
      <c r="Z67" s="13"/>
      <c r="AB67" s="11">
        <v>64</v>
      </c>
      <c r="AC67" s="12"/>
      <c r="AD67" s="12"/>
      <c r="AE67" s="12"/>
      <c r="AG67" s="11">
        <v>64</v>
      </c>
      <c r="AH67" s="12"/>
      <c r="AI67" s="12"/>
      <c r="AJ67" s="12"/>
      <c r="AL67" s="11">
        <v>64</v>
      </c>
      <c r="AM67" s="12"/>
      <c r="AN67" s="12"/>
      <c r="AO67" s="12"/>
      <c r="AQ67" s="11">
        <v>64</v>
      </c>
      <c r="AR67" s="13"/>
      <c r="AS67" s="13"/>
      <c r="AT67" s="11">
        <v>64</v>
      </c>
      <c r="AU67" s="13"/>
      <c r="AW67" s="11">
        <v>64</v>
      </c>
      <c r="AX67" s="12"/>
      <c r="AY67" s="12"/>
      <c r="AZ67" s="12"/>
      <c r="BA67" s="12"/>
      <c r="BB67" s="12"/>
      <c r="BC67" s="12"/>
      <c r="BD67" s="12"/>
      <c r="BE67" s="12"/>
      <c r="BF67" s="24"/>
      <c r="BG67" s="29"/>
      <c r="BH67" s="12"/>
      <c r="BI67" s="12"/>
      <c r="BK67" s="11">
        <v>64</v>
      </c>
      <c r="BL67" s="12"/>
      <c r="BM67" s="13"/>
      <c r="BN67" s="13"/>
      <c r="BP67" s="11">
        <v>64</v>
      </c>
      <c r="BQ67" s="12"/>
      <c r="BR67" s="13"/>
      <c r="BS67" s="13"/>
      <c r="BU67" s="11">
        <v>64</v>
      </c>
      <c r="BV67" s="12"/>
      <c r="BW67" s="12"/>
      <c r="BX67" s="12"/>
      <c r="BZ67" s="11">
        <v>64</v>
      </c>
      <c r="CA67" s="12"/>
      <c r="CC67" s="11">
        <v>64</v>
      </c>
      <c r="CD67" s="12"/>
    </row>
    <row r="68" spans="1:82" ht="16.8" thickBot="1">
      <c r="A68" s="22" t="s">
        <v>39</v>
      </c>
      <c r="B68" s="22">
        <v>11</v>
      </c>
      <c r="C68" s="17" t="s">
        <v>38</v>
      </c>
      <c r="D68" s="56">
        <f t="shared" si="12"/>
        <v>47</v>
      </c>
      <c r="E68" s="50">
        <f t="shared" si="12"/>
        <v>785</v>
      </c>
      <c r="F68" s="57">
        <f t="shared" si="12"/>
        <v>1612</v>
      </c>
      <c r="G68" s="49">
        <f t="shared" si="12"/>
        <v>905</v>
      </c>
      <c r="H68" s="50">
        <f t="shared" si="12"/>
        <v>226</v>
      </c>
      <c r="I68" s="50">
        <f t="shared" si="12"/>
        <v>130</v>
      </c>
      <c r="J68" s="50">
        <f t="shared" si="12"/>
        <v>810</v>
      </c>
      <c r="K68" s="50">
        <f t="shared" si="12"/>
        <v>573</v>
      </c>
      <c r="L68" s="50">
        <f t="shared" si="12"/>
        <v>383</v>
      </c>
      <c r="M68" s="51">
        <f t="shared" si="12"/>
        <v>1229</v>
      </c>
      <c r="N68" s="39">
        <f t="shared" si="12"/>
        <v>678</v>
      </c>
      <c r="O68" s="40">
        <f t="shared" si="12"/>
        <v>678</v>
      </c>
      <c r="R68" s="11">
        <v>65</v>
      </c>
      <c r="S68" s="12"/>
      <c r="T68" s="13"/>
      <c r="U68" s="13"/>
      <c r="W68" s="11">
        <v>65</v>
      </c>
      <c r="X68" s="12"/>
      <c r="Y68" s="13"/>
      <c r="Z68" s="13"/>
      <c r="AB68" s="11">
        <v>65</v>
      </c>
      <c r="AC68" s="12"/>
      <c r="AD68" s="12"/>
      <c r="AE68" s="12"/>
      <c r="AG68" s="11">
        <v>65</v>
      </c>
      <c r="AH68" s="12"/>
      <c r="AI68" s="12"/>
      <c r="AJ68" s="12"/>
      <c r="AL68" s="11">
        <v>65</v>
      </c>
      <c r="AM68" s="12"/>
      <c r="AN68" s="12"/>
      <c r="AO68" s="12"/>
      <c r="AQ68" s="11">
        <v>65</v>
      </c>
      <c r="AR68" s="13"/>
      <c r="AS68" s="13"/>
      <c r="AT68" s="11">
        <v>65</v>
      </c>
      <c r="AU68" s="13"/>
      <c r="AW68" s="11">
        <v>65</v>
      </c>
      <c r="AX68" s="12"/>
      <c r="AY68" s="12"/>
      <c r="AZ68" s="12"/>
      <c r="BA68" s="12"/>
      <c r="BB68" s="12"/>
      <c r="BC68" s="12"/>
      <c r="BD68" s="12"/>
      <c r="BE68" s="12"/>
      <c r="BF68" s="24"/>
      <c r="BG68" s="29"/>
      <c r="BH68" s="12"/>
      <c r="BI68" s="12"/>
      <c r="BK68" s="11">
        <v>65</v>
      </c>
      <c r="BL68" s="12"/>
      <c r="BM68" s="13"/>
      <c r="BN68" s="13"/>
      <c r="BP68" s="11">
        <v>65</v>
      </c>
      <c r="BQ68" s="12"/>
      <c r="BR68" s="13"/>
      <c r="BS68" s="13"/>
      <c r="BU68" s="11">
        <v>65</v>
      </c>
      <c r="BV68" s="12"/>
      <c r="BW68" s="12"/>
      <c r="BX68" s="12"/>
      <c r="BZ68" s="11">
        <v>65</v>
      </c>
      <c r="CA68" s="12"/>
      <c r="CC68" s="11">
        <v>65</v>
      </c>
      <c r="CD68" s="12"/>
    </row>
    <row r="69" spans="1:82">
      <c r="D69" s="121">
        <f>SUM(D57:D68)</f>
        <v>10001</v>
      </c>
      <c r="E69" s="121">
        <f t="shared" ref="E69:O69" si="13">SUM(E57:E68)</f>
        <v>9999</v>
      </c>
      <c r="F69" s="121">
        <f t="shared" si="13"/>
        <v>10001</v>
      </c>
      <c r="G69" s="121">
        <f t="shared" si="13"/>
        <v>10000</v>
      </c>
      <c r="H69" s="121">
        <f t="shared" si="13"/>
        <v>10000</v>
      </c>
      <c r="I69" s="121">
        <f t="shared" si="13"/>
        <v>10000</v>
      </c>
      <c r="J69" s="121">
        <f t="shared" si="13"/>
        <v>10000</v>
      </c>
      <c r="K69" s="121">
        <f t="shared" si="13"/>
        <v>10000</v>
      </c>
      <c r="L69" s="121">
        <f t="shared" si="13"/>
        <v>10000</v>
      </c>
      <c r="M69" s="121">
        <f t="shared" si="13"/>
        <v>10001</v>
      </c>
      <c r="N69" s="121">
        <f t="shared" si="13"/>
        <v>10000</v>
      </c>
      <c r="O69" s="121">
        <f t="shared" si="13"/>
        <v>10000</v>
      </c>
      <c r="R69" s="11">
        <v>66</v>
      </c>
      <c r="S69" s="12"/>
      <c r="T69" s="13"/>
      <c r="U69" s="13"/>
      <c r="W69" s="11">
        <v>66</v>
      </c>
      <c r="X69" s="12"/>
      <c r="Y69" s="13"/>
      <c r="Z69" s="13"/>
      <c r="AB69" s="11">
        <v>66</v>
      </c>
      <c r="AC69" s="12"/>
      <c r="AD69" s="12"/>
      <c r="AE69" s="12"/>
      <c r="AG69" s="11">
        <v>66</v>
      </c>
      <c r="AH69" s="12"/>
      <c r="AI69" s="12"/>
      <c r="AJ69" s="12"/>
      <c r="AL69" s="11">
        <v>66</v>
      </c>
      <c r="AM69" s="12"/>
      <c r="AN69" s="12"/>
      <c r="AO69" s="12"/>
      <c r="AQ69" s="11">
        <v>66</v>
      </c>
      <c r="AR69" s="13"/>
      <c r="AS69" s="13"/>
      <c r="AT69" s="11">
        <v>66</v>
      </c>
      <c r="AU69" s="13"/>
      <c r="AW69" s="11">
        <v>66</v>
      </c>
      <c r="AX69" s="12"/>
      <c r="AY69" s="12"/>
      <c r="AZ69" s="12"/>
      <c r="BA69" s="12"/>
      <c r="BB69" s="12"/>
      <c r="BC69" s="12"/>
      <c r="BD69" s="12"/>
      <c r="BE69" s="12"/>
      <c r="BF69" s="24"/>
      <c r="BG69" s="29"/>
      <c r="BH69" s="12"/>
      <c r="BI69" s="12"/>
      <c r="BK69" s="11">
        <v>66</v>
      </c>
      <c r="BL69" s="12"/>
      <c r="BM69" s="13"/>
      <c r="BN69" s="13"/>
      <c r="BP69" s="11">
        <v>66</v>
      </c>
      <c r="BQ69" s="12"/>
      <c r="BR69" s="13"/>
      <c r="BS69" s="13"/>
      <c r="BU69" s="11">
        <v>66</v>
      </c>
      <c r="BV69" s="12"/>
      <c r="BW69" s="12"/>
      <c r="BX69" s="12"/>
      <c r="BZ69" s="11">
        <v>66</v>
      </c>
      <c r="CA69" s="12"/>
      <c r="CC69" s="11">
        <v>66</v>
      </c>
      <c r="CD69" s="12"/>
    </row>
    <row r="70" spans="1:82">
      <c r="D70" s="186">
        <f>D68/D69</f>
        <v>4.6995300469953004E-3</v>
      </c>
      <c r="E70" s="186">
        <f t="shared" ref="E70:O70" si="14">E68/E69</f>
        <v>7.8507850785078506E-2</v>
      </c>
      <c r="F70" s="186">
        <f t="shared" si="14"/>
        <v>0.1611838816118388</v>
      </c>
      <c r="G70" s="186">
        <f t="shared" si="14"/>
        <v>9.0499999999999997E-2</v>
      </c>
      <c r="H70" s="186">
        <f t="shared" si="14"/>
        <v>2.2599999999999999E-2</v>
      </c>
      <c r="I70" s="186">
        <f t="shared" si="14"/>
        <v>1.2999999999999999E-2</v>
      </c>
      <c r="J70" s="186">
        <f t="shared" si="14"/>
        <v>8.1000000000000003E-2</v>
      </c>
      <c r="K70" s="186">
        <f t="shared" si="14"/>
        <v>5.7299999999999997E-2</v>
      </c>
      <c r="L70" s="186">
        <f t="shared" si="14"/>
        <v>3.8300000000000001E-2</v>
      </c>
      <c r="M70" s="186">
        <f t="shared" si="14"/>
        <v>0.12288771122887711</v>
      </c>
      <c r="N70" s="186">
        <f t="shared" si="14"/>
        <v>6.7799999999999999E-2</v>
      </c>
      <c r="O70" s="186">
        <f t="shared" si="14"/>
        <v>6.7799999999999999E-2</v>
      </c>
      <c r="R70" s="11">
        <v>67</v>
      </c>
      <c r="S70" s="12"/>
      <c r="T70" s="13"/>
      <c r="U70" s="13"/>
      <c r="W70" s="11">
        <v>67</v>
      </c>
      <c r="X70" s="12"/>
      <c r="Y70" s="13"/>
      <c r="Z70" s="13"/>
      <c r="AB70" s="11">
        <v>67</v>
      </c>
      <c r="AC70" s="12"/>
      <c r="AD70" s="12"/>
      <c r="AE70" s="12"/>
      <c r="AG70" s="11">
        <v>67</v>
      </c>
      <c r="AH70" s="12"/>
      <c r="AI70" s="12"/>
      <c r="AJ70" s="12"/>
      <c r="AL70" s="11">
        <v>67</v>
      </c>
      <c r="AM70" s="12"/>
      <c r="AN70" s="12"/>
      <c r="AO70" s="12"/>
      <c r="AQ70" s="11">
        <v>67</v>
      </c>
      <c r="AR70" s="13"/>
      <c r="AS70" s="13"/>
      <c r="AT70" s="11">
        <v>67</v>
      </c>
      <c r="AU70" s="13"/>
      <c r="AW70" s="11">
        <v>67</v>
      </c>
      <c r="AX70" s="12"/>
      <c r="AY70" s="12"/>
      <c r="AZ70" s="12"/>
      <c r="BA70" s="12"/>
      <c r="BB70" s="12"/>
      <c r="BC70" s="12"/>
      <c r="BD70" s="12"/>
      <c r="BE70" s="12"/>
      <c r="BF70" s="24"/>
      <c r="BG70" s="29"/>
      <c r="BH70" s="12"/>
      <c r="BI70" s="12"/>
      <c r="BK70" s="11">
        <v>67</v>
      </c>
      <c r="BL70" s="12"/>
      <c r="BM70" s="13"/>
      <c r="BN70" s="13"/>
      <c r="BP70" s="11">
        <v>67</v>
      </c>
      <c r="BQ70" s="12"/>
      <c r="BR70" s="13"/>
      <c r="BS70" s="13"/>
      <c r="BU70" s="11">
        <v>67</v>
      </c>
      <c r="BV70" s="12"/>
      <c r="BW70" s="12"/>
      <c r="BX70" s="12"/>
      <c r="BZ70" s="11">
        <v>67</v>
      </c>
      <c r="CA70" s="12"/>
      <c r="CC70" s="11">
        <v>67</v>
      </c>
      <c r="CD70" s="12"/>
    </row>
    <row r="71" spans="1:82">
      <c r="A71" s="31" t="s">
        <v>42</v>
      </c>
      <c r="R71" s="11">
        <v>68</v>
      </c>
      <c r="S71" s="12"/>
      <c r="T71" s="13"/>
      <c r="U71" s="13"/>
      <c r="W71" s="11">
        <v>68</v>
      </c>
      <c r="X71" s="12"/>
      <c r="Y71" s="13"/>
      <c r="Z71" s="13"/>
      <c r="AB71" s="11">
        <v>68</v>
      </c>
      <c r="AC71" s="12"/>
      <c r="AD71" s="12"/>
      <c r="AE71" s="12"/>
      <c r="AG71" s="11">
        <v>68</v>
      </c>
      <c r="AH71" s="12"/>
      <c r="AI71" s="12"/>
      <c r="AJ71" s="12"/>
      <c r="AL71" s="11">
        <v>68</v>
      </c>
      <c r="AM71" s="12"/>
      <c r="AN71" s="12"/>
      <c r="AO71" s="12"/>
      <c r="AQ71" s="11">
        <v>68</v>
      </c>
      <c r="AR71" s="13"/>
      <c r="AS71" s="13"/>
      <c r="AT71" s="11">
        <v>68</v>
      </c>
      <c r="AU71" s="13"/>
      <c r="AW71" s="11">
        <v>68</v>
      </c>
      <c r="AX71" s="12"/>
      <c r="AY71" s="12"/>
      <c r="AZ71" s="12"/>
      <c r="BA71" s="12"/>
      <c r="BB71" s="12"/>
      <c r="BC71" s="12"/>
      <c r="BD71" s="12"/>
      <c r="BE71" s="12"/>
      <c r="BF71" s="24"/>
      <c r="BG71" s="29"/>
      <c r="BH71" s="12"/>
      <c r="BI71" s="12"/>
      <c r="BK71" s="11">
        <v>68</v>
      </c>
      <c r="BL71" s="12"/>
      <c r="BM71" s="13"/>
      <c r="BN71" s="13"/>
      <c r="BP71" s="11">
        <v>68</v>
      </c>
      <c r="BQ71" s="12"/>
      <c r="BR71" s="13"/>
      <c r="BS71" s="13"/>
      <c r="BU71" s="11">
        <v>68</v>
      </c>
      <c r="BV71" s="12"/>
      <c r="BW71" s="12"/>
      <c r="BX71" s="12"/>
      <c r="BZ71" s="11">
        <v>68</v>
      </c>
      <c r="CA71" s="12"/>
      <c r="CC71" s="11">
        <v>68</v>
      </c>
      <c r="CD71" s="12"/>
    </row>
    <row r="72" spans="1:82">
      <c r="A72" s="30" t="s">
        <v>42</v>
      </c>
      <c r="B72" s="1" t="s">
        <v>86</v>
      </c>
      <c r="C72" s="2" t="s">
        <v>114</v>
      </c>
      <c r="D72" s="3" t="s">
        <v>80</v>
      </c>
      <c r="E72" s="122" t="s">
        <v>1</v>
      </c>
      <c r="F72" s="4" t="s">
        <v>2</v>
      </c>
      <c r="R72" s="11">
        <v>69</v>
      </c>
      <c r="S72" s="12"/>
      <c r="T72" s="13"/>
      <c r="U72" s="13"/>
      <c r="W72" s="11">
        <v>69</v>
      </c>
      <c r="X72" s="12"/>
      <c r="Y72" s="13"/>
      <c r="Z72" s="13"/>
      <c r="AB72" s="11">
        <v>69</v>
      </c>
      <c r="AC72" s="12"/>
      <c r="AD72" s="12"/>
      <c r="AE72" s="12"/>
      <c r="AG72" s="11">
        <v>69</v>
      </c>
      <c r="AH72" s="12"/>
      <c r="AI72" s="12"/>
      <c r="AJ72" s="12"/>
      <c r="AL72" s="11">
        <v>69</v>
      </c>
      <c r="AM72" s="12"/>
      <c r="AN72" s="12"/>
      <c r="AO72" s="12"/>
      <c r="AQ72" s="11">
        <v>69</v>
      </c>
      <c r="AR72" s="13"/>
      <c r="AS72" s="13"/>
      <c r="AT72" s="11">
        <v>69</v>
      </c>
      <c r="AU72" s="13"/>
      <c r="AW72" s="11">
        <v>69</v>
      </c>
      <c r="AX72" s="12"/>
      <c r="AY72" s="12"/>
      <c r="AZ72" s="12"/>
      <c r="BA72" s="12"/>
      <c r="BB72" s="12"/>
      <c r="BC72" s="12"/>
      <c r="BD72" s="12"/>
      <c r="BE72" s="12"/>
      <c r="BF72" s="24"/>
      <c r="BG72" s="29"/>
      <c r="BH72" s="12"/>
      <c r="BI72" s="12"/>
      <c r="BK72" s="11">
        <v>69</v>
      </c>
      <c r="BL72" s="12"/>
      <c r="BM72" s="13"/>
      <c r="BN72" s="13"/>
      <c r="BP72" s="11">
        <v>69</v>
      </c>
      <c r="BQ72" s="12"/>
      <c r="BR72" s="13"/>
      <c r="BS72" s="13"/>
      <c r="BU72" s="11">
        <v>69</v>
      </c>
      <c r="BV72" s="12"/>
      <c r="BW72" s="12"/>
      <c r="BX72" s="12"/>
      <c r="BZ72" s="11">
        <v>69</v>
      </c>
      <c r="CA72" s="12"/>
      <c r="CC72" s="11">
        <v>69</v>
      </c>
      <c r="CD72" s="12"/>
    </row>
    <row r="73" spans="1:82">
      <c r="A73" s="1" t="s">
        <v>19</v>
      </c>
      <c r="B73" s="1">
        <v>0</v>
      </c>
      <c r="C73" s="3" t="s">
        <v>25</v>
      </c>
      <c r="D73" s="3">
        <f>SUMIF(BL$3:BL$38,$A73,BV$3:BV$38)</f>
        <v>1104</v>
      </c>
      <c r="E73" s="122">
        <f>SUMIF(BM$3:BM$52,$A73,BW$3:BW$52)</f>
        <v>0</v>
      </c>
      <c r="F73" s="4">
        <f t="shared" ref="F73:F84" si="15">SUMIF(BN$3:BN$38,$A73,BX$3:BX$38)</f>
        <v>0</v>
      </c>
      <c r="R73" s="11">
        <v>70</v>
      </c>
      <c r="S73" s="12"/>
      <c r="T73" s="13"/>
      <c r="U73" s="13"/>
      <c r="W73" s="11">
        <v>70</v>
      </c>
      <c r="X73" s="12"/>
      <c r="Y73" s="13"/>
      <c r="Z73" s="13"/>
      <c r="AB73" s="11">
        <v>70</v>
      </c>
      <c r="AC73" s="12"/>
      <c r="AD73" s="12"/>
      <c r="AE73" s="12"/>
      <c r="AG73" s="11">
        <v>70</v>
      </c>
      <c r="AH73" s="12"/>
      <c r="AI73" s="12"/>
      <c r="AJ73" s="12"/>
      <c r="AL73" s="11">
        <v>70</v>
      </c>
      <c r="AM73" s="12"/>
      <c r="AN73" s="12"/>
      <c r="AO73" s="12"/>
      <c r="AQ73" s="11">
        <v>70</v>
      </c>
      <c r="AR73" s="13"/>
      <c r="AS73" s="13"/>
      <c r="AT73" s="11">
        <v>70</v>
      </c>
      <c r="AU73" s="13"/>
      <c r="AW73" s="11">
        <v>70</v>
      </c>
      <c r="AX73" s="12"/>
      <c r="AY73" s="12"/>
      <c r="AZ73" s="12"/>
      <c r="BA73" s="12"/>
      <c r="BB73" s="12"/>
      <c r="BC73" s="12"/>
      <c r="BD73" s="12"/>
      <c r="BE73" s="12"/>
      <c r="BF73" s="24"/>
      <c r="BG73" s="29"/>
      <c r="BH73" s="12"/>
      <c r="BI73" s="12"/>
      <c r="BK73" s="11">
        <v>70</v>
      </c>
      <c r="BL73" s="12"/>
      <c r="BM73" s="13"/>
      <c r="BN73" s="13"/>
      <c r="BP73" s="11">
        <v>70</v>
      </c>
      <c r="BQ73" s="12"/>
      <c r="BR73" s="13"/>
      <c r="BS73" s="13"/>
      <c r="BU73" s="11">
        <v>70</v>
      </c>
      <c r="BV73" s="12"/>
      <c r="BW73" s="12"/>
      <c r="BX73" s="12"/>
      <c r="BZ73" s="11">
        <v>70</v>
      </c>
      <c r="CA73" s="12"/>
      <c r="CC73" s="11">
        <v>70</v>
      </c>
      <c r="CD73" s="12"/>
    </row>
    <row r="74" spans="1:82">
      <c r="A74" s="20">
        <v>0</v>
      </c>
      <c r="B74" s="20">
        <v>1</v>
      </c>
      <c r="C74" s="5">
        <v>0</v>
      </c>
      <c r="D74" s="37">
        <f t="shared" ref="D74:D84" si="16">SUMIF(BL$3:BL$38,$A74,BV$3:BV$38)</f>
        <v>0</v>
      </c>
      <c r="E74" s="121">
        <f t="shared" ref="E74:E84" si="17">SUMIF(BM$3:BM$52,$A74,BW$3:BW$52)</f>
        <v>3379</v>
      </c>
      <c r="F74" s="7">
        <f t="shared" si="15"/>
        <v>10000</v>
      </c>
      <c r="R74" s="11">
        <v>71</v>
      </c>
      <c r="S74" s="12"/>
      <c r="T74" s="13"/>
      <c r="U74" s="13"/>
      <c r="W74" s="11">
        <v>71</v>
      </c>
      <c r="X74" s="12"/>
      <c r="Y74" s="13"/>
      <c r="Z74" s="13"/>
      <c r="AB74" s="11">
        <v>71</v>
      </c>
      <c r="AC74" s="12"/>
      <c r="AD74" s="12"/>
      <c r="AE74" s="12"/>
      <c r="AG74" s="11">
        <v>71</v>
      </c>
      <c r="AH74" s="12"/>
      <c r="AI74" s="12"/>
      <c r="AJ74" s="12"/>
      <c r="AL74" s="11">
        <v>71</v>
      </c>
      <c r="AM74" s="12"/>
      <c r="AN74" s="12"/>
      <c r="AO74" s="12"/>
      <c r="AQ74" s="11">
        <v>71</v>
      </c>
      <c r="AR74" s="13"/>
      <c r="AS74" s="13"/>
      <c r="AT74" s="11">
        <v>71</v>
      </c>
      <c r="AU74" s="13"/>
      <c r="AW74" s="11">
        <v>71</v>
      </c>
      <c r="AX74" s="12"/>
      <c r="AY74" s="12"/>
      <c r="AZ74" s="12"/>
      <c r="BA74" s="12"/>
      <c r="BB74" s="12"/>
      <c r="BC74" s="12"/>
      <c r="BD74" s="12"/>
      <c r="BE74" s="12"/>
      <c r="BF74" s="24"/>
      <c r="BG74" s="29"/>
      <c r="BH74" s="12"/>
      <c r="BI74" s="12"/>
      <c r="BK74" s="11">
        <v>71</v>
      </c>
      <c r="BL74" s="12"/>
      <c r="BM74" s="13"/>
      <c r="BN74" s="13"/>
      <c r="BP74" s="11">
        <v>71</v>
      </c>
      <c r="BQ74" s="12"/>
      <c r="BR74" s="13"/>
      <c r="BS74" s="13"/>
      <c r="BU74" s="11">
        <v>71</v>
      </c>
      <c r="BV74" s="12"/>
      <c r="BW74" s="12"/>
      <c r="BX74" s="12"/>
      <c r="BZ74" s="11">
        <v>71</v>
      </c>
      <c r="CA74" s="12"/>
      <c r="CC74" s="11">
        <v>71</v>
      </c>
      <c r="CD74" s="12"/>
    </row>
    <row r="75" spans="1:82">
      <c r="A75" s="20">
        <v>1</v>
      </c>
      <c r="B75" s="20">
        <v>2</v>
      </c>
      <c r="C75" s="5">
        <v>1</v>
      </c>
      <c r="D75" s="6">
        <f t="shared" si="16"/>
        <v>0</v>
      </c>
      <c r="E75" s="121">
        <f t="shared" si="17"/>
        <v>4524</v>
      </c>
      <c r="F75" s="7">
        <f t="shared" si="15"/>
        <v>0</v>
      </c>
      <c r="R75" s="11">
        <v>72</v>
      </c>
      <c r="S75" s="12"/>
      <c r="T75" s="13"/>
      <c r="U75" s="13"/>
      <c r="W75" s="11">
        <v>72</v>
      </c>
      <c r="X75" s="12"/>
      <c r="Y75" s="13"/>
      <c r="Z75" s="13"/>
      <c r="AB75" s="11">
        <v>72</v>
      </c>
      <c r="AC75" s="12"/>
      <c r="AD75" s="12"/>
      <c r="AE75" s="12"/>
      <c r="AG75" s="11">
        <v>72</v>
      </c>
      <c r="AH75" s="12"/>
      <c r="AI75" s="12"/>
      <c r="AJ75" s="12"/>
      <c r="AL75" s="11">
        <v>72</v>
      </c>
      <c r="AM75" s="12"/>
      <c r="AN75" s="12"/>
      <c r="AO75" s="12"/>
      <c r="AQ75" s="11">
        <v>72</v>
      </c>
      <c r="AR75" s="13"/>
      <c r="AS75" s="13"/>
      <c r="AT75" s="11">
        <v>72</v>
      </c>
      <c r="AU75" s="13"/>
      <c r="AW75" s="11">
        <v>72</v>
      </c>
      <c r="AX75" s="12"/>
      <c r="AY75" s="12"/>
      <c r="AZ75" s="12"/>
      <c r="BA75" s="12"/>
      <c r="BB75" s="12"/>
      <c r="BC75" s="12"/>
      <c r="BD75" s="12"/>
      <c r="BE75" s="12"/>
      <c r="BF75" s="24"/>
      <c r="BG75" s="29"/>
      <c r="BH75" s="12"/>
      <c r="BI75" s="12"/>
      <c r="BK75" s="11">
        <v>72</v>
      </c>
      <c r="BL75" s="12"/>
      <c r="BM75" s="13"/>
      <c r="BN75" s="13"/>
      <c r="BP75" s="11">
        <v>72</v>
      </c>
      <c r="BQ75" s="12"/>
      <c r="BR75" s="13"/>
      <c r="BS75" s="13"/>
      <c r="BU75" s="11">
        <v>72</v>
      </c>
      <c r="BV75" s="12"/>
      <c r="BW75" s="12"/>
      <c r="BX75" s="12"/>
      <c r="BZ75" s="11">
        <v>72</v>
      </c>
      <c r="CA75" s="12"/>
      <c r="CC75" s="11">
        <v>72</v>
      </c>
      <c r="CD75" s="12"/>
    </row>
    <row r="76" spans="1:82">
      <c r="A76" s="21">
        <v>5</v>
      </c>
      <c r="B76" s="21">
        <v>3</v>
      </c>
      <c r="C76" s="23">
        <v>5</v>
      </c>
      <c r="D76" s="6">
        <f t="shared" si="16"/>
        <v>6729</v>
      </c>
      <c r="E76" s="121">
        <f t="shared" si="17"/>
        <v>564</v>
      </c>
      <c r="F76" s="7">
        <f t="shared" si="15"/>
        <v>0</v>
      </c>
      <c r="R76" s="11">
        <v>73</v>
      </c>
      <c r="S76" s="12"/>
      <c r="T76" s="13"/>
      <c r="U76" s="13"/>
      <c r="W76" s="11">
        <v>73</v>
      </c>
      <c r="X76" s="12"/>
      <c r="Y76" s="13"/>
      <c r="Z76" s="13"/>
      <c r="AB76" s="11">
        <v>73</v>
      </c>
      <c r="AC76" s="12"/>
      <c r="AD76" s="12"/>
      <c r="AE76" s="12"/>
      <c r="AG76" s="11">
        <v>73</v>
      </c>
      <c r="AH76" s="12"/>
      <c r="AI76" s="12"/>
      <c r="AJ76" s="12"/>
      <c r="AL76" s="11">
        <v>73</v>
      </c>
      <c r="AM76" s="12"/>
      <c r="AN76" s="12"/>
      <c r="AO76" s="12"/>
      <c r="AQ76" s="11">
        <v>73</v>
      </c>
      <c r="AR76" s="13"/>
      <c r="AS76" s="13"/>
      <c r="AT76" s="11">
        <v>73</v>
      </c>
      <c r="AU76" s="13"/>
      <c r="AW76" s="11">
        <v>73</v>
      </c>
      <c r="AX76" s="12"/>
      <c r="AY76" s="12"/>
      <c r="AZ76" s="12"/>
      <c r="BA76" s="12"/>
      <c r="BB76" s="12"/>
      <c r="BC76" s="12"/>
      <c r="BD76" s="12"/>
      <c r="BE76" s="12"/>
      <c r="BF76" s="24"/>
      <c r="BG76" s="29"/>
      <c r="BH76" s="12"/>
      <c r="BI76" s="12"/>
      <c r="BK76" s="11">
        <v>73</v>
      </c>
      <c r="BL76" s="12"/>
      <c r="BM76" s="13"/>
      <c r="BN76" s="13"/>
      <c r="BP76" s="11">
        <v>73</v>
      </c>
      <c r="BQ76" s="12"/>
      <c r="BR76" s="13"/>
      <c r="BS76" s="13"/>
      <c r="BU76" s="11">
        <v>73</v>
      </c>
      <c r="BV76" s="12"/>
      <c r="BW76" s="12"/>
      <c r="BX76" s="12"/>
      <c r="BZ76" s="11">
        <v>73</v>
      </c>
      <c r="CA76" s="12"/>
      <c r="CC76" s="11">
        <v>73</v>
      </c>
      <c r="CD76" s="12"/>
    </row>
    <row r="77" spans="1:82">
      <c r="A77" s="21">
        <v>10</v>
      </c>
      <c r="B77" s="21">
        <v>4</v>
      </c>
      <c r="C77" s="23">
        <v>10</v>
      </c>
      <c r="D77" s="6">
        <f t="shared" si="16"/>
        <v>2167</v>
      </c>
      <c r="E77" s="101">
        <f t="shared" si="17"/>
        <v>738</v>
      </c>
      <c r="F77" s="38">
        <f t="shared" si="15"/>
        <v>0</v>
      </c>
      <c r="R77" s="11">
        <v>74</v>
      </c>
      <c r="S77" s="12"/>
      <c r="T77" s="13"/>
      <c r="U77" s="13"/>
      <c r="W77" s="11">
        <v>74</v>
      </c>
      <c r="X77" s="12"/>
      <c r="Y77" s="13"/>
      <c r="Z77" s="13"/>
      <c r="AB77" s="11">
        <v>74</v>
      </c>
      <c r="AC77" s="12"/>
      <c r="AD77" s="12"/>
      <c r="AE77" s="12"/>
      <c r="AG77" s="11">
        <v>74</v>
      </c>
      <c r="AH77" s="12"/>
      <c r="AI77" s="12"/>
      <c r="AJ77" s="12"/>
      <c r="AL77" s="11">
        <v>74</v>
      </c>
      <c r="AM77" s="12"/>
      <c r="AN77" s="12"/>
      <c r="AO77" s="12"/>
      <c r="AQ77" s="11">
        <v>74</v>
      </c>
      <c r="AR77" s="13"/>
      <c r="AS77" s="13"/>
      <c r="AT77" s="11">
        <v>74</v>
      </c>
      <c r="AU77" s="13"/>
      <c r="AW77" s="11">
        <v>74</v>
      </c>
      <c r="AX77" s="12"/>
      <c r="AY77" s="12"/>
      <c r="AZ77" s="12"/>
      <c r="BA77" s="12"/>
      <c r="BB77" s="12"/>
      <c r="BC77" s="12"/>
      <c r="BD77" s="12"/>
      <c r="BE77" s="12"/>
      <c r="BF77" s="24"/>
      <c r="BG77" s="29"/>
      <c r="BH77" s="12"/>
      <c r="BI77" s="12"/>
      <c r="BK77" s="11">
        <v>74</v>
      </c>
      <c r="BL77" s="12"/>
      <c r="BM77" s="13"/>
      <c r="BN77" s="13"/>
      <c r="BP77" s="11">
        <v>74</v>
      </c>
      <c r="BQ77" s="12"/>
      <c r="BR77" s="13"/>
      <c r="BS77" s="13"/>
      <c r="BU77" s="11">
        <v>74</v>
      </c>
      <c r="BV77" s="12"/>
      <c r="BW77" s="12"/>
      <c r="BX77" s="12"/>
      <c r="BZ77" s="11">
        <v>74</v>
      </c>
      <c r="CA77" s="12"/>
      <c r="CC77" s="11">
        <v>74</v>
      </c>
      <c r="CD77" s="12"/>
    </row>
    <row r="78" spans="1:82">
      <c r="A78" s="20" t="s">
        <v>20</v>
      </c>
      <c r="B78" s="20">
        <v>5</v>
      </c>
      <c r="C78" s="23" t="s">
        <v>29</v>
      </c>
      <c r="D78" s="37">
        <f t="shared" si="16"/>
        <v>0</v>
      </c>
      <c r="E78" s="101">
        <f t="shared" si="17"/>
        <v>795</v>
      </c>
      <c r="F78" s="38">
        <f t="shared" si="15"/>
        <v>0</v>
      </c>
      <c r="R78" s="11">
        <v>75</v>
      </c>
      <c r="S78" s="12"/>
      <c r="T78" s="13"/>
      <c r="U78" s="13"/>
      <c r="W78" s="11">
        <v>75</v>
      </c>
      <c r="X78" s="12"/>
      <c r="Y78" s="13"/>
      <c r="Z78" s="13"/>
      <c r="AB78" s="11">
        <v>75</v>
      </c>
      <c r="AC78" s="12"/>
      <c r="AD78" s="12"/>
      <c r="AE78" s="12"/>
      <c r="AG78" s="11">
        <v>75</v>
      </c>
      <c r="AH78" s="12"/>
      <c r="AI78" s="12"/>
      <c r="AJ78" s="12"/>
      <c r="AL78" s="11">
        <v>75</v>
      </c>
      <c r="AM78" s="12"/>
      <c r="AN78" s="12"/>
      <c r="AO78" s="12"/>
      <c r="AQ78" s="11">
        <v>75</v>
      </c>
      <c r="AR78" s="13"/>
      <c r="AS78" s="13"/>
      <c r="AT78" s="11">
        <v>75</v>
      </c>
      <c r="AU78" s="13"/>
      <c r="AW78" s="11">
        <v>75</v>
      </c>
      <c r="AX78" s="12"/>
      <c r="AY78" s="12"/>
      <c r="AZ78" s="12"/>
      <c r="BA78" s="12"/>
      <c r="BB78" s="12"/>
      <c r="BC78" s="12"/>
      <c r="BD78" s="12"/>
      <c r="BE78" s="12"/>
      <c r="BF78" s="24"/>
      <c r="BG78" s="29"/>
      <c r="BH78" s="12"/>
      <c r="BI78" s="12"/>
      <c r="BK78" s="11">
        <v>75</v>
      </c>
      <c r="BL78" s="12"/>
      <c r="BM78" s="13"/>
      <c r="BN78" s="13"/>
      <c r="BP78" s="11">
        <v>75</v>
      </c>
      <c r="BQ78" s="12"/>
      <c r="BR78" s="13"/>
      <c r="BS78" s="13"/>
      <c r="BU78" s="11">
        <v>75</v>
      </c>
      <c r="BV78" s="12"/>
      <c r="BW78" s="12"/>
      <c r="BX78" s="12"/>
      <c r="BZ78" s="11">
        <v>75</v>
      </c>
      <c r="CA78" s="12"/>
      <c r="CC78" s="11">
        <v>75</v>
      </c>
      <c r="CD78" s="12"/>
    </row>
    <row r="79" spans="1:82">
      <c r="A79" s="21" t="s">
        <v>21</v>
      </c>
      <c r="B79" s="21">
        <v>6</v>
      </c>
      <c r="C79" s="23" t="s">
        <v>26</v>
      </c>
      <c r="D79" s="37">
        <f t="shared" si="16"/>
        <v>0</v>
      </c>
      <c r="E79" s="59">
        <f t="shared" si="17"/>
        <v>0</v>
      </c>
      <c r="F79" s="38">
        <f t="shared" si="15"/>
        <v>0</v>
      </c>
      <c r="R79" s="11">
        <v>76</v>
      </c>
      <c r="S79" s="12"/>
      <c r="T79" s="13"/>
      <c r="U79" s="13"/>
      <c r="W79" s="11">
        <v>76</v>
      </c>
      <c r="X79" s="12"/>
      <c r="Y79" s="13"/>
      <c r="Z79" s="13"/>
      <c r="AB79" s="11">
        <v>76</v>
      </c>
      <c r="AC79" s="12"/>
      <c r="AD79" s="12"/>
      <c r="AE79" s="12"/>
      <c r="AG79" s="11">
        <v>76</v>
      </c>
      <c r="AH79" s="12"/>
      <c r="AI79" s="12"/>
      <c r="AJ79" s="12"/>
      <c r="AL79" s="11">
        <v>76</v>
      </c>
      <c r="AM79" s="12"/>
      <c r="AN79" s="12"/>
      <c r="AO79" s="12"/>
      <c r="AQ79" s="11">
        <v>76</v>
      </c>
      <c r="AR79" s="13"/>
      <c r="AS79" s="13"/>
      <c r="AT79" s="11">
        <v>76</v>
      </c>
      <c r="AU79" s="13"/>
      <c r="AW79" s="11">
        <v>76</v>
      </c>
      <c r="AX79" s="12"/>
      <c r="AY79" s="12"/>
      <c r="AZ79" s="12"/>
      <c r="BA79" s="12"/>
      <c r="BB79" s="12"/>
      <c r="BC79" s="12"/>
      <c r="BD79" s="12"/>
      <c r="BE79" s="12"/>
      <c r="BF79" s="24"/>
      <c r="BG79" s="29"/>
      <c r="BH79" s="12"/>
      <c r="BI79" s="12"/>
      <c r="BK79" s="11">
        <v>76</v>
      </c>
      <c r="BL79" s="12"/>
      <c r="BM79" s="13"/>
      <c r="BN79" s="13"/>
      <c r="BP79" s="11">
        <v>76</v>
      </c>
      <c r="BQ79" s="12"/>
      <c r="BR79" s="13"/>
      <c r="BS79" s="13"/>
      <c r="BU79" s="11">
        <v>76</v>
      </c>
      <c r="BV79" s="12"/>
      <c r="BW79" s="12"/>
      <c r="BX79" s="12"/>
      <c r="BZ79" s="11">
        <v>76</v>
      </c>
      <c r="CA79" s="12"/>
      <c r="CC79" s="11">
        <v>76</v>
      </c>
      <c r="CD79" s="12"/>
    </row>
    <row r="80" spans="1:82">
      <c r="A80" s="20" t="s">
        <v>22</v>
      </c>
      <c r="B80" s="20">
        <v>7</v>
      </c>
      <c r="C80" s="5" t="s">
        <v>27</v>
      </c>
      <c r="D80" s="37">
        <f t="shared" si="16"/>
        <v>0</v>
      </c>
      <c r="E80" s="59">
        <f t="shared" si="17"/>
        <v>0</v>
      </c>
      <c r="F80" s="38">
        <f t="shared" si="15"/>
        <v>0</v>
      </c>
      <c r="R80" s="11">
        <v>77</v>
      </c>
      <c r="S80" s="12"/>
      <c r="T80" s="13"/>
      <c r="U80" s="13"/>
      <c r="W80" s="11">
        <v>77</v>
      </c>
      <c r="X80" s="12"/>
      <c r="Y80" s="13"/>
      <c r="Z80" s="13"/>
      <c r="AB80" s="11">
        <v>77</v>
      </c>
      <c r="AC80" s="12"/>
      <c r="AD80" s="12"/>
      <c r="AE80" s="12"/>
      <c r="AG80" s="11">
        <v>77</v>
      </c>
      <c r="AH80" s="12"/>
      <c r="AI80" s="12"/>
      <c r="AJ80" s="12"/>
      <c r="AL80" s="11">
        <v>77</v>
      </c>
      <c r="AM80" s="12"/>
      <c r="AN80" s="12"/>
      <c r="AO80" s="12"/>
      <c r="AQ80" s="11">
        <v>77</v>
      </c>
      <c r="AR80" s="13"/>
      <c r="AS80" s="13"/>
      <c r="AT80" s="11">
        <v>77</v>
      </c>
      <c r="AU80" s="13"/>
      <c r="AW80" s="11">
        <v>77</v>
      </c>
      <c r="AX80" s="12"/>
      <c r="AY80" s="12"/>
      <c r="AZ80" s="12"/>
      <c r="BA80" s="12"/>
      <c r="BB80" s="12"/>
      <c r="BC80" s="12"/>
      <c r="BD80" s="12"/>
      <c r="BE80" s="12"/>
      <c r="BF80" s="24"/>
      <c r="BG80" s="29"/>
      <c r="BH80" s="12"/>
      <c r="BI80" s="12"/>
      <c r="BK80" s="11">
        <v>77</v>
      </c>
      <c r="BL80" s="12"/>
      <c r="BM80" s="13"/>
      <c r="BN80" s="13"/>
      <c r="BP80" s="11">
        <v>77</v>
      </c>
      <c r="BQ80" s="12"/>
      <c r="BR80" s="13"/>
      <c r="BS80" s="13"/>
      <c r="BU80" s="11">
        <v>77</v>
      </c>
      <c r="BV80" s="12"/>
      <c r="BW80" s="12"/>
      <c r="BX80" s="12"/>
      <c r="BZ80" s="11">
        <v>77</v>
      </c>
      <c r="CA80" s="12"/>
      <c r="CC80" s="11">
        <v>77</v>
      </c>
      <c r="CD80" s="12"/>
    </row>
    <row r="81" spans="1:82">
      <c r="A81" s="20" t="s">
        <v>23</v>
      </c>
      <c r="B81" s="20">
        <v>8</v>
      </c>
      <c r="C81" s="5" t="s">
        <v>28</v>
      </c>
      <c r="D81" s="37">
        <f t="shared" si="16"/>
        <v>0</v>
      </c>
      <c r="E81" s="59">
        <f t="shared" si="17"/>
        <v>0</v>
      </c>
      <c r="F81" s="38">
        <f t="shared" si="15"/>
        <v>0</v>
      </c>
      <c r="R81" s="11">
        <v>78</v>
      </c>
      <c r="S81" s="12"/>
      <c r="T81" s="13"/>
      <c r="U81" s="13"/>
      <c r="W81" s="11">
        <v>78</v>
      </c>
      <c r="X81" s="12"/>
      <c r="Y81" s="13"/>
      <c r="Z81" s="13"/>
      <c r="AB81" s="11">
        <v>78</v>
      </c>
      <c r="AC81" s="12"/>
      <c r="AD81" s="12"/>
      <c r="AE81" s="12"/>
      <c r="AG81" s="11">
        <v>78</v>
      </c>
      <c r="AH81" s="12"/>
      <c r="AI81" s="12"/>
      <c r="AJ81" s="12"/>
      <c r="AL81" s="11">
        <v>78</v>
      </c>
      <c r="AM81" s="12"/>
      <c r="AN81" s="12"/>
      <c r="AO81" s="12"/>
      <c r="AQ81" s="11">
        <v>78</v>
      </c>
      <c r="AR81" s="13"/>
      <c r="AS81" s="13"/>
      <c r="AT81" s="11">
        <v>78</v>
      </c>
      <c r="AU81" s="13"/>
      <c r="AW81" s="11">
        <v>78</v>
      </c>
      <c r="AX81" s="12"/>
      <c r="AY81" s="12"/>
      <c r="AZ81" s="12"/>
      <c r="BA81" s="12"/>
      <c r="BB81" s="12"/>
      <c r="BC81" s="12"/>
      <c r="BD81" s="12"/>
      <c r="BE81" s="12"/>
      <c r="BF81" s="24"/>
      <c r="BG81" s="29"/>
      <c r="BH81" s="12"/>
      <c r="BI81" s="12"/>
      <c r="BK81" s="11">
        <v>78</v>
      </c>
      <c r="BL81" s="12"/>
      <c r="BM81" s="13"/>
      <c r="BN81" s="13"/>
      <c r="BP81" s="11">
        <v>78</v>
      </c>
      <c r="BQ81" s="12"/>
      <c r="BR81" s="13"/>
      <c r="BS81" s="13"/>
      <c r="BU81" s="11">
        <v>78</v>
      </c>
      <c r="BV81" s="12"/>
      <c r="BW81" s="12"/>
      <c r="BX81" s="12"/>
      <c r="BZ81" s="11">
        <v>78</v>
      </c>
      <c r="CA81" s="12"/>
      <c r="CC81" s="11">
        <v>78</v>
      </c>
      <c r="CD81" s="12"/>
    </row>
    <row r="82" spans="1:82">
      <c r="A82" s="20" t="s">
        <v>24</v>
      </c>
      <c r="B82" s="20">
        <v>9</v>
      </c>
      <c r="C82" s="5" t="s">
        <v>16</v>
      </c>
      <c r="D82" s="37">
        <f t="shared" si="16"/>
        <v>0</v>
      </c>
      <c r="E82" s="59">
        <f t="shared" si="17"/>
        <v>0</v>
      </c>
      <c r="F82" s="38">
        <f t="shared" si="15"/>
        <v>0</v>
      </c>
      <c r="R82" s="11">
        <v>79</v>
      </c>
      <c r="S82" s="12"/>
      <c r="T82" s="13"/>
      <c r="U82" s="13"/>
      <c r="W82" s="11">
        <v>79</v>
      </c>
      <c r="X82" s="12"/>
      <c r="Y82" s="13"/>
      <c r="Z82" s="13"/>
      <c r="AB82" s="11">
        <v>79</v>
      </c>
      <c r="AC82" s="12"/>
      <c r="AD82" s="12"/>
      <c r="AE82" s="12"/>
      <c r="AG82" s="11">
        <v>79</v>
      </c>
      <c r="AH82" s="12"/>
      <c r="AI82" s="12"/>
      <c r="AJ82" s="12"/>
      <c r="AL82" s="11">
        <v>79</v>
      </c>
      <c r="AM82" s="12"/>
      <c r="AN82" s="12"/>
      <c r="AO82" s="12"/>
      <c r="AQ82" s="11">
        <v>79</v>
      </c>
      <c r="AR82" s="13"/>
      <c r="AS82" s="13"/>
      <c r="AT82" s="11">
        <v>79</v>
      </c>
      <c r="AU82" s="13"/>
      <c r="AW82" s="11">
        <v>79</v>
      </c>
      <c r="AX82" s="12"/>
      <c r="AY82" s="12"/>
      <c r="AZ82" s="12"/>
      <c r="BA82" s="12"/>
      <c r="BB82" s="12"/>
      <c r="BC82" s="12"/>
      <c r="BD82" s="12"/>
      <c r="BE82" s="12"/>
      <c r="BF82" s="24"/>
      <c r="BG82" s="29"/>
      <c r="BH82" s="12"/>
      <c r="BI82" s="12"/>
      <c r="BK82" s="11">
        <v>79</v>
      </c>
      <c r="BL82" s="12"/>
      <c r="BM82" s="13"/>
      <c r="BN82" s="13"/>
      <c r="BP82" s="11">
        <v>79</v>
      </c>
      <c r="BQ82" s="12"/>
      <c r="BR82" s="13"/>
      <c r="BS82" s="13"/>
      <c r="BU82" s="11">
        <v>79</v>
      </c>
      <c r="BV82" s="12"/>
      <c r="BW82" s="12"/>
      <c r="BX82" s="12"/>
      <c r="BZ82" s="11">
        <v>79</v>
      </c>
      <c r="CA82" s="12"/>
      <c r="CC82" s="11">
        <v>79</v>
      </c>
      <c r="CD82" s="12"/>
    </row>
    <row r="83" spans="1:82">
      <c r="A83" s="21" t="s">
        <v>35</v>
      </c>
      <c r="B83" s="21">
        <v>10</v>
      </c>
      <c r="C83" s="5" t="s">
        <v>37</v>
      </c>
      <c r="D83" s="37">
        <f t="shared" si="16"/>
        <v>0</v>
      </c>
      <c r="E83" s="59">
        <f t="shared" si="17"/>
        <v>0</v>
      </c>
      <c r="F83" s="38">
        <f t="shared" si="15"/>
        <v>0</v>
      </c>
      <c r="R83" s="11">
        <v>80</v>
      </c>
      <c r="S83" s="12"/>
      <c r="T83" s="13"/>
      <c r="U83" s="13"/>
      <c r="W83" s="11">
        <v>80</v>
      </c>
      <c r="X83" s="12"/>
      <c r="Y83" s="13"/>
      <c r="Z83" s="13"/>
      <c r="AB83" s="11">
        <v>80</v>
      </c>
      <c r="AC83" s="12"/>
      <c r="AD83" s="12"/>
      <c r="AE83" s="12"/>
      <c r="AG83" s="11">
        <v>80</v>
      </c>
      <c r="AH83" s="12"/>
      <c r="AI83" s="12"/>
      <c r="AJ83" s="12"/>
      <c r="AL83" s="11">
        <v>80</v>
      </c>
      <c r="AM83" s="12"/>
      <c r="AN83" s="12"/>
      <c r="AO83" s="12"/>
      <c r="AQ83" s="11">
        <v>80</v>
      </c>
      <c r="AR83" s="13"/>
      <c r="AS83" s="13"/>
      <c r="AT83" s="11">
        <v>80</v>
      </c>
      <c r="AU83" s="13"/>
      <c r="AW83" s="11">
        <v>80</v>
      </c>
      <c r="AX83" s="12"/>
      <c r="AY83" s="12"/>
      <c r="AZ83" s="12"/>
      <c r="BA83" s="12"/>
      <c r="BB83" s="12"/>
      <c r="BC83" s="12"/>
      <c r="BD83" s="12"/>
      <c r="BE83" s="12"/>
      <c r="BF83" s="24"/>
      <c r="BG83" s="29"/>
      <c r="BH83" s="12"/>
      <c r="BI83" s="12"/>
      <c r="BK83" s="11">
        <v>80</v>
      </c>
      <c r="BL83" s="12"/>
      <c r="BM83" s="13"/>
      <c r="BN83" s="13"/>
      <c r="BP83" s="11">
        <v>80</v>
      </c>
      <c r="BQ83" s="12"/>
      <c r="BR83" s="13"/>
      <c r="BS83" s="13"/>
      <c r="BU83" s="11">
        <v>80</v>
      </c>
      <c r="BV83" s="12"/>
      <c r="BW83" s="12"/>
      <c r="BX83" s="12"/>
      <c r="BZ83" s="11">
        <v>80</v>
      </c>
      <c r="CA83" s="12"/>
      <c r="CC83" s="11">
        <v>80</v>
      </c>
      <c r="CD83" s="12"/>
    </row>
    <row r="84" spans="1:82">
      <c r="A84" s="22" t="s">
        <v>39</v>
      </c>
      <c r="B84" s="22">
        <v>11</v>
      </c>
      <c r="C84" s="17" t="s">
        <v>38</v>
      </c>
      <c r="D84" s="60">
        <f t="shared" si="16"/>
        <v>0</v>
      </c>
      <c r="E84" s="39">
        <f t="shared" si="17"/>
        <v>0</v>
      </c>
      <c r="F84" s="40">
        <f t="shared" si="15"/>
        <v>0</v>
      </c>
      <c r="R84" s="11">
        <v>81</v>
      </c>
      <c r="S84" s="12"/>
      <c r="T84" s="13"/>
      <c r="U84" s="13"/>
      <c r="W84" s="11">
        <v>81</v>
      </c>
      <c r="X84" s="12"/>
      <c r="Y84" s="13"/>
      <c r="Z84" s="13"/>
      <c r="AB84" s="11">
        <v>81</v>
      </c>
      <c r="AC84" s="12"/>
      <c r="AD84" s="12"/>
      <c r="AE84" s="12"/>
      <c r="AG84" s="11">
        <v>81</v>
      </c>
      <c r="AH84" s="12"/>
      <c r="AI84" s="12"/>
      <c r="AJ84" s="12"/>
      <c r="AL84" s="11">
        <v>81</v>
      </c>
      <c r="AM84" s="12"/>
      <c r="AN84" s="12"/>
      <c r="AO84" s="12"/>
      <c r="AQ84" s="11">
        <v>81</v>
      </c>
      <c r="AR84" s="13"/>
      <c r="AS84" s="13"/>
      <c r="AT84" s="11">
        <v>81</v>
      </c>
      <c r="AU84" s="13"/>
      <c r="AW84" s="11">
        <v>81</v>
      </c>
      <c r="AX84" s="12"/>
      <c r="AY84" s="12"/>
      <c r="AZ84" s="12"/>
      <c r="BA84" s="12"/>
      <c r="BB84" s="12"/>
      <c r="BC84" s="12"/>
      <c r="BD84" s="12"/>
      <c r="BE84" s="12"/>
      <c r="BF84" s="24"/>
      <c r="BG84" s="29"/>
      <c r="BH84" s="12"/>
      <c r="BI84" s="12"/>
      <c r="BK84" s="11">
        <v>81</v>
      </c>
      <c r="BL84" s="12"/>
      <c r="BM84" s="13"/>
      <c r="BN84" s="13"/>
      <c r="BP84" s="11">
        <v>81</v>
      </c>
      <c r="BQ84" s="12"/>
      <c r="BR84" s="13"/>
      <c r="BS84" s="13"/>
      <c r="BU84" s="11">
        <v>81</v>
      </c>
      <c r="BV84" s="12"/>
      <c r="BW84" s="12"/>
      <c r="BX84" s="12"/>
      <c r="BZ84" s="11">
        <v>81</v>
      </c>
      <c r="CA84" s="12"/>
      <c r="CC84" s="11">
        <v>81</v>
      </c>
      <c r="CD84" s="12"/>
    </row>
    <row r="85" spans="1:82">
      <c r="R85" s="11">
        <v>82</v>
      </c>
      <c r="S85" s="12"/>
      <c r="T85" s="13"/>
      <c r="U85" s="13"/>
      <c r="W85" s="11">
        <v>82</v>
      </c>
      <c r="X85" s="12"/>
      <c r="Y85" s="13"/>
      <c r="Z85" s="13"/>
      <c r="AB85" s="11">
        <v>82</v>
      </c>
      <c r="AC85" s="12"/>
      <c r="AD85" s="12"/>
      <c r="AE85" s="12"/>
      <c r="AG85" s="11">
        <v>82</v>
      </c>
      <c r="AH85" s="12"/>
      <c r="AI85" s="12"/>
      <c r="AJ85" s="12"/>
      <c r="AL85" s="11">
        <v>82</v>
      </c>
      <c r="AM85" s="12"/>
      <c r="AN85" s="12"/>
      <c r="AO85" s="12"/>
      <c r="AQ85" s="11">
        <v>82</v>
      </c>
      <c r="AR85" s="13"/>
      <c r="AS85" s="13"/>
      <c r="AT85" s="11">
        <v>82</v>
      </c>
      <c r="AU85" s="13"/>
      <c r="AW85" s="11">
        <v>82</v>
      </c>
      <c r="AX85" s="12"/>
      <c r="AY85" s="12"/>
      <c r="AZ85" s="12"/>
      <c r="BA85" s="12"/>
      <c r="BB85" s="12"/>
      <c r="BC85" s="12"/>
      <c r="BD85" s="12"/>
      <c r="BE85" s="12"/>
      <c r="BF85" s="24"/>
      <c r="BG85" s="29"/>
      <c r="BH85" s="12"/>
      <c r="BI85" s="12"/>
      <c r="BK85" s="11">
        <v>82</v>
      </c>
      <c r="BL85" s="12"/>
      <c r="BM85" s="13"/>
      <c r="BN85" s="13"/>
      <c r="BP85" s="11">
        <v>82</v>
      </c>
      <c r="BQ85" s="12"/>
      <c r="BR85" s="13"/>
      <c r="BS85" s="13"/>
      <c r="BU85" s="11">
        <v>82</v>
      </c>
      <c r="BV85" s="12"/>
      <c r="BW85" s="12"/>
      <c r="BX85" s="12"/>
      <c r="BZ85" s="11">
        <v>82</v>
      </c>
      <c r="CA85" s="12"/>
      <c r="CC85" s="11">
        <v>82</v>
      </c>
      <c r="CD85" s="12"/>
    </row>
    <row r="86" spans="1:82">
      <c r="R86" s="11">
        <v>83</v>
      </c>
      <c r="S86" s="12"/>
      <c r="T86" s="13"/>
      <c r="U86" s="13"/>
      <c r="W86" s="11">
        <v>83</v>
      </c>
      <c r="X86" s="12"/>
      <c r="Y86" s="13"/>
      <c r="Z86" s="13"/>
      <c r="AB86" s="11">
        <v>83</v>
      </c>
      <c r="AC86" s="12"/>
      <c r="AD86" s="12"/>
      <c r="AE86" s="12"/>
      <c r="AG86" s="11">
        <v>83</v>
      </c>
      <c r="AH86" s="12"/>
      <c r="AI86" s="12"/>
      <c r="AJ86" s="12"/>
      <c r="AL86" s="11">
        <v>83</v>
      </c>
      <c r="AM86" s="12"/>
      <c r="AN86" s="12"/>
      <c r="AO86" s="12"/>
      <c r="AQ86" s="11">
        <v>83</v>
      </c>
      <c r="AR86" s="13"/>
      <c r="AS86" s="13"/>
      <c r="AT86" s="11">
        <v>83</v>
      </c>
      <c r="AU86" s="13"/>
      <c r="AW86" s="11">
        <v>83</v>
      </c>
      <c r="AX86" s="12"/>
      <c r="AY86" s="12"/>
      <c r="AZ86" s="12"/>
      <c r="BA86" s="12"/>
      <c r="BB86" s="12"/>
      <c r="BC86" s="12"/>
      <c r="BD86" s="12"/>
      <c r="BE86" s="12"/>
      <c r="BF86" s="24"/>
      <c r="BG86" s="29"/>
      <c r="BH86" s="12"/>
      <c r="BI86" s="12"/>
      <c r="BK86" s="11">
        <v>83</v>
      </c>
      <c r="BL86" s="12"/>
      <c r="BM86" s="13"/>
      <c r="BN86" s="13"/>
      <c r="BP86" s="11">
        <v>83</v>
      </c>
      <c r="BQ86" s="12"/>
      <c r="BR86" s="13"/>
      <c r="BS86" s="13"/>
      <c r="BU86" s="11">
        <v>83</v>
      </c>
      <c r="BV86" s="12"/>
      <c r="BW86" s="12"/>
      <c r="BX86" s="12"/>
      <c r="BZ86" s="11">
        <v>83</v>
      </c>
      <c r="CA86" s="12"/>
      <c r="CC86" s="11">
        <v>83</v>
      </c>
      <c r="CD86" s="12"/>
    </row>
    <row r="87" spans="1:82">
      <c r="R87" s="11">
        <v>84</v>
      </c>
      <c r="S87" s="12"/>
      <c r="T87" s="13"/>
      <c r="U87" s="13"/>
      <c r="W87" s="11">
        <v>84</v>
      </c>
      <c r="X87" s="12"/>
      <c r="Y87" s="13"/>
      <c r="Z87" s="13"/>
      <c r="AB87" s="11">
        <v>84</v>
      </c>
      <c r="AC87" s="12"/>
      <c r="AD87" s="12"/>
      <c r="AE87" s="12"/>
      <c r="AG87" s="11">
        <v>84</v>
      </c>
      <c r="AH87" s="12"/>
      <c r="AI87" s="12"/>
      <c r="AJ87" s="12"/>
      <c r="AL87" s="11">
        <v>84</v>
      </c>
      <c r="AM87" s="12"/>
      <c r="AN87" s="12"/>
      <c r="AO87" s="12"/>
      <c r="AQ87" s="11">
        <v>84</v>
      </c>
      <c r="AR87" s="13"/>
      <c r="AS87" s="13"/>
      <c r="AT87" s="11">
        <v>84</v>
      </c>
      <c r="AU87" s="13"/>
      <c r="AW87" s="11">
        <v>84</v>
      </c>
      <c r="AX87" s="12"/>
      <c r="AY87" s="12"/>
      <c r="AZ87" s="12"/>
      <c r="BA87" s="12"/>
      <c r="BB87" s="12"/>
      <c r="BC87" s="12"/>
      <c r="BD87" s="12"/>
      <c r="BE87" s="12"/>
      <c r="BF87" s="24"/>
      <c r="BG87" s="29"/>
      <c r="BH87" s="12"/>
      <c r="BI87" s="12"/>
      <c r="BK87" s="11">
        <v>84</v>
      </c>
      <c r="BL87" s="12"/>
      <c r="BM87" s="13"/>
      <c r="BN87" s="13"/>
      <c r="BP87" s="11">
        <v>84</v>
      </c>
      <c r="BQ87" s="12"/>
      <c r="BR87" s="13"/>
      <c r="BS87" s="13"/>
      <c r="BU87" s="11">
        <v>84</v>
      </c>
      <c r="BV87" s="12"/>
      <c r="BW87" s="12"/>
      <c r="BX87" s="12"/>
      <c r="BZ87" s="11">
        <v>84</v>
      </c>
      <c r="CA87" s="12"/>
      <c r="CC87" s="11">
        <v>84</v>
      </c>
      <c r="CD87" s="12"/>
    </row>
    <row r="88" spans="1:82">
      <c r="R88" s="11">
        <v>85</v>
      </c>
      <c r="S88" s="12"/>
      <c r="T88" s="13"/>
      <c r="U88" s="13"/>
      <c r="W88" s="11">
        <v>85</v>
      </c>
      <c r="X88" s="12"/>
      <c r="Y88" s="13"/>
      <c r="Z88" s="13"/>
      <c r="AB88" s="11">
        <v>85</v>
      </c>
      <c r="AC88" s="12"/>
      <c r="AD88" s="12"/>
      <c r="AE88" s="12"/>
      <c r="AG88" s="11">
        <v>85</v>
      </c>
      <c r="AH88" s="12"/>
      <c r="AI88" s="12"/>
      <c r="AJ88" s="12"/>
      <c r="AL88" s="11">
        <v>85</v>
      </c>
      <c r="AM88" s="12"/>
      <c r="AN88" s="12"/>
      <c r="AO88" s="12"/>
      <c r="AQ88" s="11">
        <v>85</v>
      </c>
      <c r="AR88" s="13"/>
      <c r="AS88" s="13"/>
      <c r="AT88" s="11">
        <v>85</v>
      </c>
      <c r="AU88" s="13"/>
      <c r="AW88" s="11">
        <v>85</v>
      </c>
      <c r="AX88" s="12"/>
      <c r="AY88" s="12"/>
      <c r="AZ88" s="12"/>
      <c r="BA88" s="12"/>
      <c r="BB88" s="12"/>
      <c r="BC88" s="12"/>
      <c r="BD88" s="12"/>
      <c r="BE88" s="12"/>
      <c r="BF88" s="24"/>
      <c r="BG88" s="29"/>
      <c r="BH88" s="12"/>
      <c r="BI88" s="12"/>
      <c r="BK88" s="11">
        <v>85</v>
      </c>
      <c r="BL88" s="12"/>
      <c r="BM88" s="13"/>
      <c r="BN88" s="13"/>
      <c r="BP88" s="11">
        <v>85</v>
      </c>
      <c r="BQ88" s="12"/>
      <c r="BR88" s="13"/>
      <c r="BS88" s="13"/>
      <c r="BU88" s="11">
        <v>85</v>
      </c>
      <c r="BV88" s="12"/>
      <c r="BW88" s="12"/>
      <c r="BX88" s="12"/>
      <c r="BZ88" s="11">
        <v>85</v>
      </c>
      <c r="CA88" s="12"/>
      <c r="CC88" s="11">
        <v>85</v>
      </c>
      <c r="CD88" s="12"/>
    </row>
    <row r="89" spans="1:82">
      <c r="R89" s="11">
        <v>86</v>
      </c>
      <c r="S89" s="12"/>
      <c r="T89" s="13"/>
      <c r="U89" s="13"/>
      <c r="W89" s="11">
        <v>86</v>
      </c>
      <c r="X89" s="12"/>
      <c r="Y89" s="13"/>
      <c r="Z89" s="13"/>
      <c r="AB89" s="11">
        <v>86</v>
      </c>
      <c r="AC89" s="12"/>
      <c r="AD89" s="12"/>
      <c r="AE89" s="12"/>
      <c r="AG89" s="11">
        <v>86</v>
      </c>
      <c r="AH89" s="12"/>
      <c r="AI89" s="12"/>
      <c r="AJ89" s="12"/>
      <c r="AL89" s="11">
        <v>86</v>
      </c>
      <c r="AM89" s="12"/>
      <c r="AN89" s="12"/>
      <c r="AO89" s="12"/>
      <c r="AQ89" s="11">
        <v>86</v>
      </c>
      <c r="AR89" s="13"/>
      <c r="AS89" s="13"/>
      <c r="AT89" s="11">
        <v>86</v>
      </c>
      <c r="AU89" s="13"/>
      <c r="AW89" s="11">
        <v>86</v>
      </c>
      <c r="AX89" s="12"/>
      <c r="AY89" s="12"/>
      <c r="AZ89" s="12"/>
      <c r="BA89" s="12"/>
      <c r="BB89" s="12"/>
      <c r="BC89" s="12"/>
      <c r="BD89" s="12"/>
      <c r="BE89" s="12"/>
      <c r="BF89" s="24"/>
      <c r="BG89" s="29"/>
      <c r="BH89" s="12"/>
      <c r="BI89" s="12"/>
      <c r="BK89" s="11">
        <v>86</v>
      </c>
      <c r="BL89" s="12"/>
      <c r="BM89" s="13"/>
      <c r="BN89" s="13"/>
      <c r="BP89" s="11">
        <v>86</v>
      </c>
      <c r="BQ89" s="12"/>
      <c r="BR89" s="13"/>
      <c r="BS89" s="13"/>
      <c r="BU89" s="11">
        <v>86</v>
      </c>
      <c r="BV89" s="12"/>
      <c r="BW89" s="12"/>
      <c r="BX89" s="12"/>
      <c r="BZ89" s="11">
        <v>86</v>
      </c>
      <c r="CA89" s="12"/>
      <c r="CC89" s="11">
        <v>86</v>
      </c>
      <c r="CD89" s="12"/>
    </row>
    <row r="90" spans="1:82">
      <c r="R90" s="11">
        <v>87</v>
      </c>
      <c r="S90" s="12"/>
      <c r="T90" s="13"/>
      <c r="U90" s="13"/>
      <c r="W90" s="11">
        <v>87</v>
      </c>
      <c r="X90" s="12"/>
      <c r="Y90" s="13"/>
      <c r="Z90" s="13"/>
      <c r="AB90" s="11">
        <v>87</v>
      </c>
      <c r="AC90" s="12"/>
      <c r="AD90" s="12"/>
      <c r="AE90" s="12"/>
      <c r="AG90" s="11">
        <v>87</v>
      </c>
      <c r="AH90" s="12"/>
      <c r="AI90" s="12"/>
      <c r="AJ90" s="12"/>
      <c r="AL90" s="11">
        <v>87</v>
      </c>
      <c r="AM90" s="12"/>
      <c r="AN90" s="12"/>
      <c r="AO90" s="12"/>
      <c r="AQ90" s="11">
        <v>87</v>
      </c>
      <c r="AR90" s="13"/>
      <c r="AS90" s="13"/>
      <c r="AT90" s="11">
        <v>87</v>
      </c>
      <c r="AU90" s="13"/>
      <c r="AW90" s="11">
        <v>87</v>
      </c>
      <c r="AX90" s="12"/>
      <c r="AY90" s="12"/>
      <c r="AZ90" s="12"/>
      <c r="BA90" s="12"/>
      <c r="BB90" s="12"/>
      <c r="BC90" s="12"/>
      <c r="BD90" s="12"/>
      <c r="BE90" s="12"/>
      <c r="BF90" s="24"/>
      <c r="BG90" s="29"/>
      <c r="BH90" s="12"/>
      <c r="BI90" s="12"/>
      <c r="BK90" s="11">
        <v>87</v>
      </c>
      <c r="BL90" s="12"/>
      <c r="BM90" s="13"/>
      <c r="BN90" s="13"/>
      <c r="BP90" s="11">
        <v>87</v>
      </c>
      <c r="BQ90" s="12"/>
      <c r="BR90" s="13"/>
      <c r="BS90" s="13"/>
      <c r="BU90" s="11">
        <v>87</v>
      </c>
      <c r="BV90" s="12"/>
      <c r="BW90" s="12"/>
      <c r="BX90" s="12"/>
      <c r="BZ90" s="11">
        <v>87</v>
      </c>
      <c r="CA90" s="12"/>
      <c r="CC90" s="11">
        <v>87</v>
      </c>
      <c r="CD90" s="12"/>
    </row>
    <row r="91" spans="1:82">
      <c r="R91" s="11">
        <v>88</v>
      </c>
      <c r="S91" s="12"/>
      <c r="T91" s="13"/>
      <c r="U91" s="13"/>
      <c r="W91" s="11">
        <v>88</v>
      </c>
      <c r="X91" s="12"/>
      <c r="Y91" s="13"/>
      <c r="Z91" s="13"/>
      <c r="AB91" s="11">
        <v>88</v>
      </c>
      <c r="AC91" s="12"/>
      <c r="AD91" s="12"/>
      <c r="AE91" s="12"/>
      <c r="AG91" s="11">
        <v>88</v>
      </c>
      <c r="AH91" s="12"/>
      <c r="AI91" s="12"/>
      <c r="AJ91" s="12"/>
      <c r="AL91" s="11">
        <v>88</v>
      </c>
      <c r="AM91" s="12"/>
      <c r="AN91" s="12"/>
      <c r="AO91" s="12"/>
      <c r="AQ91" s="11">
        <v>88</v>
      </c>
      <c r="AR91" s="13"/>
      <c r="AS91" s="13"/>
      <c r="AT91" s="11">
        <v>88</v>
      </c>
      <c r="AU91" s="13"/>
      <c r="AW91" s="11">
        <v>88</v>
      </c>
      <c r="AX91" s="12"/>
      <c r="AY91" s="12"/>
      <c r="AZ91" s="12"/>
      <c r="BA91" s="12"/>
      <c r="BB91" s="12"/>
      <c r="BC91" s="12"/>
      <c r="BD91" s="12"/>
      <c r="BE91" s="12"/>
      <c r="BF91" s="24"/>
      <c r="BG91" s="29"/>
      <c r="BH91" s="12"/>
      <c r="BI91" s="12"/>
      <c r="BK91" s="11">
        <v>88</v>
      </c>
      <c r="BL91" s="12"/>
      <c r="BM91" s="13"/>
      <c r="BN91" s="13"/>
      <c r="BP91" s="11">
        <v>88</v>
      </c>
      <c r="BQ91" s="12"/>
      <c r="BR91" s="13"/>
      <c r="BS91" s="13"/>
      <c r="BU91" s="11">
        <v>88</v>
      </c>
      <c r="BV91" s="12"/>
      <c r="BW91" s="12"/>
      <c r="BX91" s="12"/>
      <c r="BZ91" s="11">
        <v>88</v>
      </c>
      <c r="CA91" s="12"/>
      <c r="CC91" s="11">
        <v>88</v>
      </c>
      <c r="CD91" s="12"/>
    </row>
    <row r="92" spans="1:82">
      <c r="R92" s="11">
        <v>89</v>
      </c>
      <c r="S92" s="12"/>
      <c r="T92" s="13"/>
      <c r="U92" s="13"/>
      <c r="W92" s="11">
        <v>89</v>
      </c>
      <c r="X92" s="12"/>
      <c r="Y92" s="13"/>
      <c r="Z92" s="13"/>
      <c r="AB92" s="11">
        <v>89</v>
      </c>
      <c r="AC92" s="12"/>
      <c r="AD92" s="12"/>
      <c r="AE92" s="12"/>
      <c r="AG92" s="11">
        <v>89</v>
      </c>
      <c r="AH92" s="12"/>
      <c r="AI92" s="12"/>
      <c r="AJ92" s="12"/>
      <c r="AL92" s="11">
        <v>89</v>
      </c>
      <c r="AM92" s="12"/>
      <c r="AN92" s="12"/>
      <c r="AO92" s="12"/>
      <c r="AQ92" s="11">
        <v>89</v>
      </c>
      <c r="AR92" s="13"/>
      <c r="AS92" s="13"/>
      <c r="AT92" s="11">
        <v>89</v>
      </c>
      <c r="AU92" s="13"/>
      <c r="AW92" s="11">
        <v>89</v>
      </c>
      <c r="AX92" s="12"/>
      <c r="AY92" s="12"/>
      <c r="AZ92" s="12"/>
      <c r="BA92" s="12"/>
      <c r="BB92" s="12"/>
      <c r="BC92" s="12"/>
      <c r="BD92" s="12"/>
      <c r="BE92" s="12"/>
      <c r="BF92" s="24"/>
      <c r="BG92" s="29"/>
      <c r="BH92" s="12"/>
      <c r="BI92" s="12"/>
      <c r="BK92" s="11">
        <v>89</v>
      </c>
      <c r="BL92" s="12"/>
      <c r="BM92" s="13"/>
      <c r="BN92" s="13"/>
      <c r="BP92" s="11">
        <v>89</v>
      </c>
      <c r="BQ92" s="12"/>
      <c r="BR92" s="13"/>
      <c r="BS92" s="13"/>
      <c r="BU92" s="11">
        <v>89</v>
      </c>
      <c r="BV92" s="12"/>
      <c r="BW92" s="12"/>
      <c r="BX92" s="12"/>
      <c r="BZ92" s="11">
        <v>89</v>
      </c>
      <c r="CA92" s="12"/>
      <c r="CC92" s="11">
        <v>89</v>
      </c>
      <c r="CD92" s="12"/>
    </row>
    <row r="93" spans="1:82">
      <c r="R93" s="11">
        <v>90</v>
      </c>
      <c r="S93" s="12"/>
      <c r="T93" s="13"/>
      <c r="U93" s="13"/>
      <c r="W93" s="11">
        <v>90</v>
      </c>
      <c r="X93" s="12"/>
      <c r="Y93" s="13"/>
      <c r="Z93" s="13"/>
      <c r="AB93" s="11">
        <v>90</v>
      </c>
      <c r="AC93" s="12"/>
      <c r="AD93" s="12"/>
      <c r="AE93" s="12"/>
      <c r="AG93" s="11">
        <v>90</v>
      </c>
      <c r="AH93" s="12"/>
      <c r="AI93" s="12"/>
      <c r="AJ93" s="12"/>
      <c r="AL93" s="11">
        <v>90</v>
      </c>
      <c r="AM93" s="12"/>
      <c r="AN93" s="12"/>
      <c r="AO93" s="12"/>
      <c r="AQ93" s="11">
        <v>90</v>
      </c>
      <c r="AR93" s="13"/>
      <c r="AS93" s="13"/>
      <c r="AT93" s="11">
        <v>90</v>
      </c>
      <c r="AU93" s="13"/>
      <c r="AW93" s="11">
        <v>90</v>
      </c>
      <c r="AX93" s="12"/>
      <c r="AY93" s="12"/>
      <c r="AZ93" s="12"/>
      <c r="BA93" s="12"/>
      <c r="BB93" s="12"/>
      <c r="BC93" s="12"/>
      <c r="BD93" s="12"/>
      <c r="BE93" s="12"/>
      <c r="BF93" s="24"/>
      <c r="BG93" s="29"/>
      <c r="BH93" s="12"/>
      <c r="BI93" s="12"/>
      <c r="BK93" s="11">
        <v>90</v>
      </c>
      <c r="BL93" s="12"/>
      <c r="BM93" s="13"/>
      <c r="BN93" s="13"/>
      <c r="BP93" s="11">
        <v>90</v>
      </c>
      <c r="BQ93" s="12"/>
      <c r="BR93" s="13"/>
      <c r="BS93" s="13"/>
      <c r="BU93" s="11">
        <v>90</v>
      </c>
      <c r="BV93" s="12"/>
      <c r="BW93" s="12"/>
      <c r="BX93" s="12"/>
      <c r="BZ93" s="11">
        <v>90</v>
      </c>
      <c r="CA93" s="12"/>
      <c r="CC93" s="11">
        <v>90</v>
      </c>
      <c r="CD93" s="12"/>
    </row>
    <row r="94" spans="1:82">
      <c r="R94" s="11">
        <v>91</v>
      </c>
      <c r="S94" s="12"/>
      <c r="T94" s="13"/>
      <c r="U94" s="13"/>
      <c r="W94" s="11">
        <v>91</v>
      </c>
      <c r="X94" s="12"/>
      <c r="Y94" s="13"/>
      <c r="Z94" s="13"/>
      <c r="AB94" s="11">
        <v>91</v>
      </c>
      <c r="AC94" s="12"/>
      <c r="AD94" s="12"/>
      <c r="AE94" s="12"/>
      <c r="AG94" s="11">
        <v>91</v>
      </c>
      <c r="AH94" s="12"/>
      <c r="AI94" s="12"/>
      <c r="AJ94" s="12"/>
      <c r="AL94" s="11">
        <v>91</v>
      </c>
      <c r="AM94" s="12"/>
      <c r="AN94" s="12"/>
      <c r="AO94" s="12"/>
      <c r="AQ94" s="11">
        <v>91</v>
      </c>
      <c r="AR94" s="13"/>
      <c r="AS94" s="13"/>
      <c r="AT94" s="11">
        <v>91</v>
      </c>
      <c r="AU94" s="13"/>
      <c r="AW94" s="11">
        <v>91</v>
      </c>
      <c r="AX94" s="12"/>
      <c r="AY94" s="12"/>
      <c r="AZ94" s="12"/>
      <c r="BA94" s="12"/>
      <c r="BB94" s="12"/>
      <c r="BC94" s="12"/>
      <c r="BD94" s="12"/>
      <c r="BE94" s="12"/>
      <c r="BF94" s="24"/>
      <c r="BG94" s="29"/>
      <c r="BH94" s="12"/>
      <c r="BI94" s="12"/>
      <c r="BK94" s="11">
        <v>91</v>
      </c>
      <c r="BL94" s="12"/>
      <c r="BM94" s="13"/>
      <c r="BN94" s="13"/>
      <c r="BP94" s="11">
        <v>91</v>
      </c>
      <c r="BQ94" s="12"/>
      <c r="BR94" s="13"/>
      <c r="BS94" s="13"/>
      <c r="BU94" s="11">
        <v>91</v>
      </c>
      <c r="BV94" s="12"/>
      <c r="BW94" s="12"/>
      <c r="BX94" s="12"/>
      <c r="BZ94" s="11">
        <v>91</v>
      </c>
      <c r="CA94" s="12"/>
      <c r="CC94" s="11">
        <v>91</v>
      </c>
      <c r="CD94" s="12"/>
    </row>
    <row r="95" spans="1:82">
      <c r="R95" s="11">
        <v>92</v>
      </c>
      <c r="S95" s="12"/>
      <c r="T95" s="13"/>
      <c r="U95" s="13"/>
      <c r="W95" s="11">
        <v>92</v>
      </c>
      <c r="X95" s="12"/>
      <c r="Y95" s="13"/>
      <c r="Z95" s="13"/>
      <c r="AB95" s="11">
        <v>92</v>
      </c>
      <c r="AC95" s="12"/>
      <c r="AD95" s="12"/>
      <c r="AE95" s="12"/>
      <c r="AG95" s="11">
        <v>92</v>
      </c>
      <c r="AH95" s="12"/>
      <c r="AI95" s="12"/>
      <c r="AJ95" s="12"/>
      <c r="AL95" s="11">
        <v>92</v>
      </c>
      <c r="AM95" s="12"/>
      <c r="AN95" s="12"/>
      <c r="AO95" s="12"/>
      <c r="AQ95" s="11">
        <v>92</v>
      </c>
      <c r="AR95" s="13"/>
      <c r="AS95" s="13"/>
      <c r="AT95" s="11">
        <v>92</v>
      </c>
      <c r="AU95" s="13"/>
      <c r="AW95" s="11">
        <v>92</v>
      </c>
      <c r="AX95" s="12"/>
      <c r="AY95" s="12"/>
      <c r="AZ95" s="12"/>
      <c r="BA95" s="12"/>
      <c r="BB95" s="12"/>
      <c r="BC95" s="12"/>
      <c r="BD95" s="12"/>
      <c r="BE95" s="12"/>
      <c r="BF95" s="24"/>
      <c r="BG95" s="29"/>
      <c r="BH95" s="12"/>
      <c r="BI95" s="12"/>
      <c r="BK95" s="11">
        <v>92</v>
      </c>
      <c r="BL95" s="12"/>
      <c r="BM95" s="13"/>
      <c r="BN95" s="13"/>
      <c r="BP95" s="11">
        <v>92</v>
      </c>
      <c r="BQ95" s="12"/>
      <c r="BR95" s="13"/>
      <c r="BS95" s="13"/>
      <c r="BU95" s="11">
        <v>92</v>
      </c>
      <c r="BV95" s="12"/>
      <c r="BW95" s="12"/>
      <c r="BX95" s="12"/>
      <c r="BZ95" s="11">
        <v>92</v>
      </c>
      <c r="CA95" s="12"/>
      <c r="CC95" s="11">
        <v>92</v>
      </c>
      <c r="CD95" s="12"/>
    </row>
    <row r="96" spans="1:82">
      <c r="R96" s="11">
        <v>93</v>
      </c>
      <c r="S96" s="12"/>
      <c r="T96" s="13"/>
      <c r="U96" s="13"/>
      <c r="W96" s="11">
        <v>93</v>
      </c>
      <c r="X96" s="12"/>
      <c r="Y96" s="13"/>
      <c r="Z96" s="13"/>
      <c r="AB96" s="11">
        <v>93</v>
      </c>
      <c r="AC96" s="12"/>
      <c r="AD96" s="12"/>
      <c r="AE96" s="12"/>
      <c r="AG96" s="11">
        <v>93</v>
      </c>
      <c r="AH96" s="12"/>
      <c r="AI96" s="12"/>
      <c r="AJ96" s="12"/>
      <c r="AL96" s="11">
        <v>93</v>
      </c>
      <c r="AM96" s="12"/>
      <c r="AN96" s="12"/>
      <c r="AO96" s="12"/>
      <c r="AQ96" s="11">
        <v>93</v>
      </c>
      <c r="AR96" s="13"/>
      <c r="AS96" s="13"/>
      <c r="AT96" s="11">
        <v>93</v>
      </c>
      <c r="AU96" s="13"/>
      <c r="AW96" s="11">
        <v>93</v>
      </c>
      <c r="AX96" s="12"/>
      <c r="AY96" s="12"/>
      <c r="AZ96" s="12"/>
      <c r="BA96" s="12"/>
      <c r="BB96" s="12"/>
      <c r="BC96" s="12"/>
      <c r="BD96" s="12"/>
      <c r="BE96" s="12"/>
      <c r="BF96" s="24"/>
      <c r="BG96" s="29"/>
      <c r="BH96" s="12"/>
      <c r="BI96" s="12"/>
      <c r="BK96" s="11">
        <v>93</v>
      </c>
      <c r="BL96" s="12"/>
      <c r="BM96" s="13"/>
      <c r="BN96" s="13"/>
      <c r="BP96" s="11">
        <v>93</v>
      </c>
      <c r="BQ96" s="12"/>
      <c r="BR96" s="13"/>
      <c r="BS96" s="13"/>
      <c r="BU96" s="11">
        <v>93</v>
      </c>
      <c r="BV96" s="12"/>
      <c r="BW96" s="12"/>
      <c r="BX96" s="12"/>
      <c r="BZ96" s="11">
        <v>93</v>
      </c>
      <c r="CA96" s="12"/>
      <c r="CC96" s="11">
        <v>93</v>
      </c>
      <c r="CD96" s="12"/>
    </row>
    <row r="97" spans="18:82">
      <c r="R97" s="11">
        <v>94</v>
      </c>
      <c r="S97" s="12"/>
      <c r="T97" s="13"/>
      <c r="U97" s="13"/>
      <c r="W97" s="11">
        <v>94</v>
      </c>
      <c r="X97" s="12"/>
      <c r="Y97" s="13"/>
      <c r="Z97" s="13"/>
      <c r="AB97" s="11">
        <v>94</v>
      </c>
      <c r="AC97" s="12"/>
      <c r="AD97" s="12"/>
      <c r="AE97" s="12"/>
      <c r="AG97" s="11">
        <v>94</v>
      </c>
      <c r="AH97" s="12"/>
      <c r="AI97" s="12"/>
      <c r="AJ97" s="12"/>
      <c r="AL97" s="11">
        <v>94</v>
      </c>
      <c r="AM97" s="12"/>
      <c r="AN97" s="12"/>
      <c r="AO97" s="12"/>
      <c r="AQ97" s="11">
        <v>94</v>
      </c>
      <c r="AR97" s="13"/>
      <c r="AS97" s="13"/>
      <c r="AT97" s="11">
        <v>94</v>
      </c>
      <c r="AU97" s="13"/>
      <c r="AW97" s="11">
        <v>94</v>
      </c>
      <c r="AX97" s="12"/>
      <c r="AY97" s="12"/>
      <c r="AZ97" s="12"/>
      <c r="BA97" s="12"/>
      <c r="BB97" s="12"/>
      <c r="BC97" s="12"/>
      <c r="BD97" s="12"/>
      <c r="BE97" s="12"/>
      <c r="BF97" s="24"/>
      <c r="BG97" s="29"/>
      <c r="BH97" s="12"/>
      <c r="BI97" s="12"/>
      <c r="BK97" s="11">
        <v>94</v>
      </c>
      <c r="BL97" s="12"/>
      <c r="BM97" s="13"/>
      <c r="BN97" s="13"/>
      <c r="BP97" s="11">
        <v>94</v>
      </c>
      <c r="BQ97" s="12"/>
      <c r="BR97" s="13"/>
      <c r="BS97" s="13"/>
      <c r="BU97" s="11">
        <v>94</v>
      </c>
      <c r="BV97" s="12"/>
      <c r="BW97" s="12"/>
      <c r="BX97" s="12"/>
      <c r="BZ97" s="11">
        <v>94</v>
      </c>
      <c r="CA97" s="12"/>
      <c r="CC97" s="11">
        <v>94</v>
      </c>
      <c r="CD97" s="12"/>
    </row>
    <row r="98" spans="18:82">
      <c r="R98" s="11">
        <v>95</v>
      </c>
      <c r="S98" s="12"/>
      <c r="T98" s="13"/>
      <c r="U98" s="13"/>
      <c r="W98" s="11">
        <v>95</v>
      </c>
      <c r="X98" s="12"/>
      <c r="Y98" s="13"/>
      <c r="Z98" s="13"/>
      <c r="AB98" s="11">
        <v>95</v>
      </c>
      <c r="AC98" s="12"/>
      <c r="AD98" s="12"/>
      <c r="AE98" s="12"/>
      <c r="AG98" s="11">
        <v>95</v>
      </c>
      <c r="AH98" s="12"/>
      <c r="AI98" s="12"/>
      <c r="AJ98" s="12"/>
      <c r="AL98" s="11">
        <v>95</v>
      </c>
      <c r="AM98" s="12"/>
      <c r="AN98" s="12"/>
      <c r="AO98" s="12"/>
      <c r="AQ98" s="11">
        <v>95</v>
      </c>
      <c r="AR98" s="13"/>
      <c r="AS98" s="13"/>
      <c r="AT98" s="11">
        <v>95</v>
      </c>
      <c r="AU98" s="13"/>
      <c r="AW98" s="11">
        <v>95</v>
      </c>
      <c r="AX98" s="12"/>
      <c r="AY98" s="12"/>
      <c r="AZ98" s="12"/>
      <c r="BA98" s="12"/>
      <c r="BB98" s="12"/>
      <c r="BC98" s="12"/>
      <c r="BD98" s="12"/>
      <c r="BE98" s="12"/>
      <c r="BF98" s="24"/>
      <c r="BG98" s="29"/>
      <c r="BH98" s="12"/>
      <c r="BI98" s="12"/>
      <c r="BK98" s="11">
        <v>95</v>
      </c>
      <c r="BL98" s="12"/>
      <c r="BM98" s="13"/>
      <c r="BN98" s="13"/>
      <c r="BP98" s="11">
        <v>95</v>
      </c>
      <c r="BQ98" s="12"/>
      <c r="BR98" s="13"/>
      <c r="BS98" s="13"/>
      <c r="BU98" s="11">
        <v>95</v>
      </c>
      <c r="BV98" s="12"/>
      <c r="BW98" s="12"/>
      <c r="BX98" s="12"/>
      <c r="BZ98" s="11">
        <v>95</v>
      </c>
      <c r="CA98" s="12"/>
      <c r="CC98" s="11">
        <v>95</v>
      </c>
      <c r="CD98" s="12"/>
    </row>
    <row r="99" spans="18:82">
      <c r="R99" s="11">
        <v>96</v>
      </c>
      <c r="S99" s="12"/>
      <c r="T99" s="13"/>
      <c r="U99" s="13"/>
      <c r="W99" s="11">
        <v>96</v>
      </c>
      <c r="X99" s="12"/>
      <c r="Y99" s="13"/>
      <c r="Z99" s="13"/>
      <c r="AB99" s="11">
        <v>96</v>
      </c>
      <c r="AC99" s="12"/>
      <c r="AD99" s="12"/>
      <c r="AE99" s="12"/>
      <c r="AG99" s="11">
        <v>96</v>
      </c>
      <c r="AH99" s="12"/>
      <c r="AI99" s="12"/>
      <c r="AJ99" s="12"/>
      <c r="AL99" s="11">
        <v>96</v>
      </c>
      <c r="AM99" s="12"/>
      <c r="AN99" s="12"/>
      <c r="AO99" s="12"/>
      <c r="AQ99" s="11">
        <v>96</v>
      </c>
      <c r="AR99" s="13"/>
      <c r="AS99" s="13"/>
      <c r="AT99" s="11">
        <v>96</v>
      </c>
      <c r="AU99" s="13"/>
      <c r="AW99" s="11">
        <v>96</v>
      </c>
      <c r="AX99" s="12"/>
      <c r="AY99" s="12"/>
      <c r="AZ99" s="12"/>
      <c r="BA99" s="12"/>
      <c r="BB99" s="12"/>
      <c r="BC99" s="12"/>
      <c r="BD99" s="12"/>
      <c r="BE99" s="12"/>
      <c r="BF99" s="24"/>
      <c r="BG99" s="29"/>
      <c r="BH99" s="12"/>
      <c r="BI99" s="12"/>
      <c r="BK99" s="11">
        <v>96</v>
      </c>
      <c r="BL99" s="12"/>
      <c r="BM99" s="13"/>
      <c r="BN99" s="13"/>
      <c r="BP99" s="11">
        <v>96</v>
      </c>
      <c r="BQ99" s="12"/>
      <c r="BR99" s="13"/>
      <c r="BS99" s="13"/>
      <c r="BU99" s="11">
        <v>96</v>
      </c>
      <c r="BV99" s="12"/>
      <c r="BW99" s="12"/>
      <c r="BX99" s="12"/>
      <c r="BZ99" s="11">
        <v>96</v>
      </c>
      <c r="CA99" s="12"/>
      <c r="CC99" s="11">
        <v>96</v>
      </c>
      <c r="CD99" s="12"/>
    </row>
    <row r="100" spans="18:82">
      <c r="R100" s="11">
        <v>97</v>
      </c>
      <c r="S100" s="12"/>
      <c r="T100" s="13"/>
      <c r="U100" s="13"/>
      <c r="W100" s="11">
        <v>97</v>
      </c>
      <c r="X100" s="12"/>
      <c r="Y100" s="13"/>
      <c r="Z100" s="13"/>
      <c r="AB100" s="11">
        <v>97</v>
      </c>
      <c r="AC100" s="12"/>
      <c r="AD100" s="12"/>
      <c r="AE100" s="12"/>
      <c r="AG100" s="11">
        <v>97</v>
      </c>
      <c r="AH100" s="12"/>
      <c r="AI100" s="12"/>
      <c r="AJ100" s="12"/>
      <c r="AL100" s="11">
        <v>97</v>
      </c>
      <c r="AM100" s="12"/>
      <c r="AN100" s="12"/>
      <c r="AO100" s="12"/>
      <c r="AQ100" s="11">
        <v>97</v>
      </c>
      <c r="AR100" s="13"/>
      <c r="AS100" s="13"/>
      <c r="AT100" s="11">
        <v>97</v>
      </c>
      <c r="AU100" s="13"/>
      <c r="AW100" s="11">
        <v>97</v>
      </c>
      <c r="AX100" s="12"/>
      <c r="AY100" s="12"/>
      <c r="AZ100" s="12"/>
      <c r="BA100" s="12"/>
      <c r="BB100" s="12"/>
      <c r="BC100" s="12"/>
      <c r="BD100" s="12"/>
      <c r="BE100" s="12"/>
      <c r="BF100" s="24"/>
      <c r="BG100" s="29"/>
      <c r="BH100" s="12"/>
      <c r="BI100" s="12"/>
      <c r="BK100" s="11">
        <v>97</v>
      </c>
      <c r="BL100" s="12"/>
      <c r="BM100" s="13"/>
      <c r="BN100" s="13"/>
      <c r="BP100" s="11">
        <v>97</v>
      </c>
      <c r="BQ100" s="12"/>
      <c r="BR100" s="13"/>
      <c r="BS100" s="13"/>
      <c r="BU100" s="11">
        <v>97</v>
      </c>
      <c r="BV100" s="12"/>
      <c r="BW100" s="12"/>
      <c r="BX100" s="12"/>
      <c r="BZ100" s="11">
        <v>97</v>
      </c>
      <c r="CA100" s="12"/>
      <c r="CC100" s="11">
        <v>97</v>
      </c>
      <c r="CD100" s="12"/>
    </row>
    <row r="101" spans="18:82">
      <c r="R101" s="11">
        <v>98</v>
      </c>
      <c r="S101" s="12"/>
      <c r="T101" s="13"/>
      <c r="U101" s="13"/>
      <c r="W101" s="11">
        <v>98</v>
      </c>
      <c r="X101" s="12"/>
      <c r="Y101" s="13"/>
      <c r="Z101" s="13"/>
      <c r="AB101" s="11">
        <v>98</v>
      </c>
      <c r="AC101" s="12"/>
      <c r="AD101" s="12"/>
      <c r="AE101" s="12"/>
      <c r="AG101" s="11">
        <v>98</v>
      </c>
      <c r="AH101" s="12"/>
      <c r="AI101" s="12"/>
      <c r="AJ101" s="12"/>
      <c r="AL101" s="11">
        <v>98</v>
      </c>
      <c r="AM101" s="12"/>
      <c r="AN101" s="12"/>
      <c r="AO101" s="12"/>
      <c r="AQ101" s="11">
        <v>98</v>
      </c>
      <c r="AR101" s="13"/>
      <c r="AS101" s="13"/>
      <c r="AT101" s="11">
        <v>98</v>
      </c>
      <c r="AU101" s="13"/>
      <c r="AW101" s="11">
        <v>98</v>
      </c>
      <c r="AX101" s="12"/>
      <c r="AY101" s="12"/>
      <c r="AZ101" s="12"/>
      <c r="BA101" s="12"/>
      <c r="BB101" s="12"/>
      <c r="BC101" s="12"/>
      <c r="BD101" s="12"/>
      <c r="BE101" s="12"/>
      <c r="BF101" s="24"/>
      <c r="BG101" s="29"/>
      <c r="BH101" s="12"/>
      <c r="BI101" s="12"/>
      <c r="BK101" s="11">
        <v>98</v>
      </c>
      <c r="BL101" s="12"/>
      <c r="BM101" s="13"/>
      <c r="BN101" s="13"/>
      <c r="BP101" s="11">
        <v>98</v>
      </c>
      <c r="BQ101" s="12"/>
      <c r="BR101" s="13"/>
      <c r="BS101" s="13"/>
      <c r="BU101" s="11">
        <v>98</v>
      </c>
      <c r="BV101" s="12"/>
      <c r="BW101" s="12"/>
      <c r="BX101" s="12"/>
      <c r="BZ101" s="11">
        <v>98</v>
      </c>
      <c r="CA101" s="12"/>
      <c r="CC101" s="11">
        <v>98</v>
      </c>
      <c r="CD101" s="12"/>
    </row>
    <row r="102" spans="18:82">
      <c r="R102" s="11">
        <v>99</v>
      </c>
      <c r="S102" s="12"/>
      <c r="T102" s="13"/>
      <c r="U102" s="13"/>
      <c r="W102" s="11">
        <v>99</v>
      </c>
      <c r="X102" s="12"/>
      <c r="Y102" s="13"/>
      <c r="Z102" s="13"/>
      <c r="AB102" s="11">
        <v>99</v>
      </c>
      <c r="AC102" s="12"/>
      <c r="AD102" s="12"/>
      <c r="AE102" s="12"/>
      <c r="AG102" s="11">
        <v>99</v>
      </c>
      <c r="AH102" s="12"/>
      <c r="AI102" s="12"/>
      <c r="AJ102" s="12"/>
      <c r="AL102" s="11">
        <v>99</v>
      </c>
      <c r="AM102" s="12"/>
      <c r="AN102" s="12"/>
      <c r="AO102" s="12"/>
      <c r="AQ102" s="11">
        <v>99</v>
      </c>
      <c r="AR102" s="13"/>
      <c r="AS102" s="13"/>
      <c r="AT102" s="11">
        <v>99</v>
      </c>
      <c r="AU102" s="13"/>
      <c r="AW102" s="11">
        <v>99</v>
      </c>
      <c r="AX102" s="12"/>
      <c r="AY102" s="12"/>
      <c r="AZ102" s="12"/>
      <c r="BA102" s="12"/>
      <c r="BB102" s="12"/>
      <c r="BC102" s="12"/>
      <c r="BD102" s="12"/>
      <c r="BE102" s="12"/>
      <c r="BF102" s="24"/>
      <c r="BG102" s="29"/>
      <c r="BH102" s="12"/>
      <c r="BI102" s="12"/>
      <c r="BK102" s="11">
        <v>99</v>
      </c>
      <c r="BL102" s="12"/>
      <c r="BM102" s="13"/>
      <c r="BN102" s="13"/>
      <c r="BP102" s="11">
        <v>99</v>
      </c>
      <c r="BQ102" s="12"/>
      <c r="BR102" s="13"/>
      <c r="BS102" s="13"/>
      <c r="BU102" s="11">
        <v>99</v>
      </c>
      <c r="BV102" s="12"/>
      <c r="BW102" s="12"/>
      <c r="BX102" s="12"/>
      <c r="BZ102" s="11">
        <v>99</v>
      </c>
      <c r="CA102" s="12"/>
      <c r="CC102" s="11">
        <v>99</v>
      </c>
      <c r="CD102" s="12"/>
    </row>
    <row r="103" spans="18:82">
      <c r="R103" s="11">
        <v>100</v>
      </c>
      <c r="S103" s="12"/>
      <c r="T103" s="13"/>
      <c r="U103" s="13"/>
      <c r="W103" s="11">
        <v>100</v>
      </c>
      <c r="X103" s="12"/>
      <c r="Y103" s="13"/>
      <c r="Z103" s="13"/>
      <c r="AB103" s="11">
        <v>100</v>
      </c>
      <c r="AC103" s="12"/>
      <c r="AD103" s="12"/>
      <c r="AE103" s="12"/>
      <c r="AG103" s="11">
        <v>100</v>
      </c>
      <c r="AH103" s="12"/>
      <c r="AI103" s="12"/>
      <c r="AJ103" s="12"/>
      <c r="AL103" s="11">
        <v>100</v>
      </c>
      <c r="AM103" s="12"/>
      <c r="AN103" s="12"/>
      <c r="AO103" s="12"/>
      <c r="AQ103" s="11">
        <v>100</v>
      </c>
      <c r="AR103" s="13"/>
      <c r="AS103" s="13"/>
      <c r="AT103" s="11">
        <v>100</v>
      </c>
      <c r="AU103" s="13"/>
      <c r="AW103" s="11">
        <v>100</v>
      </c>
      <c r="AX103" s="12"/>
      <c r="AY103" s="12"/>
      <c r="AZ103" s="12"/>
      <c r="BA103" s="12"/>
      <c r="BB103" s="12"/>
      <c r="BC103" s="12"/>
      <c r="BD103" s="12"/>
      <c r="BE103" s="12"/>
      <c r="BF103" s="24"/>
      <c r="BG103" s="29"/>
      <c r="BH103" s="12"/>
      <c r="BI103" s="12"/>
      <c r="BK103" s="11">
        <v>100</v>
      </c>
      <c r="BL103" s="12"/>
      <c r="BM103" s="13"/>
      <c r="BN103" s="13"/>
      <c r="BP103" s="11">
        <v>100</v>
      </c>
      <c r="BQ103" s="12"/>
      <c r="BR103" s="13"/>
      <c r="BS103" s="13"/>
      <c r="BU103" s="11">
        <v>100</v>
      </c>
      <c r="BV103" s="12"/>
      <c r="BW103" s="12"/>
      <c r="BX103" s="12"/>
      <c r="BZ103" s="11">
        <v>100</v>
      </c>
      <c r="CA103" s="12"/>
      <c r="CC103" s="11">
        <v>100</v>
      </c>
      <c r="CD103" s="12"/>
    </row>
    <row r="111" spans="18:82">
      <c r="U111"/>
      <c r="AC111"/>
      <c r="AD111"/>
      <c r="AE111"/>
    </row>
    <row r="112" spans="18:82">
      <c r="U112" s="15"/>
      <c r="V112" s="15"/>
      <c r="W112" s="15"/>
      <c r="X112" s="15"/>
      <c r="Y112" s="15"/>
      <c r="Z112" s="15"/>
      <c r="AA112" s="15"/>
      <c r="AB112" s="15"/>
      <c r="AC112" s="15"/>
      <c r="AD112" s="15"/>
      <c r="AE112" s="15"/>
      <c r="AF112" s="15"/>
      <c r="AP112" s="15"/>
    </row>
    <row r="113" spans="9:42">
      <c r="V113" s="16"/>
      <c r="W113" s="16"/>
      <c r="X113" s="16"/>
      <c r="Y113" s="16"/>
      <c r="Z113" s="16"/>
      <c r="AA113" s="16"/>
      <c r="AB113" s="16"/>
      <c r="AF113" s="16"/>
      <c r="AP113" s="16"/>
    </row>
    <row r="126" spans="9:42">
      <c r="I126" s="34"/>
    </row>
  </sheetData>
  <mergeCells count="2">
    <mergeCell ref="J2:N2"/>
    <mergeCell ref="L5:N5"/>
  </mergeCells>
  <phoneticPr fontId="1" type="noConversion"/>
  <conditionalFormatting sqref="AA113 AP113">
    <cfRule type="cellIs" dxfId="923" priority="301" operator="equal">
      <formula>"E"</formula>
    </cfRule>
  </conditionalFormatting>
  <conditionalFormatting sqref="J13">
    <cfRule type="dataBar" priority="29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{0BFFB05E-5AE0-4D1E-B9DF-B0420D938C43}</x14:id>
        </ext>
      </extLst>
    </cfRule>
  </conditionalFormatting>
  <conditionalFormatting sqref="BA3:BA12 BA43:BA103">
    <cfRule type="cellIs" dxfId="922" priority="230" operator="equal">
      <formula>"E"</formula>
    </cfRule>
  </conditionalFormatting>
  <conditionalFormatting sqref="AZ2">
    <cfRule type="cellIs" dxfId="921" priority="231" operator="equal">
      <formula>"E"</formula>
    </cfRule>
  </conditionalFormatting>
  <conditionalFormatting sqref="BI2">
    <cfRule type="cellIs" dxfId="920" priority="191" operator="equal">
      <formula>"E"</formula>
    </cfRule>
  </conditionalFormatting>
  <conditionalFormatting sqref="BA2">
    <cfRule type="cellIs" dxfId="919" priority="229" operator="equal">
      <formula>"E"</formula>
    </cfRule>
  </conditionalFormatting>
  <conditionalFormatting sqref="BB43:BB103">
    <cfRule type="cellIs" dxfId="918" priority="228" operator="equal">
      <formula>"E"</formula>
    </cfRule>
  </conditionalFormatting>
  <conditionalFormatting sqref="BB2">
    <cfRule type="cellIs" dxfId="917" priority="227" operator="equal">
      <formula>"E"</formula>
    </cfRule>
  </conditionalFormatting>
  <conditionalFormatting sqref="BC43:BC103">
    <cfRule type="cellIs" dxfId="916" priority="226" operator="equal">
      <formula>"E"</formula>
    </cfRule>
  </conditionalFormatting>
  <conditionalFormatting sqref="BC2">
    <cfRule type="cellIs" dxfId="915" priority="225" operator="equal">
      <formula>"E"</formula>
    </cfRule>
  </conditionalFormatting>
  <conditionalFormatting sqref="BD43:BD103">
    <cfRule type="cellIs" dxfId="914" priority="224" operator="equal">
      <formula>"E"</formula>
    </cfRule>
  </conditionalFormatting>
  <conditionalFormatting sqref="BD2">
    <cfRule type="cellIs" dxfId="913" priority="223" operator="equal">
      <formula>"E"</formula>
    </cfRule>
  </conditionalFormatting>
  <conditionalFormatting sqref="BE43:BE103">
    <cfRule type="cellIs" dxfId="912" priority="222" operator="equal">
      <formula>"E"</formula>
    </cfRule>
  </conditionalFormatting>
  <conditionalFormatting sqref="BE2">
    <cfRule type="cellIs" dxfId="911" priority="221" operator="equal">
      <formula>"E"</formula>
    </cfRule>
  </conditionalFormatting>
  <conditionalFormatting sqref="BF43:BF103">
    <cfRule type="cellIs" dxfId="910" priority="220" operator="equal">
      <formula>"E"</formula>
    </cfRule>
  </conditionalFormatting>
  <conditionalFormatting sqref="BF2">
    <cfRule type="cellIs" dxfId="909" priority="219" operator="equal">
      <formula>"E"</formula>
    </cfRule>
  </conditionalFormatting>
  <conditionalFormatting sqref="BB3:BB12">
    <cfRule type="cellIs" dxfId="908" priority="218" operator="equal">
      <formula>"E"</formula>
    </cfRule>
  </conditionalFormatting>
  <conditionalFormatting sqref="BE3:BE12">
    <cfRule type="cellIs" dxfId="907" priority="217" operator="equal">
      <formula>"E"</formula>
    </cfRule>
  </conditionalFormatting>
  <conditionalFormatting sqref="BF3:BF12">
    <cfRule type="cellIs" dxfId="906" priority="216" operator="equal">
      <formula>"E"</formula>
    </cfRule>
  </conditionalFormatting>
  <conditionalFormatting sqref="BG43:BG103">
    <cfRule type="cellIs" dxfId="905" priority="215" operator="equal">
      <formula>"E"</formula>
    </cfRule>
  </conditionalFormatting>
  <conditionalFormatting sqref="BG2">
    <cfRule type="cellIs" dxfId="904" priority="214" operator="equal">
      <formula>"E"</formula>
    </cfRule>
  </conditionalFormatting>
  <conditionalFormatting sqref="BG3:BG12">
    <cfRule type="cellIs" dxfId="903" priority="213" operator="equal">
      <formula>"E"</formula>
    </cfRule>
  </conditionalFormatting>
  <conditionalFormatting sqref="BH43:BH103">
    <cfRule type="cellIs" dxfId="902" priority="212" operator="equal">
      <formula>"E"</formula>
    </cfRule>
  </conditionalFormatting>
  <conditionalFormatting sqref="BH2">
    <cfRule type="cellIs" dxfId="901" priority="211" operator="equal">
      <formula>"E"</formula>
    </cfRule>
  </conditionalFormatting>
  <conditionalFormatting sqref="BH3:BH12">
    <cfRule type="cellIs" dxfId="900" priority="210" operator="equal">
      <formula>"E"</formula>
    </cfRule>
  </conditionalFormatting>
  <conditionalFormatting sqref="AX3:AX103">
    <cfRule type="cellIs" dxfId="899" priority="194" operator="equal">
      <formula>"E"</formula>
    </cfRule>
  </conditionalFormatting>
  <conditionalFormatting sqref="AX2">
    <cfRule type="cellIs" dxfId="898" priority="193" operator="equal">
      <formula>"E"</formula>
    </cfRule>
  </conditionalFormatting>
  <conditionalFormatting sqref="BI43:BI103">
    <cfRule type="cellIs" dxfId="897" priority="192" operator="equal">
      <formula>"E"</formula>
    </cfRule>
  </conditionalFormatting>
  <conditionalFormatting sqref="BA13:BA22">
    <cfRule type="cellIs" dxfId="896" priority="178" operator="equal">
      <formula>"E"</formula>
    </cfRule>
  </conditionalFormatting>
  <conditionalFormatting sqref="BH13:BH22">
    <cfRule type="cellIs" dxfId="895" priority="173" operator="equal">
      <formula>"E"</formula>
    </cfRule>
  </conditionalFormatting>
  <conditionalFormatting sqref="BE23:BE32">
    <cfRule type="cellIs" dxfId="894" priority="168" operator="equal">
      <formula>"E"</formula>
    </cfRule>
  </conditionalFormatting>
  <conditionalFormatting sqref="AZ33:AZ42">
    <cfRule type="cellIs" dxfId="893" priority="163" operator="equal">
      <formula>"E"</formula>
    </cfRule>
  </conditionalFormatting>
  <conditionalFormatting sqref="BA33:BA42">
    <cfRule type="cellIs" dxfId="892" priority="162" operator="equal">
      <formula>"E"</formula>
    </cfRule>
  </conditionalFormatting>
  <conditionalFormatting sqref="BB33:BB42">
    <cfRule type="cellIs" dxfId="891" priority="161" operator="equal">
      <formula>"E"</formula>
    </cfRule>
  </conditionalFormatting>
  <conditionalFormatting sqref="BE33:BE42">
    <cfRule type="cellIs" dxfId="890" priority="160" operator="equal">
      <formula>"E"</formula>
    </cfRule>
  </conditionalFormatting>
  <conditionalFormatting sqref="CD3:CD1048576">
    <cfRule type="cellIs" dxfId="889" priority="147" operator="equal">
      <formula>"E"</formula>
    </cfRule>
  </conditionalFormatting>
  <conditionalFormatting sqref="CD2">
    <cfRule type="cellIs" dxfId="888" priority="144" operator="equal">
      <formula>"E"</formula>
    </cfRule>
  </conditionalFormatting>
  <conditionalFormatting sqref="BC23:BC32">
    <cfRule type="cellIs" dxfId="887" priority="141" operator="equal">
      <formula>"E"</formula>
    </cfRule>
  </conditionalFormatting>
  <conditionalFormatting sqref="BC33:BC42">
    <cfRule type="cellIs" dxfId="886" priority="140" operator="equal">
      <formula>"E"</formula>
    </cfRule>
  </conditionalFormatting>
  <conditionalFormatting sqref="BD3:BD12">
    <cfRule type="cellIs" dxfId="885" priority="139" operator="equal">
      <formula>"E"</formula>
    </cfRule>
  </conditionalFormatting>
  <conditionalFormatting sqref="AW1">
    <cfRule type="cellIs" dxfId="884" priority="239" operator="equal">
      <formula>"E"</formula>
    </cfRule>
  </conditionalFormatting>
  <conditionalFormatting sqref="AY3:AY103">
    <cfRule type="cellIs" dxfId="883" priority="238" operator="equal">
      <formula>"E"</formula>
    </cfRule>
  </conditionalFormatting>
  <conditionalFormatting sqref="AY2">
    <cfRule type="cellIs" dxfId="882" priority="237" operator="equal">
      <formula>"E"</formula>
    </cfRule>
  </conditionalFormatting>
  <conditionalFormatting sqref="AW2:AW70">
    <cfRule type="cellIs" dxfId="881" priority="235" stopIfTrue="1" operator="equal">
      <formula>"WW"</formula>
    </cfRule>
    <cfRule type="cellIs" dxfId="880" priority="236" stopIfTrue="1" operator="equal">
      <formula>"C2"</formula>
    </cfRule>
  </conditionalFormatting>
  <conditionalFormatting sqref="AZ3:AZ12 AZ43:AZ103">
    <cfRule type="cellIs" dxfId="879" priority="232" operator="equal">
      <formula>"E"</formula>
    </cfRule>
  </conditionalFormatting>
  <conditionalFormatting sqref="BI3:BI12">
    <cfRule type="cellIs" dxfId="878" priority="180" operator="equal">
      <formula>"E"</formula>
    </cfRule>
  </conditionalFormatting>
  <conditionalFormatting sqref="AZ13:AZ22">
    <cfRule type="cellIs" dxfId="877" priority="179" operator="equal">
      <formula>"E"</formula>
    </cfRule>
  </conditionalFormatting>
  <conditionalFormatting sqref="BB13:BB22">
    <cfRule type="cellIs" dxfId="876" priority="177" operator="equal">
      <formula>"E"</formula>
    </cfRule>
  </conditionalFormatting>
  <conditionalFormatting sqref="BF13:BF22">
    <cfRule type="cellIs" dxfId="875" priority="175" operator="equal">
      <formula>"E"</formula>
    </cfRule>
  </conditionalFormatting>
  <conditionalFormatting sqref="BE13:BE22">
    <cfRule type="cellIs" dxfId="874" priority="176" operator="equal">
      <formula>"E"</formula>
    </cfRule>
  </conditionalFormatting>
  <conditionalFormatting sqref="BG13:BG22">
    <cfRule type="cellIs" dxfId="873" priority="174" operator="equal">
      <formula>"E"</formula>
    </cfRule>
  </conditionalFormatting>
  <conditionalFormatting sqref="BI13:BI22">
    <cfRule type="cellIs" dxfId="872" priority="172" operator="equal">
      <formula>"E"</formula>
    </cfRule>
  </conditionalFormatting>
  <conditionalFormatting sqref="AZ23:AZ32">
    <cfRule type="cellIs" dxfId="871" priority="171" operator="equal">
      <formula>"E"</formula>
    </cfRule>
  </conditionalFormatting>
  <conditionalFormatting sqref="BA23:BA32">
    <cfRule type="cellIs" dxfId="870" priority="170" operator="equal">
      <formula>"E"</formula>
    </cfRule>
  </conditionalFormatting>
  <conditionalFormatting sqref="BB23:BB32">
    <cfRule type="cellIs" dxfId="869" priority="169" operator="equal">
      <formula>"E"</formula>
    </cfRule>
  </conditionalFormatting>
  <conditionalFormatting sqref="BH23:BH32">
    <cfRule type="cellIs" dxfId="868" priority="165" operator="equal">
      <formula>"E"</formula>
    </cfRule>
  </conditionalFormatting>
  <conditionalFormatting sqref="BF23:BF32">
    <cfRule type="cellIs" dxfId="867" priority="167" operator="equal">
      <formula>"E"</formula>
    </cfRule>
  </conditionalFormatting>
  <conditionalFormatting sqref="BG23:BG32">
    <cfRule type="cellIs" dxfId="866" priority="166" operator="equal">
      <formula>"E"</formula>
    </cfRule>
  </conditionalFormatting>
  <conditionalFormatting sqref="BI23:BI32">
    <cfRule type="cellIs" dxfId="865" priority="164" operator="equal">
      <formula>"E"</formula>
    </cfRule>
  </conditionalFormatting>
  <conditionalFormatting sqref="BH33:BH42">
    <cfRule type="cellIs" dxfId="864" priority="157" operator="equal">
      <formula>"E"</formula>
    </cfRule>
  </conditionalFormatting>
  <conditionalFormatting sqref="BF33:BF42">
    <cfRule type="cellIs" dxfId="863" priority="159" operator="equal">
      <formula>"E"</formula>
    </cfRule>
  </conditionalFormatting>
  <conditionalFormatting sqref="BG33:BG42">
    <cfRule type="cellIs" dxfId="862" priority="158" operator="equal">
      <formula>"E"</formula>
    </cfRule>
  </conditionalFormatting>
  <conditionalFormatting sqref="BI33:BI42">
    <cfRule type="cellIs" dxfId="861" priority="156" operator="equal">
      <formula>"E"</formula>
    </cfRule>
  </conditionalFormatting>
  <conditionalFormatting sqref="CC1">
    <cfRule type="cellIs" dxfId="860" priority="148" operator="equal">
      <formula>"E"</formula>
    </cfRule>
  </conditionalFormatting>
  <conditionalFormatting sqref="CC2:CC70">
    <cfRule type="cellIs" dxfId="859" priority="145" stopIfTrue="1" operator="equal">
      <formula>"WW"</formula>
    </cfRule>
    <cfRule type="cellIs" dxfId="858" priority="146" stopIfTrue="1" operator="equal">
      <formula>"C2"</formula>
    </cfRule>
  </conditionalFormatting>
  <conditionalFormatting sqref="BC3:BC12">
    <cfRule type="cellIs" dxfId="857" priority="143" operator="equal">
      <formula>"E"</formula>
    </cfRule>
  </conditionalFormatting>
  <conditionalFormatting sqref="BC13:BC22">
    <cfRule type="cellIs" dxfId="856" priority="142" operator="equal">
      <formula>"E"</formula>
    </cfRule>
  </conditionalFormatting>
  <conditionalFormatting sqref="BD13:BD22">
    <cfRule type="cellIs" dxfId="855" priority="138" operator="equal">
      <formula>"E"</formula>
    </cfRule>
  </conditionalFormatting>
  <conditionalFormatting sqref="BD23:BD32">
    <cfRule type="cellIs" dxfId="854" priority="137" operator="equal">
      <formula>"E"</formula>
    </cfRule>
  </conditionalFormatting>
  <conditionalFormatting sqref="BD33:BD42">
    <cfRule type="cellIs" dxfId="853" priority="136" operator="equal">
      <formula>"E"</formula>
    </cfRule>
  </conditionalFormatting>
  <conditionalFormatting sqref="T3:T52">
    <cfRule type="cellIs" dxfId="852" priority="90" operator="equal">
      <formula>"E"</formula>
    </cfRule>
  </conditionalFormatting>
  <conditionalFormatting sqref="R1:R70">
    <cfRule type="cellIs" dxfId="851" priority="112" stopIfTrue="1" operator="equal">
      <formula>"WW"</formula>
    </cfRule>
    <cfRule type="cellIs" dxfId="850" priority="113" stopIfTrue="1" operator="equal">
      <formula>"C2"</formula>
    </cfRule>
  </conditionalFormatting>
  <conditionalFormatting sqref="S1:U2 S114:U1048576 S111:T113 S53:U110 S3:S52 U39:U52 X2:Z103">
    <cfRule type="cellIs" dxfId="849" priority="107" operator="equal">
      <formula>"E"</formula>
    </cfRule>
  </conditionalFormatting>
  <conditionalFormatting sqref="U3:U38">
    <cfRule type="cellIs" dxfId="848" priority="95" operator="equal">
      <formula>"E"</formula>
    </cfRule>
  </conditionalFormatting>
  <conditionalFormatting sqref="U113:Z113">
    <cfRule type="cellIs" dxfId="847" priority="100" operator="equal">
      <formula>"E"</formula>
    </cfRule>
  </conditionalFormatting>
  <conditionalFormatting sqref="S53:U103 S3:S52 U39:U52 Y3:Z52">
    <cfRule type="cellIs" dxfId="846" priority="108" operator="equal">
      <formula>"M4"</formula>
    </cfRule>
    <cfRule type="cellIs" dxfId="845" priority="109" operator="equal">
      <formula>"M3"</formula>
    </cfRule>
    <cfRule type="cellIs" dxfId="844" priority="110" operator="equal">
      <formula>"M2"</formula>
    </cfRule>
    <cfRule type="cellIs" dxfId="843" priority="111" operator="equal">
      <formula>"M1"</formula>
    </cfRule>
  </conditionalFormatting>
  <conditionalFormatting sqref="W2:W70">
    <cfRule type="cellIs" dxfId="842" priority="105" stopIfTrue="1" operator="equal">
      <formula>"WW"</formula>
    </cfRule>
    <cfRule type="cellIs" dxfId="841" priority="106" stopIfTrue="1" operator="equal">
      <formula>"C2"</formula>
    </cfRule>
  </conditionalFormatting>
  <conditionalFormatting sqref="X3:Z103">
    <cfRule type="cellIs" dxfId="840" priority="101" operator="equal">
      <formula>"M4"</formula>
    </cfRule>
    <cfRule type="cellIs" dxfId="839" priority="102" operator="equal">
      <formula>"M3"</formula>
    </cfRule>
    <cfRule type="cellIs" dxfId="838" priority="103" operator="equal">
      <formula>"M2"</formula>
    </cfRule>
    <cfRule type="cellIs" dxfId="837" priority="104" operator="equal">
      <formula>"M1"</formula>
    </cfRule>
  </conditionalFormatting>
  <conditionalFormatting sqref="U3:U38">
    <cfRule type="cellIs" dxfId="836" priority="96" operator="equal">
      <formula>"M4"</formula>
    </cfRule>
    <cfRule type="cellIs" dxfId="835" priority="97" operator="equal">
      <formula>"M3"</formula>
    </cfRule>
    <cfRule type="cellIs" dxfId="834" priority="98" operator="equal">
      <formula>"M2"</formula>
    </cfRule>
    <cfRule type="cellIs" dxfId="833" priority="99" operator="equal">
      <formula>"M1"</formula>
    </cfRule>
  </conditionalFormatting>
  <conditionalFormatting sqref="T3:T52">
    <cfRule type="cellIs" dxfId="832" priority="91" operator="equal">
      <formula>"M4"</formula>
    </cfRule>
    <cfRule type="cellIs" dxfId="831" priority="92" operator="equal">
      <formula>"M3"</formula>
    </cfRule>
    <cfRule type="cellIs" dxfId="830" priority="93" operator="equal">
      <formula>"M2"</formula>
    </cfRule>
    <cfRule type="cellIs" dxfId="829" priority="94" operator="equal">
      <formula>"M1"</formula>
    </cfRule>
  </conditionalFormatting>
  <conditionalFormatting sqref="AS39:AS103 AU2:AU42 AR1:AR1048576">
    <cfRule type="cellIs" dxfId="828" priority="84" operator="equal">
      <formula>"E"</formula>
    </cfRule>
  </conditionalFormatting>
  <conditionalFormatting sqref="AT1">
    <cfRule type="cellIs" dxfId="827" priority="62" operator="equal">
      <formula>"E"</formula>
    </cfRule>
  </conditionalFormatting>
  <conditionalFormatting sqref="AQ1">
    <cfRule type="cellIs" dxfId="826" priority="63" operator="equal">
      <formula>"E"</formula>
    </cfRule>
  </conditionalFormatting>
  <conditionalFormatting sqref="AU3:AU42">
    <cfRule type="cellIs" dxfId="825" priority="86" operator="equal">
      <formula>"M4"</formula>
    </cfRule>
    <cfRule type="cellIs" dxfId="824" priority="87" operator="equal">
      <formula>"M3"</formula>
    </cfRule>
    <cfRule type="cellIs" dxfId="823" priority="88" operator="equal">
      <formula>"M2"</formula>
    </cfRule>
    <cfRule type="cellIs" dxfId="822" priority="89" operator="equal">
      <formula>"M1"</formula>
    </cfRule>
  </conditionalFormatting>
  <conditionalFormatting sqref="AS39:AS103 AU3:AU42 AR3:AR103">
    <cfRule type="cellIs" dxfId="821" priority="73" operator="equal">
      <formula>"RE"</formula>
    </cfRule>
    <cfRule type="cellIs" dxfId="820" priority="74" operator="equal">
      <formula>"3000"</formula>
    </cfRule>
    <cfRule type="cellIs" dxfId="819" priority="75" operator="equal">
      <formula>"300"</formula>
    </cfRule>
    <cfRule type="cellIs" dxfId="818" priority="76" operator="equal">
      <formula>"100"</formula>
    </cfRule>
    <cfRule type="cellIs" dxfId="817" priority="77" operator="equal">
      <formula>"50"</formula>
    </cfRule>
    <cfRule type="cellIs" dxfId="816" priority="78" operator="equal">
      <formula>"40"</formula>
    </cfRule>
    <cfRule type="cellIs" dxfId="815" priority="79" operator="equal">
      <formula>"20"</formula>
    </cfRule>
  </conditionalFormatting>
  <conditionalFormatting sqref="AR1 AR104:AR1048576">
    <cfRule type="cellIs" dxfId="814" priority="80" operator="equal">
      <formula>"M4"</formula>
    </cfRule>
    <cfRule type="cellIs" dxfId="813" priority="81" operator="equal">
      <formula>"M3"</formula>
    </cfRule>
    <cfRule type="cellIs" dxfId="812" priority="82" operator="equal">
      <formula>"M1"</formula>
    </cfRule>
    <cfRule type="cellIs" dxfId="811" priority="83" operator="equal">
      <formula>"M2"</formula>
    </cfRule>
    <cfRule type="cellIs" dxfId="810" priority="85" stopIfTrue="1" operator="between">
      <formula>"C1"</formula>
      <formula>"C2"</formula>
    </cfRule>
  </conditionalFormatting>
  <conditionalFormatting sqref="AQ2:AQ70">
    <cfRule type="cellIs" dxfId="809" priority="71" stopIfTrue="1" operator="equal">
      <formula>"WW"</formula>
    </cfRule>
    <cfRule type="cellIs" dxfId="808" priority="72" stopIfTrue="1" operator="equal">
      <formula>"C2"</formula>
    </cfRule>
  </conditionalFormatting>
  <conditionalFormatting sqref="AT2:AT70">
    <cfRule type="cellIs" dxfId="807" priority="69" stopIfTrue="1" operator="equal">
      <formula>"WW"</formula>
    </cfRule>
    <cfRule type="cellIs" dxfId="806" priority="70" stopIfTrue="1" operator="equal">
      <formula>"C2"</formula>
    </cfRule>
  </conditionalFormatting>
  <conditionalFormatting sqref="AU43:AU103">
    <cfRule type="cellIs" dxfId="805" priority="68" operator="equal">
      <formula>"E"</formula>
    </cfRule>
  </conditionalFormatting>
  <conditionalFormatting sqref="AU43:AU103">
    <cfRule type="cellIs" dxfId="804" priority="64" operator="equal">
      <formula>"M4"</formula>
    </cfRule>
    <cfRule type="cellIs" dxfId="803" priority="65" operator="equal">
      <formula>"M3"</formula>
    </cfRule>
    <cfRule type="cellIs" dxfId="802" priority="66" operator="equal">
      <formula>"M2"</formula>
    </cfRule>
    <cfRule type="cellIs" dxfId="801" priority="67" operator="equal">
      <formula>"M1"</formula>
    </cfRule>
  </conditionalFormatting>
  <conditionalFormatting sqref="BL3:BL52 BN39:BN52">
    <cfRule type="cellIs" dxfId="800" priority="44" operator="equal">
      <formula>"E"</formula>
    </cfRule>
  </conditionalFormatting>
  <conditionalFormatting sqref="BN3:BN38">
    <cfRule type="cellIs" dxfId="799" priority="39" operator="equal">
      <formula>"E"</formula>
    </cfRule>
  </conditionalFormatting>
  <conditionalFormatting sqref="BL1:BN2 BL53:BN1048576 BQ2:BS103">
    <cfRule type="cellIs" dxfId="798" priority="55" operator="equal">
      <formula>"E"</formula>
    </cfRule>
  </conditionalFormatting>
  <conditionalFormatting sqref="BK1:BK70">
    <cfRule type="cellIs" dxfId="797" priority="60" stopIfTrue="1" operator="equal">
      <formula>"WW"</formula>
    </cfRule>
    <cfRule type="cellIs" dxfId="796" priority="61" stopIfTrue="1" operator="equal">
      <formula>"C2"</formula>
    </cfRule>
  </conditionalFormatting>
  <conditionalFormatting sqref="BL53:BN103 BR3:BS52">
    <cfRule type="cellIs" dxfId="795" priority="56" operator="equal">
      <formula>"M4"</formula>
    </cfRule>
    <cfRule type="cellIs" dxfId="794" priority="57" operator="equal">
      <formula>"M3"</formula>
    </cfRule>
    <cfRule type="cellIs" dxfId="793" priority="58" operator="equal">
      <formula>"M2"</formula>
    </cfRule>
    <cfRule type="cellIs" dxfId="792" priority="59" operator="equal">
      <formula>"M1"</formula>
    </cfRule>
  </conditionalFormatting>
  <conditionalFormatting sqref="BP2:BP70">
    <cfRule type="cellIs" dxfId="791" priority="53" stopIfTrue="1" operator="equal">
      <formula>"WW"</formula>
    </cfRule>
    <cfRule type="cellIs" dxfId="790" priority="54" stopIfTrue="1" operator="equal">
      <formula>"C2"</formula>
    </cfRule>
  </conditionalFormatting>
  <conditionalFormatting sqref="BQ3:BS103">
    <cfRule type="cellIs" dxfId="789" priority="49" operator="equal">
      <formula>"M4"</formula>
    </cfRule>
    <cfRule type="cellIs" dxfId="788" priority="50" operator="equal">
      <formula>"M3"</formula>
    </cfRule>
    <cfRule type="cellIs" dxfId="787" priority="51" operator="equal">
      <formula>"M2"</formula>
    </cfRule>
    <cfRule type="cellIs" dxfId="786" priority="52" operator="equal">
      <formula>"M1"</formula>
    </cfRule>
  </conditionalFormatting>
  <conditionalFormatting sqref="BN3:BN38">
    <cfRule type="cellIs" dxfId="785" priority="40" operator="equal">
      <formula>"M4"</formula>
    </cfRule>
    <cfRule type="cellIs" dxfId="784" priority="41" operator="equal">
      <formula>"M3"</formula>
    </cfRule>
    <cfRule type="cellIs" dxfId="783" priority="42" operator="equal">
      <formula>"M2"</formula>
    </cfRule>
    <cfRule type="cellIs" dxfId="782" priority="43" operator="equal">
      <formula>"M1"</formula>
    </cfRule>
  </conditionalFormatting>
  <conditionalFormatting sqref="BM3:BM52">
    <cfRule type="cellIs" dxfId="781" priority="35" operator="equal">
      <formula>"M4"</formula>
    </cfRule>
    <cfRule type="cellIs" dxfId="780" priority="36" operator="equal">
      <formula>"M3"</formula>
    </cfRule>
    <cfRule type="cellIs" dxfId="779" priority="37" operator="equal">
      <formula>"M2"</formula>
    </cfRule>
    <cfRule type="cellIs" dxfId="778" priority="38" operator="equal">
      <formula>"M1"</formula>
    </cfRule>
  </conditionalFormatting>
  <conditionalFormatting sqref="BM3:BM52">
    <cfRule type="cellIs" dxfId="777" priority="34" operator="equal">
      <formula>"E"</formula>
    </cfRule>
  </conditionalFormatting>
  <conditionalFormatting sqref="BL3:BL52 BN39:BN52">
    <cfRule type="cellIs" dxfId="776" priority="45" operator="equal">
      <formula>"M4"</formula>
    </cfRule>
    <cfRule type="cellIs" dxfId="775" priority="46" operator="equal">
      <formula>"M3"</formula>
    </cfRule>
    <cfRule type="cellIs" dxfId="774" priority="47" operator="equal">
      <formula>"M2"</formula>
    </cfRule>
    <cfRule type="cellIs" dxfId="773" priority="48" operator="equal">
      <formula>"M1"</formula>
    </cfRule>
  </conditionalFormatting>
  <conditionalFormatting sqref="CA1:CA1048576">
    <cfRule type="cellIs" dxfId="772" priority="27" operator="equal">
      <formula>"E"</formula>
    </cfRule>
  </conditionalFormatting>
  <conditionalFormatting sqref="BZ1:BZ70">
    <cfRule type="cellIs" dxfId="771" priority="32" stopIfTrue="1" operator="equal">
      <formula>"WW"</formula>
    </cfRule>
    <cfRule type="cellIs" dxfId="770" priority="33" stopIfTrue="1" operator="equal">
      <formula>"C2"</formula>
    </cfRule>
  </conditionalFormatting>
  <conditionalFormatting sqref="CA3:CA103">
    <cfRule type="cellIs" dxfId="769" priority="28" operator="equal">
      <formula>"M4"</formula>
    </cfRule>
    <cfRule type="cellIs" dxfId="768" priority="29" operator="equal">
      <formula>"M3"</formula>
    </cfRule>
    <cfRule type="cellIs" dxfId="767" priority="30" operator="equal">
      <formula>"M2"</formula>
    </cfRule>
    <cfRule type="cellIs" dxfId="766" priority="31" operator="equal">
      <formula>"M1"</formula>
    </cfRule>
  </conditionalFormatting>
  <conditionalFormatting sqref="AN3:AN32">
    <cfRule type="cellIs" dxfId="765" priority="7" operator="equal">
      <formula>"E"</formula>
    </cfRule>
  </conditionalFormatting>
  <conditionalFormatting sqref="AC114:AE1048576 AC3:AE110">
    <cfRule type="cellIs" dxfId="764" priority="25" operator="equal">
      <formula>"E"</formula>
    </cfRule>
  </conditionalFormatting>
  <conditionalFormatting sqref="AC2:AE2">
    <cfRule type="cellIs" dxfId="763" priority="24" operator="equal">
      <formula>"E"</formula>
    </cfRule>
  </conditionalFormatting>
  <conditionalFormatting sqref="AH2:AJ2">
    <cfRule type="cellIs" dxfId="762" priority="17" operator="equal">
      <formula>"E"</formula>
    </cfRule>
  </conditionalFormatting>
  <conditionalFormatting sqref="AN1:AO1 AL1">
    <cfRule type="cellIs" dxfId="761" priority="14" operator="equal">
      <formula>"E"</formula>
    </cfRule>
  </conditionalFormatting>
  <conditionalFormatting sqref="AO3:AO38">
    <cfRule type="cellIs" dxfId="760" priority="9" operator="equal">
      <formula>"E"</formula>
    </cfRule>
  </conditionalFormatting>
  <conditionalFormatting sqref="AM3:AM38">
    <cfRule type="cellIs" dxfId="759" priority="8" operator="equal">
      <formula>"E"</formula>
    </cfRule>
  </conditionalFormatting>
  <conditionalFormatting sqref="AN33:AN42">
    <cfRule type="cellIs" dxfId="758" priority="6" operator="equal">
      <formula>"E"</formula>
    </cfRule>
  </conditionalFormatting>
  <conditionalFormatting sqref="AN43:AN52">
    <cfRule type="cellIs" dxfId="757" priority="5" operator="equal">
      <formula>"E"</formula>
    </cfRule>
  </conditionalFormatting>
  <conditionalFormatting sqref="AF113">
    <cfRule type="cellIs" dxfId="756" priority="20" operator="equal">
      <formula>"E"</formula>
    </cfRule>
  </conditionalFormatting>
  <conditionalFormatting sqref="AD1:AE1 AB1">
    <cfRule type="cellIs" dxfId="755" priority="26" operator="equal">
      <formula>"E"</formula>
    </cfRule>
  </conditionalFormatting>
  <conditionalFormatting sqref="AH3:AJ103">
    <cfRule type="cellIs" dxfId="754" priority="18" operator="equal">
      <formula>"E"</formula>
    </cfRule>
  </conditionalFormatting>
  <conditionalFormatting sqref="AM53:AO103 AM39:AM52 AO39:AO52">
    <cfRule type="cellIs" dxfId="753" priority="13" operator="equal">
      <formula>"E"</formula>
    </cfRule>
  </conditionalFormatting>
  <conditionalFormatting sqref="AM2:AO2">
    <cfRule type="cellIs" dxfId="752" priority="12" operator="equal">
      <formula>"E"</formula>
    </cfRule>
  </conditionalFormatting>
  <conditionalFormatting sqref="AB113:AE113">
    <cfRule type="cellIs" dxfId="751" priority="21" operator="equal">
      <formula>"E"</formula>
    </cfRule>
  </conditionalFormatting>
  <conditionalFormatting sqref="AI1:AJ1 AG1">
    <cfRule type="cellIs" dxfId="750" priority="19" operator="equal">
      <formula>"E"</formula>
    </cfRule>
  </conditionalFormatting>
  <conditionalFormatting sqref="AB2:AB70">
    <cfRule type="cellIs" dxfId="749" priority="22" stopIfTrue="1" operator="equal">
      <formula>"WW"</formula>
    </cfRule>
    <cfRule type="cellIs" dxfId="748" priority="23" stopIfTrue="1" operator="equal">
      <formula>"C2"</formula>
    </cfRule>
  </conditionalFormatting>
  <conditionalFormatting sqref="AG2:AG70">
    <cfRule type="cellIs" dxfId="747" priority="15" stopIfTrue="1" operator="equal">
      <formula>"WW"</formula>
    </cfRule>
    <cfRule type="cellIs" dxfId="746" priority="16" stopIfTrue="1" operator="equal">
      <formula>"C2"</formula>
    </cfRule>
  </conditionalFormatting>
  <conditionalFormatting sqref="AL2:AL70">
    <cfRule type="cellIs" dxfId="745" priority="10" stopIfTrue="1" operator="equal">
      <formula>"WW"</formula>
    </cfRule>
    <cfRule type="cellIs" dxfId="744" priority="11" stopIfTrue="1" operator="equal">
      <formula>"C2"</formula>
    </cfRule>
  </conditionalFormatting>
  <conditionalFormatting sqref="BW1 BV2:BW1048576 BX1:BX1048576">
    <cfRule type="cellIs" dxfId="743" priority="4" operator="equal">
      <formula>"E"</formula>
    </cfRule>
  </conditionalFormatting>
  <conditionalFormatting sqref="BU1">
    <cfRule type="cellIs" dxfId="742" priority="3" operator="equal">
      <formula>"E"</formula>
    </cfRule>
  </conditionalFormatting>
  <conditionalFormatting sqref="BU2:BU70">
    <cfRule type="cellIs" dxfId="741" priority="1" stopIfTrue="1" operator="equal">
      <formula>"WW"</formula>
    </cfRule>
    <cfRule type="cellIs" dxfId="740" priority="2" stopIfTrue="1" operator="equal">
      <formula>"C2"</formula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BFFB05E-5AE0-4D1E-B9DF-B0420D938C4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J13</xm:sqref>
        </x14:conditionalFormatting>
      </x14:conditionalFormatting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189040-6D23-4BB9-B6F2-7F99A4FFE440}">
  <dimension ref="A1:CD126"/>
  <sheetViews>
    <sheetView workbookViewId="0">
      <selection sqref="A1:C1"/>
    </sheetView>
  </sheetViews>
  <sheetFormatPr defaultRowHeight="16.2"/>
  <cols>
    <col min="1" max="1" width="14.44140625" customWidth="1"/>
    <col min="2" max="2" width="5.77734375" customWidth="1"/>
    <col min="3" max="3" width="20.109375" customWidth="1"/>
    <col min="4" max="4" width="8.77734375" customWidth="1"/>
    <col min="5" max="5" width="7.21875" customWidth="1"/>
    <col min="6" max="6" width="7.77734375" customWidth="1"/>
    <col min="10" max="10" width="12.88671875" customWidth="1"/>
    <col min="13" max="15" width="8.6640625" customWidth="1"/>
    <col min="16" max="16" width="10.44140625" bestFit="1" customWidth="1"/>
    <col min="18" max="18" width="10.6640625" style="15" customWidth="1"/>
    <col min="19" max="21" width="9.77734375" style="16" customWidth="1"/>
    <col min="22" max="22" width="3.77734375" customWidth="1"/>
    <col min="24" max="26" width="4.44140625" customWidth="1"/>
    <col min="27" max="27" width="3.77734375" customWidth="1"/>
    <col min="28" max="28" width="9.88671875" customWidth="1"/>
    <col min="29" max="31" width="5.44140625" style="16" customWidth="1"/>
    <col min="32" max="32" width="3.6640625" customWidth="1"/>
    <col min="34" max="36" width="5.33203125" customWidth="1"/>
    <col min="37" max="37" width="3.44140625" customWidth="1"/>
    <col min="39" max="41" width="5.33203125" customWidth="1"/>
    <col min="42" max="42" width="13.44140625" customWidth="1"/>
    <col min="44" max="44" width="13.44140625" style="16" customWidth="1"/>
    <col min="45" max="45" width="3.77734375" customWidth="1"/>
    <col min="48" max="48" width="3.77734375" customWidth="1"/>
    <col min="49" max="49" width="12.44140625" customWidth="1"/>
    <col min="59" max="59" width="9.44140625" style="26" customWidth="1"/>
    <col min="60" max="60" width="8.88671875" customWidth="1"/>
    <col min="61" max="61" width="15.33203125" customWidth="1"/>
    <col min="63" max="63" width="10.6640625" style="15" bestFit="1" customWidth="1"/>
    <col min="64" max="66" width="9.77734375" style="16" customWidth="1"/>
    <col min="67" max="67" width="3.77734375" customWidth="1"/>
    <col min="69" max="71" width="4.44140625" customWidth="1"/>
    <col min="72" max="72" width="3.77734375" customWidth="1"/>
    <col min="73" max="73" width="9.88671875" customWidth="1"/>
    <col min="74" max="76" width="5.44140625" style="16" customWidth="1"/>
    <col min="78" max="78" width="10.6640625" style="15" bestFit="1" customWidth="1"/>
    <col min="79" max="79" width="9.77734375" style="16" customWidth="1"/>
    <col min="80" max="80" width="6.44140625" customWidth="1"/>
    <col min="81" max="81" width="9.88671875" customWidth="1"/>
    <col min="82" max="82" width="11.88671875" style="16" customWidth="1"/>
  </cols>
  <sheetData>
    <row r="1" spans="1:82">
      <c r="A1" s="30" t="s">
        <v>115</v>
      </c>
      <c r="D1" s="119">
        <v>5</v>
      </c>
      <c r="E1" s="119">
        <v>0</v>
      </c>
      <c r="F1" s="119" t="s">
        <v>8</v>
      </c>
      <c r="R1" s="9" t="s">
        <v>41</v>
      </c>
      <c r="S1" s="10"/>
      <c r="T1" s="10"/>
      <c r="U1" s="10"/>
      <c r="W1" s="18" t="s">
        <v>30</v>
      </c>
      <c r="AB1" s="10" t="s">
        <v>93</v>
      </c>
      <c r="AD1" s="10"/>
      <c r="AE1" s="10"/>
      <c r="AG1" s="10" t="s">
        <v>94</v>
      </c>
      <c r="AH1" s="16"/>
      <c r="AI1" s="10"/>
      <c r="AJ1" s="10"/>
      <c r="AL1" s="10" t="s">
        <v>95</v>
      </c>
      <c r="AM1" s="16"/>
      <c r="AN1" s="10"/>
      <c r="AO1" s="10"/>
      <c r="AQ1" s="19" t="s">
        <v>31</v>
      </c>
      <c r="AR1" s="10"/>
      <c r="AT1" s="19" t="s">
        <v>32</v>
      </c>
      <c r="AW1" s="19" t="s">
        <v>33</v>
      </c>
      <c r="AX1" s="16" t="s">
        <v>60</v>
      </c>
      <c r="AY1" s="16" t="s">
        <v>48</v>
      </c>
      <c r="AZ1" s="16" t="s">
        <v>49</v>
      </c>
      <c r="BA1" s="16" t="s">
        <v>50</v>
      </c>
      <c r="BB1" s="16" t="s">
        <v>51</v>
      </c>
      <c r="BC1" s="16" t="s">
        <v>52</v>
      </c>
      <c r="BD1" s="16" t="s">
        <v>53</v>
      </c>
      <c r="BE1" s="16" t="s">
        <v>54</v>
      </c>
      <c r="BF1" s="16" t="s">
        <v>55</v>
      </c>
      <c r="BG1" s="25" t="s">
        <v>87</v>
      </c>
      <c r="BH1" s="16" t="s">
        <v>88</v>
      </c>
      <c r="BI1" s="41" t="s">
        <v>89</v>
      </c>
      <c r="BK1" s="9" t="s">
        <v>43</v>
      </c>
      <c r="BL1" s="10"/>
      <c r="BM1" s="10"/>
      <c r="BN1" s="10"/>
      <c r="BP1" s="18" t="s">
        <v>45</v>
      </c>
      <c r="BU1" s="19" t="s">
        <v>44</v>
      </c>
      <c r="BW1" s="10"/>
      <c r="BX1" s="10"/>
      <c r="BZ1" s="9" t="s">
        <v>70</v>
      </c>
      <c r="CA1" s="10"/>
      <c r="CC1" s="19" t="s">
        <v>71</v>
      </c>
    </row>
    <row r="2" spans="1:82" ht="18" customHeight="1">
      <c r="D2" s="119"/>
      <c r="E2" s="119">
        <v>1</v>
      </c>
      <c r="F2" s="119"/>
      <c r="J2" s="301" t="s">
        <v>112</v>
      </c>
      <c r="K2" s="318"/>
      <c r="L2" s="318"/>
      <c r="M2" s="318"/>
      <c r="N2" s="319"/>
      <c r="R2" s="11" t="s">
        <v>17</v>
      </c>
      <c r="S2" s="12" t="s">
        <v>0</v>
      </c>
      <c r="T2" s="13" t="s">
        <v>1</v>
      </c>
      <c r="U2" s="12" t="s">
        <v>2</v>
      </c>
      <c r="W2" s="11" t="s">
        <v>17</v>
      </c>
      <c r="X2" s="12" t="s">
        <v>0</v>
      </c>
      <c r="Y2" s="13" t="s">
        <v>1</v>
      </c>
      <c r="Z2" s="12" t="s">
        <v>2</v>
      </c>
      <c r="AB2" s="11" t="s">
        <v>17</v>
      </c>
      <c r="AC2" s="12" t="s">
        <v>0</v>
      </c>
      <c r="AD2" s="13" t="s">
        <v>1</v>
      </c>
      <c r="AE2" s="12" t="s">
        <v>2</v>
      </c>
      <c r="AG2" s="11" t="s">
        <v>17</v>
      </c>
      <c r="AH2" s="12" t="s">
        <v>0</v>
      </c>
      <c r="AI2" s="13" t="s">
        <v>1</v>
      </c>
      <c r="AJ2" s="12" t="s">
        <v>2</v>
      </c>
      <c r="AL2" s="11" t="s">
        <v>17</v>
      </c>
      <c r="AM2" s="12" t="s">
        <v>0</v>
      </c>
      <c r="AN2" s="13" t="s">
        <v>1</v>
      </c>
      <c r="AO2" s="12" t="s">
        <v>2</v>
      </c>
      <c r="AQ2" s="11" t="s">
        <v>17</v>
      </c>
      <c r="AR2" s="13" t="s">
        <v>3</v>
      </c>
      <c r="AT2" s="11" t="s">
        <v>17</v>
      </c>
      <c r="AU2" s="13" t="s">
        <v>4</v>
      </c>
      <c r="AW2" s="11" t="s">
        <v>17</v>
      </c>
      <c r="AX2" s="12" t="s">
        <v>4</v>
      </c>
      <c r="AY2" s="12" t="s">
        <v>4</v>
      </c>
      <c r="AZ2" s="12" t="s">
        <v>4</v>
      </c>
      <c r="BA2" s="12" t="s">
        <v>4</v>
      </c>
      <c r="BB2" s="12" t="s">
        <v>4</v>
      </c>
      <c r="BC2" s="12" t="s">
        <v>4</v>
      </c>
      <c r="BD2" s="12" t="s">
        <v>4</v>
      </c>
      <c r="BE2" s="12" t="s">
        <v>4</v>
      </c>
      <c r="BF2" s="24" t="s">
        <v>4</v>
      </c>
      <c r="BG2" s="29" t="s">
        <v>4</v>
      </c>
      <c r="BH2" s="12" t="s">
        <v>4</v>
      </c>
      <c r="BI2" s="12" t="s">
        <v>4</v>
      </c>
      <c r="BK2" s="11" t="s">
        <v>17</v>
      </c>
      <c r="BL2" s="12" t="s">
        <v>0</v>
      </c>
      <c r="BM2" s="13" t="s">
        <v>1</v>
      </c>
      <c r="BN2" s="12" t="s">
        <v>2</v>
      </c>
      <c r="BP2" s="11" t="s">
        <v>17</v>
      </c>
      <c r="BQ2" s="12" t="s">
        <v>0</v>
      </c>
      <c r="BR2" s="13" t="s">
        <v>1</v>
      </c>
      <c r="BS2" s="12" t="s">
        <v>2</v>
      </c>
      <c r="BU2" s="11" t="s">
        <v>17</v>
      </c>
      <c r="BV2" s="12" t="s">
        <v>0</v>
      </c>
      <c r="BW2" s="13" t="s">
        <v>1</v>
      </c>
      <c r="BX2" s="12" t="s">
        <v>2</v>
      </c>
      <c r="BZ2" s="11" t="s">
        <v>17</v>
      </c>
      <c r="CA2" s="12" t="s">
        <v>69</v>
      </c>
      <c r="CC2" s="11" t="s">
        <v>17</v>
      </c>
      <c r="CD2" s="12" t="s">
        <v>140</v>
      </c>
    </row>
    <row r="3" spans="1:82" ht="16.8">
      <c r="D3" s="119"/>
      <c r="E3" s="119">
        <v>5</v>
      </c>
      <c r="F3" s="119"/>
      <c r="H3" s="27"/>
      <c r="I3" s="27"/>
      <c r="J3" s="64" t="s">
        <v>79</v>
      </c>
      <c r="K3" s="64" t="s">
        <v>78</v>
      </c>
      <c r="L3" s="2" t="s">
        <v>80</v>
      </c>
      <c r="M3" s="2" t="s">
        <v>72</v>
      </c>
      <c r="N3" s="2" t="s">
        <v>73</v>
      </c>
      <c r="R3" s="11">
        <v>0</v>
      </c>
      <c r="S3" s="12">
        <v>1</v>
      </c>
      <c r="T3" s="12" t="s">
        <v>15</v>
      </c>
      <c r="U3" s="12" t="s">
        <v>15</v>
      </c>
      <c r="W3" s="11">
        <v>0</v>
      </c>
      <c r="X3" s="12">
        <v>2</v>
      </c>
      <c r="Y3" s="12">
        <v>0</v>
      </c>
      <c r="Z3" s="12">
        <v>0</v>
      </c>
      <c r="AB3" s="11">
        <v>0</v>
      </c>
      <c r="AC3" s="12">
        <v>1</v>
      </c>
      <c r="AD3" s="69">
        <v>1</v>
      </c>
      <c r="AE3" s="69">
        <v>1</v>
      </c>
      <c r="AG3" s="11">
        <v>0</v>
      </c>
      <c r="AH3" s="12">
        <v>1</v>
      </c>
      <c r="AI3" s="69">
        <v>1</v>
      </c>
      <c r="AJ3" s="69">
        <v>1</v>
      </c>
      <c r="AL3" s="11">
        <v>0</v>
      </c>
      <c r="AM3" s="12">
        <v>1</v>
      </c>
      <c r="AN3" s="69">
        <v>1</v>
      </c>
      <c r="AO3" s="69">
        <v>1</v>
      </c>
      <c r="AQ3" s="11">
        <v>0</v>
      </c>
      <c r="AR3" s="14" t="s">
        <v>5</v>
      </c>
      <c r="AT3" s="11">
        <v>0</v>
      </c>
      <c r="AU3" s="12">
        <v>6</v>
      </c>
      <c r="AW3" s="11">
        <v>0</v>
      </c>
      <c r="AX3" s="12">
        <v>1</v>
      </c>
      <c r="AY3" s="12">
        <v>1</v>
      </c>
      <c r="AZ3" s="12">
        <v>1</v>
      </c>
      <c r="BA3" s="12">
        <v>1</v>
      </c>
      <c r="BB3" s="12">
        <v>1</v>
      </c>
      <c r="BC3" s="12">
        <v>1</v>
      </c>
      <c r="BD3" s="12">
        <v>1</v>
      </c>
      <c r="BE3" s="12">
        <v>1</v>
      </c>
      <c r="BF3" s="24">
        <v>1</v>
      </c>
      <c r="BG3" s="29">
        <v>1</v>
      </c>
      <c r="BH3" s="12">
        <v>1</v>
      </c>
      <c r="BI3" s="12">
        <v>1</v>
      </c>
      <c r="BK3" s="11">
        <v>0</v>
      </c>
      <c r="BL3" s="12">
        <v>1</v>
      </c>
      <c r="BM3" s="12" t="s">
        <v>15</v>
      </c>
      <c r="BN3" s="12" t="s">
        <v>15</v>
      </c>
      <c r="BP3" s="11">
        <v>0</v>
      </c>
      <c r="BQ3" s="12">
        <v>2</v>
      </c>
      <c r="BR3" s="12">
        <v>0</v>
      </c>
      <c r="BS3" s="12">
        <v>0</v>
      </c>
      <c r="BU3" s="11">
        <v>0</v>
      </c>
      <c r="BV3" s="12">
        <v>1</v>
      </c>
      <c r="BW3" s="12">
        <v>1</v>
      </c>
      <c r="BX3" s="12">
        <v>1</v>
      </c>
      <c r="BZ3" s="11">
        <v>0</v>
      </c>
      <c r="CA3" s="12">
        <v>100</v>
      </c>
      <c r="CC3" s="11">
        <v>0</v>
      </c>
      <c r="CD3" s="12">
        <v>1</v>
      </c>
    </row>
    <row r="4" spans="1:82" ht="16.8">
      <c r="A4" s="30" t="s">
        <v>46</v>
      </c>
      <c r="B4" s="1" t="s">
        <v>86</v>
      </c>
      <c r="C4" s="2" t="s">
        <v>114</v>
      </c>
      <c r="D4" s="3" t="s">
        <v>80</v>
      </c>
      <c r="E4" s="122" t="s">
        <v>1</v>
      </c>
      <c r="F4" s="4" t="s">
        <v>2</v>
      </c>
      <c r="H4" s="27"/>
      <c r="J4" s="61" t="s">
        <v>77</v>
      </c>
      <c r="K4" s="61" t="s">
        <v>7</v>
      </c>
      <c r="L4" s="2">
        <v>6</v>
      </c>
      <c r="M4" s="2">
        <v>1</v>
      </c>
      <c r="N4" s="2">
        <v>7</v>
      </c>
      <c r="O4" s="6"/>
      <c r="R4" s="11">
        <v>1</v>
      </c>
      <c r="S4" s="12" t="s">
        <v>15</v>
      </c>
      <c r="T4" s="12">
        <v>0</v>
      </c>
      <c r="U4" s="12">
        <v>0</v>
      </c>
      <c r="W4" s="11">
        <v>1</v>
      </c>
      <c r="X4" s="12">
        <v>0</v>
      </c>
      <c r="Y4" s="12">
        <v>1</v>
      </c>
      <c r="Z4" s="12">
        <v>1</v>
      </c>
      <c r="AB4" s="11">
        <v>1</v>
      </c>
      <c r="AC4" s="12">
        <v>1</v>
      </c>
      <c r="AD4" s="69">
        <v>1</v>
      </c>
      <c r="AE4" s="69">
        <v>1</v>
      </c>
      <c r="AG4" s="11">
        <v>1</v>
      </c>
      <c r="AH4" s="12">
        <v>1</v>
      </c>
      <c r="AI4" s="69">
        <v>1</v>
      </c>
      <c r="AJ4" s="69">
        <v>1</v>
      </c>
      <c r="AL4" s="11">
        <v>1</v>
      </c>
      <c r="AM4" s="12">
        <v>1</v>
      </c>
      <c r="AN4" s="69">
        <v>1</v>
      </c>
      <c r="AO4" s="69">
        <v>1</v>
      </c>
      <c r="AQ4" s="11">
        <v>1</v>
      </c>
      <c r="AR4" s="12" t="s">
        <v>15</v>
      </c>
      <c r="AT4" s="11">
        <v>1</v>
      </c>
      <c r="AU4" s="12">
        <v>0</v>
      </c>
      <c r="AW4" s="11">
        <v>1</v>
      </c>
      <c r="AX4" s="12">
        <v>1</v>
      </c>
      <c r="AY4" s="12">
        <v>1</v>
      </c>
      <c r="AZ4" s="12">
        <v>1</v>
      </c>
      <c r="BA4" s="12">
        <v>1</v>
      </c>
      <c r="BB4" s="12">
        <v>1</v>
      </c>
      <c r="BC4" s="12">
        <v>1</v>
      </c>
      <c r="BD4" s="12">
        <v>1</v>
      </c>
      <c r="BE4" s="12">
        <v>1</v>
      </c>
      <c r="BF4" s="24">
        <v>1</v>
      </c>
      <c r="BG4" s="29">
        <v>1</v>
      </c>
      <c r="BH4" s="12">
        <v>1</v>
      </c>
      <c r="BI4" s="12">
        <v>1</v>
      </c>
      <c r="BK4" s="11">
        <v>1</v>
      </c>
      <c r="BL4" s="12" t="s">
        <v>15</v>
      </c>
      <c r="BM4" s="12">
        <v>0</v>
      </c>
      <c r="BN4" s="12">
        <v>0</v>
      </c>
      <c r="BP4" s="11">
        <v>1</v>
      </c>
      <c r="BQ4" s="12">
        <v>0</v>
      </c>
      <c r="BR4" s="12">
        <v>1</v>
      </c>
      <c r="BS4" s="12">
        <v>1</v>
      </c>
      <c r="BU4" s="11">
        <v>1</v>
      </c>
      <c r="BV4" s="12">
        <v>1</v>
      </c>
      <c r="BW4" s="12">
        <v>1</v>
      </c>
      <c r="BX4" s="12">
        <v>1</v>
      </c>
      <c r="BZ4" s="11">
        <v>1</v>
      </c>
      <c r="CA4" s="12">
        <v>30</v>
      </c>
      <c r="CC4" s="11">
        <v>1</v>
      </c>
      <c r="CD4" s="12">
        <v>1</v>
      </c>
    </row>
    <row r="5" spans="1:82" ht="16.8">
      <c r="A5" s="1" t="s">
        <v>19</v>
      </c>
      <c r="B5" s="1">
        <v>0</v>
      </c>
      <c r="C5" s="3" t="s">
        <v>25</v>
      </c>
      <c r="D5" s="3">
        <f>SUMIF(S$3:S$38,$A5,AC$3:AC$38)</f>
        <v>18</v>
      </c>
      <c r="E5" s="122">
        <f t="shared" ref="E5:F16" si="0">SUMIF(T$3:T$38,$A5,AD$3:AD$38)</f>
        <v>18</v>
      </c>
      <c r="F5" s="4">
        <f t="shared" si="0"/>
        <v>18</v>
      </c>
      <c r="H5" s="27"/>
      <c r="I5" s="27"/>
      <c r="J5" s="91"/>
      <c r="K5" s="91"/>
      <c r="L5" s="320" t="s">
        <v>84</v>
      </c>
      <c r="M5" s="320"/>
      <c r="N5" s="320"/>
      <c r="R5" s="11">
        <v>2</v>
      </c>
      <c r="S5" s="12">
        <v>5</v>
      </c>
      <c r="T5" s="12" t="s">
        <v>15</v>
      </c>
      <c r="U5" s="12" t="s">
        <v>15</v>
      </c>
      <c r="W5" s="11">
        <v>2</v>
      </c>
      <c r="X5" s="12">
        <v>3</v>
      </c>
      <c r="Y5" s="12">
        <v>0</v>
      </c>
      <c r="Z5" s="12">
        <v>0</v>
      </c>
      <c r="AB5" s="11">
        <v>2</v>
      </c>
      <c r="AC5" s="12">
        <v>1</v>
      </c>
      <c r="AD5" s="69">
        <v>1</v>
      </c>
      <c r="AE5" s="69">
        <v>1</v>
      </c>
      <c r="AG5" s="11">
        <v>2</v>
      </c>
      <c r="AH5" s="12">
        <v>1</v>
      </c>
      <c r="AI5" s="69">
        <v>1</v>
      </c>
      <c r="AJ5" s="69">
        <v>1</v>
      </c>
      <c r="AL5" s="11">
        <v>2</v>
      </c>
      <c r="AM5" s="12">
        <v>1</v>
      </c>
      <c r="AN5" s="69">
        <v>1</v>
      </c>
      <c r="AO5" s="69">
        <v>1</v>
      </c>
      <c r="AQ5" s="11">
        <v>2</v>
      </c>
      <c r="AR5" s="14" t="s">
        <v>7</v>
      </c>
      <c r="AT5" s="11">
        <v>2</v>
      </c>
      <c r="AU5" s="12">
        <v>9</v>
      </c>
      <c r="AW5" s="11">
        <v>2</v>
      </c>
      <c r="AX5" s="12">
        <v>1</v>
      </c>
      <c r="AY5" s="12">
        <v>1</v>
      </c>
      <c r="AZ5" s="12">
        <v>1</v>
      </c>
      <c r="BA5" s="12">
        <v>1</v>
      </c>
      <c r="BB5" s="12">
        <v>1</v>
      </c>
      <c r="BC5" s="12">
        <v>1</v>
      </c>
      <c r="BD5" s="12">
        <v>1</v>
      </c>
      <c r="BE5" s="12">
        <v>1</v>
      </c>
      <c r="BF5" s="24">
        <v>1</v>
      </c>
      <c r="BG5" s="29">
        <v>1</v>
      </c>
      <c r="BH5" s="12">
        <v>1</v>
      </c>
      <c r="BI5" s="12">
        <v>1</v>
      </c>
      <c r="BK5" s="11">
        <v>2</v>
      </c>
      <c r="BL5" s="12">
        <v>5</v>
      </c>
      <c r="BM5" s="12" t="s">
        <v>15</v>
      </c>
      <c r="BN5" s="12" t="s">
        <v>15</v>
      </c>
      <c r="BP5" s="11">
        <v>2</v>
      </c>
      <c r="BQ5" s="12">
        <v>3</v>
      </c>
      <c r="BR5" s="12">
        <v>0</v>
      </c>
      <c r="BS5" s="12">
        <v>0</v>
      </c>
      <c r="BU5" s="11">
        <v>2</v>
      </c>
      <c r="BV5" s="12">
        <v>1</v>
      </c>
      <c r="BW5" s="12">
        <v>1</v>
      </c>
      <c r="BX5" s="12">
        <v>1</v>
      </c>
      <c r="BZ5" s="11">
        <v>2</v>
      </c>
      <c r="CA5" s="12">
        <v>500</v>
      </c>
      <c r="CC5" s="11">
        <v>2</v>
      </c>
      <c r="CD5" s="12">
        <v>1</v>
      </c>
    </row>
    <row r="6" spans="1:82">
      <c r="A6" s="20">
        <v>0</v>
      </c>
      <c r="B6" s="20">
        <v>1</v>
      </c>
      <c r="C6" s="5">
        <v>0</v>
      </c>
      <c r="D6" s="37">
        <f t="shared" ref="D6:D16" si="1">SUMIF(S$3:S$38,$A6,AC$3:AC$38)</f>
        <v>0</v>
      </c>
      <c r="E6" s="121">
        <f t="shared" si="0"/>
        <v>4</v>
      </c>
      <c r="F6" s="7">
        <f t="shared" si="0"/>
        <v>6</v>
      </c>
      <c r="H6" s="27"/>
      <c r="I6" s="27"/>
      <c r="J6" s="27"/>
      <c r="R6" s="11">
        <v>3</v>
      </c>
      <c r="S6" s="12" t="s">
        <v>15</v>
      </c>
      <c r="T6" s="12">
        <v>1</v>
      </c>
      <c r="U6" s="12">
        <v>1</v>
      </c>
      <c r="W6" s="11">
        <v>3</v>
      </c>
      <c r="X6" s="12">
        <v>0</v>
      </c>
      <c r="Y6" s="12">
        <v>2</v>
      </c>
      <c r="Z6" s="12">
        <v>2</v>
      </c>
      <c r="AB6" s="11">
        <v>3</v>
      </c>
      <c r="AC6" s="12">
        <v>1</v>
      </c>
      <c r="AD6" s="69">
        <v>1</v>
      </c>
      <c r="AE6" s="69">
        <v>1</v>
      </c>
      <c r="AG6" s="11">
        <v>3</v>
      </c>
      <c r="AH6" s="12">
        <v>1</v>
      </c>
      <c r="AI6" s="69">
        <v>1</v>
      </c>
      <c r="AJ6" s="69">
        <v>1</v>
      </c>
      <c r="AL6" s="11">
        <v>3</v>
      </c>
      <c r="AM6" s="12">
        <v>1</v>
      </c>
      <c r="AN6" s="69">
        <v>1</v>
      </c>
      <c r="AO6" s="69">
        <v>1</v>
      </c>
      <c r="AQ6" s="11">
        <v>3</v>
      </c>
      <c r="AR6" s="12" t="s">
        <v>15</v>
      </c>
      <c r="AT6" s="11">
        <v>3</v>
      </c>
      <c r="AU6" s="12">
        <v>0</v>
      </c>
      <c r="AW6" s="11">
        <v>3</v>
      </c>
      <c r="AX6" s="12">
        <v>1</v>
      </c>
      <c r="AY6" s="12">
        <v>1</v>
      </c>
      <c r="AZ6" s="12">
        <v>1</v>
      </c>
      <c r="BA6" s="12">
        <v>1</v>
      </c>
      <c r="BB6" s="12">
        <v>1</v>
      </c>
      <c r="BC6" s="12">
        <v>1</v>
      </c>
      <c r="BD6" s="12">
        <v>1</v>
      </c>
      <c r="BE6" s="12">
        <v>1</v>
      </c>
      <c r="BF6" s="24">
        <v>1</v>
      </c>
      <c r="BG6" s="29">
        <v>1</v>
      </c>
      <c r="BH6" s="12">
        <v>1</v>
      </c>
      <c r="BI6" s="12">
        <v>1</v>
      </c>
      <c r="BK6" s="11">
        <v>3</v>
      </c>
      <c r="BL6" s="12" t="s">
        <v>15</v>
      </c>
      <c r="BM6" s="12">
        <v>1</v>
      </c>
      <c r="BN6" s="12">
        <v>1</v>
      </c>
      <c r="BP6" s="11">
        <v>3</v>
      </c>
      <c r="BQ6" s="12">
        <v>0</v>
      </c>
      <c r="BR6" s="12">
        <v>2</v>
      </c>
      <c r="BS6" s="12">
        <v>2</v>
      </c>
      <c r="BU6" s="11">
        <v>3</v>
      </c>
      <c r="BV6" s="12">
        <v>1</v>
      </c>
      <c r="BW6" s="12">
        <v>1</v>
      </c>
      <c r="BX6" s="12">
        <v>1</v>
      </c>
      <c r="BZ6" s="11">
        <v>3</v>
      </c>
      <c r="CA6" s="12">
        <v>10</v>
      </c>
      <c r="CC6" s="11">
        <v>3</v>
      </c>
      <c r="CD6" s="12">
        <v>1</v>
      </c>
    </row>
    <row r="7" spans="1:82" ht="16.8">
      <c r="A7" s="20">
        <v>1</v>
      </c>
      <c r="B7" s="20">
        <v>2</v>
      </c>
      <c r="C7" s="5">
        <v>1</v>
      </c>
      <c r="D7" s="6">
        <f t="shared" si="1"/>
        <v>6</v>
      </c>
      <c r="E7" s="121">
        <f t="shared" si="0"/>
        <v>4</v>
      </c>
      <c r="F7" s="7">
        <f t="shared" si="0"/>
        <v>6</v>
      </c>
      <c r="H7" s="27"/>
      <c r="J7" s="64" t="s">
        <v>81</v>
      </c>
      <c r="K7" s="64" t="s">
        <v>82</v>
      </c>
      <c r="L7" s="64" t="s">
        <v>83</v>
      </c>
      <c r="M7" s="64" t="s">
        <v>113</v>
      </c>
      <c r="R7" s="11">
        <v>4</v>
      </c>
      <c r="S7" s="12">
        <v>10</v>
      </c>
      <c r="T7" s="12" t="s">
        <v>15</v>
      </c>
      <c r="U7" s="12" t="s">
        <v>15</v>
      </c>
      <c r="W7" s="11">
        <v>4</v>
      </c>
      <c r="X7" s="12">
        <v>4</v>
      </c>
      <c r="Y7" s="12">
        <v>0</v>
      </c>
      <c r="Z7" s="12">
        <v>0</v>
      </c>
      <c r="AB7" s="11">
        <v>4</v>
      </c>
      <c r="AC7" s="12">
        <v>1</v>
      </c>
      <c r="AD7" s="69">
        <v>1</v>
      </c>
      <c r="AE7" s="69">
        <v>1</v>
      </c>
      <c r="AG7" s="11">
        <v>4</v>
      </c>
      <c r="AH7" s="12">
        <v>1</v>
      </c>
      <c r="AI7" s="69">
        <v>1</v>
      </c>
      <c r="AJ7" s="69">
        <v>1</v>
      </c>
      <c r="AL7" s="11">
        <v>4</v>
      </c>
      <c r="AM7" s="12">
        <v>1</v>
      </c>
      <c r="AN7" s="69">
        <v>1</v>
      </c>
      <c r="AO7" s="69">
        <v>1</v>
      </c>
      <c r="AQ7" s="11">
        <v>4</v>
      </c>
      <c r="AR7" s="14" t="s">
        <v>6</v>
      </c>
      <c r="AT7" s="11">
        <v>4</v>
      </c>
      <c r="AU7" s="12">
        <v>7</v>
      </c>
      <c r="AW7" s="11">
        <v>4</v>
      </c>
      <c r="AX7" s="12">
        <v>1</v>
      </c>
      <c r="AY7" s="12">
        <v>1</v>
      </c>
      <c r="AZ7" s="12">
        <v>1</v>
      </c>
      <c r="BA7" s="12">
        <v>1</v>
      </c>
      <c r="BB7" s="12">
        <v>1</v>
      </c>
      <c r="BC7" s="12">
        <v>1</v>
      </c>
      <c r="BD7" s="12">
        <v>1</v>
      </c>
      <c r="BE7" s="12">
        <v>1</v>
      </c>
      <c r="BF7" s="24">
        <v>1</v>
      </c>
      <c r="BG7" s="29">
        <v>1</v>
      </c>
      <c r="BH7" s="12">
        <v>1</v>
      </c>
      <c r="BI7" s="12">
        <v>1</v>
      </c>
      <c r="BK7" s="11">
        <v>4</v>
      </c>
      <c r="BL7" s="12">
        <v>10</v>
      </c>
      <c r="BM7" s="12" t="s">
        <v>15</v>
      </c>
      <c r="BN7" s="12" t="s">
        <v>15</v>
      </c>
      <c r="BP7" s="11">
        <v>4</v>
      </c>
      <c r="BQ7" s="12">
        <v>4</v>
      </c>
      <c r="BR7" s="12">
        <v>0</v>
      </c>
      <c r="BS7" s="12">
        <v>0</v>
      </c>
      <c r="BU7" s="11">
        <v>4</v>
      </c>
      <c r="BV7" s="12">
        <v>1</v>
      </c>
      <c r="BW7" s="12">
        <v>1</v>
      </c>
      <c r="BX7" s="12">
        <v>1</v>
      </c>
      <c r="BZ7" s="11">
        <v>4</v>
      </c>
      <c r="CA7" s="12">
        <v>50</v>
      </c>
      <c r="CC7" s="11">
        <v>4</v>
      </c>
      <c r="CD7" s="12">
        <v>1</v>
      </c>
    </row>
    <row r="8" spans="1:82" ht="16.8">
      <c r="A8" s="21">
        <v>5</v>
      </c>
      <c r="B8" s="21">
        <v>3</v>
      </c>
      <c r="C8" s="23">
        <v>5</v>
      </c>
      <c r="D8" s="6">
        <f t="shared" si="1"/>
        <v>6</v>
      </c>
      <c r="E8" s="121">
        <f t="shared" si="0"/>
        <v>4</v>
      </c>
      <c r="F8" s="7">
        <f t="shared" si="0"/>
        <v>6</v>
      </c>
      <c r="H8" s="27"/>
      <c r="J8" s="64" t="s">
        <v>80</v>
      </c>
      <c r="K8" s="64">
        <v>3</v>
      </c>
      <c r="L8" s="64">
        <v>3</v>
      </c>
      <c r="M8" s="64">
        <v>94</v>
      </c>
      <c r="R8" s="11">
        <v>5</v>
      </c>
      <c r="S8" s="12" t="s">
        <v>15</v>
      </c>
      <c r="T8" s="12">
        <v>5</v>
      </c>
      <c r="U8" s="12">
        <v>5</v>
      </c>
      <c r="W8" s="11">
        <v>5</v>
      </c>
      <c r="X8" s="12">
        <v>0</v>
      </c>
      <c r="Y8" s="12">
        <v>3</v>
      </c>
      <c r="Z8" s="12">
        <v>3</v>
      </c>
      <c r="AB8" s="11">
        <v>5</v>
      </c>
      <c r="AC8" s="12">
        <v>1</v>
      </c>
      <c r="AD8" s="69">
        <v>1</v>
      </c>
      <c r="AE8" s="69">
        <v>1</v>
      </c>
      <c r="AG8" s="11">
        <v>5</v>
      </c>
      <c r="AH8" s="12">
        <v>1</v>
      </c>
      <c r="AI8" s="69">
        <v>1</v>
      </c>
      <c r="AJ8" s="69">
        <v>1</v>
      </c>
      <c r="AL8" s="11">
        <v>5</v>
      </c>
      <c r="AM8" s="12">
        <v>1</v>
      </c>
      <c r="AN8" s="69">
        <v>1</v>
      </c>
      <c r="AO8" s="69">
        <v>1</v>
      </c>
      <c r="AQ8" s="11">
        <v>5</v>
      </c>
      <c r="AR8" s="12" t="s">
        <v>15</v>
      </c>
      <c r="AT8" s="11">
        <v>5</v>
      </c>
      <c r="AU8" s="12">
        <v>0</v>
      </c>
      <c r="AW8" s="11">
        <v>5</v>
      </c>
      <c r="AX8" s="12">
        <v>1</v>
      </c>
      <c r="AY8" s="12">
        <v>1</v>
      </c>
      <c r="AZ8" s="12">
        <v>1</v>
      </c>
      <c r="BA8" s="12">
        <v>1</v>
      </c>
      <c r="BB8" s="12">
        <v>1</v>
      </c>
      <c r="BC8" s="12">
        <v>1</v>
      </c>
      <c r="BD8" s="12">
        <v>1</v>
      </c>
      <c r="BE8" s="12">
        <v>1</v>
      </c>
      <c r="BF8" s="24">
        <v>1</v>
      </c>
      <c r="BG8" s="29">
        <v>1</v>
      </c>
      <c r="BH8" s="12">
        <v>1</v>
      </c>
      <c r="BI8" s="12">
        <v>1</v>
      </c>
      <c r="BK8" s="11">
        <v>5</v>
      </c>
      <c r="BL8" s="12" t="s">
        <v>15</v>
      </c>
      <c r="BM8" s="12">
        <v>5</v>
      </c>
      <c r="BN8" s="12">
        <v>5</v>
      </c>
      <c r="BP8" s="11">
        <v>5</v>
      </c>
      <c r="BQ8" s="12">
        <v>0</v>
      </c>
      <c r="BR8" s="12">
        <v>3</v>
      </c>
      <c r="BS8" s="12">
        <v>3</v>
      </c>
      <c r="BU8" s="11">
        <v>5</v>
      </c>
      <c r="BV8" s="12">
        <v>1</v>
      </c>
      <c r="BW8" s="12">
        <v>1</v>
      </c>
      <c r="BX8" s="12">
        <v>1</v>
      </c>
      <c r="BZ8" s="11">
        <v>5</v>
      </c>
      <c r="CA8" s="12">
        <v>1000</v>
      </c>
      <c r="CC8" s="11">
        <v>5</v>
      </c>
      <c r="CD8" s="12">
        <v>1</v>
      </c>
    </row>
    <row r="9" spans="1:82" ht="15.6" customHeight="1">
      <c r="A9" s="21">
        <v>10</v>
      </c>
      <c r="B9" s="21">
        <v>4</v>
      </c>
      <c r="C9" s="23">
        <v>10</v>
      </c>
      <c r="D9" s="6">
        <f t="shared" si="1"/>
        <v>6</v>
      </c>
      <c r="E9" s="101">
        <f t="shared" si="0"/>
        <v>3</v>
      </c>
      <c r="F9" s="38">
        <f t="shared" si="0"/>
        <v>0</v>
      </c>
      <c r="H9" s="27"/>
      <c r="J9" s="64" t="s">
        <v>72</v>
      </c>
      <c r="K9" s="64">
        <v>0</v>
      </c>
      <c r="L9" s="64">
        <v>0</v>
      </c>
      <c r="M9" s="64">
        <v>0</v>
      </c>
      <c r="N9" s="92"/>
      <c r="O9" s="92"/>
      <c r="R9" s="11">
        <v>6</v>
      </c>
      <c r="S9" s="12">
        <v>1</v>
      </c>
      <c r="T9" s="12" t="s">
        <v>15</v>
      </c>
      <c r="U9" s="12" t="s">
        <v>15</v>
      </c>
      <c r="W9" s="11">
        <v>6</v>
      </c>
      <c r="X9" s="12">
        <v>2</v>
      </c>
      <c r="Y9" s="12">
        <v>0</v>
      </c>
      <c r="Z9" s="12">
        <v>0</v>
      </c>
      <c r="AB9" s="11">
        <v>6</v>
      </c>
      <c r="AC9" s="12">
        <v>1</v>
      </c>
      <c r="AD9" s="69">
        <v>1</v>
      </c>
      <c r="AE9" s="69">
        <v>1</v>
      </c>
      <c r="AG9" s="11">
        <v>6</v>
      </c>
      <c r="AH9" s="12">
        <v>1</v>
      </c>
      <c r="AI9" s="69">
        <v>1</v>
      </c>
      <c r="AJ9" s="69">
        <v>1</v>
      </c>
      <c r="AL9" s="11">
        <v>6</v>
      </c>
      <c r="AM9" s="12">
        <v>1</v>
      </c>
      <c r="AN9" s="69">
        <v>1</v>
      </c>
      <c r="AO9" s="69">
        <v>1</v>
      </c>
      <c r="AQ9" s="11">
        <v>6</v>
      </c>
      <c r="AR9" s="14" t="s">
        <v>40</v>
      </c>
      <c r="AT9" s="11">
        <v>6</v>
      </c>
      <c r="AU9" s="12">
        <v>11</v>
      </c>
      <c r="AW9" s="11">
        <v>6</v>
      </c>
      <c r="AX9" s="12">
        <v>1</v>
      </c>
      <c r="AY9" s="12">
        <v>1</v>
      </c>
      <c r="AZ9" s="12">
        <v>1</v>
      </c>
      <c r="BA9" s="12">
        <v>1</v>
      </c>
      <c r="BB9" s="12">
        <v>1</v>
      </c>
      <c r="BC9" s="12">
        <v>1</v>
      </c>
      <c r="BD9" s="12">
        <v>1</v>
      </c>
      <c r="BE9" s="12">
        <v>1</v>
      </c>
      <c r="BF9" s="24">
        <v>1</v>
      </c>
      <c r="BG9" s="29">
        <v>1</v>
      </c>
      <c r="BH9" s="12">
        <v>1</v>
      </c>
      <c r="BI9" s="12">
        <v>1</v>
      </c>
      <c r="BK9" s="11">
        <v>6</v>
      </c>
      <c r="BL9" s="12">
        <v>1</v>
      </c>
      <c r="BM9" s="12" t="s">
        <v>15</v>
      </c>
      <c r="BN9" s="12" t="s">
        <v>15</v>
      </c>
      <c r="BP9" s="11">
        <v>6</v>
      </c>
      <c r="BQ9" s="12">
        <v>2</v>
      </c>
      <c r="BR9" s="12">
        <v>0</v>
      </c>
      <c r="BS9" s="12">
        <v>0</v>
      </c>
      <c r="BU9" s="11">
        <v>6</v>
      </c>
      <c r="BV9" s="12">
        <v>1</v>
      </c>
      <c r="BW9" s="12">
        <v>1</v>
      </c>
      <c r="BX9" s="12">
        <v>1</v>
      </c>
      <c r="BZ9" s="11">
        <v>6</v>
      </c>
      <c r="CA9" s="12">
        <v>200</v>
      </c>
      <c r="CC9" s="11">
        <v>6</v>
      </c>
      <c r="CD9" s="12">
        <v>1</v>
      </c>
    </row>
    <row r="10" spans="1:82" ht="16.8">
      <c r="A10" s="20" t="s">
        <v>20</v>
      </c>
      <c r="B10" s="20">
        <v>5</v>
      </c>
      <c r="C10" s="23" t="s">
        <v>29</v>
      </c>
      <c r="D10" s="37">
        <f t="shared" si="1"/>
        <v>0</v>
      </c>
      <c r="E10" s="101">
        <f t="shared" si="0"/>
        <v>3</v>
      </c>
      <c r="F10" s="38">
        <f t="shared" si="0"/>
        <v>0</v>
      </c>
      <c r="H10" s="27"/>
      <c r="J10" s="64" t="s">
        <v>73</v>
      </c>
      <c r="K10" s="64">
        <v>0</v>
      </c>
      <c r="L10" s="64">
        <v>0</v>
      </c>
      <c r="M10" s="64">
        <v>0</v>
      </c>
      <c r="N10" s="93"/>
      <c r="O10" s="93"/>
      <c r="R10" s="11">
        <v>7</v>
      </c>
      <c r="S10" s="12" t="s">
        <v>15</v>
      </c>
      <c r="T10" s="12">
        <v>10</v>
      </c>
      <c r="U10" s="12">
        <v>0</v>
      </c>
      <c r="W10" s="11">
        <v>7</v>
      </c>
      <c r="X10" s="12">
        <v>0</v>
      </c>
      <c r="Y10" s="12">
        <v>4</v>
      </c>
      <c r="Z10" s="12">
        <v>1</v>
      </c>
      <c r="AB10" s="11">
        <v>7</v>
      </c>
      <c r="AC10" s="12">
        <v>1</v>
      </c>
      <c r="AD10" s="69">
        <v>1</v>
      </c>
      <c r="AE10" s="69">
        <v>1</v>
      </c>
      <c r="AG10" s="11">
        <v>7</v>
      </c>
      <c r="AH10" s="12">
        <v>1</v>
      </c>
      <c r="AI10" s="69">
        <v>1</v>
      </c>
      <c r="AJ10" s="69">
        <v>1</v>
      </c>
      <c r="AL10" s="11">
        <v>7</v>
      </c>
      <c r="AM10" s="12">
        <v>1</v>
      </c>
      <c r="AN10" s="69">
        <v>1</v>
      </c>
      <c r="AO10" s="69">
        <v>1</v>
      </c>
      <c r="AQ10" s="11">
        <v>7</v>
      </c>
      <c r="AR10" s="12" t="s">
        <v>15</v>
      </c>
      <c r="AT10" s="11">
        <v>7</v>
      </c>
      <c r="AU10" s="12">
        <v>0</v>
      </c>
      <c r="AW10" s="11">
        <v>7</v>
      </c>
      <c r="AX10" s="12">
        <v>1</v>
      </c>
      <c r="AY10" s="12">
        <v>1</v>
      </c>
      <c r="AZ10" s="12">
        <v>1</v>
      </c>
      <c r="BA10" s="12">
        <v>1</v>
      </c>
      <c r="BB10" s="12">
        <v>1</v>
      </c>
      <c r="BC10" s="12">
        <v>1</v>
      </c>
      <c r="BD10" s="12">
        <v>1</v>
      </c>
      <c r="BE10" s="12">
        <v>1</v>
      </c>
      <c r="BF10" s="24">
        <v>1</v>
      </c>
      <c r="BG10" s="29">
        <v>1</v>
      </c>
      <c r="BH10" s="12">
        <v>1</v>
      </c>
      <c r="BI10" s="12">
        <v>1</v>
      </c>
      <c r="BK10" s="11">
        <v>7</v>
      </c>
      <c r="BL10" s="12" t="s">
        <v>15</v>
      </c>
      <c r="BM10" s="12">
        <v>10</v>
      </c>
      <c r="BN10" s="12">
        <v>0</v>
      </c>
      <c r="BP10" s="11">
        <v>7</v>
      </c>
      <c r="BQ10" s="12">
        <v>0</v>
      </c>
      <c r="BR10" s="12">
        <v>4</v>
      </c>
      <c r="BS10" s="12">
        <v>1</v>
      </c>
      <c r="BU10" s="11">
        <v>7</v>
      </c>
      <c r="BV10" s="12">
        <v>1</v>
      </c>
      <c r="BW10" s="12">
        <v>1</v>
      </c>
      <c r="BX10" s="12">
        <v>1</v>
      </c>
      <c r="BZ10" s="11">
        <v>7</v>
      </c>
      <c r="CA10" s="12">
        <v>20</v>
      </c>
      <c r="CC10" s="11">
        <v>7</v>
      </c>
      <c r="CD10" s="12">
        <v>1</v>
      </c>
    </row>
    <row r="11" spans="1:82" ht="16.8">
      <c r="A11" s="21" t="s">
        <v>21</v>
      </c>
      <c r="B11" s="21">
        <v>6</v>
      </c>
      <c r="C11" s="23" t="s">
        <v>26</v>
      </c>
      <c r="D11" s="37">
        <f t="shared" si="1"/>
        <v>0</v>
      </c>
      <c r="E11" s="59">
        <f t="shared" si="0"/>
        <v>0</v>
      </c>
      <c r="F11" s="38">
        <f t="shared" si="0"/>
        <v>0</v>
      </c>
      <c r="H11" s="27"/>
      <c r="J11" s="64" t="s">
        <v>4</v>
      </c>
      <c r="K11" s="64">
        <v>7</v>
      </c>
      <c r="L11" s="64">
        <v>7</v>
      </c>
      <c r="M11" s="64">
        <v>86</v>
      </c>
      <c r="N11" s="93"/>
      <c r="O11" s="93"/>
      <c r="R11" s="11">
        <v>8</v>
      </c>
      <c r="S11" s="12">
        <v>5</v>
      </c>
      <c r="T11" s="12" t="s">
        <v>15</v>
      </c>
      <c r="U11" s="12" t="s">
        <v>15</v>
      </c>
      <c r="W11" s="11">
        <v>8</v>
      </c>
      <c r="X11" s="12">
        <v>3</v>
      </c>
      <c r="Y11" s="12">
        <v>0</v>
      </c>
      <c r="Z11" s="12">
        <v>0</v>
      </c>
      <c r="AB11" s="11">
        <v>8</v>
      </c>
      <c r="AC11" s="12">
        <v>1</v>
      </c>
      <c r="AD11" s="69">
        <v>1</v>
      </c>
      <c r="AE11" s="69">
        <v>1</v>
      </c>
      <c r="AG11" s="11">
        <v>8</v>
      </c>
      <c r="AH11" s="12">
        <v>1</v>
      </c>
      <c r="AI11" s="69">
        <v>1</v>
      </c>
      <c r="AJ11" s="69">
        <v>1</v>
      </c>
      <c r="AL11" s="11">
        <v>8</v>
      </c>
      <c r="AM11" s="12">
        <v>1</v>
      </c>
      <c r="AN11" s="69">
        <v>1</v>
      </c>
      <c r="AO11" s="69">
        <v>1</v>
      </c>
      <c r="AQ11" s="11">
        <v>8</v>
      </c>
      <c r="AR11" s="14" t="s">
        <v>9</v>
      </c>
      <c r="AT11" s="11">
        <v>8</v>
      </c>
      <c r="AU11" s="12">
        <v>8</v>
      </c>
      <c r="AW11" s="11">
        <v>8</v>
      </c>
      <c r="AX11" s="12">
        <v>1</v>
      </c>
      <c r="AY11" s="12">
        <v>1</v>
      </c>
      <c r="AZ11" s="12">
        <v>1</v>
      </c>
      <c r="BA11" s="12">
        <v>1</v>
      </c>
      <c r="BB11" s="12">
        <v>1</v>
      </c>
      <c r="BC11" s="12">
        <v>1</v>
      </c>
      <c r="BD11" s="12">
        <v>1</v>
      </c>
      <c r="BE11" s="12">
        <v>1</v>
      </c>
      <c r="BF11" s="24">
        <v>1</v>
      </c>
      <c r="BG11" s="29">
        <v>1</v>
      </c>
      <c r="BH11" s="12">
        <v>1</v>
      </c>
      <c r="BI11" s="12">
        <v>1</v>
      </c>
      <c r="BK11" s="11">
        <v>8</v>
      </c>
      <c r="BL11" s="12">
        <v>5</v>
      </c>
      <c r="BM11" s="12" t="s">
        <v>15</v>
      </c>
      <c r="BN11" s="12" t="s">
        <v>15</v>
      </c>
      <c r="BP11" s="11">
        <v>8</v>
      </c>
      <c r="BQ11" s="12">
        <v>3</v>
      </c>
      <c r="BR11" s="12">
        <v>0</v>
      </c>
      <c r="BS11" s="12">
        <v>0</v>
      </c>
      <c r="BU11" s="11">
        <v>8</v>
      </c>
      <c r="BV11" s="12">
        <v>1</v>
      </c>
      <c r="BW11" s="12">
        <v>1</v>
      </c>
      <c r="BX11" s="12">
        <v>1</v>
      </c>
      <c r="BZ11" s="11">
        <v>8</v>
      </c>
      <c r="CA11" s="12"/>
      <c r="CC11" s="11">
        <v>8</v>
      </c>
      <c r="CD11" s="12"/>
    </row>
    <row r="12" spans="1:82">
      <c r="A12" s="20" t="s">
        <v>22</v>
      </c>
      <c r="B12" s="20">
        <v>7</v>
      </c>
      <c r="C12" s="5" t="s">
        <v>27</v>
      </c>
      <c r="D12" s="37">
        <f t="shared" si="1"/>
        <v>0</v>
      </c>
      <c r="E12" s="59">
        <f t="shared" si="0"/>
        <v>0</v>
      </c>
      <c r="F12" s="38">
        <f t="shared" si="0"/>
        <v>0</v>
      </c>
      <c r="H12" s="27"/>
      <c r="J12" s="27"/>
      <c r="K12" s="27"/>
      <c r="R12" s="11">
        <v>9</v>
      </c>
      <c r="S12" s="12" t="s">
        <v>15</v>
      </c>
      <c r="T12" s="12" t="s">
        <v>18</v>
      </c>
      <c r="U12" s="12">
        <v>1</v>
      </c>
      <c r="W12" s="11">
        <v>9</v>
      </c>
      <c r="X12" s="12">
        <v>0</v>
      </c>
      <c r="Y12" s="12">
        <v>5</v>
      </c>
      <c r="Z12" s="12">
        <v>2</v>
      </c>
      <c r="AB12" s="11">
        <v>9</v>
      </c>
      <c r="AC12" s="12">
        <v>1</v>
      </c>
      <c r="AD12" s="69">
        <v>1</v>
      </c>
      <c r="AE12" s="69">
        <v>1</v>
      </c>
      <c r="AG12" s="11">
        <v>9</v>
      </c>
      <c r="AH12" s="12">
        <v>1</v>
      </c>
      <c r="AI12" s="69">
        <v>1</v>
      </c>
      <c r="AJ12" s="69">
        <v>1</v>
      </c>
      <c r="AL12" s="11">
        <v>9</v>
      </c>
      <c r="AM12" s="12">
        <v>1</v>
      </c>
      <c r="AN12" s="69">
        <v>1</v>
      </c>
      <c r="AO12" s="69">
        <v>1</v>
      </c>
      <c r="AQ12" s="11">
        <v>9</v>
      </c>
      <c r="AR12" s="12" t="s">
        <v>15</v>
      </c>
      <c r="AT12" s="11">
        <v>9</v>
      </c>
      <c r="AU12" s="12">
        <v>0</v>
      </c>
      <c r="AW12" s="11">
        <v>9</v>
      </c>
      <c r="AX12" s="12">
        <v>1</v>
      </c>
      <c r="AY12" s="12">
        <v>1</v>
      </c>
      <c r="AZ12" s="12">
        <v>1</v>
      </c>
      <c r="BA12" s="12">
        <v>1</v>
      </c>
      <c r="BB12" s="12">
        <v>1</v>
      </c>
      <c r="BC12" s="12">
        <v>1</v>
      </c>
      <c r="BD12" s="12">
        <v>1</v>
      </c>
      <c r="BE12" s="12">
        <v>1</v>
      </c>
      <c r="BF12" s="24">
        <v>1</v>
      </c>
      <c r="BG12" s="29">
        <v>1</v>
      </c>
      <c r="BH12" s="12">
        <v>1</v>
      </c>
      <c r="BI12" s="12">
        <v>1</v>
      </c>
      <c r="BK12" s="11">
        <v>9</v>
      </c>
      <c r="BL12" s="12" t="s">
        <v>15</v>
      </c>
      <c r="BM12" s="12" t="s">
        <v>18</v>
      </c>
      <c r="BN12" s="12">
        <v>1</v>
      </c>
      <c r="BP12" s="11">
        <v>9</v>
      </c>
      <c r="BQ12" s="12">
        <v>0</v>
      </c>
      <c r="BR12" s="12">
        <v>5</v>
      </c>
      <c r="BS12" s="12">
        <v>2</v>
      </c>
      <c r="BU12" s="11">
        <v>9</v>
      </c>
      <c r="BV12" s="12">
        <v>1</v>
      </c>
      <c r="BW12" s="12">
        <v>1</v>
      </c>
      <c r="BX12" s="12">
        <v>1</v>
      </c>
      <c r="BZ12" s="11">
        <v>9</v>
      </c>
      <c r="CA12" s="12"/>
      <c r="CC12" s="11">
        <v>9</v>
      </c>
      <c r="CD12" s="12"/>
    </row>
    <row r="13" spans="1:82" ht="18" customHeight="1">
      <c r="A13" s="20" t="s">
        <v>23</v>
      </c>
      <c r="B13" s="20">
        <v>8</v>
      </c>
      <c r="C13" s="5" t="s">
        <v>28</v>
      </c>
      <c r="D13" s="37">
        <f t="shared" si="1"/>
        <v>0</v>
      </c>
      <c r="E13" s="59">
        <f t="shared" si="0"/>
        <v>0</v>
      </c>
      <c r="F13" s="38">
        <f t="shared" si="0"/>
        <v>0</v>
      </c>
      <c r="H13" s="27"/>
      <c r="J13" s="66"/>
      <c r="K13" s="64" t="s">
        <v>90</v>
      </c>
      <c r="L13" s="64" t="s">
        <v>91</v>
      </c>
      <c r="M13" s="64" t="s">
        <v>92</v>
      </c>
      <c r="R13" s="11">
        <v>10</v>
      </c>
      <c r="S13" s="12">
        <v>10</v>
      </c>
      <c r="T13" s="12" t="s">
        <v>15</v>
      </c>
      <c r="U13" s="12" t="s">
        <v>15</v>
      </c>
      <c r="W13" s="11">
        <v>10</v>
      </c>
      <c r="X13" s="12">
        <v>4</v>
      </c>
      <c r="Y13" s="12">
        <v>0</v>
      </c>
      <c r="Z13" s="12">
        <v>0</v>
      </c>
      <c r="AB13" s="11">
        <v>10</v>
      </c>
      <c r="AC13" s="12">
        <v>1</v>
      </c>
      <c r="AD13" s="69">
        <v>1</v>
      </c>
      <c r="AE13" s="69">
        <v>1</v>
      </c>
      <c r="AG13" s="11">
        <v>10</v>
      </c>
      <c r="AH13" s="12">
        <v>1</v>
      </c>
      <c r="AI13" s="69">
        <v>1</v>
      </c>
      <c r="AJ13" s="69">
        <v>1</v>
      </c>
      <c r="AL13" s="11">
        <v>10</v>
      </c>
      <c r="AM13" s="12">
        <v>1</v>
      </c>
      <c r="AN13" s="69">
        <v>1</v>
      </c>
      <c r="AO13" s="69">
        <v>1</v>
      </c>
      <c r="AQ13" s="11">
        <v>10</v>
      </c>
      <c r="AR13" s="14" t="s">
        <v>5</v>
      </c>
      <c r="AT13" s="11">
        <v>10</v>
      </c>
      <c r="AU13" s="12">
        <v>6</v>
      </c>
      <c r="AW13" s="11">
        <v>10</v>
      </c>
      <c r="AX13" s="12">
        <v>1</v>
      </c>
      <c r="AY13" s="12">
        <v>1</v>
      </c>
      <c r="AZ13" s="12">
        <v>1</v>
      </c>
      <c r="BA13" s="12">
        <v>1</v>
      </c>
      <c r="BB13" s="12">
        <v>1</v>
      </c>
      <c r="BC13" s="12">
        <v>1</v>
      </c>
      <c r="BD13" s="12">
        <v>1</v>
      </c>
      <c r="BE13" s="12">
        <v>1</v>
      </c>
      <c r="BF13" s="24">
        <v>1</v>
      </c>
      <c r="BG13" s="29">
        <v>1</v>
      </c>
      <c r="BH13" s="12">
        <v>1</v>
      </c>
      <c r="BI13" s="12">
        <v>1</v>
      </c>
      <c r="BK13" s="11">
        <v>10</v>
      </c>
      <c r="BL13" s="12">
        <v>10</v>
      </c>
      <c r="BM13" s="12" t="s">
        <v>15</v>
      </c>
      <c r="BN13" s="12" t="s">
        <v>15</v>
      </c>
      <c r="BP13" s="11">
        <v>10</v>
      </c>
      <c r="BQ13" s="12">
        <v>4</v>
      </c>
      <c r="BR13" s="12">
        <v>0</v>
      </c>
      <c r="BS13" s="12">
        <v>0</v>
      </c>
      <c r="BU13" s="11">
        <v>10</v>
      </c>
      <c r="BV13" s="12">
        <v>1</v>
      </c>
      <c r="BW13" s="12">
        <v>1</v>
      </c>
      <c r="BX13" s="12">
        <v>1</v>
      </c>
      <c r="BZ13" s="11">
        <v>10</v>
      </c>
      <c r="CA13" s="12"/>
      <c r="CC13" s="11">
        <v>10</v>
      </c>
      <c r="CD13" s="12"/>
    </row>
    <row r="14" spans="1:82" ht="16.8">
      <c r="A14" s="20" t="s">
        <v>24</v>
      </c>
      <c r="B14" s="20">
        <v>9</v>
      </c>
      <c r="C14" s="5" t="s">
        <v>16</v>
      </c>
      <c r="D14" s="37">
        <f t="shared" si="1"/>
        <v>0</v>
      </c>
      <c r="E14" s="59">
        <f t="shared" si="0"/>
        <v>0</v>
      </c>
      <c r="F14" s="38">
        <f t="shared" si="0"/>
        <v>0</v>
      </c>
      <c r="H14" s="27"/>
      <c r="J14" s="64" t="s">
        <v>96</v>
      </c>
      <c r="K14" s="64">
        <v>1</v>
      </c>
      <c r="L14" s="64">
        <v>1</v>
      </c>
      <c r="M14" s="64">
        <v>1</v>
      </c>
      <c r="R14" s="11">
        <v>11</v>
      </c>
      <c r="S14" s="12" t="s">
        <v>15</v>
      </c>
      <c r="T14" s="12">
        <v>0</v>
      </c>
      <c r="U14" s="12">
        <v>5</v>
      </c>
      <c r="W14" s="11">
        <v>11</v>
      </c>
      <c r="X14" s="12">
        <v>0</v>
      </c>
      <c r="Y14" s="12">
        <v>1</v>
      </c>
      <c r="Z14" s="12">
        <v>3</v>
      </c>
      <c r="AB14" s="11">
        <v>11</v>
      </c>
      <c r="AC14" s="12">
        <v>1</v>
      </c>
      <c r="AD14" s="69">
        <v>1</v>
      </c>
      <c r="AE14" s="69">
        <v>1</v>
      </c>
      <c r="AG14" s="11">
        <v>11</v>
      </c>
      <c r="AH14" s="12">
        <v>1</v>
      </c>
      <c r="AI14" s="69">
        <v>1</v>
      </c>
      <c r="AJ14" s="69">
        <v>1</v>
      </c>
      <c r="AL14" s="11">
        <v>11</v>
      </c>
      <c r="AM14" s="12">
        <v>1</v>
      </c>
      <c r="AN14" s="69">
        <v>1</v>
      </c>
      <c r="AO14" s="69">
        <v>1</v>
      </c>
      <c r="AQ14" s="11">
        <v>11</v>
      </c>
      <c r="AR14" s="12" t="s">
        <v>15</v>
      </c>
      <c r="AT14" s="11">
        <v>11</v>
      </c>
      <c r="AU14" s="12">
        <v>0</v>
      </c>
      <c r="AW14" s="11">
        <v>11</v>
      </c>
      <c r="AX14" s="12">
        <v>1</v>
      </c>
      <c r="AY14" s="12">
        <v>1</v>
      </c>
      <c r="AZ14" s="12">
        <v>1</v>
      </c>
      <c r="BA14" s="12">
        <v>1</v>
      </c>
      <c r="BB14" s="12">
        <v>1</v>
      </c>
      <c r="BC14" s="12">
        <v>1</v>
      </c>
      <c r="BD14" s="12">
        <v>1</v>
      </c>
      <c r="BE14" s="12">
        <v>1</v>
      </c>
      <c r="BF14" s="24">
        <v>1</v>
      </c>
      <c r="BG14" s="29">
        <v>1</v>
      </c>
      <c r="BH14" s="12">
        <v>1</v>
      </c>
      <c r="BI14" s="12">
        <v>1</v>
      </c>
      <c r="BK14" s="11">
        <v>11</v>
      </c>
      <c r="BL14" s="12" t="s">
        <v>15</v>
      </c>
      <c r="BM14" s="12">
        <v>0</v>
      </c>
      <c r="BN14" s="12">
        <v>5</v>
      </c>
      <c r="BP14" s="11">
        <v>11</v>
      </c>
      <c r="BQ14" s="12">
        <v>0</v>
      </c>
      <c r="BR14" s="12">
        <v>1</v>
      </c>
      <c r="BS14" s="12">
        <v>3</v>
      </c>
      <c r="BU14" s="11">
        <v>11</v>
      </c>
      <c r="BV14" s="12">
        <v>1</v>
      </c>
      <c r="BW14" s="12">
        <v>1</v>
      </c>
      <c r="BX14" s="12">
        <v>1</v>
      </c>
      <c r="BZ14" s="11">
        <v>11</v>
      </c>
      <c r="CA14" s="12"/>
      <c r="CC14" s="11">
        <v>11</v>
      </c>
      <c r="CD14" s="12"/>
    </row>
    <row r="15" spans="1:82">
      <c r="A15" s="21" t="s">
        <v>35</v>
      </c>
      <c r="B15" s="21">
        <v>10</v>
      </c>
      <c r="C15" s="5" t="s">
        <v>37</v>
      </c>
      <c r="D15" s="37">
        <f t="shared" si="1"/>
        <v>0</v>
      </c>
      <c r="E15" s="59">
        <f t="shared" si="0"/>
        <v>0</v>
      </c>
      <c r="F15" s="38">
        <f t="shared" si="0"/>
        <v>0</v>
      </c>
      <c r="R15" s="11">
        <v>12</v>
      </c>
      <c r="S15" s="12">
        <v>1</v>
      </c>
      <c r="T15" s="12" t="s">
        <v>15</v>
      </c>
      <c r="U15" s="12" t="s">
        <v>15</v>
      </c>
      <c r="W15" s="11">
        <v>12</v>
      </c>
      <c r="X15" s="12">
        <v>2</v>
      </c>
      <c r="Y15" s="12">
        <v>0</v>
      </c>
      <c r="Z15" s="12">
        <v>0</v>
      </c>
      <c r="AB15" s="11">
        <v>12</v>
      </c>
      <c r="AC15" s="12">
        <v>1</v>
      </c>
      <c r="AD15" s="69">
        <v>1</v>
      </c>
      <c r="AE15" s="69">
        <v>1</v>
      </c>
      <c r="AG15" s="11">
        <v>12</v>
      </c>
      <c r="AH15" s="12">
        <v>1</v>
      </c>
      <c r="AI15" s="69">
        <v>1</v>
      </c>
      <c r="AJ15" s="69">
        <v>1</v>
      </c>
      <c r="AL15" s="11">
        <v>12</v>
      </c>
      <c r="AM15" s="12">
        <v>1</v>
      </c>
      <c r="AN15" s="69">
        <v>1</v>
      </c>
      <c r="AO15" s="69">
        <v>1</v>
      </c>
      <c r="AQ15" s="11">
        <v>12</v>
      </c>
      <c r="AR15" s="14" t="s">
        <v>7</v>
      </c>
      <c r="AT15" s="11">
        <v>12</v>
      </c>
      <c r="AU15" s="12">
        <v>9</v>
      </c>
      <c r="AW15" s="11">
        <v>12</v>
      </c>
      <c r="AX15" s="12">
        <v>1</v>
      </c>
      <c r="AY15" s="12">
        <v>1</v>
      </c>
      <c r="AZ15" s="12">
        <v>1</v>
      </c>
      <c r="BA15" s="12">
        <v>1</v>
      </c>
      <c r="BB15" s="12">
        <v>1</v>
      </c>
      <c r="BC15" s="12">
        <v>1</v>
      </c>
      <c r="BD15" s="12">
        <v>1</v>
      </c>
      <c r="BE15" s="12">
        <v>1</v>
      </c>
      <c r="BF15" s="24">
        <v>1</v>
      </c>
      <c r="BG15" s="29">
        <v>1</v>
      </c>
      <c r="BH15" s="12">
        <v>1</v>
      </c>
      <c r="BI15" s="12">
        <v>1</v>
      </c>
      <c r="BK15" s="11">
        <v>12</v>
      </c>
      <c r="BL15" s="12">
        <v>1</v>
      </c>
      <c r="BM15" s="12" t="s">
        <v>15</v>
      </c>
      <c r="BN15" s="12" t="s">
        <v>15</v>
      </c>
      <c r="BP15" s="11">
        <v>12</v>
      </c>
      <c r="BQ15" s="12">
        <v>2</v>
      </c>
      <c r="BR15" s="12">
        <v>0</v>
      </c>
      <c r="BS15" s="12">
        <v>0</v>
      </c>
      <c r="BU15" s="11">
        <v>12</v>
      </c>
      <c r="BV15" s="12">
        <v>1</v>
      </c>
      <c r="BW15" s="12">
        <v>1</v>
      </c>
      <c r="BX15" s="12">
        <v>1</v>
      </c>
      <c r="BZ15" s="11">
        <v>12</v>
      </c>
      <c r="CA15" s="12"/>
      <c r="CC15" s="11">
        <v>12</v>
      </c>
      <c r="CD15" s="12"/>
    </row>
    <row r="16" spans="1:82" ht="16.8">
      <c r="A16" s="22" t="s">
        <v>39</v>
      </c>
      <c r="B16" s="22">
        <v>11</v>
      </c>
      <c r="C16" s="17" t="s">
        <v>38</v>
      </c>
      <c r="D16" s="60">
        <f t="shared" si="1"/>
        <v>0</v>
      </c>
      <c r="E16" s="39">
        <f t="shared" si="0"/>
        <v>0</v>
      </c>
      <c r="F16" s="40">
        <f t="shared" si="0"/>
        <v>0</v>
      </c>
      <c r="J16" s="2"/>
      <c r="K16" s="2" t="s">
        <v>119</v>
      </c>
      <c r="L16" s="2" t="s">
        <v>120</v>
      </c>
      <c r="R16" s="11">
        <v>13</v>
      </c>
      <c r="S16" s="12" t="s">
        <v>15</v>
      </c>
      <c r="T16" s="12">
        <v>1</v>
      </c>
      <c r="U16" s="12">
        <v>0</v>
      </c>
      <c r="W16" s="11">
        <v>13</v>
      </c>
      <c r="X16" s="12">
        <v>0</v>
      </c>
      <c r="Y16" s="12">
        <v>2</v>
      </c>
      <c r="Z16" s="12">
        <v>1</v>
      </c>
      <c r="AB16" s="11">
        <v>13</v>
      </c>
      <c r="AC16" s="12">
        <v>1</v>
      </c>
      <c r="AD16" s="69">
        <v>1</v>
      </c>
      <c r="AE16" s="69">
        <v>1</v>
      </c>
      <c r="AG16" s="11">
        <v>13</v>
      </c>
      <c r="AH16" s="12">
        <v>1</v>
      </c>
      <c r="AI16" s="69">
        <v>1</v>
      </c>
      <c r="AJ16" s="69">
        <v>1</v>
      </c>
      <c r="AL16" s="11">
        <v>13</v>
      </c>
      <c r="AM16" s="12">
        <v>1</v>
      </c>
      <c r="AN16" s="69">
        <v>1</v>
      </c>
      <c r="AO16" s="69">
        <v>1</v>
      </c>
      <c r="AQ16" s="11">
        <v>13</v>
      </c>
      <c r="AR16" s="12" t="s">
        <v>15</v>
      </c>
      <c r="AT16" s="11">
        <v>13</v>
      </c>
      <c r="AU16" s="12">
        <v>0</v>
      </c>
      <c r="AW16" s="11">
        <v>13</v>
      </c>
      <c r="AX16" s="12">
        <v>1</v>
      </c>
      <c r="AY16" s="12">
        <v>1</v>
      </c>
      <c r="AZ16" s="12">
        <v>1</v>
      </c>
      <c r="BA16" s="12">
        <v>1</v>
      </c>
      <c r="BB16" s="12">
        <v>1</v>
      </c>
      <c r="BC16" s="12">
        <v>1</v>
      </c>
      <c r="BD16" s="12">
        <v>1</v>
      </c>
      <c r="BE16" s="12">
        <v>1</v>
      </c>
      <c r="BF16" s="24">
        <v>1</v>
      </c>
      <c r="BG16" s="29">
        <v>1</v>
      </c>
      <c r="BH16" s="12">
        <v>1</v>
      </c>
      <c r="BI16" s="12">
        <v>1</v>
      </c>
      <c r="BK16" s="11">
        <v>13</v>
      </c>
      <c r="BL16" s="12" t="s">
        <v>15</v>
      </c>
      <c r="BM16" s="12">
        <v>1</v>
      </c>
      <c r="BN16" s="12">
        <v>0</v>
      </c>
      <c r="BP16" s="11">
        <v>13</v>
      </c>
      <c r="BQ16" s="12">
        <v>0</v>
      </c>
      <c r="BR16" s="12">
        <v>2</v>
      </c>
      <c r="BS16" s="12">
        <v>1</v>
      </c>
      <c r="BU16" s="11">
        <v>13</v>
      </c>
      <c r="BV16" s="12">
        <v>1</v>
      </c>
      <c r="BW16" s="12">
        <v>1</v>
      </c>
      <c r="BX16" s="12">
        <v>1</v>
      </c>
      <c r="BZ16" s="11">
        <v>13</v>
      </c>
      <c r="CA16" s="12"/>
      <c r="CC16" s="11">
        <v>13</v>
      </c>
      <c r="CD16" s="12"/>
    </row>
    <row r="17" spans="1:82" ht="16.8">
      <c r="D17" s="121">
        <f>SUM(D5:D16)</f>
        <v>36</v>
      </c>
      <c r="E17" s="121">
        <f>SUM(E5:E16)</f>
        <v>36</v>
      </c>
      <c r="F17" s="121">
        <f>SUM(F5:F16)</f>
        <v>36</v>
      </c>
      <c r="J17" s="2" t="s">
        <v>118</v>
      </c>
      <c r="K17" s="33">
        <v>100</v>
      </c>
      <c r="L17" s="33">
        <v>0</v>
      </c>
      <c r="R17" s="11">
        <v>14</v>
      </c>
      <c r="S17" s="12">
        <v>5</v>
      </c>
      <c r="T17" s="12" t="s">
        <v>15</v>
      </c>
      <c r="U17" s="12" t="s">
        <v>15</v>
      </c>
      <c r="W17" s="11">
        <v>14</v>
      </c>
      <c r="X17" s="12">
        <v>3</v>
      </c>
      <c r="Y17" s="12">
        <v>0</v>
      </c>
      <c r="Z17" s="12">
        <v>0</v>
      </c>
      <c r="AB17" s="11">
        <v>14</v>
      </c>
      <c r="AC17" s="12">
        <v>1</v>
      </c>
      <c r="AD17" s="69">
        <v>1</v>
      </c>
      <c r="AE17" s="69">
        <v>1</v>
      </c>
      <c r="AG17" s="11">
        <v>14</v>
      </c>
      <c r="AH17" s="12">
        <v>1</v>
      </c>
      <c r="AI17" s="69">
        <v>1</v>
      </c>
      <c r="AJ17" s="69">
        <v>1</v>
      </c>
      <c r="AL17" s="11">
        <v>14</v>
      </c>
      <c r="AM17" s="12">
        <v>1</v>
      </c>
      <c r="AN17" s="69">
        <v>1</v>
      </c>
      <c r="AO17" s="69">
        <v>1</v>
      </c>
      <c r="AQ17" s="11">
        <v>14</v>
      </c>
      <c r="AR17" s="14" t="s">
        <v>6</v>
      </c>
      <c r="AT17" s="11">
        <v>14</v>
      </c>
      <c r="AU17" s="12">
        <v>7</v>
      </c>
      <c r="AW17" s="11">
        <v>14</v>
      </c>
      <c r="AX17" s="12">
        <v>1</v>
      </c>
      <c r="AY17" s="12">
        <v>1</v>
      </c>
      <c r="AZ17" s="12">
        <v>1</v>
      </c>
      <c r="BA17" s="12">
        <v>1</v>
      </c>
      <c r="BB17" s="12">
        <v>1</v>
      </c>
      <c r="BC17" s="12">
        <v>1</v>
      </c>
      <c r="BD17" s="12">
        <v>1</v>
      </c>
      <c r="BE17" s="12">
        <v>1</v>
      </c>
      <c r="BF17" s="24">
        <v>1</v>
      </c>
      <c r="BG17" s="29">
        <v>1</v>
      </c>
      <c r="BH17" s="12">
        <v>1</v>
      </c>
      <c r="BI17" s="12">
        <v>1</v>
      </c>
      <c r="BK17" s="11">
        <v>14</v>
      </c>
      <c r="BL17" s="12">
        <v>5</v>
      </c>
      <c r="BM17" s="12" t="s">
        <v>15</v>
      </c>
      <c r="BN17" s="12" t="s">
        <v>15</v>
      </c>
      <c r="BP17" s="11">
        <v>14</v>
      </c>
      <c r="BQ17" s="12">
        <v>3</v>
      </c>
      <c r="BR17" s="12">
        <v>0</v>
      </c>
      <c r="BS17" s="12">
        <v>0</v>
      </c>
      <c r="BU17" s="11">
        <v>14</v>
      </c>
      <c r="BV17" s="12">
        <v>1</v>
      </c>
      <c r="BW17" s="12">
        <v>1</v>
      </c>
      <c r="BX17" s="12">
        <v>1</v>
      </c>
      <c r="BZ17" s="11">
        <v>14</v>
      </c>
      <c r="CA17" s="12"/>
      <c r="CC17" s="11">
        <v>14</v>
      </c>
      <c r="CD17" s="12"/>
    </row>
    <row r="18" spans="1:82">
      <c r="C18" s="8"/>
      <c r="R18" s="11">
        <v>15</v>
      </c>
      <c r="S18" s="12" t="s">
        <v>15</v>
      </c>
      <c r="T18" s="12">
        <v>5</v>
      </c>
      <c r="U18" s="12">
        <v>1</v>
      </c>
      <c r="W18" s="11">
        <v>15</v>
      </c>
      <c r="X18" s="12">
        <v>0</v>
      </c>
      <c r="Y18" s="12">
        <v>3</v>
      </c>
      <c r="Z18" s="12">
        <v>2</v>
      </c>
      <c r="AB18" s="11">
        <v>15</v>
      </c>
      <c r="AC18" s="12">
        <v>1</v>
      </c>
      <c r="AD18" s="69">
        <v>1</v>
      </c>
      <c r="AE18" s="69">
        <v>1</v>
      </c>
      <c r="AG18" s="11">
        <v>15</v>
      </c>
      <c r="AH18" s="12">
        <v>1</v>
      </c>
      <c r="AI18" s="69">
        <v>1</v>
      </c>
      <c r="AJ18" s="69">
        <v>1</v>
      </c>
      <c r="AL18" s="11">
        <v>15</v>
      </c>
      <c r="AM18" s="12">
        <v>1</v>
      </c>
      <c r="AN18" s="69">
        <v>1</v>
      </c>
      <c r="AO18" s="69">
        <v>1</v>
      </c>
      <c r="AQ18" s="11">
        <v>15</v>
      </c>
      <c r="AR18" s="12" t="s">
        <v>15</v>
      </c>
      <c r="AT18" s="11">
        <v>15</v>
      </c>
      <c r="AU18" s="12">
        <v>0</v>
      </c>
      <c r="AW18" s="11">
        <v>15</v>
      </c>
      <c r="AX18" s="12">
        <v>1</v>
      </c>
      <c r="AY18" s="12">
        <v>1</v>
      </c>
      <c r="AZ18" s="12">
        <v>1</v>
      </c>
      <c r="BA18" s="12">
        <v>1</v>
      </c>
      <c r="BB18" s="12">
        <v>1</v>
      </c>
      <c r="BC18" s="12">
        <v>1</v>
      </c>
      <c r="BD18" s="12">
        <v>1</v>
      </c>
      <c r="BE18" s="12">
        <v>1</v>
      </c>
      <c r="BF18" s="24">
        <v>1</v>
      </c>
      <c r="BG18" s="29">
        <v>1</v>
      </c>
      <c r="BH18" s="12">
        <v>1</v>
      </c>
      <c r="BI18" s="12">
        <v>1</v>
      </c>
      <c r="BK18" s="11">
        <v>15</v>
      </c>
      <c r="BL18" s="12" t="s">
        <v>15</v>
      </c>
      <c r="BM18" s="12">
        <v>5</v>
      </c>
      <c r="BN18" s="12">
        <v>1</v>
      </c>
      <c r="BP18" s="11">
        <v>15</v>
      </c>
      <c r="BQ18" s="12">
        <v>0</v>
      </c>
      <c r="BR18" s="12">
        <v>3</v>
      </c>
      <c r="BS18" s="12">
        <v>2</v>
      </c>
      <c r="BU18" s="11">
        <v>15</v>
      </c>
      <c r="BV18" s="12">
        <v>1</v>
      </c>
      <c r="BW18" s="12">
        <v>1</v>
      </c>
      <c r="BX18" s="12">
        <v>1</v>
      </c>
      <c r="BZ18" s="11">
        <v>15</v>
      </c>
      <c r="CA18" s="12"/>
      <c r="CC18" s="11">
        <v>15</v>
      </c>
      <c r="CD18" s="12"/>
    </row>
    <row r="19" spans="1:82">
      <c r="A19" s="30" t="s">
        <v>116</v>
      </c>
      <c r="D19" s="119">
        <v>5</v>
      </c>
      <c r="E19" s="119" t="s">
        <v>8</v>
      </c>
      <c r="F19" s="119">
        <v>0</v>
      </c>
      <c r="J19" s="94" t="s">
        <v>125</v>
      </c>
      <c r="K19" s="121"/>
      <c r="R19" s="11">
        <v>16</v>
      </c>
      <c r="S19" s="12">
        <v>10</v>
      </c>
      <c r="T19" s="12" t="s">
        <v>15</v>
      </c>
      <c r="U19" s="12" t="s">
        <v>15</v>
      </c>
      <c r="W19" s="11">
        <v>16</v>
      </c>
      <c r="X19" s="12">
        <v>4</v>
      </c>
      <c r="Y19" s="12">
        <v>0</v>
      </c>
      <c r="Z19" s="12">
        <v>0</v>
      </c>
      <c r="AB19" s="11">
        <v>16</v>
      </c>
      <c r="AC19" s="12">
        <v>1</v>
      </c>
      <c r="AD19" s="69">
        <v>1</v>
      </c>
      <c r="AE19" s="69">
        <v>1</v>
      </c>
      <c r="AG19" s="11">
        <v>16</v>
      </c>
      <c r="AH19" s="12">
        <v>1</v>
      </c>
      <c r="AI19" s="69">
        <v>1</v>
      </c>
      <c r="AJ19" s="69">
        <v>1</v>
      </c>
      <c r="AL19" s="11">
        <v>16</v>
      </c>
      <c r="AM19" s="12">
        <v>1</v>
      </c>
      <c r="AN19" s="69">
        <v>1</v>
      </c>
      <c r="AO19" s="69">
        <v>1</v>
      </c>
      <c r="AQ19" s="11">
        <v>16</v>
      </c>
      <c r="AR19" s="14" t="s">
        <v>40</v>
      </c>
      <c r="AT19" s="11">
        <v>16</v>
      </c>
      <c r="AU19" s="12">
        <v>11</v>
      </c>
      <c r="AW19" s="11">
        <v>16</v>
      </c>
      <c r="AX19" s="12">
        <v>1</v>
      </c>
      <c r="AY19" s="12">
        <v>1</v>
      </c>
      <c r="AZ19" s="12">
        <v>1</v>
      </c>
      <c r="BA19" s="12">
        <v>1</v>
      </c>
      <c r="BB19" s="12">
        <v>1</v>
      </c>
      <c r="BC19" s="12">
        <v>1</v>
      </c>
      <c r="BD19" s="12">
        <v>1</v>
      </c>
      <c r="BE19" s="12">
        <v>1</v>
      </c>
      <c r="BF19" s="24">
        <v>1</v>
      </c>
      <c r="BG19" s="29">
        <v>1</v>
      </c>
      <c r="BH19" s="12">
        <v>1</v>
      </c>
      <c r="BI19" s="12">
        <v>1</v>
      </c>
      <c r="BK19" s="11">
        <v>16</v>
      </c>
      <c r="BL19" s="12">
        <v>10</v>
      </c>
      <c r="BM19" s="12" t="s">
        <v>15</v>
      </c>
      <c r="BN19" s="12" t="s">
        <v>15</v>
      </c>
      <c r="BP19" s="11">
        <v>16</v>
      </c>
      <c r="BQ19" s="12">
        <v>4</v>
      </c>
      <c r="BR19" s="12">
        <v>0</v>
      </c>
      <c r="BS19" s="12">
        <v>0</v>
      </c>
      <c r="BU19" s="11">
        <v>16</v>
      </c>
      <c r="BV19" s="12">
        <v>1</v>
      </c>
      <c r="BW19" s="12">
        <v>1</v>
      </c>
      <c r="BX19" s="12">
        <v>1</v>
      </c>
      <c r="BZ19" s="11">
        <v>16</v>
      </c>
      <c r="CA19" s="12"/>
      <c r="CC19" s="11">
        <v>16</v>
      </c>
      <c r="CD19" s="12"/>
    </row>
    <row r="20" spans="1:82">
      <c r="D20" s="119"/>
      <c r="E20" s="119"/>
      <c r="F20" s="119">
        <v>1</v>
      </c>
      <c r="J20" s="2" t="s">
        <v>66</v>
      </c>
      <c r="K20" s="2" t="s">
        <v>67</v>
      </c>
      <c r="R20" s="11">
        <v>17</v>
      </c>
      <c r="S20" s="12" t="s">
        <v>15</v>
      </c>
      <c r="T20" s="12">
        <v>10</v>
      </c>
      <c r="U20" s="12">
        <v>5</v>
      </c>
      <c r="W20" s="11">
        <v>17</v>
      </c>
      <c r="X20" s="12">
        <v>0</v>
      </c>
      <c r="Y20" s="12">
        <v>4</v>
      </c>
      <c r="Z20" s="12">
        <v>3</v>
      </c>
      <c r="AB20" s="11">
        <v>17</v>
      </c>
      <c r="AC20" s="12">
        <v>1</v>
      </c>
      <c r="AD20" s="69">
        <v>1</v>
      </c>
      <c r="AE20" s="69">
        <v>1</v>
      </c>
      <c r="AG20" s="11">
        <v>17</v>
      </c>
      <c r="AH20" s="12">
        <v>1</v>
      </c>
      <c r="AI20" s="69">
        <v>1</v>
      </c>
      <c r="AJ20" s="69">
        <v>1</v>
      </c>
      <c r="AL20" s="11">
        <v>17</v>
      </c>
      <c r="AM20" s="12">
        <v>1</v>
      </c>
      <c r="AN20" s="69">
        <v>1</v>
      </c>
      <c r="AO20" s="69">
        <v>1</v>
      </c>
      <c r="AQ20" s="11">
        <v>17</v>
      </c>
      <c r="AR20" s="12" t="s">
        <v>15</v>
      </c>
      <c r="AT20" s="11">
        <v>17</v>
      </c>
      <c r="AU20" s="12">
        <v>0</v>
      </c>
      <c r="AW20" s="11">
        <v>17</v>
      </c>
      <c r="AX20" s="12">
        <v>1</v>
      </c>
      <c r="AY20" s="12">
        <v>1</v>
      </c>
      <c r="AZ20" s="12">
        <v>1</v>
      </c>
      <c r="BA20" s="12">
        <v>1</v>
      </c>
      <c r="BB20" s="12">
        <v>1</v>
      </c>
      <c r="BC20" s="12">
        <v>1</v>
      </c>
      <c r="BD20" s="12">
        <v>1</v>
      </c>
      <c r="BE20" s="12">
        <v>1</v>
      </c>
      <c r="BF20" s="24">
        <v>1</v>
      </c>
      <c r="BG20" s="29">
        <v>1</v>
      </c>
      <c r="BH20" s="12">
        <v>1</v>
      </c>
      <c r="BI20" s="12">
        <v>1</v>
      </c>
      <c r="BK20" s="11">
        <v>17</v>
      </c>
      <c r="BL20" s="12" t="s">
        <v>15</v>
      </c>
      <c r="BM20" s="12">
        <v>10</v>
      </c>
      <c r="BN20" s="12">
        <v>5</v>
      </c>
      <c r="BP20" s="11">
        <v>17</v>
      </c>
      <c r="BQ20" s="12">
        <v>0</v>
      </c>
      <c r="BR20" s="12">
        <v>4</v>
      </c>
      <c r="BS20" s="12">
        <v>3</v>
      </c>
      <c r="BU20" s="11">
        <v>17</v>
      </c>
      <c r="BV20" s="12">
        <v>1</v>
      </c>
      <c r="BW20" s="12">
        <v>1</v>
      </c>
      <c r="BX20" s="12">
        <v>1</v>
      </c>
      <c r="BZ20" s="11">
        <v>17</v>
      </c>
      <c r="CA20" s="12"/>
      <c r="CC20" s="11">
        <v>17</v>
      </c>
      <c r="CD20" s="12"/>
    </row>
    <row r="21" spans="1:82">
      <c r="D21" s="119"/>
      <c r="E21" s="119"/>
      <c r="F21" s="119">
        <v>5</v>
      </c>
      <c r="J21" s="2">
        <v>0</v>
      </c>
      <c r="K21" s="2">
        <v>1</v>
      </c>
      <c r="R21" s="11">
        <v>18</v>
      </c>
      <c r="S21" s="12">
        <v>1</v>
      </c>
      <c r="T21" s="12" t="s">
        <v>15</v>
      </c>
      <c r="U21" s="12" t="s">
        <v>15</v>
      </c>
      <c r="W21" s="11">
        <v>18</v>
      </c>
      <c r="X21" s="12">
        <v>2</v>
      </c>
      <c r="Y21" s="12">
        <v>0</v>
      </c>
      <c r="Z21" s="12">
        <v>0</v>
      </c>
      <c r="AB21" s="11">
        <v>18</v>
      </c>
      <c r="AC21" s="12">
        <v>1</v>
      </c>
      <c r="AD21" s="69">
        <v>1</v>
      </c>
      <c r="AE21" s="69">
        <v>1</v>
      </c>
      <c r="AG21" s="11">
        <v>18</v>
      </c>
      <c r="AH21" s="12">
        <v>1</v>
      </c>
      <c r="AI21" s="69">
        <v>1</v>
      </c>
      <c r="AJ21" s="69">
        <v>1</v>
      </c>
      <c r="AL21" s="11">
        <v>18</v>
      </c>
      <c r="AM21" s="12">
        <v>1</v>
      </c>
      <c r="AN21" s="69">
        <v>1</v>
      </c>
      <c r="AO21" s="69">
        <v>1</v>
      </c>
      <c r="AQ21" s="11">
        <v>18</v>
      </c>
      <c r="AR21" s="14" t="s">
        <v>9</v>
      </c>
      <c r="AT21" s="11">
        <v>18</v>
      </c>
      <c r="AU21" s="12">
        <v>8</v>
      </c>
      <c r="AW21" s="11">
        <v>18</v>
      </c>
      <c r="AX21" s="12">
        <v>1</v>
      </c>
      <c r="AY21" s="12">
        <v>1</v>
      </c>
      <c r="AZ21" s="12">
        <v>1</v>
      </c>
      <c r="BA21" s="12">
        <v>1</v>
      </c>
      <c r="BB21" s="12">
        <v>1</v>
      </c>
      <c r="BC21" s="12">
        <v>1</v>
      </c>
      <c r="BD21" s="12">
        <v>1</v>
      </c>
      <c r="BE21" s="12">
        <v>1</v>
      </c>
      <c r="BF21" s="24">
        <v>1</v>
      </c>
      <c r="BG21" s="29">
        <v>1</v>
      </c>
      <c r="BH21" s="12">
        <v>1</v>
      </c>
      <c r="BI21" s="12">
        <v>1</v>
      </c>
      <c r="BK21" s="11">
        <v>18</v>
      </c>
      <c r="BL21" s="12">
        <v>1</v>
      </c>
      <c r="BM21" s="12" t="s">
        <v>15</v>
      </c>
      <c r="BN21" s="12" t="s">
        <v>15</v>
      </c>
      <c r="BP21" s="11">
        <v>18</v>
      </c>
      <c r="BQ21" s="12">
        <v>2</v>
      </c>
      <c r="BR21" s="12">
        <v>0</v>
      </c>
      <c r="BS21" s="12">
        <v>0</v>
      </c>
      <c r="BU21" s="11">
        <v>18</v>
      </c>
      <c r="BV21" s="12">
        <v>1</v>
      </c>
      <c r="BW21" s="12">
        <v>1</v>
      </c>
      <c r="BX21" s="12">
        <v>1</v>
      </c>
      <c r="BZ21" s="11">
        <v>18</v>
      </c>
      <c r="CA21" s="12"/>
      <c r="CC21" s="11">
        <v>18</v>
      </c>
      <c r="CD21" s="12"/>
    </row>
    <row r="22" spans="1:82">
      <c r="A22" s="30" t="s">
        <v>46</v>
      </c>
      <c r="B22" s="1" t="s">
        <v>10</v>
      </c>
      <c r="C22" s="2" t="s">
        <v>11</v>
      </c>
      <c r="D22" s="3" t="s">
        <v>80</v>
      </c>
      <c r="E22" s="122" t="s">
        <v>1</v>
      </c>
      <c r="F22" s="4" t="s">
        <v>2</v>
      </c>
      <c r="R22" s="11">
        <v>19</v>
      </c>
      <c r="S22" s="12" t="s">
        <v>15</v>
      </c>
      <c r="T22" s="12" t="s">
        <v>18</v>
      </c>
      <c r="U22" s="12">
        <v>0</v>
      </c>
      <c r="W22" s="11">
        <v>19</v>
      </c>
      <c r="X22" s="12">
        <v>0</v>
      </c>
      <c r="Y22" s="12">
        <v>5</v>
      </c>
      <c r="Z22" s="12">
        <v>1</v>
      </c>
      <c r="AB22" s="11">
        <v>19</v>
      </c>
      <c r="AC22" s="12">
        <v>1</v>
      </c>
      <c r="AD22" s="69">
        <v>1</v>
      </c>
      <c r="AE22" s="69">
        <v>1</v>
      </c>
      <c r="AG22" s="11">
        <v>19</v>
      </c>
      <c r="AH22" s="12">
        <v>1</v>
      </c>
      <c r="AI22" s="69">
        <v>1</v>
      </c>
      <c r="AJ22" s="69">
        <v>1</v>
      </c>
      <c r="AL22" s="11">
        <v>19</v>
      </c>
      <c r="AM22" s="12">
        <v>1</v>
      </c>
      <c r="AN22" s="69">
        <v>1</v>
      </c>
      <c r="AO22" s="69">
        <v>1</v>
      </c>
      <c r="AQ22" s="11">
        <v>19</v>
      </c>
      <c r="AR22" s="12" t="s">
        <v>15</v>
      </c>
      <c r="AT22" s="11">
        <v>19</v>
      </c>
      <c r="AU22" s="12">
        <v>0</v>
      </c>
      <c r="AW22" s="11">
        <v>19</v>
      </c>
      <c r="AX22" s="12">
        <v>1</v>
      </c>
      <c r="AY22" s="12">
        <v>1</v>
      </c>
      <c r="AZ22" s="12">
        <v>1</v>
      </c>
      <c r="BA22" s="12">
        <v>1</v>
      </c>
      <c r="BB22" s="12">
        <v>1</v>
      </c>
      <c r="BC22" s="12">
        <v>1</v>
      </c>
      <c r="BD22" s="12">
        <v>1</v>
      </c>
      <c r="BE22" s="12">
        <v>1</v>
      </c>
      <c r="BF22" s="24">
        <v>1</v>
      </c>
      <c r="BG22" s="29">
        <v>1</v>
      </c>
      <c r="BH22" s="12">
        <v>1</v>
      </c>
      <c r="BI22" s="12">
        <v>1</v>
      </c>
      <c r="BK22" s="11">
        <v>19</v>
      </c>
      <c r="BL22" s="12" t="s">
        <v>15</v>
      </c>
      <c r="BM22" s="12" t="s">
        <v>18</v>
      </c>
      <c r="BN22" s="12">
        <v>0</v>
      </c>
      <c r="BP22" s="11">
        <v>19</v>
      </c>
      <c r="BQ22" s="12">
        <v>0</v>
      </c>
      <c r="BR22" s="12">
        <v>5</v>
      </c>
      <c r="BS22" s="12">
        <v>1</v>
      </c>
      <c r="BU22" s="11">
        <v>19</v>
      </c>
      <c r="BV22" s="12">
        <v>1</v>
      </c>
      <c r="BW22" s="12">
        <v>1</v>
      </c>
      <c r="BX22" s="12">
        <v>1</v>
      </c>
      <c r="BZ22" s="11">
        <v>19</v>
      </c>
      <c r="CA22" s="12"/>
      <c r="CC22" s="11">
        <v>19</v>
      </c>
      <c r="CD22" s="12"/>
    </row>
    <row r="23" spans="1:82">
      <c r="A23" s="1" t="s">
        <v>19</v>
      </c>
      <c r="B23" s="1">
        <v>0</v>
      </c>
      <c r="C23" s="3" t="s">
        <v>25</v>
      </c>
      <c r="D23" s="3">
        <f>SUMIF(S$3:S$38,$A23,AH$3:AH$38)</f>
        <v>18</v>
      </c>
      <c r="E23" s="122">
        <f t="shared" ref="E23:F34" si="2">SUMIF(T$3:T$38,$A23,AI$3:AI$38)</f>
        <v>18</v>
      </c>
      <c r="F23" s="4">
        <f t="shared" si="2"/>
        <v>18</v>
      </c>
      <c r="R23" s="11">
        <v>20</v>
      </c>
      <c r="S23" s="12">
        <v>5</v>
      </c>
      <c r="T23" s="12" t="s">
        <v>15</v>
      </c>
      <c r="U23" s="12" t="s">
        <v>15</v>
      </c>
      <c r="W23" s="11">
        <v>20</v>
      </c>
      <c r="X23" s="12">
        <v>3</v>
      </c>
      <c r="Y23" s="12">
        <v>0</v>
      </c>
      <c r="Z23" s="12">
        <v>0</v>
      </c>
      <c r="AB23" s="11">
        <v>20</v>
      </c>
      <c r="AC23" s="12">
        <v>1</v>
      </c>
      <c r="AD23" s="69">
        <v>1</v>
      </c>
      <c r="AE23" s="69">
        <v>1</v>
      </c>
      <c r="AG23" s="11">
        <v>20</v>
      </c>
      <c r="AH23" s="12">
        <v>1</v>
      </c>
      <c r="AI23" s="69">
        <v>1</v>
      </c>
      <c r="AJ23" s="69">
        <v>1</v>
      </c>
      <c r="AL23" s="11">
        <v>20</v>
      </c>
      <c r="AM23" s="12">
        <v>1</v>
      </c>
      <c r="AN23" s="69">
        <v>1</v>
      </c>
      <c r="AO23" s="69">
        <v>1</v>
      </c>
      <c r="AQ23" s="11">
        <v>20</v>
      </c>
      <c r="AR23" s="14" t="s">
        <v>5</v>
      </c>
      <c r="AT23" s="11">
        <v>20</v>
      </c>
      <c r="AU23" s="12">
        <v>6</v>
      </c>
      <c r="AW23" s="11">
        <v>20</v>
      </c>
      <c r="AX23" s="12">
        <v>1</v>
      </c>
      <c r="AY23" s="12">
        <v>1</v>
      </c>
      <c r="AZ23" s="12">
        <v>1</v>
      </c>
      <c r="BA23" s="12">
        <v>1</v>
      </c>
      <c r="BB23" s="12">
        <v>1</v>
      </c>
      <c r="BC23" s="12">
        <v>1</v>
      </c>
      <c r="BD23" s="12">
        <v>1</v>
      </c>
      <c r="BE23" s="12">
        <v>1</v>
      </c>
      <c r="BF23" s="24">
        <v>1</v>
      </c>
      <c r="BG23" s="29">
        <v>1</v>
      </c>
      <c r="BH23" s="12">
        <v>1</v>
      </c>
      <c r="BI23" s="12">
        <v>1</v>
      </c>
      <c r="BK23" s="11">
        <v>20</v>
      </c>
      <c r="BL23" s="12">
        <v>5</v>
      </c>
      <c r="BM23" s="12" t="s">
        <v>15</v>
      </c>
      <c r="BN23" s="12" t="s">
        <v>15</v>
      </c>
      <c r="BP23" s="11">
        <v>20</v>
      </c>
      <c r="BQ23" s="12">
        <v>3</v>
      </c>
      <c r="BR23" s="12">
        <v>0</v>
      </c>
      <c r="BS23" s="12">
        <v>0</v>
      </c>
      <c r="BU23" s="11">
        <v>20</v>
      </c>
      <c r="BV23" s="12">
        <v>1</v>
      </c>
      <c r="BW23" s="12">
        <v>1</v>
      </c>
      <c r="BX23" s="12">
        <v>1</v>
      </c>
      <c r="BZ23" s="11">
        <v>20</v>
      </c>
      <c r="CA23" s="12"/>
      <c r="CC23" s="11">
        <v>20</v>
      </c>
      <c r="CD23" s="12"/>
    </row>
    <row r="24" spans="1:82">
      <c r="A24" s="20">
        <v>0</v>
      </c>
      <c r="B24" s="20">
        <v>1</v>
      </c>
      <c r="C24" s="5">
        <v>0</v>
      </c>
      <c r="D24" s="37">
        <f t="shared" ref="D24:D34" si="3">SUMIF(S$3:S$38,$A24,AH$3:AH$38)</f>
        <v>0</v>
      </c>
      <c r="E24" s="121">
        <f t="shared" si="2"/>
        <v>4</v>
      </c>
      <c r="F24" s="7">
        <f t="shared" si="2"/>
        <v>6</v>
      </c>
      <c r="R24" s="11">
        <v>21</v>
      </c>
      <c r="S24" s="12" t="s">
        <v>15</v>
      </c>
      <c r="T24" s="12">
        <v>0</v>
      </c>
      <c r="U24" s="12">
        <v>1</v>
      </c>
      <c r="W24" s="11">
        <v>21</v>
      </c>
      <c r="X24" s="12">
        <v>0</v>
      </c>
      <c r="Y24" s="12">
        <v>1</v>
      </c>
      <c r="Z24" s="12">
        <v>2</v>
      </c>
      <c r="AB24" s="11">
        <v>21</v>
      </c>
      <c r="AC24" s="12">
        <v>1</v>
      </c>
      <c r="AD24" s="69">
        <v>1</v>
      </c>
      <c r="AE24" s="69">
        <v>1</v>
      </c>
      <c r="AG24" s="11">
        <v>21</v>
      </c>
      <c r="AH24" s="12">
        <v>1</v>
      </c>
      <c r="AI24" s="69">
        <v>1</v>
      </c>
      <c r="AJ24" s="69">
        <v>1</v>
      </c>
      <c r="AL24" s="11">
        <v>21</v>
      </c>
      <c r="AM24" s="12">
        <v>1</v>
      </c>
      <c r="AN24" s="69">
        <v>1</v>
      </c>
      <c r="AO24" s="69">
        <v>1</v>
      </c>
      <c r="AQ24" s="11">
        <v>21</v>
      </c>
      <c r="AR24" s="12" t="s">
        <v>15</v>
      </c>
      <c r="AT24" s="11">
        <v>21</v>
      </c>
      <c r="AU24" s="12">
        <v>0</v>
      </c>
      <c r="AW24" s="11">
        <v>21</v>
      </c>
      <c r="AX24" s="12">
        <v>1</v>
      </c>
      <c r="AY24" s="12">
        <v>1</v>
      </c>
      <c r="AZ24" s="12">
        <v>1</v>
      </c>
      <c r="BA24" s="12">
        <v>1</v>
      </c>
      <c r="BB24" s="12">
        <v>1</v>
      </c>
      <c r="BC24" s="12">
        <v>1</v>
      </c>
      <c r="BD24" s="12">
        <v>1</v>
      </c>
      <c r="BE24" s="12">
        <v>1</v>
      </c>
      <c r="BF24" s="24">
        <v>1</v>
      </c>
      <c r="BG24" s="29">
        <v>1</v>
      </c>
      <c r="BH24" s="12">
        <v>1</v>
      </c>
      <c r="BI24" s="12">
        <v>1</v>
      </c>
      <c r="BK24" s="11">
        <v>21</v>
      </c>
      <c r="BL24" s="12" t="s">
        <v>15</v>
      </c>
      <c r="BM24" s="12">
        <v>0</v>
      </c>
      <c r="BN24" s="12">
        <v>1</v>
      </c>
      <c r="BP24" s="11">
        <v>21</v>
      </c>
      <c r="BQ24" s="12">
        <v>0</v>
      </c>
      <c r="BR24" s="12">
        <v>1</v>
      </c>
      <c r="BS24" s="12">
        <v>2</v>
      </c>
      <c r="BU24" s="11">
        <v>21</v>
      </c>
      <c r="BV24" s="12">
        <v>1</v>
      </c>
      <c r="BW24" s="12">
        <v>1</v>
      </c>
      <c r="BX24" s="12">
        <v>1</v>
      </c>
      <c r="BZ24" s="11">
        <v>21</v>
      </c>
      <c r="CA24" s="12"/>
      <c r="CC24" s="11">
        <v>21</v>
      </c>
      <c r="CD24" s="12"/>
    </row>
    <row r="25" spans="1:82">
      <c r="A25" s="20">
        <v>1</v>
      </c>
      <c r="B25" s="20">
        <v>2</v>
      </c>
      <c r="C25" s="5">
        <v>1</v>
      </c>
      <c r="D25" s="6">
        <f t="shared" si="3"/>
        <v>6</v>
      </c>
      <c r="E25" s="121">
        <f t="shared" si="2"/>
        <v>4</v>
      </c>
      <c r="F25" s="7">
        <f t="shared" si="2"/>
        <v>6</v>
      </c>
      <c r="R25" s="11">
        <v>22</v>
      </c>
      <c r="S25" s="12">
        <v>10</v>
      </c>
      <c r="T25" s="12" t="s">
        <v>15</v>
      </c>
      <c r="U25" s="12" t="s">
        <v>15</v>
      </c>
      <c r="W25" s="11">
        <v>22</v>
      </c>
      <c r="X25" s="12">
        <v>4</v>
      </c>
      <c r="Y25" s="12">
        <v>0</v>
      </c>
      <c r="Z25" s="12">
        <v>0</v>
      </c>
      <c r="AB25" s="11">
        <v>22</v>
      </c>
      <c r="AC25" s="12">
        <v>1</v>
      </c>
      <c r="AD25" s="69">
        <v>1</v>
      </c>
      <c r="AE25" s="69">
        <v>1</v>
      </c>
      <c r="AG25" s="11">
        <v>22</v>
      </c>
      <c r="AH25" s="12">
        <v>1</v>
      </c>
      <c r="AI25" s="69">
        <v>1</v>
      </c>
      <c r="AJ25" s="69">
        <v>1</v>
      </c>
      <c r="AL25" s="11">
        <v>22</v>
      </c>
      <c r="AM25" s="12">
        <v>1</v>
      </c>
      <c r="AN25" s="69">
        <v>1</v>
      </c>
      <c r="AO25" s="69">
        <v>1</v>
      </c>
      <c r="AQ25" s="11">
        <v>22</v>
      </c>
      <c r="AR25" s="14" t="s">
        <v>7</v>
      </c>
      <c r="AT25" s="11">
        <v>22</v>
      </c>
      <c r="AU25" s="12">
        <v>9</v>
      </c>
      <c r="AW25" s="11">
        <v>22</v>
      </c>
      <c r="AX25" s="12">
        <v>1</v>
      </c>
      <c r="AY25" s="12">
        <v>1</v>
      </c>
      <c r="AZ25" s="12">
        <v>1</v>
      </c>
      <c r="BA25" s="12">
        <v>1</v>
      </c>
      <c r="BB25" s="12">
        <v>1</v>
      </c>
      <c r="BC25" s="12">
        <v>1</v>
      </c>
      <c r="BD25" s="12">
        <v>1</v>
      </c>
      <c r="BE25" s="12">
        <v>1</v>
      </c>
      <c r="BF25" s="24">
        <v>1</v>
      </c>
      <c r="BG25" s="29">
        <v>1</v>
      </c>
      <c r="BH25" s="12">
        <v>1</v>
      </c>
      <c r="BI25" s="12">
        <v>1</v>
      </c>
      <c r="BK25" s="11">
        <v>22</v>
      </c>
      <c r="BL25" s="12">
        <v>10</v>
      </c>
      <c r="BM25" s="12" t="s">
        <v>15</v>
      </c>
      <c r="BN25" s="12" t="s">
        <v>15</v>
      </c>
      <c r="BP25" s="11">
        <v>22</v>
      </c>
      <c r="BQ25" s="12">
        <v>4</v>
      </c>
      <c r="BR25" s="12">
        <v>0</v>
      </c>
      <c r="BS25" s="12">
        <v>0</v>
      </c>
      <c r="BU25" s="11">
        <v>22</v>
      </c>
      <c r="BV25" s="12">
        <v>1</v>
      </c>
      <c r="BW25" s="12">
        <v>1</v>
      </c>
      <c r="BX25" s="12">
        <v>1</v>
      </c>
      <c r="BZ25" s="11">
        <v>22</v>
      </c>
      <c r="CA25" s="12"/>
      <c r="CC25" s="11">
        <v>22</v>
      </c>
      <c r="CD25" s="12"/>
    </row>
    <row r="26" spans="1:82">
      <c r="A26" s="21">
        <v>5</v>
      </c>
      <c r="B26" s="21">
        <v>3</v>
      </c>
      <c r="C26" s="23">
        <v>5</v>
      </c>
      <c r="D26" s="6">
        <f t="shared" si="3"/>
        <v>6</v>
      </c>
      <c r="E26" s="121">
        <f t="shared" si="2"/>
        <v>4</v>
      </c>
      <c r="F26" s="7">
        <f t="shared" si="2"/>
        <v>6</v>
      </c>
      <c r="R26" s="11">
        <v>23</v>
      </c>
      <c r="S26" s="12" t="s">
        <v>15</v>
      </c>
      <c r="T26" s="12">
        <v>1</v>
      </c>
      <c r="U26" s="12">
        <v>5</v>
      </c>
      <c r="W26" s="11">
        <v>23</v>
      </c>
      <c r="X26" s="12">
        <v>0</v>
      </c>
      <c r="Y26" s="12">
        <v>2</v>
      </c>
      <c r="Z26" s="12">
        <v>3</v>
      </c>
      <c r="AB26" s="11">
        <v>23</v>
      </c>
      <c r="AC26" s="12">
        <v>1</v>
      </c>
      <c r="AD26" s="69">
        <v>1</v>
      </c>
      <c r="AE26" s="69">
        <v>1</v>
      </c>
      <c r="AG26" s="11">
        <v>23</v>
      </c>
      <c r="AH26" s="12">
        <v>1</v>
      </c>
      <c r="AI26" s="69">
        <v>1</v>
      </c>
      <c r="AJ26" s="69">
        <v>1</v>
      </c>
      <c r="AL26" s="11">
        <v>23</v>
      </c>
      <c r="AM26" s="12">
        <v>1</v>
      </c>
      <c r="AN26" s="69">
        <v>1</v>
      </c>
      <c r="AO26" s="69">
        <v>1</v>
      </c>
      <c r="AQ26" s="11">
        <v>23</v>
      </c>
      <c r="AR26" s="12" t="s">
        <v>15</v>
      </c>
      <c r="AT26" s="11">
        <v>23</v>
      </c>
      <c r="AU26" s="12">
        <v>0</v>
      </c>
      <c r="AW26" s="11">
        <v>23</v>
      </c>
      <c r="AX26" s="12">
        <v>1</v>
      </c>
      <c r="AY26" s="12">
        <v>1</v>
      </c>
      <c r="AZ26" s="12">
        <v>1</v>
      </c>
      <c r="BA26" s="12">
        <v>1</v>
      </c>
      <c r="BB26" s="12">
        <v>1</v>
      </c>
      <c r="BC26" s="12">
        <v>1</v>
      </c>
      <c r="BD26" s="12">
        <v>1</v>
      </c>
      <c r="BE26" s="12">
        <v>1</v>
      </c>
      <c r="BF26" s="24">
        <v>1</v>
      </c>
      <c r="BG26" s="29">
        <v>1</v>
      </c>
      <c r="BH26" s="12">
        <v>1</v>
      </c>
      <c r="BI26" s="12">
        <v>1</v>
      </c>
      <c r="BK26" s="11">
        <v>23</v>
      </c>
      <c r="BL26" s="12" t="s">
        <v>15</v>
      </c>
      <c r="BM26" s="12">
        <v>1</v>
      </c>
      <c r="BN26" s="12">
        <v>5</v>
      </c>
      <c r="BP26" s="11">
        <v>23</v>
      </c>
      <c r="BQ26" s="12">
        <v>0</v>
      </c>
      <c r="BR26" s="12">
        <v>2</v>
      </c>
      <c r="BS26" s="12">
        <v>3</v>
      </c>
      <c r="BU26" s="11">
        <v>23</v>
      </c>
      <c r="BV26" s="12">
        <v>1</v>
      </c>
      <c r="BW26" s="12">
        <v>1</v>
      </c>
      <c r="BX26" s="12">
        <v>1</v>
      </c>
      <c r="BZ26" s="11">
        <v>23</v>
      </c>
      <c r="CA26" s="12"/>
      <c r="CC26" s="11">
        <v>23</v>
      </c>
      <c r="CD26" s="12"/>
    </row>
    <row r="27" spans="1:82">
      <c r="A27" s="21">
        <v>10</v>
      </c>
      <c r="B27" s="21">
        <v>4</v>
      </c>
      <c r="C27" s="23">
        <v>10</v>
      </c>
      <c r="D27" s="6">
        <f t="shared" si="3"/>
        <v>6</v>
      </c>
      <c r="E27" s="101">
        <f t="shared" si="2"/>
        <v>3</v>
      </c>
      <c r="F27" s="38">
        <f t="shared" si="2"/>
        <v>0</v>
      </c>
      <c r="R27" s="11">
        <v>24</v>
      </c>
      <c r="S27" s="12">
        <v>1</v>
      </c>
      <c r="T27" s="12" t="s">
        <v>15</v>
      </c>
      <c r="U27" s="12" t="s">
        <v>15</v>
      </c>
      <c r="W27" s="11">
        <v>24</v>
      </c>
      <c r="X27" s="12">
        <v>2</v>
      </c>
      <c r="Y27" s="12">
        <v>0</v>
      </c>
      <c r="Z27" s="12">
        <v>0</v>
      </c>
      <c r="AB27" s="11">
        <v>24</v>
      </c>
      <c r="AC27" s="12">
        <v>1</v>
      </c>
      <c r="AD27" s="69">
        <v>1</v>
      </c>
      <c r="AE27" s="69">
        <v>1</v>
      </c>
      <c r="AG27" s="11">
        <v>24</v>
      </c>
      <c r="AH27" s="12">
        <v>1</v>
      </c>
      <c r="AI27" s="69">
        <v>1</v>
      </c>
      <c r="AJ27" s="69">
        <v>1</v>
      </c>
      <c r="AL27" s="11">
        <v>24</v>
      </c>
      <c r="AM27" s="12">
        <v>1</v>
      </c>
      <c r="AN27" s="69">
        <v>1</v>
      </c>
      <c r="AO27" s="69">
        <v>1</v>
      </c>
      <c r="AQ27" s="11">
        <v>24</v>
      </c>
      <c r="AR27" s="14" t="s">
        <v>6</v>
      </c>
      <c r="AT27" s="11">
        <v>24</v>
      </c>
      <c r="AU27" s="12">
        <v>7</v>
      </c>
      <c r="AW27" s="11">
        <v>24</v>
      </c>
      <c r="AX27" s="12">
        <v>1</v>
      </c>
      <c r="AY27" s="12">
        <v>1</v>
      </c>
      <c r="AZ27" s="12">
        <v>1</v>
      </c>
      <c r="BA27" s="12">
        <v>1</v>
      </c>
      <c r="BB27" s="12">
        <v>1</v>
      </c>
      <c r="BC27" s="12">
        <v>1</v>
      </c>
      <c r="BD27" s="12">
        <v>1</v>
      </c>
      <c r="BE27" s="12">
        <v>1</v>
      </c>
      <c r="BF27" s="24">
        <v>1</v>
      </c>
      <c r="BG27" s="29">
        <v>1</v>
      </c>
      <c r="BH27" s="12">
        <v>1</v>
      </c>
      <c r="BI27" s="12">
        <v>1</v>
      </c>
      <c r="BK27" s="11">
        <v>24</v>
      </c>
      <c r="BL27" s="12">
        <v>1</v>
      </c>
      <c r="BM27" s="12" t="s">
        <v>15</v>
      </c>
      <c r="BN27" s="12" t="s">
        <v>15</v>
      </c>
      <c r="BP27" s="11">
        <v>24</v>
      </c>
      <c r="BQ27" s="12">
        <v>2</v>
      </c>
      <c r="BR27" s="12">
        <v>0</v>
      </c>
      <c r="BS27" s="12">
        <v>0</v>
      </c>
      <c r="BU27" s="11">
        <v>24</v>
      </c>
      <c r="BV27" s="12">
        <v>1</v>
      </c>
      <c r="BW27" s="12">
        <v>1</v>
      </c>
      <c r="BX27" s="12">
        <v>1</v>
      </c>
      <c r="BZ27" s="11">
        <v>24</v>
      </c>
      <c r="CA27" s="12"/>
      <c r="CC27" s="11">
        <v>24</v>
      </c>
      <c r="CD27" s="12"/>
    </row>
    <row r="28" spans="1:82">
      <c r="A28" s="20" t="s">
        <v>20</v>
      </c>
      <c r="B28" s="20">
        <v>5</v>
      </c>
      <c r="C28" s="23" t="s">
        <v>29</v>
      </c>
      <c r="D28" s="37">
        <f t="shared" si="3"/>
        <v>0</v>
      </c>
      <c r="E28" s="101">
        <f t="shared" si="2"/>
        <v>3</v>
      </c>
      <c r="F28" s="38">
        <f t="shared" si="2"/>
        <v>0</v>
      </c>
      <c r="R28" s="11">
        <v>25</v>
      </c>
      <c r="S28" s="12" t="s">
        <v>15</v>
      </c>
      <c r="T28" s="12">
        <v>5</v>
      </c>
      <c r="U28" s="12">
        <v>0</v>
      </c>
      <c r="W28" s="11">
        <v>25</v>
      </c>
      <c r="X28" s="12">
        <v>0</v>
      </c>
      <c r="Y28" s="12">
        <v>3</v>
      </c>
      <c r="Z28" s="12">
        <v>1</v>
      </c>
      <c r="AB28" s="11">
        <v>25</v>
      </c>
      <c r="AC28" s="12">
        <v>1</v>
      </c>
      <c r="AD28" s="69">
        <v>1</v>
      </c>
      <c r="AE28" s="69">
        <v>1</v>
      </c>
      <c r="AG28" s="11">
        <v>25</v>
      </c>
      <c r="AH28" s="12">
        <v>1</v>
      </c>
      <c r="AI28" s="69">
        <v>1</v>
      </c>
      <c r="AJ28" s="69">
        <v>1</v>
      </c>
      <c r="AL28" s="11">
        <v>25</v>
      </c>
      <c r="AM28" s="12">
        <v>1</v>
      </c>
      <c r="AN28" s="69">
        <v>1</v>
      </c>
      <c r="AO28" s="69">
        <v>1</v>
      </c>
      <c r="AQ28" s="11">
        <v>25</v>
      </c>
      <c r="AR28" s="12" t="s">
        <v>15</v>
      </c>
      <c r="AT28" s="11">
        <v>25</v>
      </c>
      <c r="AU28" s="12">
        <v>0</v>
      </c>
      <c r="AW28" s="11">
        <v>25</v>
      </c>
      <c r="AX28" s="12">
        <v>1</v>
      </c>
      <c r="AY28" s="12">
        <v>1</v>
      </c>
      <c r="AZ28" s="12">
        <v>1</v>
      </c>
      <c r="BA28" s="12">
        <v>1</v>
      </c>
      <c r="BB28" s="12">
        <v>1</v>
      </c>
      <c r="BC28" s="12">
        <v>1</v>
      </c>
      <c r="BD28" s="12">
        <v>1</v>
      </c>
      <c r="BE28" s="12">
        <v>1</v>
      </c>
      <c r="BF28" s="24">
        <v>1</v>
      </c>
      <c r="BG28" s="29">
        <v>1</v>
      </c>
      <c r="BH28" s="12">
        <v>1</v>
      </c>
      <c r="BI28" s="12">
        <v>1</v>
      </c>
      <c r="BK28" s="11">
        <v>25</v>
      </c>
      <c r="BL28" s="12" t="s">
        <v>15</v>
      </c>
      <c r="BM28" s="12">
        <v>5</v>
      </c>
      <c r="BN28" s="12">
        <v>0</v>
      </c>
      <c r="BP28" s="11">
        <v>25</v>
      </c>
      <c r="BQ28" s="12">
        <v>0</v>
      </c>
      <c r="BR28" s="12">
        <v>3</v>
      </c>
      <c r="BS28" s="12">
        <v>1</v>
      </c>
      <c r="BU28" s="11">
        <v>25</v>
      </c>
      <c r="BV28" s="12">
        <v>1</v>
      </c>
      <c r="BW28" s="12">
        <v>1</v>
      </c>
      <c r="BX28" s="12">
        <v>1</v>
      </c>
      <c r="BZ28" s="11">
        <v>25</v>
      </c>
      <c r="CA28" s="12"/>
      <c r="CC28" s="11">
        <v>25</v>
      </c>
      <c r="CD28" s="12"/>
    </row>
    <row r="29" spans="1:82">
      <c r="A29" s="21" t="s">
        <v>21</v>
      </c>
      <c r="B29" s="21">
        <v>6</v>
      </c>
      <c r="C29" s="23" t="s">
        <v>26</v>
      </c>
      <c r="D29" s="37">
        <f t="shared" si="3"/>
        <v>0</v>
      </c>
      <c r="E29" s="59">
        <f t="shared" si="2"/>
        <v>0</v>
      </c>
      <c r="F29" s="38">
        <f t="shared" si="2"/>
        <v>0</v>
      </c>
      <c r="R29" s="11">
        <v>26</v>
      </c>
      <c r="S29" s="12">
        <v>5</v>
      </c>
      <c r="T29" s="12" t="s">
        <v>15</v>
      </c>
      <c r="U29" s="12" t="s">
        <v>15</v>
      </c>
      <c r="W29" s="11">
        <v>26</v>
      </c>
      <c r="X29" s="12">
        <v>3</v>
      </c>
      <c r="Y29" s="12">
        <v>0</v>
      </c>
      <c r="Z29" s="12">
        <v>0</v>
      </c>
      <c r="AB29" s="11">
        <v>26</v>
      </c>
      <c r="AC29" s="12">
        <v>1</v>
      </c>
      <c r="AD29" s="69">
        <v>1</v>
      </c>
      <c r="AE29" s="69">
        <v>1</v>
      </c>
      <c r="AG29" s="11">
        <v>26</v>
      </c>
      <c r="AH29" s="12">
        <v>1</v>
      </c>
      <c r="AI29" s="69">
        <v>1</v>
      </c>
      <c r="AJ29" s="69">
        <v>1</v>
      </c>
      <c r="AL29" s="11">
        <v>26</v>
      </c>
      <c r="AM29" s="12">
        <v>1</v>
      </c>
      <c r="AN29" s="69">
        <v>1</v>
      </c>
      <c r="AO29" s="69">
        <v>1</v>
      </c>
      <c r="AQ29" s="11">
        <v>26</v>
      </c>
      <c r="AR29" s="14" t="s">
        <v>40</v>
      </c>
      <c r="AT29" s="11">
        <v>26</v>
      </c>
      <c r="AU29" s="12">
        <v>11</v>
      </c>
      <c r="AW29" s="11">
        <v>26</v>
      </c>
      <c r="AX29" s="12">
        <v>1</v>
      </c>
      <c r="AY29" s="12">
        <v>1</v>
      </c>
      <c r="AZ29" s="12">
        <v>1</v>
      </c>
      <c r="BA29" s="12">
        <v>1</v>
      </c>
      <c r="BB29" s="12">
        <v>1</v>
      </c>
      <c r="BC29" s="12">
        <v>1</v>
      </c>
      <c r="BD29" s="12">
        <v>1</v>
      </c>
      <c r="BE29" s="12">
        <v>1</v>
      </c>
      <c r="BF29" s="24">
        <v>1</v>
      </c>
      <c r="BG29" s="29">
        <v>1</v>
      </c>
      <c r="BH29" s="12">
        <v>1</v>
      </c>
      <c r="BI29" s="12">
        <v>1</v>
      </c>
      <c r="BK29" s="11">
        <v>26</v>
      </c>
      <c r="BL29" s="12">
        <v>5</v>
      </c>
      <c r="BM29" s="12" t="s">
        <v>15</v>
      </c>
      <c r="BN29" s="12" t="s">
        <v>15</v>
      </c>
      <c r="BP29" s="11">
        <v>26</v>
      </c>
      <c r="BQ29" s="12">
        <v>3</v>
      </c>
      <c r="BR29" s="12">
        <v>0</v>
      </c>
      <c r="BS29" s="12">
        <v>0</v>
      </c>
      <c r="BU29" s="11">
        <v>26</v>
      </c>
      <c r="BV29" s="12">
        <v>1</v>
      </c>
      <c r="BW29" s="12">
        <v>1</v>
      </c>
      <c r="BX29" s="12">
        <v>1</v>
      </c>
      <c r="BZ29" s="11">
        <v>26</v>
      </c>
      <c r="CA29" s="12"/>
      <c r="CC29" s="11">
        <v>26</v>
      </c>
      <c r="CD29" s="12"/>
    </row>
    <row r="30" spans="1:82">
      <c r="A30" s="20" t="s">
        <v>22</v>
      </c>
      <c r="B30" s="20">
        <v>7</v>
      </c>
      <c r="C30" s="5" t="s">
        <v>27</v>
      </c>
      <c r="D30" s="37">
        <f t="shared" si="3"/>
        <v>0</v>
      </c>
      <c r="E30" s="59">
        <f t="shared" si="2"/>
        <v>0</v>
      </c>
      <c r="F30" s="38">
        <f t="shared" si="2"/>
        <v>0</v>
      </c>
      <c r="R30" s="11">
        <v>27</v>
      </c>
      <c r="S30" s="12" t="s">
        <v>15</v>
      </c>
      <c r="T30" s="12">
        <v>10</v>
      </c>
      <c r="U30" s="12">
        <v>1</v>
      </c>
      <c r="W30" s="11">
        <v>27</v>
      </c>
      <c r="X30" s="12">
        <v>0</v>
      </c>
      <c r="Y30" s="12">
        <v>4</v>
      </c>
      <c r="Z30" s="12">
        <v>2</v>
      </c>
      <c r="AB30" s="11">
        <v>27</v>
      </c>
      <c r="AC30" s="12">
        <v>1</v>
      </c>
      <c r="AD30" s="69">
        <v>1</v>
      </c>
      <c r="AE30" s="69">
        <v>1</v>
      </c>
      <c r="AG30" s="11">
        <v>27</v>
      </c>
      <c r="AH30" s="12">
        <v>1</v>
      </c>
      <c r="AI30" s="69">
        <v>1</v>
      </c>
      <c r="AJ30" s="69">
        <v>1</v>
      </c>
      <c r="AL30" s="11">
        <v>27</v>
      </c>
      <c r="AM30" s="12">
        <v>1</v>
      </c>
      <c r="AN30" s="69">
        <v>1</v>
      </c>
      <c r="AO30" s="69">
        <v>1</v>
      </c>
      <c r="AQ30" s="11">
        <v>27</v>
      </c>
      <c r="AR30" s="12" t="s">
        <v>15</v>
      </c>
      <c r="AT30" s="11">
        <v>27</v>
      </c>
      <c r="AU30" s="12">
        <v>0</v>
      </c>
      <c r="AW30" s="11">
        <v>27</v>
      </c>
      <c r="AX30" s="12">
        <v>1</v>
      </c>
      <c r="AY30" s="12">
        <v>1</v>
      </c>
      <c r="AZ30" s="12">
        <v>1</v>
      </c>
      <c r="BA30" s="12">
        <v>1</v>
      </c>
      <c r="BB30" s="12">
        <v>1</v>
      </c>
      <c r="BC30" s="12">
        <v>1</v>
      </c>
      <c r="BD30" s="12">
        <v>1</v>
      </c>
      <c r="BE30" s="12">
        <v>1</v>
      </c>
      <c r="BF30" s="24">
        <v>1</v>
      </c>
      <c r="BG30" s="29">
        <v>1</v>
      </c>
      <c r="BH30" s="12">
        <v>1</v>
      </c>
      <c r="BI30" s="12">
        <v>1</v>
      </c>
      <c r="BK30" s="11">
        <v>27</v>
      </c>
      <c r="BL30" s="12" t="s">
        <v>15</v>
      </c>
      <c r="BM30" s="12">
        <v>10</v>
      </c>
      <c r="BN30" s="12">
        <v>1</v>
      </c>
      <c r="BP30" s="11">
        <v>27</v>
      </c>
      <c r="BQ30" s="12">
        <v>0</v>
      </c>
      <c r="BR30" s="12">
        <v>4</v>
      </c>
      <c r="BS30" s="12">
        <v>2</v>
      </c>
      <c r="BU30" s="11">
        <v>27</v>
      </c>
      <c r="BV30" s="12">
        <v>1</v>
      </c>
      <c r="BW30" s="12">
        <v>1</v>
      </c>
      <c r="BX30" s="12">
        <v>1</v>
      </c>
      <c r="BZ30" s="11">
        <v>27</v>
      </c>
      <c r="CA30" s="12"/>
      <c r="CC30" s="11">
        <v>27</v>
      </c>
      <c r="CD30" s="12"/>
    </row>
    <row r="31" spans="1:82">
      <c r="A31" s="20" t="s">
        <v>23</v>
      </c>
      <c r="B31" s="20">
        <v>8</v>
      </c>
      <c r="C31" s="5" t="s">
        <v>28</v>
      </c>
      <c r="D31" s="37">
        <f t="shared" si="3"/>
        <v>0</v>
      </c>
      <c r="E31" s="59">
        <f t="shared" si="2"/>
        <v>0</v>
      </c>
      <c r="F31" s="38">
        <f t="shared" si="2"/>
        <v>0</v>
      </c>
      <c r="R31" s="11">
        <v>28</v>
      </c>
      <c r="S31" s="12">
        <v>10</v>
      </c>
      <c r="T31" s="12" t="s">
        <v>15</v>
      </c>
      <c r="U31" s="12" t="s">
        <v>15</v>
      </c>
      <c r="W31" s="11">
        <v>28</v>
      </c>
      <c r="X31" s="12">
        <v>4</v>
      </c>
      <c r="Y31" s="12">
        <v>0</v>
      </c>
      <c r="Z31" s="12">
        <v>0</v>
      </c>
      <c r="AB31" s="11">
        <v>28</v>
      </c>
      <c r="AC31" s="12">
        <v>1</v>
      </c>
      <c r="AD31" s="69">
        <v>1</v>
      </c>
      <c r="AE31" s="69">
        <v>1</v>
      </c>
      <c r="AG31" s="11">
        <v>28</v>
      </c>
      <c r="AH31" s="12">
        <v>1</v>
      </c>
      <c r="AI31" s="69">
        <v>1</v>
      </c>
      <c r="AJ31" s="69">
        <v>1</v>
      </c>
      <c r="AL31" s="11">
        <v>28</v>
      </c>
      <c r="AM31" s="12">
        <v>1</v>
      </c>
      <c r="AN31" s="69">
        <v>1</v>
      </c>
      <c r="AO31" s="69">
        <v>1</v>
      </c>
      <c r="AQ31" s="11">
        <v>28</v>
      </c>
      <c r="AR31" s="14" t="s">
        <v>9</v>
      </c>
      <c r="AT31" s="11">
        <v>28</v>
      </c>
      <c r="AU31" s="12">
        <v>8</v>
      </c>
      <c r="AW31" s="11">
        <v>28</v>
      </c>
      <c r="AX31" s="12">
        <v>1</v>
      </c>
      <c r="AY31" s="12">
        <v>1</v>
      </c>
      <c r="AZ31" s="12">
        <v>1</v>
      </c>
      <c r="BA31" s="12">
        <v>1</v>
      </c>
      <c r="BB31" s="12">
        <v>1</v>
      </c>
      <c r="BC31" s="12">
        <v>1</v>
      </c>
      <c r="BD31" s="12">
        <v>1</v>
      </c>
      <c r="BE31" s="12">
        <v>1</v>
      </c>
      <c r="BF31" s="24">
        <v>1</v>
      </c>
      <c r="BG31" s="29">
        <v>1</v>
      </c>
      <c r="BH31" s="12">
        <v>1</v>
      </c>
      <c r="BI31" s="12">
        <v>1</v>
      </c>
      <c r="BK31" s="11">
        <v>28</v>
      </c>
      <c r="BL31" s="12">
        <v>10</v>
      </c>
      <c r="BM31" s="12" t="s">
        <v>15</v>
      </c>
      <c r="BN31" s="12" t="s">
        <v>15</v>
      </c>
      <c r="BP31" s="11">
        <v>28</v>
      </c>
      <c r="BQ31" s="12">
        <v>4</v>
      </c>
      <c r="BR31" s="12">
        <v>0</v>
      </c>
      <c r="BS31" s="12">
        <v>0</v>
      </c>
      <c r="BU31" s="11">
        <v>28</v>
      </c>
      <c r="BV31" s="12">
        <v>1</v>
      </c>
      <c r="BW31" s="12">
        <v>1</v>
      </c>
      <c r="BX31" s="12">
        <v>1</v>
      </c>
      <c r="BZ31" s="11">
        <v>28</v>
      </c>
      <c r="CA31" s="12"/>
      <c r="CC31" s="11">
        <v>28</v>
      </c>
      <c r="CD31" s="12"/>
    </row>
    <row r="32" spans="1:82">
      <c r="A32" s="20" t="s">
        <v>24</v>
      </c>
      <c r="B32" s="20">
        <v>9</v>
      </c>
      <c r="C32" s="5" t="s">
        <v>16</v>
      </c>
      <c r="D32" s="37">
        <f t="shared" si="3"/>
        <v>0</v>
      </c>
      <c r="E32" s="59">
        <f t="shared" si="2"/>
        <v>0</v>
      </c>
      <c r="F32" s="38">
        <f t="shared" si="2"/>
        <v>0</v>
      </c>
      <c r="R32" s="11">
        <v>29</v>
      </c>
      <c r="S32" s="12" t="s">
        <v>15</v>
      </c>
      <c r="T32" s="12" t="s">
        <v>18</v>
      </c>
      <c r="U32" s="12">
        <v>5</v>
      </c>
      <c r="W32" s="11">
        <v>29</v>
      </c>
      <c r="X32" s="12">
        <v>0</v>
      </c>
      <c r="Y32" s="12">
        <v>5</v>
      </c>
      <c r="Z32" s="12">
        <v>3</v>
      </c>
      <c r="AB32" s="11">
        <v>29</v>
      </c>
      <c r="AC32" s="12">
        <v>1</v>
      </c>
      <c r="AD32" s="69">
        <v>1</v>
      </c>
      <c r="AE32" s="69">
        <v>1</v>
      </c>
      <c r="AG32" s="11">
        <v>29</v>
      </c>
      <c r="AH32" s="12">
        <v>1</v>
      </c>
      <c r="AI32" s="69">
        <v>1</v>
      </c>
      <c r="AJ32" s="69">
        <v>1</v>
      </c>
      <c r="AL32" s="11">
        <v>29</v>
      </c>
      <c r="AM32" s="12">
        <v>1</v>
      </c>
      <c r="AN32" s="69">
        <v>1</v>
      </c>
      <c r="AO32" s="69">
        <v>1</v>
      </c>
      <c r="AQ32" s="11">
        <v>29</v>
      </c>
      <c r="AR32" s="12" t="s">
        <v>15</v>
      </c>
      <c r="AT32" s="11">
        <v>29</v>
      </c>
      <c r="AU32" s="12">
        <v>0</v>
      </c>
      <c r="AW32" s="11">
        <v>29</v>
      </c>
      <c r="AX32" s="12">
        <v>1</v>
      </c>
      <c r="AY32" s="12">
        <v>1</v>
      </c>
      <c r="AZ32" s="12">
        <v>1</v>
      </c>
      <c r="BA32" s="12">
        <v>1</v>
      </c>
      <c r="BB32" s="12">
        <v>1</v>
      </c>
      <c r="BC32" s="12">
        <v>1</v>
      </c>
      <c r="BD32" s="12">
        <v>1</v>
      </c>
      <c r="BE32" s="12">
        <v>1</v>
      </c>
      <c r="BF32" s="24">
        <v>1</v>
      </c>
      <c r="BG32" s="29">
        <v>1</v>
      </c>
      <c r="BH32" s="12">
        <v>1</v>
      </c>
      <c r="BI32" s="12">
        <v>1</v>
      </c>
      <c r="BK32" s="11">
        <v>29</v>
      </c>
      <c r="BL32" s="12" t="s">
        <v>15</v>
      </c>
      <c r="BM32" s="12" t="s">
        <v>18</v>
      </c>
      <c r="BN32" s="12">
        <v>5</v>
      </c>
      <c r="BP32" s="11">
        <v>29</v>
      </c>
      <c r="BQ32" s="12">
        <v>0</v>
      </c>
      <c r="BR32" s="12">
        <v>5</v>
      </c>
      <c r="BS32" s="12">
        <v>3</v>
      </c>
      <c r="BU32" s="11">
        <v>29</v>
      </c>
      <c r="BV32" s="12">
        <v>1</v>
      </c>
      <c r="BW32" s="12">
        <v>1</v>
      </c>
      <c r="BX32" s="12">
        <v>1</v>
      </c>
      <c r="BZ32" s="11">
        <v>29</v>
      </c>
      <c r="CA32" s="12"/>
      <c r="CC32" s="11">
        <v>29</v>
      </c>
      <c r="CD32" s="12"/>
    </row>
    <row r="33" spans="1:82">
      <c r="A33" s="21" t="s">
        <v>35</v>
      </c>
      <c r="B33" s="21">
        <v>10</v>
      </c>
      <c r="C33" s="5" t="s">
        <v>37</v>
      </c>
      <c r="D33" s="37">
        <f t="shared" si="3"/>
        <v>0</v>
      </c>
      <c r="E33" s="59">
        <f t="shared" si="2"/>
        <v>0</v>
      </c>
      <c r="F33" s="38">
        <f t="shared" si="2"/>
        <v>0</v>
      </c>
      <c r="G33" s="121"/>
      <c r="H33" s="94" t="s">
        <v>34</v>
      </c>
      <c r="J33" s="121"/>
      <c r="R33" s="11">
        <v>30</v>
      </c>
      <c r="S33" s="12">
        <v>1</v>
      </c>
      <c r="T33" s="12" t="s">
        <v>15</v>
      </c>
      <c r="U33" s="12" t="s">
        <v>15</v>
      </c>
      <c r="W33" s="11">
        <v>30</v>
      </c>
      <c r="X33" s="12">
        <v>2</v>
      </c>
      <c r="Y33" s="12">
        <v>0</v>
      </c>
      <c r="Z33" s="12">
        <v>0</v>
      </c>
      <c r="AB33" s="11">
        <v>30</v>
      </c>
      <c r="AC33" s="12">
        <v>1</v>
      </c>
      <c r="AD33" s="69">
        <v>1</v>
      </c>
      <c r="AE33" s="69">
        <v>1</v>
      </c>
      <c r="AG33" s="11">
        <v>30</v>
      </c>
      <c r="AH33" s="12">
        <v>1</v>
      </c>
      <c r="AI33" s="69">
        <v>1</v>
      </c>
      <c r="AJ33" s="69">
        <v>1</v>
      </c>
      <c r="AL33" s="11">
        <v>30</v>
      </c>
      <c r="AM33" s="12">
        <v>1</v>
      </c>
      <c r="AN33" s="69">
        <v>1</v>
      </c>
      <c r="AO33" s="69">
        <v>1</v>
      </c>
      <c r="AQ33" s="11">
        <v>30</v>
      </c>
      <c r="AR33" s="14" t="s">
        <v>5</v>
      </c>
      <c r="AT33" s="11">
        <v>30</v>
      </c>
      <c r="AU33" s="12">
        <v>6</v>
      </c>
      <c r="AW33" s="11">
        <v>30</v>
      </c>
      <c r="AX33" s="12">
        <v>1</v>
      </c>
      <c r="AY33" s="12">
        <v>1</v>
      </c>
      <c r="AZ33" s="12">
        <v>1</v>
      </c>
      <c r="BA33" s="12">
        <v>1</v>
      </c>
      <c r="BB33" s="12">
        <v>1</v>
      </c>
      <c r="BC33" s="12">
        <v>1</v>
      </c>
      <c r="BD33" s="12">
        <v>1</v>
      </c>
      <c r="BE33" s="12">
        <v>1</v>
      </c>
      <c r="BF33" s="24">
        <v>1</v>
      </c>
      <c r="BG33" s="29">
        <v>1</v>
      </c>
      <c r="BH33" s="12">
        <v>1</v>
      </c>
      <c r="BI33" s="12">
        <v>1</v>
      </c>
      <c r="BK33" s="11">
        <v>30</v>
      </c>
      <c r="BL33" s="12">
        <v>1</v>
      </c>
      <c r="BM33" s="12" t="s">
        <v>15</v>
      </c>
      <c r="BN33" s="12" t="s">
        <v>15</v>
      </c>
      <c r="BP33" s="11">
        <v>30</v>
      </c>
      <c r="BQ33" s="12">
        <v>2</v>
      </c>
      <c r="BR33" s="12">
        <v>0</v>
      </c>
      <c r="BS33" s="12">
        <v>0</v>
      </c>
      <c r="BU33" s="11">
        <v>30</v>
      </c>
      <c r="BV33" s="12">
        <v>1</v>
      </c>
      <c r="BW33" s="12">
        <v>1</v>
      </c>
      <c r="BX33" s="12">
        <v>1</v>
      </c>
      <c r="BZ33" s="11">
        <v>30</v>
      </c>
      <c r="CA33" s="12"/>
      <c r="CC33" s="11">
        <v>30</v>
      </c>
      <c r="CD33" s="12"/>
    </row>
    <row r="34" spans="1:82">
      <c r="A34" s="22" t="s">
        <v>39</v>
      </c>
      <c r="B34" s="22">
        <v>11</v>
      </c>
      <c r="C34" s="17" t="s">
        <v>38</v>
      </c>
      <c r="D34" s="60">
        <f t="shared" si="3"/>
        <v>0</v>
      </c>
      <c r="E34" s="39">
        <f t="shared" si="2"/>
        <v>0</v>
      </c>
      <c r="F34" s="40">
        <f t="shared" si="2"/>
        <v>0</v>
      </c>
      <c r="G34" s="121"/>
      <c r="H34" s="95" t="s">
        <v>57</v>
      </c>
      <c r="I34" s="58" t="s">
        <v>58</v>
      </c>
      <c r="R34" s="11">
        <v>31</v>
      </c>
      <c r="S34" s="12" t="s">
        <v>15</v>
      </c>
      <c r="T34" s="12">
        <v>0</v>
      </c>
      <c r="U34" s="12">
        <v>0</v>
      </c>
      <c r="W34" s="11">
        <v>31</v>
      </c>
      <c r="X34" s="12">
        <v>0</v>
      </c>
      <c r="Y34" s="12">
        <v>1</v>
      </c>
      <c r="Z34" s="12">
        <v>1</v>
      </c>
      <c r="AB34" s="11">
        <v>31</v>
      </c>
      <c r="AC34" s="12">
        <v>1</v>
      </c>
      <c r="AD34" s="69">
        <v>1</v>
      </c>
      <c r="AE34" s="69">
        <v>1</v>
      </c>
      <c r="AG34" s="11">
        <v>31</v>
      </c>
      <c r="AH34" s="12">
        <v>1</v>
      </c>
      <c r="AI34" s="69">
        <v>1</v>
      </c>
      <c r="AJ34" s="69">
        <v>1</v>
      </c>
      <c r="AL34" s="11">
        <v>31</v>
      </c>
      <c r="AM34" s="12">
        <v>1</v>
      </c>
      <c r="AN34" s="69">
        <v>1</v>
      </c>
      <c r="AO34" s="69">
        <v>1</v>
      </c>
      <c r="AQ34" s="11">
        <v>31</v>
      </c>
      <c r="AR34" s="12" t="s">
        <v>15</v>
      </c>
      <c r="AT34" s="11">
        <v>31</v>
      </c>
      <c r="AU34" s="12">
        <v>0</v>
      </c>
      <c r="AW34" s="11">
        <v>31</v>
      </c>
      <c r="AX34" s="12">
        <v>1</v>
      </c>
      <c r="AY34" s="12">
        <v>1</v>
      </c>
      <c r="AZ34" s="12">
        <v>1</v>
      </c>
      <c r="BA34" s="12">
        <v>1</v>
      </c>
      <c r="BB34" s="12">
        <v>1</v>
      </c>
      <c r="BC34" s="12">
        <v>1</v>
      </c>
      <c r="BD34" s="12">
        <v>1</v>
      </c>
      <c r="BE34" s="12">
        <v>1</v>
      </c>
      <c r="BF34" s="24">
        <v>1</v>
      </c>
      <c r="BG34" s="29">
        <v>1</v>
      </c>
      <c r="BH34" s="12">
        <v>1</v>
      </c>
      <c r="BI34" s="12">
        <v>1</v>
      </c>
      <c r="BK34" s="11">
        <v>31</v>
      </c>
      <c r="BL34" s="12" t="s">
        <v>15</v>
      </c>
      <c r="BM34" s="12">
        <v>0</v>
      </c>
      <c r="BN34" s="12">
        <v>0</v>
      </c>
      <c r="BP34" s="11">
        <v>31</v>
      </c>
      <c r="BQ34" s="12">
        <v>0</v>
      </c>
      <c r="BR34" s="12">
        <v>1</v>
      </c>
      <c r="BS34" s="12">
        <v>1</v>
      </c>
      <c r="BU34" s="11">
        <v>31</v>
      </c>
      <c r="BV34" s="12">
        <v>1</v>
      </c>
      <c r="BW34" s="12">
        <v>1</v>
      </c>
      <c r="BX34" s="12">
        <v>1</v>
      </c>
      <c r="BZ34" s="11">
        <v>31</v>
      </c>
      <c r="CA34" s="12"/>
      <c r="CC34" s="11">
        <v>31</v>
      </c>
      <c r="CD34" s="12"/>
    </row>
    <row r="35" spans="1:82">
      <c r="D35" s="121">
        <f>SUM(D23:D34)</f>
        <v>36</v>
      </c>
      <c r="E35" s="121">
        <f>SUM(E23:E34)</f>
        <v>36</v>
      </c>
      <c r="F35" s="121">
        <f>SUM(F23:F34)</f>
        <v>36</v>
      </c>
      <c r="G35" s="121"/>
      <c r="H35" s="21">
        <v>10</v>
      </c>
      <c r="I35" s="7">
        <f>SUMIF(CA$3:CA$38,$H35,$CD$3:$CD$38)</f>
        <v>1</v>
      </c>
      <c r="J35" cm="1">
        <f t="array" ref="J35:J42">I35:I42/SUM(I35:I42)</f>
        <v>0.125</v>
      </c>
      <c r="L35">
        <f>SUMPRODUCT(H35:H42,_xlfn.ANCHORARRAY(J35))</f>
        <v>238.75</v>
      </c>
      <c r="R35" s="11">
        <v>32</v>
      </c>
      <c r="S35" s="12">
        <v>5</v>
      </c>
      <c r="T35" s="12" t="s">
        <v>15</v>
      </c>
      <c r="U35" s="12" t="s">
        <v>15</v>
      </c>
      <c r="W35" s="11">
        <v>32</v>
      </c>
      <c r="X35" s="12">
        <v>3</v>
      </c>
      <c r="Y35" s="12">
        <v>0</v>
      </c>
      <c r="Z35" s="12">
        <v>0</v>
      </c>
      <c r="AB35" s="11">
        <v>32</v>
      </c>
      <c r="AC35" s="12">
        <v>1</v>
      </c>
      <c r="AD35" s="69">
        <v>1</v>
      </c>
      <c r="AE35" s="69">
        <v>1</v>
      </c>
      <c r="AG35" s="11">
        <v>32</v>
      </c>
      <c r="AH35" s="12">
        <v>1</v>
      </c>
      <c r="AI35" s="69">
        <v>1</v>
      </c>
      <c r="AJ35" s="69">
        <v>1</v>
      </c>
      <c r="AL35" s="11">
        <v>32</v>
      </c>
      <c r="AM35" s="12">
        <v>1</v>
      </c>
      <c r="AN35" s="69">
        <v>1</v>
      </c>
      <c r="AO35" s="69">
        <v>1</v>
      </c>
      <c r="AQ35" s="11">
        <v>32</v>
      </c>
      <c r="AR35" s="14" t="s">
        <v>7</v>
      </c>
      <c r="AT35" s="11">
        <v>32</v>
      </c>
      <c r="AU35" s="12">
        <v>9</v>
      </c>
      <c r="AW35" s="11">
        <v>32</v>
      </c>
      <c r="AX35" s="12">
        <v>1</v>
      </c>
      <c r="AY35" s="12">
        <v>1</v>
      </c>
      <c r="AZ35" s="12">
        <v>1</v>
      </c>
      <c r="BA35" s="12">
        <v>1</v>
      </c>
      <c r="BB35" s="12">
        <v>1</v>
      </c>
      <c r="BC35" s="12">
        <v>1</v>
      </c>
      <c r="BD35" s="12">
        <v>1</v>
      </c>
      <c r="BE35" s="12">
        <v>1</v>
      </c>
      <c r="BF35" s="24">
        <v>1</v>
      </c>
      <c r="BG35" s="29">
        <v>1</v>
      </c>
      <c r="BH35" s="12">
        <v>1</v>
      </c>
      <c r="BI35" s="12">
        <v>1</v>
      </c>
      <c r="BK35" s="11">
        <v>32</v>
      </c>
      <c r="BL35" s="12">
        <v>5</v>
      </c>
      <c r="BM35" s="12" t="s">
        <v>15</v>
      </c>
      <c r="BN35" s="12" t="s">
        <v>15</v>
      </c>
      <c r="BP35" s="11">
        <v>32</v>
      </c>
      <c r="BQ35" s="12">
        <v>3</v>
      </c>
      <c r="BR35" s="12">
        <v>0</v>
      </c>
      <c r="BS35" s="12">
        <v>0</v>
      </c>
      <c r="BU35" s="11">
        <v>32</v>
      </c>
      <c r="BV35" s="12">
        <v>1</v>
      </c>
      <c r="BW35" s="12">
        <v>1</v>
      </c>
      <c r="BX35" s="12">
        <v>1</v>
      </c>
      <c r="BZ35" s="11">
        <v>32</v>
      </c>
      <c r="CA35" s="12"/>
      <c r="CC35" s="11">
        <v>32</v>
      </c>
      <c r="CD35" s="12"/>
    </row>
    <row r="36" spans="1:82">
      <c r="G36" s="121"/>
      <c r="H36" s="21">
        <v>20</v>
      </c>
      <c r="I36" s="7">
        <f t="shared" ref="I36:I42" si="4">SUMIF(CA$3:CA$38,$H36,$CD$3:$CD$38)</f>
        <v>1</v>
      </c>
      <c r="J36">
        <v>0.125</v>
      </c>
      <c r="K36" s="121"/>
      <c r="L36" s="121"/>
      <c r="M36" s="121"/>
      <c r="N36" s="121"/>
      <c r="O36" s="121"/>
      <c r="R36" s="11">
        <v>33</v>
      </c>
      <c r="S36" s="12" t="s">
        <v>15</v>
      </c>
      <c r="T36" s="12">
        <v>1</v>
      </c>
      <c r="U36" s="12">
        <v>1</v>
      </c>
      <c r="W36" s="11">
        <v>33</v>
      </c>
      <c r="X36" s="12">
        <v>0</v>
      </c>
      <c r="Y36" s="12">
        <v>2</v>
      </c>
      <c r="Z36" s="12">
        <v>2</v>
      </c>
      <c r="AB36" s="11">
        <v>33</v>
      </c>
      <c r="AC36" s="12">
        <v>1</v>
      </c>
      <c r="AD36" s="69">
        <v>1</v>
      </c>
      <c r="AE36" s="69">
        <v>1</v>
      </c>
      <c r="AG36" s="11">
        <v>33</v>
      </c>
      <c r="AH36" s="12">
        <v>1</v>
      </c>
      <c r="AI36" s="69">
        <v>1</v>
      </c>
      <c r="AJ36" s="69">
        <v>1</v>
      </c>
      <c r="AL36" s="11">
        <v>33</v>
      </c>
      <c r="AM36" s="12">
        <v>1</v>
      </c>
      <c r="AN36" s="69">
        <v>1</v>
      </c>
      <c r="AO36" s="69">
        <v>1</v>
      </c>
      <c r="AQ36" s="11">
        <v>33</v>
      </c>
      <c r="AR36" s="12" t="s">
        <v>15</v>
      </c>
      <c r="AT36" s="11">
        <v>33</v>
      </c>
      <c r="AU36" s="12">
        <v>0</v>
      </c>
      <c r="AW36" s="11">
        <v>33</v>
      </c>
      <c r="AX36" s="12">
        <v>1</v>
      </c>
      <c r="AY36" s="12">
        <v>1</v>
      </c>
      <c r="AZ36" s="12">
        <v>1</v>
      </c>
      <c r="BA36" s="12">
        <v>1</v>
      </c>
      <c r="BB36" s="12">
        <v>1</v>
      </c>
      <c r="BC36" s="12">
        <v>1</v>
      </c>
      <c r="BD36" s="12">
        <v>1</v>
      </c>
      <c r="BE36" s="12">
        <v>1</v>
      </c>
      <c r="BF36" s="24">
        <v>1</v>
      </c>
      <c r="BG36" s="29">
        <v>1</v>
      </c>
      <c r="BH36" s="12">
        <v>1</v>
      </c>
      <c r="BI36" s="12">
        <v>1</v>
      </c>
      <c r="BK36" s="11">
        <v>33</v>
      </c>
      <c r="BL36" s="12" t="s">
        <v>15</v>
      </c>
      <c r="BM36" s="12">
        <v>1</v>
      </c>
      <c r="BN36" s="12">
        <v>1</v>
      </c>
      <c r="BP36" s="11">
        <v>33</v>
      </c>
      <c r="BQ36" s="12">
        <v>0</v>
      </c>
      <c r="BR36" s="12">
        <v>2</v>
      </c>
      <c r="BS36" s="12">
        <v>2</v>
      </c>
      <c r="BU36" s="11">
        <v>33</v>
      </c>
      <c r="BV36" s="12">
        <v>1</v>
      </c>
      <c r="BW36" s="12">
        <v>1</v>
      </c>
      <c r="BX36" s="12">
        <v>1</v>
      </c>
      <c r="BZ36" s="11">
        <v>33</v>
      </c>
      <c r="CA36" s="12"/>
      <c r="CC36" s="11">
        <v>33</v>
      </c>
      <c r="CD36" s="12"/>
    </row>
    <row r="37" spans="1:82">
      <c r="A37" s="30" t="s">
        <v>117</v>
      </c>
      <c r="D37" s="119" t="s">
        <v>8</v>
      </c>
      <c r="E37" s="119">
        <v>5</v>
      </c>
      <c r="F37" s="119">
        <v>0</v>
      </c>
      <c r="G37" s="121"/>
      <c r="H37" s="21">
        <v>30</v>
      </c>
      <c r="I37" s="7">
        <f t="shared" si="4"/>
        <v>1</v>
      </c>
      <c r="J37">
        <v>0.125</v>
      </c>
      <c r="K37" s="121"/>
      <c r="L37" s="121"/>
      <c r="M37" s="121"/>
      <c r="N37" s="121"/>
      <c r="O37" s="121"/>
      <c r="R37" s="11">
        <v>34</v>
      </c>
      <c r="S37" s="12">
        <v>10</v>
      </c>
      <c r="T37" s="12" t="s">
        <v>15</v>
      </c>
      <c r="U37" s="12" t="s">
        <v>15</v>
      </c>
      <c r="W37" s="11">
        <v>34</v>
      </c>
      <c r="X37" s="12">
        <v>4</v>
      </c>
      <c r="Y37" s="12">
        <v>0</v>
      </c>
      <c r="Z37" s="12">
        <v>0</v>
      </c>
      <c r="AB37" s="11">
        <v>34</v>
      </c>
      <c r="AC37" s="12">
        <v>1</v>
      </c>
      <c r="AD37" s="69">
        <v>1</v>
      </c>
      <c r="AE37" s="69">
        <v>1</v>
      </c>
      <c r="AG37" s="11">
        <v>34</v>
      </c>
      <c r="AH37" s="12">
        <v>1</v>
      </c>
      <c r="AI37" s="69">
        <v>1</v>
      </c>
      <c r="AJ37" s="69">
        <v>1</v>
      </c>
      <c r="AL37" s="11">
        <v>34</v>
      </c>
      <c r="AM37" s="12">
        <v>1</v>
      </c>
      <c r="AN37" s="69">
        <v>1</v>
      </c>
      <c r="AO37" s="69">
        <v>1</v>
      </c>
      <c r="AQ37" s="11">
        <v>34</v>
      </c>
      <c r="AR37" s="14" t="s">
        <v>6</v>
      </c>
      <c r="AT37" s="11">
        <v>34</v>
      </c>
      <c r="AU37" s="12">
        <v>7</v>
      </c>
      <c r="AW37" s="11">
        <v>34</v>
      </c>
      <c r="AX37" s="12">
        <v>1</v>
      </c>
      <c r="AY37" s="12">
        <v>1</v>
      </c>
      <c r="AZ37" s="12">
        <v>1</v>
      </c>
      <c r="BA37" s="12">
        <v>1</v>
      </c>
      <c r="BB37" s="12">
        <v>1</v>
      </c>
      <c r="BC37" s="12">
        <v>1</v>
      </c>
      <c r="BD37" s="12">
        <v>1</v>
      </c>
      <c r="BE37" s="12">
        <v>1</v>
      </c>
      <c r="BF37" s="24">
        <v>1</v>
      </c>
      <c r="BG37" s="29">
        <v>1</v>
      </c>
      <c r="BH37" s="12">
        <v>1</v>
      </c>
      <c r="BI37" s="12">
        <v>1</v>
      </c>
      <c r="BK37" s="11">
        <v>34</v>
      </c>
      <c r="BL37" s="12">
        <v>10</v>
      </c>
      <c r="BM37" s="12" t="s">
        <v>15</v>
      </c>
      <c r="BN37" s="12" t="s">
        <v>15</v>
      </c>
      <c r="BP37" s="11">
        <v>34</v>
      </c>
      <c r="BQ37" s="12">
        <v>4</v>
      </c>
      <c r="BR37" s="12">
        <v>0</v>
      </c>
      <c r="BS37" s="12">
        <v>0</v>
      </c>
      <c r="BU37" s="11">
        <v>34</v>
      </c>
      <c r="BV37" s="12">
        <v>1</v>
      </c>
      <c r="BW37" s="12">
        <v>1</v>
      </c>
      <c r="BX37" s="12">
        <v>1</v>
      </c>
      <c r="BZ37" s="11">
        <v>34</v>
      </c>
      <c r="CA37" s="12"/>
      <c r="CC37" s="11">
        <v>34</v>
      </c>
      <c r="CD37" s="12"/>
    </row>
    <row r="38" spans="1:82">
      <c r="D38" s="119"/>
      <c r="E38" s="119"/>
      <c r="F38" s="119">
        <v>1</v>
      </c>
      <c r="G38" s="121"/>
      <c r="H38" s="21">
        <v>50</v>
      </c>
      <c r="I38" s="7">
        <f t="shared" si="4"/>
        <v>1</v>
      </c>
      <c r="J38">
        <v>0.125</v>
      </c>
      <c r="K38" s="121"/>
      <c r="L38" s="121"/>
      <c r="M38" s="121"/>
      <c r="N38" s="121"/>
      <c r="O38" s="121"/>
      <c r="R38" s="11">
        <v>35</v>
      </c>
      <c r="S38" s="12" t="s">
        <v>8</v>
      </c>
      <c r="T38" s="12">
        <v>5</v>
      </c>
      <c r="U38" s="12">
        <v>5</v>
      </c>
      <c r="W38" s="11">
        <v>35</v>
      </c>
      <c r="X38" s="12">
        <v>0</v>
      </c>
      <c r="Y38" s="12">
        <v>3</v>
      </c>
      <c r="Z38" s="12">
        <v>3</v>
      </c>
      <c r="AB38" s="11">
        <v>35</v>
      </c>
      <c r="AC38" s="12">
        <v>1</v>
      </c>
      <c r="AD38" s="69">
        <v>1</v>
      </c>
      <c r="AE38" s="69">
        <v>1</v>
      </c>
      <c r="AG38" s="11">
        <v>35</v>
      </c>
      <c r="AH38" s="12">
        <v>1</v>
      </c>
      <c r="AI38" s="69">
        <v>1</v>
      </c>
      <c r="AJ38" s="69">
        <v>1</v>
      </c>
      <c r="AL38" s="11">
        <v>35</v>
      </c>
      <c r="AM38" s="12">
        <v>1</v>
      </c>
      <c r="AN38" s="69">
        <v>1</v>
      </c>
      <c r="AO38" s="69">
        <v>1</v>
      </c>
      <c r="AQ38" s="11">
        <v>35</v>
      </c>
      <c r="AR38" s="12" t="s">
        <v>15</v>
      </c>
      <c r="AT38" s="11">
        <v>35</v>
      </c>
      <c r="AU38" s="12">
        <v>0</v>
      </c>
      <c r="AW38" s="11">
        <v>35</v>
      </c>
      <c r="AX38" s="12">
        <v>1</v>
      </c>
      <c r="AY38" s="12">
        <v>1</v>
      </c>
      <c r="AZ38" s="12">
        <v>1</v>
      </c>
      <c r="BA38" s="12">
        <v>1</v>
      </c>
      <c r="BB38" s="12">
        <v>1</v>
      </c>
      <c r="BC38" s="12">
        <v>1</v>
      </c>
      <c r="BD38" s="12">
        <v>1</v>
      </c>
      <c r="BE38" s="12">
        <v>1</v>
      </c>
      <c r="BF38" s="24">
        <v>1</v>
      </c>
      <c r="BG38" s="29">
        <v>1</v>
      </c>
      <c r="BH38" s="12">
        <v>1</v>
      </c>
      <c r="BI38" s="12">
        <v>1</v>
      </c>
      <c r="BK38" s="11">
        <v>35</v>
      </c>
      <c r="BL38" s="12" t="s">
        <v>8</v>
      </c>
      <c r="BM38" s="12">
        <v>5</v>
      </c>
      <c r="BN38" s="12">
        <v>5</v>
      </c>
      <c r="BP38" s="11">
        <v>35</v>
      </c>
      <c r="BQ38" s="12">
        <v>0</v>
      </c>
      <c r="BR38" s="12">
        <v>3</v>
      </c>
      <c r="BS38" s="12">
        <v>3</v>
      </c>
      <c r="BU38" s="11">
        <v>35</v>
      </c>
      <c r="BV38" s="12">
        <v>1</v>
      </c>
      <c r="BW38" s="12">
        <v>1</v>
      </c>
      <c r="BX38" s="12">
        <v>1</v>
      </c>
      <c r="BZ38" s="11">
        <v>35</v>
      </c>
      <c r="CA38" s="12"/>
      <c r="CC38" s="11">
        <v>35</v>
      </c>
      <c r="CD38" s="12"/>
    </row>
    <row r="39" spans="1:82">
      <c r="D39" s="119"/>
      <c r="E39" s="119"/>
      <c r="F39" s="119">
        <v>5</v>
      </c>
      <c r="G39" s="121"/>
      <c r="H39" s="21">
        <v>100</v>
      </c>
      <c r="I39" s="7">
        <f t="shared" si="4"/>
        <v>1</v>
      </c>
      <c r="J39">
        <v>0.125</v>
      </c>
      <c r="K39" s="121"/>
      <c r="L39" s="121"/>
      <c r="M39" s="121"/>
      <c r="N39" s="121"/>
      <c r="O39" s="121"/>
      <c r="R39" s="11">
        <v>36</v>
      </c>
      <c r="S39" s="12"/>
      <c r="T39" s="12" t="s">
        <v>15</v>
      </c>
      <c r="U39" s="12"/>
      <c r="W39" s="11">
        <v>36</v>
      </c>
      <c r="X39" s="12"/>
      <c r="Y39" s="12">
        <f t="shared" ref="Y39:Y52" si="5">VLOOKUP(T39,$A$3:$F$14,2,0)</f>
        <v>0</v>
      </c>
      <c r="Z39" s="12"/>
      <c r="AB39" s="11">
        <v>36</v>
      </c>
      <c r="AC39" s="12"/>
      <c r="AD39" s="12">
        <v>1</v>
      </c>
      <c r="AE39" s="12"/>
      <c r="AG39" s="11">
        <v>36</v>
      </c>
      <c r="AH39" s="12"/>
      <c r="AI39" s="12">
        <v>1</v>
      </c>
      <c r="AJ39" s="12"/>
      <c r="AL39" s="11">
        <v>36</v>
      </c>
      <c r="AM39" s="12"/>
      <c r="AN39" s="12">
        <v>1</v>
      </c>
      <c r="AO39" s="12"/>
      <c r="AQ39" s="11">
        <v>36</v>
      </c>
      <c r="AR39" s="14" t="s">
        <v>40</v>
      </c>
      <c r="AS39" s="14"/>
      <c r="AT39" s="11">
        <v>36</v>
      </c>
      <c r="AU39" s="12">
        <v>11</v>
      </c>
      <c r="AW39" s="11">
        <v>36</v>
      </c>
      <c r="AX39" s="12">
        <v>1</v>
      </c>
      <c r="AY39" s="12">
        <v>1</v>
      </c>
      <c r="AZ39" s="12">
        <v>1</v>
      </c>
      <c r="BA39" s="12">
        <v>1</v>
      </c>
      <c r="BB39" s="12">
        <v>1</v>
      </c>
      <c r="BC39" s="12">
        <v>1</v>
      </c>
      <c r="BD39" s="12">
        <v>1</v>
      </c>
      <c r="BE39" s="12">
        <v>1</v>
      </c>
      <c r="BF39" s="24">
        <v>1</v>
      </c>
      <c r="BG39" s="29">
        <v>1</v>
      </c>
      <c r="BH39" s="12">
        <v>1</v>
      </c>
      <c r="BI39" s="12">
        <v>1</v>
      </c>
      <c r="BK39" s="11">
        <v>36</v>
      </c>
      <c r="BL39" s="12"/>
      <c r="BM39" s="12" t="s">
        <v>15</v>
      </c>
      <c r="BN39" s="12"/>
      <c r="BP39" s="11">
        <v>36</v>
      </c>
      <c r="BQ39" s="12"/>
      <c r="BR39" s="12">
        <f t="shared" ref="BR39:BR52" si="6">VLOOKUP(BM39,$A$3:$F$14,2,0)</f>
        <v>0</v>
      </c>
      <c r="BS39" s="12"/>
      <c r="BU39" s="11">
        <v>36</v>
      </c>
      <c r="BV39" s="12"/>
      <c r="BW39" s="12">
        <v>1</v>
      </c>
      <c r="BX39" s="12"/>
      <c r="BZ39" s="11">
        <v>36</v>
      </c>
      <c r="CA39" s="12"/>
      <c r="CC39" s="11">
        <v>36</v>
      </c>
      <c r="CD39" s="12"/>
    </row>
    <row r="40" spans="1:82">
      <c r="A40" s="30" t="s">
        <v>46</v>
      </c>
      <c r="B40" s="1" t="s">
        <v>10</v>
      </c>
      <c r="C40" s="2" t="s">
        <v>11</v>
      </c>
      <c r="D40" s="3" t="s">
        <v>80</v>
      </c>
      <c r="E40" s="122" t="s">
        <v>13</v>
      </c>
      <c r="F40" s="4" t="s">
        <v>14</v>
      </c>
      <c r="G40" s="121"/>
      <c r="H40" s="21">
        <v>200</v>
      </c>
      <c r="I40" s="7">
        <f t="shared" si="4"/>
        <v>1</v>
      </c>
      <c r="J40">
        <v>0.125</v>
      </c>
      <c r="K40" s="121"/>
      <c r="L40" s="121"/>
      <c r="M40" s="121"/>
      <c r="N40" s="121"/>
      <c r="O40" s="121"/>
      <c r="R40" s="11">
        <v>37</v>
      </c>
      <c r="S40" s="12"/>
      <c r="T40" s="12">
        <v>10</v>
      </c>
      <c r="U40" s="12"/>
      <c r="W40" s="11">
        <v>37</v>
      </c>
      <c r="X40" s="12"/>
      <c r="Y40" s="12">
        <f t="shared" si="5"/>
        <v>4</v>
      </c>
      <c r="Z40" s="12"/>
      <c r="AB40" s="11">
        <v>37</v>
      </c>
      <c r="AC40" s="12"/>
      <c r="AD40" s="12">
        <v>1</v>
      </c>
      <c r="AE40" s="12"/>
      <c r="AG40" s="11">
        <v>37</v>
      </c>
      <c r="AH40" s="12"/>
      <c r="AI40" s="12">
        <v>1</v>
      </c>
      <c r="AJ40" s="12"/>
      <c r="AL40" s="11">
        <v>37</v>
      </c>
      <c r="AM40" s="12"/>
      <c r="AN40" s="12">
        <v>1</v>
      </c>
      <c r="AO40" s="12"/>
      <c r="AQ40" s="11">
        <v>37</v>
      </c>
      <c r="AR40" s="12" t="s">
        <v>15</v>
      </c>
      <c r="AS40" s="12"/>
      <c r="AT40" s="11">
        <v>37</v>
      </c>
      <c r="AU40" s="12">
        <v>0</v>
      </c>
      <c r="AW40" s="11">
        <v>37</v>
      </c>
      <c r="AX40" s="12">
        <v>1</v>
      </c>
      <c r="AY40" s="12">
        <v>1</v>
      </c>
      <c r="AZ40" s="12">
        <v>1</v>
      </c>
      <c r="BA40" s="12">
        <v>1</v>
      </c>
      <c r="BB40" s="12">
        <v>1</v>
      </c>
      <c r="BC40" s="12">
        <v>1</v>
      </c>
      <c r="BD40" s="12">
        <v>1</v>
      </c>
      <c r="BE40" s="12">
        <v>1</v>
      </c>
      <c r="BF40" s="24">
        <v>1</v>
      </c>
      <c r="BG40" s="29">
        <v>1</v>
      </c>
      <c r="BH40" s="12">
        <v>1</v>
      </c>
      <c r="BI40" s="12">
        <v>1</v>
      </c>
      <c r="BK40" s="11">
        <v>37</v>
      </c>
      <c r="BL40" s="12"/>
      <c r="BM40" s="12">
        <v>10</v>
      </c>
      <c r="BN40" s="12"/>
      <c r="BP40" s="11">
        <v>37</v>
      </c>
      <c r="BQ40" s="12"/>
      <c r="BR40" s="12">
        <f t="shared" si="6"/>
        <v>4</v>
      </c>
      <c r="BS40" s="12"/>
      <c r="BU40" s="11">
        <v>37</v>
      </c>
      <c r="BV40" s="12"/>
      <c r="BW40" s="12">
        <v>1</v>
      </c>
      <c r="BX40" s="12"/>
      <c r="BZ40" s="11">
        <v>37</v>
      </c>
      <c r="CA40" s="12"/>
      <c r="CC40" s="11">
        <v>37</v>
      </c>
      <c r="CD40" s="12"/>
    </row>
    <row r="41" spans="1:82">
      <c r="A41" s="1" t="s">
        <v>19</v>
      </c>
      <c r="B41" s="1">
        <v>0</v>
      </c>
      <c r="C41" s="3" t="s">
        <v>25</v>
      </c>
      <c r="D41" s="3">
        <f>SUMIF(S$3:S$38,$A41,AM$3:AM$38)</f>
        <v>18</v>
      </c>
      <c r="E41" s="122">
        <f>SUMIF(T$3:T$52,$A41,AN$3:AN$52)</f>
        <v>25</v>
      </c>
      <c r="F41" s="4">
        <f t="shared" ref="F41:F52" si="7">SUMIF(U$3:U$38,$A41,AO$3:AO$38)</f>
        <v>18</v>
      </c>
      <c r="G41" s="121"/>
      <c r="H41" s="21">
        <v>500</v>
      </c>
      <c r="I41" s="7">
        <f t="shared" si="4"/>
        <v>1</v>
      </c>
      <c r="J41">
        <v>0.125</v>
      </c>
      <c r="K41" s="121"/>
      <c r="L41" s="121"/>
      <c r="M41" s="121"/>
      <c r="N41" s="121"/>
      <c r="O41" s="121"/>
      <c r="R41" s="11">
        <v>38</v>
      </c>
      <c r="S41" s="12"/>
      <c r="T41" s="12" t="s">
        <v>15</v>
      </c>
      <c r="U41" s="12"/>
      <c r="W41" s="11">
        <v>38</v>
      </c>
      <c r="X41" s="12"/>
      <c r="Y41" s="12">
        <f t="shared" si="5"/>
        <v>0</v>
      </c>
      <c r="Z41" s="12"/>
      <c r="AB41" s="11">
        <v>38</v>
      </c>
      <c r="AC41" s="12"/>
      <c r="AD41" s="12">
        <v>1</v>
      </c>
      <c r="AE41" s="12"/>
      <c r="AG41" s="11">
        <v>38</v>
      </c>
      <c r="AH41" s="12"/>
      <c r="AI41" s="12">
        <v>1</v>
      </c>
      <c r="AJ41" s="12"/>
      <c r="AL41" s="11">
        <v>38</v>
      </c>
      <c r="AM41" s="12"/>
      <c r="AN41" s="12">
        <v>1</v>
      </c>
      <c r="AO41" s="12"/>
      <c r="AQ41" s="11">
        <v>38</v>
      </c>
      <c r="AR41" s="14" t="s">
        <v>9</v>
      </c>
      <c r="AS41" s="14"/>
      <c r="AT41" s="11">
        <v>38</v>
      </c>
      <c r="AU41" s="12">
        <v>8</v>
      </c>
      <c r="AW41" s="11">
        <v>38</v>
      </c>
      <c r="AX41" s="12">
        <v>1</v>
      </c>
      <c r="AY41" s="12">
        <v>1</v>
      </c>
      <c r="AZ41" s="12">
        <v>1</v>
      </c>
      <c r="BA41" s="12">
        <v>1</v>
      </c>
      <c r="BB41" s="12">
        <v>1</v>
      </c>
      <c r="BC41" s="12">
        <v>1</v>
      </c>
      <c r="BD41" s="12">
        <v>1</v>
      </c>
      <c r="BE41" s="12">
        <v>1</v>
      </c>
      <c r="BF41" s="24">
        <v>1</v>
      </c>
      <c r="BG41" s="29">
        <v>1</v>
      </c>
      <c r="BH41" s="12">
        <v>1</v>
      </c>
      <c r="BI41" s="12">
        <v>1</v>
      </c>
      <c r="BK41" s="11">
        <v>38</v>
      </c>
      <c r="BL41" s="12"/>
      <c r="BM41" s="12" t="s">
        <v>15</v>
      </c>
      <c r="BN41" s="12"/>
      <c r="BP41" s="11">
        <v>38</v>
      </c>
      <c r="BQ41" s="12"/>
      <c r="BR41" s="12">
        <f t="shared" si="6"/>
        <v>0</v>
      </c>
      <c r="BS41" s="12"/>
      <c r="BU41" s="11">
        <v>38</v>
      </c>
      <c r="BV41" s="12"/>
      <c r="BW41" s="12">
        <v>1</v>
      </c>
      <c r="BX41" s="12"/>
      <c r="BZ41" s="11">
        <v>38</v>
      </c>
      <c r="CA41" s="12"/>
      <c r="CC41" s="11">
        <v>38</v>
      </c>
      <c r="CD41" s="12"/>
    </row>
    <row r="42" spans="1:82">
      <c r="A42" s="20">
        <v>0</v>
      </c>
      <c r="B42" s="20">
        <v>1</v>
      </c>
      <c r="C42" s="5">
        <v>0</v>
      </c>
      <c r="D42" s="37">
        <f t="shared" ref="D42:D52" si="8">SUMIF(S$3:S$38,$A42,AM$3:AM$38)</f>
        <v>0</v>
      </c>
      <c r="E42" s="121">
        <f t="shared" ref="E42:E52" si="9">SUMIF(T$3:T$52,$A42,AN$3:AN$52)</f>
        <v>5</v>
      </c>
      <c r="F42" s="7">
        <f t="shared" si="7"/>
        <v>6</v>
      </c>
      <c r="H42" s="22">
        <v>1000</v>
      </c>
      <c r="I42" s="96">
        <f t="shared" si="4"/>
        <v>1</v>
      </c>
      <c r="J42">
        <v>0.125</v>
      </c>
      <c r="R42" s="11">
        <v>39</v>
      </c>
      <c r="S42" s="12"/>
      <c r="T42" s="12" t="s">
        <v>18</v>
      </c>
      <c r="U42" s="12"/>
      <c r="W42" s="11">
        <v>39</v>
      </c>
      <c r="X42" s="12"/>
      <c r="Y42" s="12">
        <f t="shared" si="5"/>
        <v>5</v>
      </c>
      <c r="Z42" s="12"/>
      <c r="AB42" s="11">
        <v>39</v>
      </c>
      <c r="AC42" s="12"/>
      <c r="AD42" s="12">
        <v>1</v>
      </c>
      <c r="AE42" s="12"/>
      <c r="AG42" s="11">
        <v>39</v>
      </c>
      <c r="AH42" s="12"/>
      <c r="AI42" s="12">
        <v>1</v>
      </c>
      <c r="AJ42" s="12"/>
      <c r="AL42" s="11">
        <v>39</v>
      </c>
      <c r="AM42" s="12"/>
      <c r="AN42" s="12">
        <v>1</v>
      </c>
      <c r="AO42" s="12"/>
      <c r="AQ42" s="11">
        <v>39</v>
      </c>
      <c r="AR42" s="12" t="s">
        <v>15</v>
      </c>
      <c r="AS42" s="12"/>
      <c r="AT42" s="11">
        <v>39</v>
      </c>
      <c r="AU42" s="12">
        <v>0</v>
      </c>
      <c r="AW42" s="11">
        <v>39</v>
      </c>
      <c r="AX42" s="12">
        <v>1</v>
      </c>
      <c r="AY42" s="12">
        <v>1</v>
      </c>
      <c r="AZ42" s="12">
        <v>1</v>
      </c>
      <c r="BA42" s="12">
        <v>1</v>
      </c>
      <c r="BB42" s="12">
        <v>1</v>
      </c>
      <c r="BC42" s="12">
        <v>1</v>
      </c>
      <c r="BD42" s="12">
        <v>1</v>
      </c>
      <c r="BE42" s="12">
        <v>1</v>
      </c>
      <c r="BF42" s="24">
        <v>1</v>
      </c>
      <c r="BG42" s="29">
        <v>1</v>
      </c>
      <c r="BH42" s="12">
        <v>1</v>
      </c>
      <c r="BI42" s="12">
        <v>1</v>
      </c>
      <c r="BK42" s="11">
        <v>39</v>
      </c>
      <c r="BL42" s="12"/>
      <c r="BM42" s="12" t="s">
        <v>18</v>
      </c>
      <c r="BN42" s="12"/>
      <c r="BP42" s="11">
        <v>39</v>
      </c>
      <c r="BQ42" s="12"/>
      <c r="BR42" s="12">
        <f t="shared" si="6"/>
        <v>5</v>
      </c>
      <c r="BS42" s="12"/>
      <c r="BU42" s="11">
        <v>39</v>
      </c>
      <c r="BV42" s="12"/>
      <c r="BW42" s="12">
        <v>1</v>
      </c>
      <c r="BX42" s="12"/>
      <c r="BZ42" s="11">
        <v>39</v>
      </c>
      <c r="CA42" s="12"/>
      <c r="CC42" s="11">
        <v>39</v>
      </c>
      <c r="CD42" s="12"/>
    </row>
    <row r="43" spans="1:82">
      <c r="A43" s="20">
        <v>1</v>
      </c>
      <c r="B43" s="20">
        <v>2</v>
      </c>
      <c r="C43" s="5">
        <v>1</v>
      </c>
      <c r="D43" s="6">
        <f t="shared" si="8"/>
        <v>6</v>
      </c>
      <c r="E43" s="121">
        <f t="shared" si="9"/>
        <v>5</v>
      </c>
      <c r="F43" s="7">
        <f t="shared" si="7"/>
        <v>6</v>
      </c>
      <c r="R43" s="11">
        <v>40</v>
      </c>
      <c r="S43" s="12"/>
      <c r="T43" s="12" t="s">
        <v>15</v>
      </c>
      <c r="U43" s="12"/>
      <c r="W43" s="11">
        <v>40</v>
      </c>
      <c r="X43" s="12"/>
      <c r="Y43" s="12">
        <f t="shared" si="5"/>
        <v>0</v>
      </c>
      <c r="Z43" s="12"/>
      <c r="AB43" s="11">
        <v>40</v>
      </c>
      <c r="AC43" s="12"/>
      <c r="AD43" s="12">
        <v>1</v>
      </c>
      <c r="AE43" s="12"/>
      <c r="AG43" s="11">
        <v>40</v>
      </c>
      <c r="AH43" s="12"/>
      <c r="AI43" s="12">
        <v>1</v>
      </c>
      <c r="AJ43" s="12"/>
      <c r="AL43" s="11">
        <v>40</v>
      </c>
      <c r="AM43" s="12"/>
      <c r="AN43" s="12">
        <v>1</v>
      </c>
      <c r="AO43" s="12"/>
      <c r="AQ43" s="11">
        <v>40</v>
      </c>
      <c r="AR43" s="14"/>
      <c r="AS43" s="14"/>
      <c r="AT43" s="11">
        <v>40</v>
      </c>
      <c r="AU43" s="12"/>
      <c r="AW43" s="11">
        <v>40</v>
      </c>
      <c r="AX43" s="12"/>
      <c r="AY43" s="12"/>
      <c r="AZ43" s="12"/>
      <c r="BA43" s="12"/>
      <c r="BB43" s="12"/>
      <c r="BC43" s="12"/>
      <c r="BD43" s="12"/>
      <c r="BE43" s="12"/>
      <c r="BF43" s="24"/>
      <c r="BG43" s="29"/>
      <c r="BH43" s="12"/>
      <c r="BI43" s="12"/>
      <c r="BK43" s="11">
        <v>40</v>
      </c>
      <c r="BL43" s="12"/>
      <c r="BM43" s="12" t="s">
        <v>15</v>
      </c>
      <c r="BN43" s="12"/>
      <c r="BP43" s="11">
        <v>40</v>
      </c>
      <c r="BQ43" s="12"/>
      <c r="BR43" s="12">
        <f t="shared" si="6"/>
        <v>0</v>
      </c>
      <c r="BS43" s="12"/>
      <c r="BU43" s="11">
        <v>40</v>
      </c>
      <c r="BV43" s="12"/>
      <c r="BW43" s="12">
        <v>1</v>
      </c>
      <c r="BX43" s="12"/>
      <c r="BZ43" s="11">
        <v>40</v>
      </c>
      <c r="CA43" s="12"/>
      <c r="CC43" s="11">
        <v>40</v>
      </c>
      <c r="CD43" s="12"/>
    </row>
    <row r="44" spans="1:82">
      <c r="A44" s="21">
        <v>5</v>
      </c>
      <c r="B44" s="21">
        <v>3</v>
      </c>
      <c r="C44" s="23">
        <v>5</v>
      </c>
      <c r="D44" s="6">
        <f t="shared" si="8"/>
        <v>6</v>
      </c>
      <c r="E44" s="121">
        <f t="shared" si="9"/>
        <v>5</v>
      </c>
      <c r="F44" s="7">
        <f t="shared" si="7"/>
        <v>6</v>
      </c>
      <c r="R44" s="11">
        <v>41</v>
      </c>
      <c r="S44" s="12"/>
      <c r="T44" s="12">
        <v>0</v>
      </c>
      <c r="U44" s="12"/>
      <c r="W44" s="11">
        <v>41</v>
      </c>
      <c r="X44" s="12"/>
      <c r="Y44" s="12">
        <f t="shared" si="5"/>
        <v>1</v>
      </c>
      <c r="Z44" s="12"/>
      <c r="AB44" s="11">
        <v>41</v>
      </c>
      <c r="AC44" s="12"/>
      <c r="AD44" s="12">
        <v>1</v>
      </c>
      <c r="AE44" s="12"/>
      <c r="AG44" s="11">
        <v>41</v>
      </c>
      <c r="AH44" s="12"/>
      <c r="AI44" s="12">
        <v>1</v>
      </c>
      <c r="AJ44" s="12"/>
      <c r="AL44" s="11">
        <v>41</v>
      </c>
      <c r="AM44" s="12"/>
      <c r="AN44" s="12">
        <v>1</v>
      </c>
      <c r="AO44" s="12"/>
      <c r="AQ44" s="11">
        <v>41</v>
      </c>
      <c r="AR44" s="12"/>
      <c r="AS44" s="12"/>
      <c r="AT44" s="11">
        <v>41</v>
      </c>
      <c r="AU44" s="12"/>
      <c r="AW44" s="11">
        <v>41</v>
      </c>
      <c r="AX44" s="12"/>
      <c r="AY44" s="12"/>
      <c r="AZ44" s="12"/>
      <c r="BA44" s="12"/>
      <c r="BB44" s="12"/>
      <c r="BC44" s="12"/>
      <c r="BD44" s="12"/>
      <c r="BE44" s="12"/>
      <c r="BF44" s="24"/>
      <c r="BG44" s="29"/>
      <c r="BH44" s="12"/>
      <c r="BI44" s="12"/>
      <c r="BK44" s="11">
        <v>41</v>
      </c>
      <c r="BL44" s="12"/>
      <c r="BM44" s="12">
        <v>0</v>
      </c>
      <c r="BN44" s="12"/>
      <c r="BP44" s="11">
        <v>41</v>
      </c>
      <c r="BQ44" s="12"/>
      <c r="BR44" s="12">
        <f t="shared" si="6"/>
        <v>1</v>
      </c>
      <c r="BS44" s="12"/>
      <c r="BU44" s="11">
        <v>41</v>
      </c>
      <c r="BV44" s="12"/>
      <c r="BW44" s="12">
        <v>1</v>
      </c>
      <c r="BX44" s="12"/>
      <c r="BZ44" s="11">
        <v>41</v>
      </c>
      <c r="CA44" s="12"/>
      <c r="CC44" s="11">
        <v>41</v>
      </c>
      <c r="CD44" s="12"/>
    </row>
    <row r="45" spans="1:82">
      <c r="A45" s="21">
        <v>10</v>
      </c>
      <c r="B45" s="21">
        <v>4</v>
      </c>
      <c r="C45" s="23">
        <v>10</v>
      </c>
      <c r="D45" s="6">
        <f t="shared" si="8"/>
        <v>6</v>
      </c>
      <c r="E45" s="101">
        <f t="shared" si="9"/>
        <v>5</v>
      </c>
      <c r="F45" s="38">
        <f t="shared" si="7"/>
        <v>0</v>
      </c>
      <c r="R45" s="11">
        <v>42</v>
      </c>
      <c r="S45" s="12"/>
      <c r="T45" s="12" t="s">
        <v>15</v>
      </c>
      <c r="U45" s="12"/>
      <c r="W45" s="11">
        <v>42</v>
      </c>
      <c r="X45" s="12"/>
      <c r="Y45" s="12">
        <f t="shared" si="5"/>
        <v>0</v>
      </c>
      <c r="Z45" s="12"/>
      <c r="AB45" s="11">
        <v>42</v>
      </c>
      <c r="AC45" s="12"/>
      <c r="AD45" s="12">
        <v>1</v>
      </c>
      <c r="AE45" s="12"/>
      <c r="AG45" s="11">
        <v>42</v>
      </c>
      <c r="AH45" s="12"/>
      <c r="AI45" s="12">
        <v>1</v>
      </c>
      <c r="AJ45" s="12"/>
      <c r="AL45" s="11">
        <v>42</v>
      </c>
      <c r="AM45" s="12"/>
      <c r="AN45" s="12">
        <v>1</v>
      </c>
      <c r="AO45" s="12"/>
      <c r="AQ45" s="11">
        <v>42</v>
      </c>
      <c r="AR45" s="14"/>
      <c r="AS45" s="14"/>
      <c r="AT45" s="11">
        <v>42</v>
      </c>
      <c r="AU45" s="12"/>
      <c r="AW45" s="11">
        <v>42</v>
      </c>
      <c r="AX45" s="12"/>
      <c r="AY45" s="12"/>
      <c r="AZ45" s="12"/>
      <c r="BA45" s="12"/>
      <c r="BB45" s="12"/>
      <c r="BC45" s="12"/>
      <c r="BD45" s="12"/>
      <c r="BE45" s="12"/>
      <c r="BF45" s="24"/>
      <c r="BG45" s="29"/>
      <c r="BH45" s="12"/>
      <c r="BI45" s="12"/>
      <c r="BK45" s="11">
        <v>42</v>
      </c>
      <c r="BL45" s="12"/>
      <c r="BM45" s="12" t="s">
        <v>15</v>
      </c>
      <c r="BN45" s="12"/>
      <c r="BP45" s="11">
        <v>42</v>
      </c>
      <c r="BQ45" s="12"/>
      <c r="BR45" s="12">
        <f t="shared" si="6"/>
        <v>0</v>
      </c>
      <c r="BS45" s="12"/>
      <c r="BU45" s="11">
        <v>42</v>
      </c>
      <c r="BV45" s="12"/>
      <c r="BW45" s="12">
        <v>1</v>
      </c>
      <c r="BX45" s="12"/>
      <c r="BZ45" s="11">
        <v>42</v>
      </c>
      <c r="CA45" s="12"/>
      <c r="CC45" s="11">
        <v>42</v>
      </c>
      <c r="CD45" s="12"/>
    </row>
    <row r="46" spans="1:82">
      <c r="A46" s="20" t="s">
        <v>20</v>
      </c>
      <c r="B46" s="20">
        <v>5</v>
      </c>
      <c r="C46" s="23" t="s">
        <v>29</v>
      </c>
      <c r="D46" s="37">
        <f t="shared" si="8"/>
        <v>0</v>
      </c>
      <c r="E46" s="101">
        <f t="shared" si="9"/>
        <v>5</v>
      </c>
      <c r="F46" s="38">
        <f t="shared" si="7"/>
        <v>0</v>
      </c>
      <c r="R46" s="11">
        <v>43</v>
      </c>
      <c r="S46" s="12"/>
      <c r="T46" s="12">
        <v>1</v>
      </c>
      <c r="U46" s="12"/>
      <c r="W46" s="11">
        <v>43</v>
      </c>
      <c r="X46" s="12"/>
      <c r="Y46" s="12">
        <f t="shared" si="5"/>
        <v>2</v>
      </c>
      <c r="Z46" s="12"/>
      <c r="AB46" s="11">
        <v>43</v>
      </c>
      <c r="AC46" s="12"/>
      <c r="AD46" s="12">
        <v>1</v>
      </c>
      <c r="AE46" s="12"/>
      <c r="AG46" s="11">
        <v>43</v>
      </c>
      <c r="AH46" s="12"/>
      <c r="AI46" s="12">
        <v>1</v>
      </c>
      <c r="AJ46" s="12"/>
      <c r="AL46" s="11">
        <v>43</v>
      </c>
      <c r="AM46" s="12"/>
      <c r="AN46" s="12">
        <v>1</v>
      </c>
      <c r="AO46" s="12"/>
      <c r="AQ46" s="11">
        <v>43</v>
      </c>
      <c r="AR46" s="12"/>
      <c r="AS46" s="12"/>
      <c r="AT46" s="11">
        <v>43</v>
      </c>
      <c r="AU46" s="12"/>
      <c r="AW46" s="11">
        <v>43</v>
      </c>
      <c r="AX46" s="12"/>
      <c r="AY46" s="12"/>
      <c r="AZ46" s="12"/>
      <c r="BA46" s="12"/>
      <c r="BB46" s="12"/>
      <c r="BC46" s="12"/>
      <c r="BD46" s="12"/>
      <c r="BE46" s="12"/>
      <c r="BF46" s="24"/>
      <c r="BG46" s="29"/>
      <c r="BH46" s="12"/>
      <c r="BI46" s="12"/>
      <c r="BK46" s="11">
        <v>43</v>
      </c>
      <c r="BL46" s="12"/>
      <c r="BM46" s="12">
        <v>1</v>
      </c>
      <c r="BN46" s="12"/>
      <c r="BP46" s="11">
        <v>43</v>
      </c>
      <c r="BQ46" s="12"/>
      <c r="BR46" s="12">
        <f t="shared" si="6"/>
        <v>2</v>
      </c>
      <c r="BS46" s="12"/>
      <c r="BU46" s="11">
        <v>43</v>
      </c>
      <c r="BV46" s="12"/>
      <c r="BW46" s="12">
        <v>1</v>
      </c>
      <c r="BX46" s="12"/>
      <c r="BZ46" s="11">
        <v>43</v>
      </c>
      <c r="CA46" s="12"/>
      <c r="CC46" s="11">
        <v>43</v>
      </c>
      <c r="CD46" s="12"/>
    </row>
    <row r="47" spans="1:82">
      <c r="A47" s="21" t="s">
        <v>21</v>
      </c>
      <c r="B47" s="21">
        <v>6</v>
      </c>
      <c r="C47" s="23" t="s">
        <v>26</v>
      </c>
      <c r="D47" s="37">
        <f t="shared" si="8"/>
        <v>0</v>
      </c>
      <c r="E47" s="59">
        <f t="shared" si="9"/>
        <v>0</v>
      </c>
      <c r="F47" s="38">
        <f t="shared" si="7"/>
        <v>0</v>
      </c>
      <c r="R47" s="11">
        <v>44</v>
      </c>
      <c r="S47" s="12"/>
      <c r="T47" s="12" t="s">
        <v>15</v>
      </c>
      <c r="U47" s="12"/>
      <c r="W47" s="11">
        <v>44</v>
      </c>
      <c r="X47" s="12"/>
      <c r="Y47" s="12">
        <f t="shared" si="5"/>
        <v>0</v>
      </c>
      <c r="Z47" s="12"/>
      <c r="AB47" s="11">
        <v>44</v>
      </c>
      <c r="AC47" s="12"/>
      <c r="AD47" s="12">
        <v>1</v>
      </c>
      <c r="AE47" s="12"/>
      <c r="AG47" s="11">
        <v>44</v>
      </c>
      <c r="AH47" s="12"/>
      <c r="AI47" s="12">
        <v>1</v>
      </c>
      <c r="AJ47" s="12"/>
      <c r="AL47" s="11">
        <v>44</v>
      </c>
      <c r="AM47" s="12"/>
      <c r="AN47" s="12">
        <v>1</v>
      </c>
      <c r="AO47" s="12"/>
      <c r="AQ47" s="11">
        <v>44</v>
      </c>
      <c r="AR47" s="14"/>
      <c r="AS47" s="14"/>
      <c r="AT47" s="11">
        <v>44</v>
      </c>
      <c r="AU47" s="12"/>
      <c r="AW47" s="11">
        <v>44</v>
      </c>
      <c r="AX47" s="12"/>
      <c r="AY47" s="12"/>
      <c r="AZ47" s="12"/>
      <c r="BA47" s="12"/>
      <c r="BB47" s="12"/>
      <c r="BC47" s="12"/>
      <c r="BD47" s="12"/>
      <c r="BE47" s="12"/>
      <c r="BF47" s="24"/>
      <c r="BG47" s="29"/>
      <c r="BH47" s="12"/>
      <c r="BI47" s="12"/>
      <c r="BK47" s="11">
        <v>44</v>
      </c>
      <c r="BL47" s="12"/>
      <c r="BM47" s="12" t="s">
        <v>15</v>
      </c>
      <c r="BN47" s="12"/>
      <c r="BP47" s="11">
        <v>44</v>
      </c>
      <c r="BQ47" s="12"/>
      <c r="BR47" s="12">
        <f t="shared" si="6"/>
        <v>0</v>
      </c>
      <c r="BS47" s="12"/>
      <c r="BU47" s="11">
        <v>44</v>
      </c>
      <c r="BV47" s="12"/>
      <c r="BW47" s="12">
        <v>1</v>
      </c>
      <c r="BX47" s="12"/>
      <c r="BZ47" s="11">
        <v>44</v>
      </c>
      <c r="CA47" s="12"/>
      <c r="CC47" s="11">
        <v>44</v>
      </c>
      <c r="CD47" s="12"/>
    </row>
    <row r="48" spans="1:82">
      <c r="A48" s="20" t="s">
        <v>22</v>
      </c>
      <c r="B48" s="20">
        <v>7</v>
      </c>
      <c r="C48" s="5" t="s">
        <v>27</v>
      </c>
      <c r="D48" s="37">
        <f t="shared" si="8"/>
        <v>0</v>
      </c>
      <c r="E48" s="59">
        <f t="shared" si="9"/>
        <v>0</v>
      </c>
      <c r="F48" s="38">
        <f t="shared" si="7"/>
        <v>0</v>
      </c>
      <c r="R48" s="11">
        <v>45</v>
      </c>
      <c r="S48" s="12"/>
      <c r="T48" s="12">
        <v>5</v>
      </c>
      <c r="U48" s="12"/>
      <c r="W48" s="11">
        <v>45</v>
      </c>
      <c r="X48" s="12"/>
      <c r="Y48" s="12">
        <f t="shared" si="5"/>
        <v>3</v>
      </c>
      <c r="Z48" s="12"/>
      <c r="AB48" s="11">
        <v>45</v>
      </c>
      <c r="AC48" s="12"/>
      <c r="AD48" s="12">
        <v>1</v>
      </c>
      <c r="AE48" s="12"/>
      <c r="AG48" s="11">
        <v>45</v>
      </c>
      <c r="AH48" s="12"/>
      <c r="AI48" s="12">
        <v>1</v>
      </c>
      <c r="AJ48" s="12"/>
      <c r="AL48" s="11">
        <v>45</v>
      </c>
      <c r="AM48" s="12"/>
      <c r="AN48" s="12">
        <v>1</v>
      </c>
      <c r="AO48" s="12"/>
      <c r="AQ48" s="11">
        <v>45</v>
      </c>
      <c r="AR48" s="12"/>
      <c r="AS48" s="12"/>
      <c r="AT48" s="11">
        <v>45</v>
      </c>
      <c r="AU48" s="12"/>
      <c r="AW48" s="11">
        <v>45</v>
      </c>
      <c r="AX48" s="12"/>
      <c r="AY48" s="12"/>
      <c r="AZ48" s="12"/>
      <c r="BA48" s="12"/>
      <c r="BB48" s="12"/>
      <c r="BC48" s="12"/>
      <c r="BD48" s="12"/>
      <c r="BE48" s="12"/>
      <c r="BF48" s="24"/>
      <c r="BG48" s="29"/>
      <c r="BH48" s="12"/>
      <c r="BI48" s="12"/>
      <c r="BK48" s="11">
        <v>45</v>
      </c>
      <c r="BL48" s="12"/>
      <c r="BM48" s="12">
        <v>5</v>
      </c>
      <c r="BN48" s="12"/>
      <c r="BP48" s="11">
        <v>45</v>
      </c>
      <c r="BQ48" s="12"/>
      <c r="BR48" s="12">
        <f t="shared" si="6"/>
        <v>3</v>
      </c>
      <c r="BS48" s="12"/>
      <c r="BU48" s="11">
        <v>45</v>
      </c>
      <c r="BV48" s="12"/>
      <c r="BW48" s="12">
        <v>1</v>
      </c>
      <c r="BX48" s="12"/>
      <c r="BZ48" s="11">
        <v>45</v>
      </c>
      <c r="CA48" s="12"/>
      <c r="CC48" s="11">
        <v>45</v>
      </c>
      <c r="CD48" s="12"/>
    </row>
    <row r="49" spans="1:82">
      <c r="A49" s="20" t="s">
        <v>23</v>
      </c>
      <c r="B49" s="20">
        <v>8</v>
      </c>
      <c r="C49" s="5" t="s">
        <v>28</v>
      </c>
      <c r="D49" s="37">
        <f t="shared" si="8"/>
        <v>0</v>
      </c>
      <c r="E49" s="59">
        <f t="shared" si="9"/>
        <v>0</v>
      </c>
      <c r="F49" s="38">
        <f t="shared" si="7"/>
        <v>0</v>
      </c>
      <c r="R49" s="11">
        <v>46</v>
      </c>
      <c r="S49" s="12"/>
      <c r="T49" s="12" t="s">
        <v>15</v>
      </c>
      <c r="U49" s="12"/>
      <c r="W49" s="11">
        <v>46</v>
      </c>
      <c r="X49" s="12"/>
      <c r="Y49" s="12">
        <f t="shared" si="5"/>
        <v>0</v>
      </c>
      <c r="Z49" s="12"/>
      <c r="AB49" s="11">
        <v>46</v>
      </c>
      <c r="AC49" s="12"/>
      <c r="AD49" s="12">
        <v>1</v>
      </c>
      <c r="AE49" s="12"/>
      <c r="AG49" s="11">
        <v>46</v>
      </c>
      <c r="AH49" s="12"/>
      <c r="AI49" s="12">
        <v>1</v>
      </c>
      <c r="AJ49" s="12"/>
      <c r="AL49" s="11">
        <v>46</v>
      </c>
      <c r="AM49" s="12"/>
      <c r="AN49" s="12">
        <v>1</v>
      </c>
      <c r="AO49" s="12"/>
      <c r="AQ49" s="11">
        <v>46</v>
      </c>
      <c r="AR49" s="14"/>
      <c r="AS49" s="14"/>
      <c r="AT49" s="11">
        <v>46</v>
      </c>
      <c r="AU49" s="12"/>
      <c r="AW49" s="11">
        <v>46</v>
      </c>
      <c r="AX49" s="12"/>
      <c r="AY49" s="12"/>
      <c r="AZ49" s="12"/>
      <c r="BA49" s="12"/>
      <c r="BB49" s="12"/>
      <c r="BC49" s="12"/>
      <c r="BD49" s="12"/>
      <c r="BE49" s="12"/>
      <c r="BF49" s="24"/>
      <c r="BG49" s="29"/>
      <c r="BH49" s="12"/>
      <c r="BI49" s="12"/>
      <c r="BK49" s="11">
        <v>46</v>
      </c>
      <c r="BL49" s="12"/>
      <c r="BM49" s="12" t="s">
        <v>15</v>
      </c>
      <c r="BN49" s="12"/>
      <c r="BP49" s="11">
        <v>46</v>
      </c>
      <c r="BQ49" s="12"/>
      <c r="BR49" s="12">
        <f t="shared" si="6"/>
        <v>0</v>
      </c>
      <c r="BS49" s="12"/>
      <c r="BU49" s="11">
        <v>46</v>
      </c>
      <c r="BV49" s="12"/>
      <c r="BW49" s="12">
        <v>1</v>
      </c>
      <c r="BX49" s="12"/>
      <c r="BZ49" s="11">
        <v>46</v>
      </c>
      <c r="CA49" s="12"/>
      <c r="CC49" s="11">
        <v>46</v>
      </c>
      <c r="CD49" s="12"/>
    </row>
    <row r="50" spans="1:82">
      <c r="A50" s="20" t="s">
        <v>24</v>
      </c>
      <c r="B50" s="20">
        <v>9</v>
      </c>
      <c r="C50" s="5" t="s">
        <v>16</v>
      </c>
      <c r="D50" s="37">
        <f t="shared" si="8"/>
        <v>0</v>
      </c>
      <c r="E50" s="59">
        <f t="shared" si="9"/>
        <v>0</v>
      </c>
      <c r="F50" s="38">
        <f t="shared" si="7"/>
        <v>0</v>
      </c>
      <c r="R50" s="11">
        <v>47</v>
      </c>
      <c r="S50" s="12"/>
      <c r="T50" s="12">
        <v>10</v>
      </c>
      <c r="U50" s="12"/>
      <c r="W50" s="11">
        <v>47</v>
      </c>
      <c r="X50" s="12"/>
      <c r="Y50" s="12">
        <f t="shared" si="5"/>
        <v>4</v>
      </c>
      <c r="Z50" s="12"/>
      <c r="AB50" s="11">
        <v>47</v>
      </c>
      <c r="AC50" s="12"/>
      <c r="AD50" s="12">
        <v>1</v>
      </c>
      <c r="AE50" s="12"/>
      <c r="AG50" s="11">
        <v>47</v>
      </c>
      <c r="AH50" s="12"/>
      <c r="AI50" s="12">
        <v>1</v>
      </c>
      <c r="AJ50" s="12"/>
      <c r="AL50" s="11">
        <v>47</v>
      </c>
      <c r="AM50" s="12"/>
      <c r="AN50" s="12">
        <v>1</v>
      </c>
      <c r="AO50" s="12"/>
      <c r="AQ50" s="11">
        <v>47</v>
      </c>
      <c r="AR50" s="12"/>
      <c r="AS50" s="12"/>
      <c r="AT50" s="11">
        <v>47</v>
      </c>
      <c r="AU50" s="12"/>
      <c r="AW50" s="11">
        <v>47</v>
      </c>
      <c r="AX50" s="12"/>
      <c r="AY50" s="12"/>
      <c r="AZ50" s="12"/>
      <c r="BA50" s="12"/>
      <c r="BB50" s="12"/>
      <c r="BC50" s="12"/>
      <c r="BD50" s="12"/>
      <c r="BE50" s="12"/>
      <c r="BF50" s="24"/>
      <c r="BG50" s="29"/>
      <c r="BH50" s="12"/>
      <c r="BI50" s="12"/>
      <c r="BK50" s="11">
        <v>47</v>
      </c>
      <c r="BL50" s="12"/>
      <c r="BM50" s="12">
        <v>10</v>
      </c>
      <c r="BN50" s="12"/>
      <c r="BP50" s="11">
        <v>47</v>
      </c>
      <c r="BQ50" s="12"/>
      <c r="BR50" s="12">
        <f t="shared" si="6"/>
        <v>4</v>
      </c>
      <c r="BS50" s="12"/>
      <c r="BU50" s="11">
        <v>47</v>
      </c>
      <c r="BV50" s="12"/>
      <c r="BW50" s="12">
        <v>1</v>
      </c>
      <c r="BX50" s="12"/>
      <c r="BZ50" s="11">
        <v>47</v>
      </c>
      <c r="CA50" s="12"/>
      <c r="CC50" s="11">
        <v>47</v>
      </c>
      <c r="CD50" s="12"/>
    </row>
    <row r="51" spans="1:82">
      <c r="A51" s="21" t="s">
        <v>35</v>
      </c>
      <c r="B51" s="21">
        <v>10</v>
      </c>
      <c r="C51" s="5" t="s">
        <v>37</v>
      </c>
      <c r="D51" s="37">
        <f t="shared" si="8"/>
        <v>0</v>
      </c>
      <c r="E51" s="59">
        <f t="shared" si="9"/>
        <v>0</v>
      </c>
      <c r="F51" s="38">
        <f t="shared" si="7"/>
        <v>0</v>
      </c>
      <c r="R51" s="11">
        <v>48</v>
      </c>
      <c r="S51" s="12"/>
      <c r="T51" s="12" t="s">
        <v>15</v>
      </c>
      <c r="U51" s="12"/>
      <c r="W51" s="11">
        <v>48</v>
      </c>
      <c r="X51" s="12"/>
      <c r="Y51" s="12">
        <f t="shared" si="5"/>
        <v>0</v>
      </c>
      <c r="Z51" s="12"/>
      <c r="AB51" s="11">
        <v>48</v>
      </c>
      <c r="AC51" s="12"/>
      <c r="AD51" s="12">
        <v>1</v>
      </c>
      <c r="AE51" s="12"/>
      <c r="AG51" s="11">
        <v>48</v>
      </c>
      <c r="AH51" s="12"/>
      <c r="AI51" s="12">
        <v>1</v>
      </c>
      <c r="AJ51" s="12"/>
      <c r="AL51" s="11">
        <v>48</v>
      </c>
      <c r="AM51" s="12"/>
      <c r="AN51" s="12">
        <v>1</v>
      </c>
      <c r="AO51" s="12"/>
      <c r="AQ51" s="11">
        <v>48</v>
      </c>
      <c r="AR51" s="12"/>
      <c r="AS51" s="12"/>
      <c r="AT51" s="11">
        <v>48</v>
      </c>
      <c r="AU51" s="12"/>
      <c r="AW51" s="11">
        <v>48</v>
      </c>
      <c r="AX51" s="12"/>
      <c r="AY51" s="12"/>
      <c r="AZ51" s="12"/>
      <c r="BA51" s="12"/>
      <c r="BB51" s="12"/>
      <c r="BC51" s="12"/>
      <c r="BD51" s="12"/>
      <c r="BE51" s="12"/>
      <c r="BF51" s="24"/>
      <c r="BG51" s="29"/>
      <c r="BH51" s="12"/>
      <c r="BI51" s="12"/>
      <c r="BK51" s="11">
        <v>48</v>
      </c>
      <c r="BL51" s="12"/>
      <c r="BM51" s="12" t="s">
        <v>15</v>
      </c>
      <c r="BN51" s="12"/>
      <c r="BP51" s="11">
        <v>48</v>
      </c>
      <c r="BQ51" s="12"/>
      <c r="BR51" s="12">
        <f t="shared" si="6"/>
        <v>0</v>
      </c>
      <c r="BS51" s="12"/>
      <c r="BU51" s="11">
        <v>48</v>
      </c>
      <c r="BV51" s="12"/>
      <c r="BW51" s="12">
        <v>1</v>
      </c>
      <c r="BX51" s="12"/>
      <c r="BZ51" s="11">
        <v>48</v>
      </c>
      <c r="CA51" s="12"/>
      <c r="CC51" s="11">
        <v>48</v>
      </c>
      <c r="CD51" s="12"/>
    </row>
    <row r="52" spans="1:82">
      <c r="A52" s="22" t="s">
        <v>39</v>
      </c>
      <c r="B52" s="22">
        <v>11</v>
      </c>
      <c r="C52" s="17" t="s">
        <v>38</v>
      </c>
      <c r="D52" s="60">
        <f t="shared" si="8"/>
        <v>0</v>
      </c>
      <c r="E52" s="39">
        <f t="shared" si="9"/>
        <v>0</v>
      </c>
      <c r="F52" s="40">
        <f t="shared" si="7"/>
        <v>0</v>
      </c>
      <c r="R52" s="11">
        <v>49</v>
      </c>
      <c r="S52" s="12"/>
      <c r="T52" s="12" t="s">
        <v>18</v>
      </c>
      <c r="U52" s="12"/>
      <c r="W52" s="11">
        <v>49</v>
      </c>
      <c r="X52" s="12"/>
      <c r="Y52" s="12">
        <f t="shared" si="5"/>
        <v>5</v>
      </c>
      <c r="Z52" s="12"/>
      <c r="AB52" s="11">
        <v>49</v>
      </c>
      <c r="AC52" s="12"/>
      <c r="AD52" s="12">
        <v>1</v>
      </c>
      <c r="AE52" s="12"/>
      <c r="AG52" s="11">
        <v>49</v>
      </c>
      <c r="AH52" s="12"/>
      <c r="AI52" s="12">
        <v>1</v>
      </c>
      <c r="AJ52" s="12"/>
      <c r="AL52" s="11">
        <v>49</v>
      </c>
      <c r="AM52" s="12"/>
      <c r="AN52" s="12">
        <v>1</v>
      </c>
      <c r="AO52" s="12"/>
      <c r="AQ52" s="11">
        <v>49</v>
      </c>
      <c r="AR52" s="12"/>
      <c r="AS52" s="12"/>
      <c r="AT52" s="11">
        <v>49</v>
      </c>
      <c r="AU52" s="12"/>
      <c r="AW52" s="11">
        <v>49</v>
      </c>
      <c r="AX52" s="12"/>
      <c r="AY52" s="12"/>
      <c r="AZ52" s="12"/>
      <c r="BA52" s="12"/>
      <c r="BB52" s="12"/>
      <c r="BC52" s="12"/>
      <c r="BD52" s="12"/>
      <c r="BE52" s="12"/>
      <c r="BF52" s="24"/>
      <c r="BG52" s="29"/>
      <c r="BH52" s="12"/>
      <c r="BI52" s="12"/>
      <c r="BK52" s="11">
        <v>49</v>
      </c>
      <c r="BL52" s="12"/>
      <c r="BM52" s="12" t="s">
        <v>18</v>
      </c>
      <c r="BN52" s="12"/>
      <c r="BP52" s="11">
        <v>49</v>
      </c>
      <c r="BQ52" s="12"/>
      <c r="BR52" s="12">
        <f t="shared" si="6"/>
        <v>5</v>
      </c>
      <c r="BS52" s="12"/>
      <c r="BU52" s="11">
        <v>49</v>
      </c>
      <c r="BV52" s="12"/>
      <c r="BW52" s="12">
        <v>1</v>
      </c>
      <c r="BX52" s="12"/>
      <c r="BZ52" s="11">
        <v>49</v>
      </c>
      <c r="CA52" s="12"/>
      <c r="CC52" s="11">
        <v>49</v>
      </c>
      <c r="CD52" s="12"/>
    </row>
    <row r="53" spans="1:82">
      <c r="D53" s="121">
        <f>SUM(D41:D52)</f>
        <v>36</v>
      </c>
      <c r="E53" s="121">
        <f>SUM(E41:E52)</f>
        <v>50</v>
      </c>
      <c r="F53" s="121">
        <f>SUM(F41:F52)</f>
        <v>36</v>
      </c>
      <c r="R53" s="11">
        <v>50</v>
      </c>
      <c r="S53" s="12"/>
      <c r="T53" s="12"/>
      <c r="U53" s="12"/>
      <c r="W53" s="11">
        <v>50</v>
      </c>
      <c r="X53" s="12"/>
      <c r="Y53" s="12"/>
      <c r="Z53" s="12"/>
      <c r="AB53" s="11">
        <v>50</v>
      </c>
      <c r="AC53" s="12"/>
      <c r="AD53" s="12"/>
      <c r="AE53" s="12"/>
      <c r="AG53" s="11">
        <v>50</v>
      </c>
      <c r="AH53" s="12"/>
      <c r="AI53" s="12"/>
      <c r="AJ53" s="12"/>
      <c r="AL53" s="11">
        <v>50</v>
      </c>
      <c r="AM53" s="12"/>
      <c r="AN53" s="12"/>
      <c r="AO53" s="12"/>
      <c r="AQ53" s="11">
        <v>50</v>
      </c>
      <c r="AR53" s="12"/>
      <c r="AS53" s="12"/>
      <c r="AT53" s="11">
        <v>50</v>
      </c>
      <c r="AU53" s="12"/>
      <c r="AW53" s="11">
        <v>50</v>
      </c>
      <c r="AX53" s="12"/>
      <c r="AY53" s="12"/>
      <c r="AZ53" s="12"/>
      <c r="BA53" s="12"/>
      <c r="BB53" s="12"/>
      <c r="BC53" s="12"/>
      <c r="BD53" s="12"/>
      <c r="BE53" s="12"/>
      <c r="BF53" s="24"/>
      <c r="BG53" s="29"/>
      <c r="BH53" s="12"/>
      <c r="BI53" s="12"/>
      <c r="BK53" s="11">
        <v>50</v>
      </c>
      <c r="BL53" s="12"/>
      <c r="BM53" s="12"/>
      <c r="BN53" s="12"/>
      <c r="BP53" s="11">
        <v>50</v>
      </c>
      <c r="BQ53" s="12"/>
      <c r="BR53" s="12"/>
      <c r="BS53" s="12"/>
      <c r="BU53" s="11">
        <v>50</v>
      </c>
      <c r="BV53" s="12"/>
      <c r="BW53" s="12"/>
      <c r="BX53" s="12"/>
      <c r="BZ53" s="11">
        <v>50</v>
      </c>
      <c r="CA53" s="12"/>
      <c r="CC53" s="11">
        <v>50</v>
      </c>
      <c r="CD53" s="12"/>
    </row>
    <row r="54" spans="1:82">
      <c r="R54" s="11">
        <v>51</v>
      </c>
      <c r="S54" s="12"/>
      <c r="T54" s="12"/>
      <c r="U54" s="12"/>
      <c r="W54" s="11">
        <v>51</v>
      </c>
      <c r="X54" s="12"/>
      <c r="Y54" s="12"/>
      <c r="Z54" s="12"/>
      <c r="AB54" s="11">
        <v>51</v>
      </c>
      <c r="AC54" s="12"/>
      <c r="AD54" s="12"/>
      <c r="AE54" s="12"/>
      <c r="AG54" s="11">
        <v>51</v>
      </c>
      <c r="AH54" s="12"/>
      <c r="AI54" s="12"/>
      <c r="AJ54" s="12"/>
      <c r="AL54" s="11">
        <v>51</v>
      </c>
      <c r="AM54" s="12"/>
      <c r="AN54" s="12"/>
      <c r="AO54" s="12"/>
      <c r="AQ54" s="11">
        <v>51</v>
      </c>
      <c r="AR54" s="12"/>
      <c r="AS54" s="12"/>
      <c r="AT54" s="11">
        <v>51</v>
      </c>
      <c r="AU54" s="12"/>
      <c r="AW54" s="11">
        <v>51</v>
      </c>
      <c r="AX54" s="12"/>
      <c r="AY54" s="12"/>
      <c r="AZ54" s="12"/>
      <c r="BA54" s="12"/>
      <c r="BB54" s="12"/>
      <c r="BC54" s="12"/>
      <c r="BD54" s="12"/>
      <c r="BE54" s="12"/>
      <c r="BF54" s="24"/>
      <c r="BG54" s="29"/>
      <c r="BH54" s="12"/>
      <c r="BI54" s="12"/>
      <c r="BK54" s="11">
        <v>51</v>
      </c>
      <c r="BL54" s="12"/>
      <c r="BM54" s="12"/>
      <c r="BN54" s="12"/>
      <c r="BP54" s="11">
        <v>51</v>
      </c>
      <c r="BQ54" s="12"/>
      <c r="BR54" s="12"/>
      <c r="BS54" s="12"/>
      <c r="BU54" s="11">
        <v>51</v>
      </c>
      <c r="BV54" s="12"/>
      <c r="BW54" s="12"/>
      <c r="BX54" s="12"/>
      <c r="BZ54" s="11">
        <v>51</v>
      </c>
      <c r="CA54" s="12"/>
      <c r="CC54" s="11">
        <v>51</v>
      </c>
      <c r="CD54" s="12"/>
    </row>
    <row r="55" spans="1:82" ht="16.8" thickBot="1">
      <c r="A55" s="31" t="s">
        <v>47</v>
      </c>
      <c r="R55" s="11">
        <v>52</v>
      </c>
      <c r="S55" s="12"/>
      <c r="T55" s="12"/>
      <c r="U55" s="12"/>
      <c r="W55" s="11">
        <v>52</v>
      </c>
      <c r="X55" s="12"/>
      <c r="Y55" s="12"/>
      <c r="Z55" s="12"/>
      <c r="AB55" s="11">
        <v>52</v>
      </c>
      <c r="AC55" s="12"/>
      <c r="AD55" s="12"/>
      <c r="AE55" s="12"/>
      <c r="AG55" s="11">
        <v>52</v>
      </c>
      <c r="AH55" s="12"/>
      <c r="AI55" s="12"/>
      <c r="AJ55" s="12"/>
      <c r="AL55" s="11">
        <v>52</v>
      </c>
      <c r="AM55" s="12"/>
      <c r="AN55" s="12"/>
      <c r="AO55" s="12"/>
      <c r="AQ55" s="11">
        <v>52</v>
      </c>
      <c r="AR55" s="12"/>
      <c r="AS55" s="12"/>
      <c r="AT55" s="11">
        <v>52</v>
      </c>
      <c r="AU55" s="12"/>
      <c r="AW55" s="11">
        <v>52</v>
      </c>
      <c r="AX55" s="12"/>
      <c r="AY55" s="12"/>
      <c r="AZ55" s="12"/>
      <c r="BA55" s="12"/>
      <c r="BB55" s="12"/>
      <c r="BC55" s="12"/>
      <c r="BD55" s="12"/>
      <c r="BE55" s="12"/>
      <c r="BF55" s="24"/>
      <c r="BG55" s="29"/>
      <c r="BH55" s="12"/>
      <c r="BI55" s="12"/>
      <c r="BK55" s="11">
        <v>52</v>
      </c>
      <c r="BL55" s="12"/>
      <c r="BM55" s="12"/>
      <c r="BN55" s="12"/>
      <c r="BP55" s="11">
        <v>52</v>
      </c>
      <c r="BQ55" s="12"/>
      <c r="BR55" s="12"/>
      <c r="BS55" s="12"/>
      <c r="BU55" s="11">
        <v>52</v>
      </c>
      <c r="BV55" s="12"/>
      <c r="BW55" s="12"/>
      <c r="BX55" s="12"/>
      <c r="BZ55" s="11">
        <v>52</v>
      </c>
      <c r="CA55" s="12"/>
      <c r="CC55" s="11">
        <v>52</v>
      </c>
      <c r="CD55" s="12"/>
    </row>
    <row r="56" spans="1:82">
      <c r="A56" s="30" t="s">
        <v>42</v>
      </c>
      <c r="B56" s="1" t="s">
        <v>10</v>
      </c>
      <c r="C56" s="42" t="s">
        <v>11</v>
      </c>
      <c r="D56" s="67" t="s">
        <v>56</v>
      </c>
      <c r="E56" s="52" t="s">
        <v>48</v>
      </c>
      <c r="F56" s="43" t="s">
        <v>49</v>
      </c>
      <c r="G56" s="44" t="s">
        <v>50</v>
      </c>
      <c r="H56" s="44" t="s">
        <v>51</v>
      </c>
      <c r="I56" s="44" t="s">
        <v>52</v>
      </c>
      <c r="J56" s="44" t="s">
        <v>53</v>
      </c>
      <c r="K56" s="44" t="s">
        <v>54</v>
      </c>
      <c r="L56" s="44" t="s">
        <v>55</v>
      </c>
      <c r="M56" s="45" t="s">
        <v>74</v>
      </c>
      <c r="N56" s="35" t="s">
        <v>75</v>
      </c>
      <c r="O56" s="36" t="s">
        <v>76</v>
      </c>
      <c r="R56" s="11">
        <v>53</v>
      </c>
      <c r="S56" s="12"/>
      <c r="T56" s="12"/>
      <c r="U56" s="12"/>
      <c r="W56" s="11">
        <v>53</v>
      </c>
      <c r="X56" s="12"/>
      <c r="Y56" s="12"/>
      <c r="Z56" s="12"/>
      <c r="AB56" s="11">
        <v>53</v>
      </c>
      <c r="AC56" s="12"/>
      <c r="AD56" s="12"/>
      <c r="AE56" s="12"/>
      <c r="AG56" s="11">
        <v>53</v>
      </c>
      <c r="AH56" s="12"/>
      <c r="AI56" s="12"/>
      <c r="AJ56" s="12"/>
      <c r="AL56" s="11">
        <v>53</v>
      </c>
      <c r="AM56" s="12"/>
      <c r="AN56" s="12"/>
      <c r="AO56" s="12"/>
      <c r="AQ56" s="11">
        <v>53</v>
      </c>
      <c r="AR56" s="12"/>
      <c r="AS56" s="12"/>
      <c r="AT56" s="11">
        <v>53</v>
      </c>
      <c r="AU56" s="12"/>
      <c r="AW56" s="11">
        <v>53</v>
      </c>
      <c r="AX56" s="12"/>
      <c r="AY56" s="12"/>
      <c r="AZ56" s="12"/>
      <c r="BA56" s="12"/>
      <c r="BB56" s="12"/>
      <c r="BC56" s="12"/>
      <c r="BD56" s="12"/>
      <c r="BE56" s="12"/>
      <c r="BF56" s="24"/>
      <c r="BG56" s="29"/>
      <c r="BH56" s="12"/>
      <c r="BI56" s="12"/>
      <c r="BK56" s="11">
        <v>53</v>
      </c>
      <c r="BL56" s="12"/>
      <c r="BM56" s="12"/>
      <c r="BN56" s="12"/>
      <c r="BP56" s="11">
        <v>53</v>
      </c>
      <c r="BQ56" s="12"/>
      <c r="BR56" s="12"/>
      <c r="BS56" s="12"/>
      <c r="BU56" s="11">
        <v>53</v>
      </c>
      <c r="BV56" s="12"/>
      <c r="BW56" s="12"/>
      <c r="BX56" s="12"/>
      <c r="BZ56" s="11">
        <v>53</v>
      </c>
      <c r="CA56" s="12"/>
      <c r="CC56" s="11">
        <v>53</v>
      </c>
      <c r="CD56" s="12"/>
    </row>
    <row r="57" spans="1:82">
      <c r="A57" s="1" t="s">
        <v>19</v>
      </c>
      <c r="B57" s="1">
        <v>0</v>
      </c>
      <c r="C57" s="3" t="s">
        <v>25</v>
      </c>
      <c r="D57" s="53">
        <f t="shared" ref="D57:O68" si="10">SUMIF($AR$3:$AR$42,$A57,AX$3:AX$42)</f>
        <v>20</v>
      </c>
      <c r="E57" s="122">
        <f t="shared" si="10"/>
        <v>20</v>
      </c>
      <c r="F57" s="122">
        <f t="shared" si="10"/>
        <v>20</v>
      </c>
      <c r="G57" s="3">
        <f t="shared" si="10"/>
        <v>20</v>
      </c>
      <c r="H57" s="122">
        <f t="shared" si="10"/>
        <v>20</v>
      </c>
      <c r="I57" s="122">
        <f t="shared" si="10"/>
        <v>20</v>
      </c>
      <c r="J57" s="122">
        <f t="shared" si="10"/>
        <v>20</v>
      </c>
      <c r="K57" s="122">
        <f t="shared" si="10"/>
        <v>20</v>
      </c>
      <c r="L57" s="122">
        <f t="shared" si="10"/>
        <v>20</v>
      </c>
      <c r="M57" s="46">
        <f t="shared" si="10"/>
        <v>20</v>
      </c>
      <c r="N57" s="122">
        <f t="shared" si="10"/>
        <v>20</v>
      </c>
      <c r="O57" s="4">
        <f t="shared" si="10"/>
        <v>20</v>
      </c>
      <c r="R57" s="11">
        <v>54</v>
      </c>
      <c r="S57" s="12"/>
      <c r="T57" s="12"/>
      <c r="U57" s="12"/>
      <c r="W57" s="11">
        <v>54</v>
      </c>
      <c r="X57" s="12"/>
      <c r="Y57" s="12"/>
      <c r="Z57" s="12"/>
      <c r="AB57" s="11">
        <v>54</v>
      </c>
      <c r="AC57" s="12"/>
      <c r="AD57" s="12"/>
      <c r="AE57" s="12"/>
      <c r="AG57" s="11">
        <v>54</v>
      </c>
      <c r="AH57" s="12"/>
      <c r="AI57" s="12"/>
      <c r="AJ57" s="12"/>
      <c r="AL57" s="11">
        <v>54</v>
      </c>
      <c r="AM57" s="12"/>
      <c r="AN57" s="12"/>
      <c r="AO57" s="12"/>
      <c r="AQ57" s="11">
        <v>54</v>
      </c>
      <c r="AR57" s="12"/>
      <c r="AS57" s="12"/>
      <c r="AT57" s="11">
        <v>54</v>
      </c>
      <c r="AU57" s="12"/>
      <c r="AW57" s="11">
        <v>54</v>
      </c>
      <c r="AX57" s="12"/>
      <c r="AY57" s="12"/>
      <c r="AZ57" s="12"/>
      <c r="BA57" s="12"/>
      <c r="BB57" s="12"/>
      <c r="BC57" s="12"/>
      <c r="BD57" s="12"/>
      <c r="BE57" s="12"/>
      <c r="BF57" s="24"/>
      <c r="BG57" s="29"/>
      <c r="BH57" s="12"/>
      <c r="BI57" s="12"/>
      <c r="BK57" s="11">
        <v>54</v>
      </c>
      <c r="BL57" s="12"/>
      <c r="BM57" s="12"/>
      <c r="BN57" s="12"/>
      <c r="BP57" s="11">
        <v>54</v>
      </c>
      <c r="BQ57" s="12"/>
      <c r="BR57" s="12"/>
      <c r="BS57" s="12"/>
      <c r="BU57" s="11">
        <v>54</v>
      </c>
      <c r="BV57" s="12"/>
      <c r="BW57" s="12"/>
      <c r="BX57" s="12"/>
      <c r="BZ57" s="11">
        <v>54</v>
      </c>
      <c r="CA57" s="12"/>
      <c r="CC57" s="11">
        <v>54</v>
      </c>
      <c r="CD57" s="12"/>
    </row>
    <row r="58" spans="1:82">
      <c r="A58" s="20">
        <v>0</v>
      </c>
      <c r="B58" s="20">
        <v>1</v>
      </c>
      <c r="C58" s="5">
        <v>0</v>
      </c>
      <c r="D58" s="54">
        <f t="shared" si="10"/>
        <v>0</v>
      </c>
      <c r="E58" s="59">
        <f t="shared" si="10"/>
        <v>0</v>
      </c>
      <c r="F58" s="38">
        <f t="shared" si="10"/>
        <v>0</v>
      </c>
      <c r="G58" s="37">
        <f t="shared" si="10"/>
        <v>0</v>
      </c>
      <c r="H58" s="59">
        <f t="shared" si="10"/>
        <v>0</v>
      </c>
      <c r="I58" s="59">
        <f t="shared" si="10"/>
        <v>0</v>
      </c>
      <c r="J58" s="59">
        <f t="shared" si="10"/>
        <v>0</v>
      </c>
      <c r="K58" s="59">
        <f t="shared" si="10"/>
        <v>0</v>
      </c>
      <c r="L58" s="59">
        <f t="shared" si="10"/>
        <v>0</v>
      </c>
      <c r="M58" s="47">
        <f t="shared" si="10"/>
        <v>0</v>
      </c>
      <c r="N58" s="59">
        <f t="shared" si="10"/>
        <v>0</v>
      </c>
      <c r="O58" s="38">
        <f t="shared" si="10"/>
        <v>0</v>
      </c>
      <c r="R58" s="11">
        <v>55</v>
      </c>
      <c r="S58" s="12"/>
      <c r="T58" s="12"/>
      <c r="U58" s="12"/>
      <c r="W58" s="11">
        <v>55</v>
      </c>
      <c r="X58" s="12"/>
      <c r="Y58" s="12"/>
      <c r="Z58" s="12"/>
      <c r="AB58" s="11">
        <v>55</v>
      </c>
      <c r="AC58" s="12"/>
      <c r="AD58" s="12"/>
      <c r="AE58" s="12"/>
      <c r="AG58" s="11">
        <v>55</v>
      </c>
      <c r="AH58" s="12"/>
      <c r="AI58" s="12"/>
      <c r="AJ58" s="12"/>
      <c r="AL58" s="11">
        <v>55</v>
      </c>
      <c r="AM58" s="12"/>
      <c r="AN58" s="12"/>
      <c r="AO58" s="12"/>
      <c r="AQ58" s="11">
        <v>55</v>
      </c>
      <c r="AR58" s="12"/>
      <c r="AS58" s="12"/>
      <c r="AT58" s="11">
        <v>55</v>
      </c>
      <c r="AU58" s="12"/>
      <c r="AW58" s="11">
        <v>55</v>
      </c>
      <c r="AX58" s="12"/>
      <c r="AY58" s="12"/>
      <c r="AZ58" s="12"/>
      <c r="BA58" s="12"/>
      <c r="BB58" s="12"/>
      <c r="BC58" s="12"/>
      <c r="BD58" s="12"/>
      <c r="BE58" s="12"/>
      <c r="BF58" s="24"/>
      <c r="BG58" s="29"/>
      <c r="BH58" s="12"/>
      <c r="BI58" s="12"/>
      <c r="BK58" s="11">
        <v>55</v>
      </c>
      <c r="BL58" s="12"/>
      <c r="BM58" s="12"/>
      <c r="BN58" s="12"/>
      <c r="BP58" s="11">
        <v>55</v>
      </c>
      <c r="BQ58" s="12"/>
      <c r="BR58" s="12"/>
      <c r="BS58" s="12"/>
      <c r="BU58" s="11">
        <v>55</v>
      </c>
      <c r="BV58" s="12"/>
      <c r="BW58" s="12"/>
      <c r="BX58" s="12"/>
      <c r="BZ58" s="11">
        <v>55</v>
      </c>
      <c r="CA58" s="12"/>
      <c r="CC58" s="11">
        <v>55</v>
      </c>
      <c r="CD58" s="12"/>
    </row>
    <row r="59" spans="1:82">
      <c r="A59" s="20">
        <v>1</v>
      </c>
      <c r="B59" s="20">
        <v>2</v>
      </c>
      <c r="C59" s="5">
        <v>1</v>
      </c>
      <c r="D59" s="54">
        <f t="shared" si="10"/>
        <v>0</v>
      </c>
      <c r="E59" s="59">
        <f t="shared" si="10"/>
        <v>0</v>
      </c>
      <c r="F59" s="38">
        <f t="shared" si="10"/>
        <v>0</v>
      </c>
      <c r="G59" s="37">
        <f t="shared" si="10"/>
        <v>0</v>
      </c>
      <c r="H59" s="59">
        <f t="shared" si="10"/>
        <v>0</v>
      </c>
      <c r="I59" s="59">
        <f t="shared" si="10"/>
        <v>0</v>
      </c>
      <c r="J59" s="59">
        <f t="shared" si="10"/>
        <v>0</v>
      </c>
      <c r="K59" s="59">
        <f t="shared" si="10"/>
        <v>0</v>
      </c>
      <c r="L59" s="59">
        <f t="shared" si="10"/>
        <v>0</v>
      </c>
      <c r="M59" s="47">
        <f t="shared" si="10"/>
        <v>0</v>
      </c>
      <c r="N59" s="59">
        <f t="shared" si="10"/>
        <v>0</v>
      </c>
      <c r="O59" s="38">
        <f t="shared" si="10"/>
        <v>0</v>
      </c>
      <c r="R59" s="11">
        <v>56</v>
      </c>
      <c r="S59" s="12"/>
      <c r="T59" s="12"/>
      <c r="U59" s="12"/>
      <c r="W59" s="11">
        <v>56</v>
      </c>
      <c r="X59" s="12"/>
      <c r="Y59" s="12"/>
      <c r="Z59" s="12"/>
      <c r="AB59" s="11">
        <v>56</v>
      </c>
      <c r="AC59" s="12"/>
      <c r="AD59" s="12"/>
      <c r="AE59" s="12"/>
      <c r="AG59" s="11">
        <v>56</v>
      </c>
      <c r="AH59" s="12"/>
      <c r="AI59" s="12"/>
      <c r="AJ59" s="12"/>
      <c r="AL59" s="11">
        <v>56</v>
      </c>
      <c r="AM59" s="12"/>
      <c r="AN59" s="12"/>
      <c r="AO59" s="12"/>
      <c r="AQ59" s="11">
        <v>56</v>
      </c>
      <c r="AR59" s="12"/>
      <c r="AS59" s="12"/>
      <c r="AT59" s="11">
        <v>56</v>
      </c>
      <c r="AU59" s="12"/>
      <c r="AW59" s="11">
        <v>56</v>
      </c>
      <c r="AX59" s="12"/>
      <c r="AY59" s="12"/>
      <c r="AZ59" s="12"/>
      <c r="BA59" s="12"/>
      <c r="BB59" s="12"/>
      <c r="BC59" s="12"/>
      <c r="BD59" s="12"/>
      <c r="BE59" s="12"/>
      <c r="BF59" s="24"/>
      <c r="BG59" s="29"/>
      <c r="BH59" s="12"/>
      <c r="BI59" s="12"/>
      <c r="BK59" s="11">
        <v>56</v>
      </c>
      <c r="BL59" s="12"/>
      <c r="BM59" s="12"/>
      <c r="BN59" s="12"/>
      <c r="BP59" s="11">
        <v>56</v>
      </c>
      <c r="BQ59" s="12"/>
      <c r="BR59" s="12"/>
      <c r="BS59" s="12"/>
      <c r="BU59" s="11">
        <v>56</v>
      </c>
      <c r="BV59" s="12"/>
      <c r="BW59" s="12"/>
      <c r="BX59" s="12"/>
      <c r="BZ59" s="11">
        <v>56</v>
      </c>
      <c r="CA59" s="12"/>
      <c r="CC59" s="11">
        <v>56</v>
      </c>
      <c r="CD59" s="12"/>
    </row>
    <row r="60" spans="1:82">
      <c r="A60" s="21">
        <v>5</v>
      </c>
      <c r="B60" s="21">
        <v>3</v>
      </c>
      <c r="C60" s="23">
        <v>5</v>
      </c>
      <c r="D60" s="54">
        <f t="shared" si="10"/>
        <v>0</v>
      </c>
      <c r="E60" s="59">
        <f t="shared" si="10"/>
        <v>0</v>
      </c>
      <c r="F60" s="38">
        <f t="shared" si="10"/>
        <v>0</v>
      </c>
      <c r="G60" s="37">
        <f t="shared" si="10"/>
        <v>0</v>
      </c>
      <c r="H60" s="59">
        <f t="shared" si="10"/>
        <v>0</v>
      </c>
      <c r="I60" s="59">
        <f t="shared" si="10"/>
        <v>0</v>
      </c>
      <c r="J60" s="59">
        <f t="shared" si="10"/>
        <v>0</v>
      </c>
      <c r="K60" s="59">
        <f t="shared" si="10"/>
        <v>0</v>
      </c>
      <c r="L60" s="59">
        <f t="shared" si="10"/>
        <v>0</v>
      </c>
      <c r="M60" s="47">
        <f t="shared" si="10"/>
        <v>0</v>
      </c>
      <c r="N60" s="59">
        <f t="shared" si="10"/>
        <v>0</v>
      </c>
      <c r="O60" s="38">
        <f t="shared" si="10"/>
        <v>0</v>
      </c>
      <c r="R60" s="11">
        <v>57</v>
      </c>
      <c r="S60" s="12"/>
      <c r="T60" s="12"/>
      <c r="U60" s="12"/>
      <c r="W60" s="11">
        <v>57</v>
      </c>
      <c r="X60" s="12"/>
      <c r="Y60" s="12"/>
      <c r="Z60" s="12"/>
      <c r="AB60" s="11">
        <v>57</v>
      </c>
      <c r="AC60" s="12"/>
      <c r="AD60" s="12"/>
      <c r="AE60" s="12"/>
      <c r="AG60" s="11">
        <v>57</v>
      </c>
      <c r="AH60" s="12"/>
      <c r="AI60" s="12"/>
      <c r="AJ60" s="12"/>
      <c r="AL60" s="11">
        <v>57</v>
      </c>
      <c r="AM60" s="12"/>
      <c r="AN60" s="12"/>
      <c r="AO60" s="12"/>
      <c r="AQ60" s="11">
        <v>57</v>
      </c>
      <c r="AR60" s="12"/>
      <c r="AS60" s="12"/>
      <c r="AT60" s="11">
        <v>57</v>
      </c>
      <c r="AU60" s="12"/>
      <c r="AW60" s="11">
        <v>57</v>
      </c>
      <c r="AX60" s="12"/>
      <c r="AY60" s="12"/>
      <c r="AZ60" s="12"/>
      <c r="BA60" s="12"/>
      <c r="BB60" s="12"/>
      <c r="BC60" s="12"/>
      <c r="BD60" s="12"/>
      <c r="BE60" s="12"/>
      <c r="BF60" s="24"/>
      <c r="BG60" s="29"/>
      <c r="BH60" s="12"/>
      <c r="BI60" s="12"/>
      <c r="BK60" s="11">
        <v>57</v>
      </c>
      <c r="BL60" s="12"/>
      <c r="BM60" s="12"/>
      <c r="BN60" s="12"/>
      <c r="BP60" s="11">
        <v>57</v>
      </c>
      <c r="BQ60" s="12"/>
      <c r="BR60" s="12"/>
      <c r="BS60" s="12"/>
      <c r="BU60" s="11">
        <v>57</v>
      </c>
      <c r="BV60" s="12"/>
      <c r="BW60" s="12"/>
      <c r="BX60" s="12"/>
      <c r="BZ60" s="11">
        <v>57</v>
      </c>
      <c r="CA60" s="12"/>
      <c r="CC60" s="11">
        <v>57</v>
      </c>
      <c r="CD60" s="12"/>
    </row>
    <row r="61" spans="1:82">
      <c r="A61" s="21">
        <v>10</v>
      </c>
      <c r="B61" s="21">
        <v>4</v>
      </c>
      <c r="C61" s="23">
        <v>10</v>
      </c>
      <c r="D61" s="54">
        <f t="shared" si="10"/>
        <v>0</v>
      </c>
      <c r="E61" s="59">
        <f t="shared" si="10"/>
        <v>0</v>
      </c>
      <c r="F61" s="38">
        <f t="shared" si="10"/>
        <v>0</v>
      </c>
      <c r="G61" s="37">
        <f t="shared" si="10"/>
        <v>0</v>
      </c>
      <c r="H61" s="59">
        <f t="shared" si="10"/>
        <v>0</v>
      </c>
      <c r="I61" s="59">
        <f t="shared" si="10"/>
        <v>0</v>
      </c>
      <c r="J61" s="59">
        <f t="shared" si="10"/>
        <v>0</v>
      </c>
      <c r="K61" s="59">
        <f t="shared" si="10"/>
        <v>0</v>
      </c>
      <c r="L61" s="59">
        <f t="shared" si="10"/>
        <v>0</v>
      </c>
      <c r="M61" s="47">
        <f t="shared" si="10"/>
        <v>0</v>
      </c>
      <c r="N61" s="59">
        <f t="shared" si="10"/>
        <v>0</v>
      </c>
      <c r="O61" s="38">
        <f t="shared" si="10"/>
        <v>0</v>
      </c>
      <c r="R61" s="11">
        <v>58</v>
      </c>
      <c r="S61" s="12"/>
      <c r="T61" s="12"/>
      <c r="U61" s="12"/>
      <c r="W61" s="11">
        <v>58</v>
      </c>
      <c r="X61" s="12"/>
      <c r="Y61" s="12"/>
      <c r="Z61" s="12"/>
      <c r="AB61" s="11">
        <v>58</v>
      </c>
      <c r="AC61" s="12"/>
      <c r="AD61" s="12"/>
      <c r="AE61" s="12"/>
      <c r="AG61" s="11">
        <v>58</v>
      </c>
      <c r="AH61" s="12"/>
      <c r="AI61" s="12"/>
      <c r="AJ61" s="12"/>
      <c r="AL61" s="11">
        <v>58</v>
      </c>
      <c r="AM61" s="12"/>
      <c r="AN61" s="12"/>
      <c r="AO61" s="12"/>
      <c r="AQ61" s="11">
        <v>58</v>
      </c>
      <c r="AR61" s="12"/>
      <c r="AS61" s="12"/>
      <c r="AT61" s="11">
        <v>58</v>
      </c>
      <c r="AU61" s="12"/>
      <c r="AW61" s="11">
        <v>58</v>
      </c>
      <c r="AX61" s="12"/>
      <c r="AY61" s="12"/>
      <c r="AZ61" s="12"/>
      <c r="BA61" s="12"/>
      <c r="BB61" s="12"/>
      <c r="BC61" s="12"/>
      <c r="BD61" s="12"/>
      <c r="BE61" s="12"/>
      <c r="BF61" s="24"/>
      <c r="BG61" s="29"/>
      <c r="BH61" s="12"/>
      <c r="BI61" s="12"/>
      <c r="BK61" s="11">
        <v>58</v>
      </c>
      <c r="BL61" s="12"/>
      <c r="BM61" s="12"/>
      <c r="BN61" s="12"/>
      <c r="BP61" s="11">
        <v>58</v>
      </c>
      <c r="BQ61" s="12"/>
      <c r="BR61" s="12"/>
      <c r="BS61" s="12"/>
      <c r="BU61" s="11">
        <v>58</v>
      </c>
      <c r="BV61" s="12"/>
      <c r="BW61" s="12"/>
      <c r="BX61" s="12"/>
      <c r="BZ61" s="11">
        <v>58</v>
      </c>
      <c r="CA61" s="12"/>
      <c r="CC61" s="11">
        <v>58</v>
      </c>
      <c r="CD61" s="12"/>
    </row>
    <row r="62" spans="1:82">
      <c r="A62" s="20" t="s">
        <v>20</v>
      </c>
      <c r="B62" s="20">
        <v>5</v>
      </c>
      <c r="C62" s="23" t="s">
        <v>29</v>
      </c>
      <c r="D62" s="54">
        <f t="shared" si="10"/>
        <v>0</v>
      </c>
      <c r="E62" s="59">
        <f t="shared" si="10"/>
        <v>0</v>
      </c>
      <c r="F62" s="38">
        <f t="shared" si="10"/>
        <v>0</v>
      </c>
      <c r="G62" s="37">
        <f t="shared" si="10"/>
        <v>0</v>
      </c>
      <c r="H62" s="59">
        <f t="shared" si="10"/>
        <v>0</v>
      </c>
      <c r="I62" s="59">
        <f t="shared" si="10"/>
        <v>0</v>
      </c>
      <c r="J62" s="59">
        <f t="shared" si="10"/>
        <v>0</v>
      </c>
      <c r="K62" s="59">
        <f t="shared" si="10"/>
        <v>0</v>
      </c>
      <c r="L62" s="59">
        <f t="shared" si="10"/>
        <v>0</v>
      </c>
      <c r="M62" s="47">
        <f t="shared" si="10"/>
        <v>0</v>
      </c>
      <c r="N62" s="59">
        <f t="shared" si="10"/>
        <v>0</v>
      </c>
      <c r="O62" s="38">
        <f t="shared" si="10"/>
        <v>0</v>
      </c>
      <c r="R62" s="11">
        <v>59</v>
      </c>
      <c r="S62" s="12"/>
      <c r="T62" s="12"/>
      <c r="U62" s="12"/>
      <c r="W62" s="11">
        <v>59</v>
      </c>
      <c r="X62" s="12"/>
      <c r="Y62" s="12"/>
      <c r="Z62" s="12"/>
      <c r="AB62" s="11">
        <v>59</v>
      </c>
      <c r="AC62" s="12"/>
      <c r="AD62" s="12"/>
      <c r="AE62" s="12"/>
      <c r="AG62" s="11">
        <v>59</v>
      </c>
      <c r="AH62" s="12"/>
      <c r="AI62" s="12"/>
      <c r="AJ62" s="12"/>
      <c r="AL62" s="11">
        <v>59</v>
      </c>
      <c r="AM62" s="12"/>
      <c r="AN62" s="12"/>
      <c r="AO62" s="12"/>
      <c r="AQ62" s="11">
        <v>59</v>
      </c>
      <c r="AR62" s="12"/>
      <c r="AS62" s="12"/>
      <c r="AT62" s="11">
        <v>59</v>
      </c>
      <c r="AU62" s="12"/>
      <c r="AW62" s="11">
        <v>59</v>
      </c>
      <c r="AX62" s="12"/>
      <c r="AY62" s="12"/>
      <c r="AZ62" s="12"/>
      <c r="BA62" s="12"/>
      <c r="BB62" s="12"/>
      <c r="BC62" s="12"/>
      <c r="BD62" s="12"/>
      <c r="BE62" s="12"/>
      <c r="BF62" s="24"/>
      <c r="BG62" s="29"/>
      <c r="BH62" s="12"/>
      <c r="BI62" s="12"/>
      <c r="BK62" s="11">
        <v>59</v>
      </c>
      <c r="BL62" s="12"/>
      <c r="BM62" s="12"/>
      <c r="BN62" s="12"/>
      <c r="BP62" s="11">
        <v>59</v>
      </c>
      <c r="BQ62" s="12"/>
      <c r="BR62" s="12"/>
      <c r="BS62" s="12"/>
      <c r="BU62" s="11">
        <v>59</v>
      </c>
      <c r="BV62" s="12"/>
      <c r="BW62" s="12"/>
      <c r="BX62" s="12"/>
      <c r="BZ62" s="11">
        <v>59</v>
      </c>
      <c r="CA62" s="12"/>
      <c r="CC62" s="11">
        <v>59</v>
      </c>
      <c r="CD62" s="12"/>
    </row>
    <row r="63" spans="1:82">
      <c r="A63" s="21" t="s">
        <v>21</v>
      </c>
      <c r="B63" s="21">
        <v>6</v>
      </c>
      <c r="C63" s="23" t="s">
        <v>26</v>
      </c>
      <c r="D63" s="55">
        <f t="shared" si="10"/>
        <v>4</v>
      </c>
      <c r="E63" s="121">
        <f t="shared" si="10"/>
        <v>4</v>
      </c>
      <c r="F63" s="7">
        <f t="shared" si="10"/>
        <v>4</v>
      </c>
      <c r="G63" s="6">
        <f t="shared" si="10"/>
        <v>4</v>
      </c>
      <c r="H63" s="121">
        <f t="shared" si="10"/>
        <v>4</v>
      </c>
      <c r="I63" s="121">
        <f t="shared" si="10"/>
        <v>4</v>
      </c>
      <c r="J63" s="121">
        <f t="shared" si="10"/>
        <v>4</v>
      </c>
      <c r="K63" s="121">
        <f t="shared" si="10"/>
        <v>4</v>
      </c>
      <c r="L63" s="121">
        <f t="shared" si="10"/>
        <v>4</v>
      </c>
      <c r="M63" s="48">
        <f t="shared" si="10"/>
        <v>4</v>
      </c>
      <c r="N63" s="121">
        <f t="shared" si="10"/>
        <v>4</v>
      </c>
      <c r="O63" s="7">
        <f t="shared" si="10"/>
        <v>4</v>
      </c>
      <c r="R63" s="11">
        <v>60</v>
      </c>
      <c r="S63" s="12"/>
      <c r="T63" s="12"/>
      <c r="U63" s="12"/>
      <c r="W63" s="11">
        <v>60</v>
      </c>
      <c r="X63" s="12"/>
      <c r="Y63" s="12"/>
      <c r="Z63" s="12"/>
      <c r="AB63" s="11">
        <v>60</v>
      </c>
      <c r="AC63" s="12"/>
      <c r="AD63" s="12"/>
      <c r="AE63" s="12"/>
      <c r="AG63" s="11">
        <v>60</v>
      </c>
      <c r="AH63" s="12"/>
      <c r="AI63" s="12"/>
      <c r="AJ63" s="12"/>
      <c r="AL63" s="11">
        <v>60</v>
      </c>
      <c r="AM63" s="12"/>
      <c r="AN63" s="12"/>
      <c r="AO63" s="12"/>
      <c r="AQ63" s="11">
        <v>60</v>
      </c>
      <c r="AR63" s="13"/>
      <c r="AS63" s="13"/>
      <c r="AT63" s="11">
        <v>60</v>
      </c>
      <c r="AU63" s="12"/>
      <c r="AW63" s="11">
        <v>60</v>
      </c>
      <c r="AX63" s="12"/>
      <c r="AY63" s="12"/>
      <c r="AZ63" s="12"/>
      <c r="BA63" s="12"/>
      <c r="BB63" s="12"/>
      <c r="BC63" s="12"/>
      <c r="BD63" s="12"/>
      <c r="BE63" s="12"/>
      <c r="BF63" s="24"/>
      <c r="BG63" s="29"/>
      <c r="BH63" s="12"/>
      <c r="BI63" s="12"/>
      <c r="BK63" s="11">
        <v>60</v>
      </c>
      <c r="BL63" s="12"/>
      <c r="BM63" s="12"/>
      <c r="BN63" s="12"/>
      <c r="BP63" s="11">
        <v>60</v>
      </c>
      <c r="BQ63" s="12"/>
      <c r="BR63" s="12"/>
      <c r="BS63" s="12"/>
      <c r="BU63" s="11">
        <v>60</v>
      </c>
      <c r="BV63" s="12"/>
      <c r="BW63" s="12"/>
      <c r="BX63" s="12"/>
      <c r="BZ63" s="11">
        <v>60</v>
      </c>
      <c r="CA63" s="12"/>
      <c r="CC63" s="11">
        <v>60</v>
      </c>
      <c r="CD63" s="12"/>
    </row>
    <row r="64" spans="1:82">
      <c r="A64" s="20" t="s">
        <v>22</v>
      </c>
      <c r="B64" s="20">
        <v>7</v>
      </c>
      <c r="C64" s="5" t="s">
        <v>27</v>
      </c>
      <c r="D64" s="55">
        <f t="shared" si="10"/>
        <v>4</v>
      </c>
      <c r="E64" s="121">
        <f t="shared" si="10"/>
        <v>4</v>
      </c>
      <c r="F64" s="7">
        <f t="shared" si="10"/>
        <v>4</v>
      </c>
      <c r="G64" s="6">
        <f t="shared" si="10"/>
        <v>4</v>
      </c>
      <c r="H64" s="121">
        <f t="shared" si="10"/>
        <v>4</v>
      </c>
      <c r="I64" s="121">
        <f t="shared" si="10"/>
        <v>4</v>
      </c>
      <c r="J64" s="121">
        <f t="shared" si="10"/>
        <v>4</v>
      </c>
      <c r="K64" s="121">
        <f t="shared" si="10"/>
        <v>4</v>
      </c>
      <c r="L64" s="121">
        <f t="shared" si="10"/>
        <v>4</v>
      </c>
      <c r="M64" s="48">
        <f t="shared" si="10"/>
        <v>4</v>
      </c>
      <c r="N64" s="121">
        <f t="shared" si="10"/>
        <v>4</v>
      </c>
      <c r="O64" s="7">
        <f t="shared" si="10"/>
        <v>4</v>
      </c>
      <c r="R64" s="11">
        <v>61</v>
      </c>
      <c r="S64" s="12"/>
      <c r="T64" s="13"/>
      <c r="U64" s="12"/>
      <c r="W64" s="11">
        <v>61</v>
      </c>
      <c r="X64" s="12"/>
      <c r="Y64" s="13"/>
      <c r="Z64" s="12"/>
      <c r="AB64" s="11">
        <v>61</v>
      </c>
      <c r="AC64" s="12"/>
      <c r="AD64" s="12"/>
      <c r="AE64" s="12"/>
      <c r="AG64" s="11">
        <v>61</v>
      </c>
      <c r="AH64" s="12"/>
      <c r="AI64" s="12"/>
      <c r="AJ64" s="12"/>
      <c r="AL64" s="11">
        <v>61</v>
      </c>
      <c r="AM64" s="12"/>
      <c r="AN64" s="12"/>
      <c r="AO64" s="12"/>
      <c r="AQ64" s="11">
        <v>61</v>
      </c>
      <c r="AR64" s="13"/>
      <c r="AS64" s="13"/>
      <c r="AT64" s="11">
        <v>61</v>
      </c>
      <c r="AU64" s="12"/>
      <c r="AW64" s="11">
        <v>61</v>
      </c>
      <c r="AX64" s="12"/>
      <c r="AY64" s="12"/>
      <c r="AZ64" s="12"/>
      <c r="BA64" s="12"/>
      <c r="BB64" s="12"/>
      <c r="BC64" s="12"/>
      <c r="BD64" s="12"/>
      <c r="BE64" s="12"/>
      <c r="BF64" s="24"/>
      <c r="BG64" s="29"/>
      <c r="BH64" s="12"/>
      <c r="BI64" s="12"/>
      <c r="BK64" s="11">
        <v>61</v>
      </c>
      <c r="BL64" s="12"/>
      <c r="BM64" s="13"/>
      <c r="BN64" s="12"/>
      <c r="BP64" s="11">
        <v>61</v>
      </c>
      <c r="BQ64" s="12"/>
      <c r="BR64" s="13"/>
      <c r="BS64" s="12"/>
      <c r="BU64" s="11">
        <v>61</v>
      </c>
      <c r="BV64" s="12"/>
      <c r="BW64" s="12"/>
      <c r="BX64" s="12"/>
      <c r="BZ64" s="11">
        <v>61</v>
      </c>
      <c r="CA64" s="12"/>
      <c r="CC64" s="11">
        <v>61</v>
      </c>
      <c r="CD64" s="12"/>
    </row>
    <row r="65" spans="1:82">
      <c r="A65" s="20" t="s">
        <v>23</v>
      </c>
      <c r="B65" s="20">
        <v>8</v>
      </c>
      <c r="C65" s="5" t="s">
        <v>28</v>
      </c>
      <c r="D65" s="55">
        <f t="shared" si="10"/>
        <v>4</v>
      </c>
      <c r="E65" s="121">
        <f t="shared" si="10"/>
        <v>4</v>
      </c>
      <c r="F65" s="7">
        <f t="shared" si="10"/>
        <v>4</v>
      </c>
      <c r="G65" s="6">
        <f t="shared" si="10"/>
        <v>4</v>
      </c>
      <c r="H65" s="121">
        <f t="shared" si="10"/>
        <v>4</v>
      </c>
      <c r="I65" s="121">
        <f t="shared" si="10"/>
        <v>4</v>
      </c>
      <c r="J65" s="121">
        <f t="shared" si="10"/>
        <v>4</v>
      </c>
      <c r="K65" s="121">
        <f t="shared" si="10"/>
        <v>4</v>
      </c>
      <c r="L65" s="121">
        <f t="shared" si="10"/>
        <v>4</v>
      </c>
      <c r="M65" s="48">
        <f t="shared" si="10"/>
        <v>4</v>
      </c>
      <c r="N65" s="121">
        <f t="shared" si="10"/>
        <v>4</v>
      </c>
      <c r="O65" s="7">
        <f t="shared" si="10"/>
        <v>4</v>
      </c>
      <c r="R65" s="11">
        <v>62</v>
      </c>
      <c r="S65" s="12"/>
      <c r="T65" s="13"/>
      <c r="U65" s="12"/>
      <c r="W65" s="11">
        <v>62</v>
      </c>
      <c r="X65" s="12"/>
      <c r="Y65" s="13"/>
      <c r="Z65" s="12"/>
      <c r="AB65" s="11">
        <v>62</v>
      </c>
      <c r="AC65" s="12"/>
      <c r="AD65" s="12"/>
      <c r="AE65" s="12"/>
      <c r="AG65" s="11">
        <v>62</v>
      </c>
      <c r="AH65" s="12"/>
      <c r="AI65" s="12"/>
      <c r="AJ65" s="12"/>
      <c r="AL65" s="11">
        <v>62</v>
      </c>
      <c r="AM65" s="12"/>
      <c r="AN65" s="12"/>
      <c r="AO65" s="12"/>
      <c r="AQ65" s="11">
        <v>62</v>
      </c>
      <c r="AR65" s="13"/>
      <c r="AS65" s="13"/>
      <c r="AT65" s="11">
        <v>62</v>
      </c>
      <c r="AU65" s="12"/>
      <c r="AW65" s="11">
        <v>62</v>
      </c>
      <c r="AX65" s="12"/>
      <c r="AY65" s="12"/>
      <c r="AZ65" s="12"/>
      <c r="BA65" s="12"/>
      <c r="BB65" s="12"/>
      <c r="BC65" s="12"/>
      <c r="BD65" s="12"/>
      <c r="BE65" s="12"/>
      <c r="BF65" s="24"/>
      <c r="BG65" s="29"/>
      <c r="BH65" s="12"/>
      <c r="BI65" s="12"/>
      <c r="BK65" s="11">
        <v>62</v>
      </c>
      <c r="BL65" s="12"/>
      <c r="BM65" s="13"/>
      <c r="BN65" s="12"/>
      <c r="BP65" s="11">
        <v>62</v>
      </c>
      <c r="BQ65" s="12"/>
      <c r="BR65" s="13"/>
      <c r="BS65" s="12"/>
      <c r="BU65" s="11">
        <v>62</v>
      </c>
      <c r="BV65" s="12"/>
      <c r="BW65" s="12"/>
      <c r="BX65" s="12"/>
      <c r="BZ65" s="11">
        <v>62</v>
      </c>
      <c r="CA65" s="12"/>
      <c r="CC65" s="11">
        <v>62</v>
      </c>
      <c r="CD65" s="12"/>
    </row>
    <row r="66" spans="1:82">
      <c r="A66" s="20" t="s">
        <v>24</v>
      </c>
      <c r="B66" s="20">
        <v>9</v>
      </c>
      <c r="C66" s="5" t="s">
        <v>16</v>
      </c>
      <c r="D66" s="55">
        <f t="shared" si="10"/>
        <v>4</v>
      </c>
      <c r="E66" s="121">
        <f t="shared" si="10"/>
        <v>4</v>
      </c>
      <c r="F66" s="7">
        <f t="shared" si="10"/>
        <v>4</v>
      </c>
      <c r="G66" s="6">
        <f t="shared" si="10"/>
        <v>4</v>
      </c>
      <c r="H66" s="121">
        <f t="shared" si="10"/>
        <v>4</v>
      </c>
      <c r="I66" s="121">
        <f t="shared" si="10"/>
        <v>4</v>
      </c>
      <c r="J66" s="121">
        <f t="shared" si="10"/>
        <v>4</v>
      </c>
      <c r="K66" s="121">
        <f t="shared" si="10"/>
        <v>4</v>
      </c>
      <c r="L66" s="121">
        <f t="shared" si="10"/>
        <v>4</v>
      </c>
      <c r="M66" s="48">
        <f t="shared" si="10"/>
        <v>4</v>
      </c>
      <c r="N66" s="121">
        <f t="shared" si="10"/>
        <v>4</v>
      </c>
      <c r="O66" s="7">
        <f t="shared" si="10"/>
        <v>4</v>
      </c>
      <c r="R66" s="11">
        <v>63</v>
      </c>
      <c r="S66" s="12"/>
      <c r="T66" s="13"/>
      <c r="U66" s="13"/>
      <c r="W66" s="11">
        <v>63</v>
      </c>
      <c r="X66" s="12"/>
      <c r="Y66" s="13"/>
      <c r="Z66" s="13"/>
      <c r="AB66" s="11">
        <v>63</v>
      </c>
      <c r="AC66" s="12"/>
      <c r="AD66" s="12"/>
      <c r="AE66" s="12"/>
      <c r="AG66" s="11">
        <v>63</v>
      </c>
      <c r="AH66" s="12"/>
      <c r="AI66" s="12"/>
      <c r="AJ66" s="12"/>
      <c r="AL66" s="11">
        <v>63</v>
      </c>
      <c r="AM66" s="12"/>
      <c r="AN66" s="12"/>
      <c r="AO66" s="12"/>
      <c r="AQ66" s="11">
        <v>63</v>
      </c>
      <c r="AR66" s="13"/>
      <c r="AS66" s="13"/>
      <c r="AT66" s="11">
        <v>63</v>
      </c>
      <c r="AU66" s="13"/>
      <c r="AW66" s="11">
        <v>63</v>
      </c>
      <c r="AX66" s="12"/>
      <c r="AY66" s="12"/>
      <c r="AZ66" s="12"/>
      <c r="BA66" s="12"/>
      <c r="BB66" s="12"/>
      <c r="BC66" s="12"/>
      <c r="BD66" s="12"/>
      <c r="BE66" s="12"/>
      <c r="BF66" s="24"/>
      <c r="BG66" s="29"/>
      <c r="BH66" s="12"/>
      <c r="BI66" s="12"/>
      <c r="BK66" s="11">
        <v>63</v>
      </c>
      <c r="BL66" s="12"/>
      <c r="BM66" s="13"/>
      <c r="BN66" s="13"/>
      <c r="BP66" s="11">
        <v>63</v>
      </c>
      <c r="BQ66" s="12"/>
      <c r="BR66" s="13"/>
      <c r="BS66" s="13"/>
      <c r="BU66" s="11">
        <v>63</v>
      </c>
      <c r="BV66" s="12"/>
      <c r="BW66" s="12"/>
      <c r="BX66" s="12"/>
      <c r="BZ66" s="11">
        <v>63</v>
      </c>
      <c r="CA66" s="12"/>
      <c r="CC66" s="11">
        <v>63</v>
      </c>
      <c r="CD66" s="12"/>
    </row>
    <row r="67" spans="1:82">
      <c r="A67" s="21" t="s">
        <v>35</v>
      </c>
      <c r="B67" s="21">
        <v>10</v>
      </c>
      <c r="C67" s="5" t="s">
        <v>37</v>
      </c>
      <c r="D67" s="55">
        <f t="shared" si="10"/>
        <v>0</v>
      </c>
      <c r="E67" s="121">
        <f t="shared" si="10"/>
        <v>0</v>
      </c>
      <c r="F67" s="7">
        <f t="shared" si="10"/>
        <v>0</v>
      </c>
      <c r="G67" s="6">
        <f t="shared" si="10"/>
        <v>0</v>
      </c>
      <c r="H67" s="121">
        <f t="shared" si="10"/>
        <v>0</v>
      </c>
      <c r="I67" s="121">
        <f t="shared" si="10"/>
        <v>0</v>
      </c>
      <c r="J67" s="121">
        <f t="shared" si="10"/>
        <v>0</v>
      </c>
      <c r="K67" s="121">
        <f t="shared" si="10"/>
        <v>0</v>
      </c>
      <c r="L67" s="121">
        <f t="shared" si="10"/>
        <v>0</v>
      </c>
      <c r="M67" s="48">
        <f t="shared" si="10"/>
        <v>0</v>
      </c>
      <c r="N67" s="121">
        <f t="shared" si="10"/>
        <v>0</v>
      </c>
      <c r="O67" s="7">
        <f t="shared" si="10"/>
        <v>0</v>
      </c>
      <c r="R67" s="11">
        <v>64</v>
      </c>
      <c r="S67" s="12"/>
      <c r="T67" s="13"/>
      <c r="U67" s="13"/>
      <c r="W67" s="11">
        <v>64</v>
      </c>
      <c r="X67" s="12"/>
      <c r="Y67" s="13"/>
      <c r="Z67" s="13"/>
      <c r="AB67" s="11">
        <v>64</v>
      </c>
      <c r="AC67" s="12"/>
      <c r="AD67" s="12"/>
      <c r="AE67" s="12"/>
      <c r="AG67" s="11">
        <v>64</v>
      </c>
      <c r="AH67" s="12"/>
      <c r="AI67" s="12"/>
      <c r="AJ67" s="12"/>
      <c r="AL67" s="11">
        <v>64</v>
      </c>
      <c r="AM67" s="12"/>
      <c r="AN67" s="12"/>
      <c r="AO67" s="12"/>
      <c r="AQ67" s="11">
        <v>64</v>
      </c>
      <c r="AR67" s="13"/>
      <c r="AS67" s="13"/>
      <c r="AT67" s="11">
        <v>64</v>
      </c>
      <c r="AU67" s="13"/>
      <c r="AW67" s="11">
        <v>64</v>
      </c>
      <c r="AX67" s="12"/>
      <c r="AY67" s="12"/>
      <c r="AZ67" s="12"/>
      <c r="BA67" s="12"/>
      <c r="BB67" s="12"/>
      <c r="BC67" s="12"/>
      <c r="BD67" s="12"/>
      <c r="BE67" s="12"/>
      <c r="BF67" s="24"/>
      <c r="BG67" s="29"/>
      <c r="BH67" s="12"/>
      <c r="BI67" s="12"/>
      <c r="BK67" s="11">
        <v>64</v>
      </c>
      <c r="BL67" s="12"/>
      <c r="BM67" s="13"/>
      <c r="BN67" s="13"/>
      <c r="BP67" s="11">
        <v>64</v>
      </c>
      <c r="BQ67" s="12"/>
      <c r="BR67" s="13"/>
      <c r="BS67" s="13"/>
      <c r="BU67" s="11">
        <v>64</v>
      </c>
      <c r="BV67" s="12"/>
      <c r="BW67" s="12"/>
      <c r="BX67" s="12"/>
      <c r="BZ67" s="11">
        <v>64</v>
      </c>
      <c r="CA67" s="12"/>
      <c r="CC67" s="11">
        <v>64</v>
      </c>
      <c r="CD67" s="12"/>
    </row>
    <row r="68" spans="1:82" ht="16.8" thickBot="1">
      <c r="A68" s="22" t="s">
        <v>39</v>
      </c>
      <c r="B68" s="22">
        <v>11</v>
      </c>
      <c r="C68" s="17" t="s">
        <v>38</v>
      </c>
      <c r="D68" s="56">
        <f t="shared" si="10"/>
        <v>4</v>
      </c>
      <c r="E68" s="50">
        <f t="shared" si="10"/>
        <v>4</v>
      </c>
      <c r="F68" s="57">
        <f t="shared" si="10"/>
        <v>4</v>
      </c>
      <c r="G68" s="49">
        <f t="shared" si="10"/>
        <v>4</v>
      </c>
      <c r="H68" s="50">
        <f t="shared" si="10"/>
        <v>4</v>
      </c>
      <c r="I68" s="50">
        <f t="shared" si="10"/>
        <v>4</v>
      </c>
      <c r="J68" s="50">
        <f t="shared" si="10"/>
        <v>4</v>
      </c>
      <c r="K68" s="50">
        <f t="shared" si="10"/>
        <v>4</v>
      </c>
      <c r="L68" s="50">
        <f t="shared" si="10"/>
        <v>4</v>
      </c>
      <c r="M68" s="51">
        <f t="shared" si="10"/>
        <v>4</v>
      </c>
      <c r="N68" s="39">
        <f t="shared" si="10"/>
        <v>4</v>
      </c>
      <c r="O68" s="40">
        <f t="shared" si="10"/>
        <v>4</v>
      </c>
      <c r="R68" s="11">
        <v>65</v>
      </c>
      <c r="S68" s="12"/>
      <c r="T68" s="13"/>
      <c r="U68" s="13"/>
      <c r="W68" s="11">
        <v>65</v>
      </c>
      <c r="X68" s="12"/>
      <c r="Y68" s="13"/>
      <c r="Z68" s="13"/>
      <c r="AB68" s="11">
        <v>65</v>
      </c>
      <c r="AC68" s="12"/>
      <c r="AD68" s="12"/>
      <c r="AE68" s="12"/>
      <c r="AG68" s="11">
        <v>65</v>
      </c>
      <c r="AH68" s="12"/>
      <c r="AI68" s="12"/>
      <c r="AJ68" s="12"/>
      <c r="AL68" s="11">
        <v>65</v>
      </c>
      <c r="AM68" s="12"/>
      <c r="AN68" s="12"/>
      <c r="AO68" s="12"/>
      <c r="AQ68" s="11">
        <v>65</v>
      </c>
      <c r="AR68" s="13"/>
      <c r="AS68" s="13"/>
      <c r="AT68" s="11">
        <v>65</v>
      </c>
      <c r="AU68" s="13"/>
      <c r="AW68" s="11">
        <v>65</v>
      </c>
      <c r="AX68" s="12"/>
      <c r="AY68" s="12"/>
      <c r="AZ68" s="12"/>
      <c r="BA68" s="12"/>
      <c r="BB68" s="12"/>
      <c r="BC68" s="12"/>
      <c r="BD68" s="12"/>
      <c r="BE68" s="12"/>
      <c r="BF68" s="24"/>
      <c r="BG68" s="29"/>
      <c r="BH68" s="12"/>
      <c r="BI68" s="12"/>
      <c r="BK68" s="11">
        <v>65</v>
      </c>
      <c r="BL68" s="12"/>
      <c r="BM68" s="13"/>
      <c r="BN68" s="13"/>
      <c r="BP68" s="11">
        <v>65</v>
      </c>
      <c r="BQ68" s="12"/>
      <c r="BR68" s="13"/>
      <c r="BS68" s="13"/>
      <c r="BU68" s="11">
        <v>65</v>
      </c>
      <c r="BV68" s="12"/>
      <c r="BW68" s="12"/>
      <c r="BX68" s="12"/>
      <c r="BZ68" s="11">
        <v>65</v>
      </c>
      <c r="CA68" s="12"/>
      <c r="CC68" s="11">
        <v>65</v>
      </c>
      <c r="CD68" s="12"/>
    </row>
    <row r="69" spans="1:82">
      <c r="D69" s="121">
        <f>SUM(D57:D68)</f>
        <v>40</v>
      </c>
      <c r="E69" s="121">
        <f t="shared" ref="E69:O69" si="11">SUM(E57:E68)</f>
        <v>40</v>
      </c>
      <c r="F69" s="121">
        <f t="shared" si="11"/>
        <v>40</v>
      </c>
      <c r="G69" s="121">
        <f t="shared" si="11"/>
        <v>40</v>
      </c>
      <c r="H69" s="121">
        <f t="shared" si="11"/>
        <v>40</v>
      </c>
      <c r="I69" s="121">
        <f t="shared" si="11"/>
        <v>40</v>
      </c>
      <c r="J69" s="121">
        <f t="shared" si="11"/>
        <v>40</v>
      </c>
      <c r="K69" s="121">
        <f t="shared" si="11"/>
        <v>40</v>
      </c>
      <c r="L69" s="121">
        <f t="shared" si="11"/>
        <v>40</v>
      </c>
      <c r="M69" s="121">
        <f t="shared" si="11"/>
        <v>40</v>
      </c>
      <c r="N69" s="121">
        <f t="shared" si="11"/>
        <v>40</v>
      </c>
      <c r="O69" s="121">
        <f t="shared" si="11"/>
        <v>40</v>
      </c>
      <c r="R69" s="11">
        <v>66</v>
      </c>
      <c r="S69" s="12"/>
      <c r="T69" s="13"/>
      <c r="U69" s="13"/>
      <c r="W69" s="11">
        <v>66</v>
      </c>
      <c r="X69" s="12"/>
      <c r="Y69" s="13"/>
      <c r="Z69" s="13"/>
      <c r="AB69" s="11">
        <v>66</v>
      </c>
      <c r="AC69" s="12"/>
      <c r="AD69" s="12"/>
      <c r="AE69" s="12"/>
      <c r="AG69" s="11">
        <v>66</v>
      </c>
      <c r="AH69" s="12"/>
      <c r="AI69" s="12"/>
      <c r="AJ69" s="12"/>
      <c r="AL69" s="11">
        <v>66</v>
      </c>
      <c r="AM69" s="12"/>
      <c r="AN69" s="12"/>
      <c r="AO69" s="12"/>
      <c r="AQ69" s="11">
        <v>66</v>
      </c>
      <c r="AR69" s="13"/>
      <c r="AS69" s="13"/>
      <c r="AT69" s="11">
        <v>66</v>
      </c>
      <c r="AU69" s="13"/>
      <c r="AW69" s="11">
        <v>66</v>
      </c>
      <c r="AX69" s="12"/>
      <c r="AY69" s="12"/>
      <c r="AZ69" s="12"/>
      <c r="BA69" s="12"/>
      <c r="BB69" s="12"/>
      <c r="BC69" s="12"/>
      <c r="BD69" s="12"/>
      <c r="BE69" s="12"/>
      <c r="BF69" s="24"/>
      <c r="BG69" s="29"/>
      <c r="BH69" s="12"/>
      <c r="BI69" s="12"/>
      <c r="BK69" s="11">
        <v>66</v>
      </c>
      <c r="BL69" s="12"/>
      <c r="BM69" s="13"/>
      <c r="BN69" s="13"/>
      <c r="BP69" s="11">
        <v>66</v>
      </c>
      <c r="BQ69" s="12"/>
      <c r="BR69" s="13"/>
      <c r="BS69" s="13"/>
      <c r="BU69" s="11">
        <v>66</v>
      </c>
      <c r="BV69" s="12"/>
      <c r="BW69" s="12"/>
      <c r="BX69" s="12"/>
      <c r="BZ69" s="11">
        <v>66</v>
      </c>
      <c r="CA69" s="12"/>
      <c r="CC69" s="11">
        <v>66</v>
      </c>
      <c r="CD69" s="12"/>
    </row>
    <row r="70" spans="1:82">
      <c r="R70" s="11">
        <v>67</v>
      </c>
      <c r="S70" s="12"/>
      <c r="T70" s="13"/>
      <c r="U70" s="13"/>
      <c r="W70" s="11">
        <v>67</v>
      </c>
      <c r="X70" s="12"/>
      <c r="Y70" s="13"/>
      <c r="Z70" s="13"/>
      <c r="AB70" s="11">
        <v>67</v>
      </c>
      <c r="AC70" s="12"/>
      <c r="AD70" s="12"/>
      <c r="AE70" s="12"/>
      <c r="AG70" s="11">
        <v>67</v>
      </c>
      <c r="AH70" s="12"/>
      <c r="AI70" s="12"/>
      <c r="AJ70" s="12"/>
      <c r="AL70" s="11">
        <v>67</v>
      </c>
      <c r="AM70" s="12"/>
      <c r="AN70" s="12"/>
      <c r="AO70" s="12"/>
      <c r="AQ70" s="11">
        <v>67</v>
      </c>
      <c r="AR70" s="13"/>
      <c r="AS70" s="13"/>
      <c r="AT70" s="11">
        <v>67</v>
      </c>
      <c r="AU70" s="13"/>
      <c r="AW70" s="11">
        <v>67</v>
      </c>
      <c r="AX70" s="12"/>
      <c r="AY70" s="12"/>
      <c r="AZ70" s="12"/>
      <c r="BA70" s="12"/>
      <c r="BB70" s="12"/>
      <c r="BC70" s="12"/>
      <c r="BD70" s="12"/>
      <c r="BE70" s="12"/>
      <c r="BF70" s="24"/>
      <c r="BG70" s="29"/>
      <c r="BH70" s="12"/>
      <c r="BI70" s="12"/>
      <c r="BK70" s="11">
        <v>67</v>
      </c>
      <c r="BL70" s="12"/>
      <c r="BM70" s="13"/>
      <c r="BN70" s="13"/>
      <c r="BP70" s="11">
        <v>67</v>
      </c>
      <c r="BQ70" s="12"/>
      <c r="BR70" s="13"/>
      <c r="BS70" s="13"/>
      <c r="BU70" s="11">
        <v>67</v>
      </c>
      <c r="BV70" s="12"/>
      <c r="BW70" s="12"/>
      <c r="BX70" s="12"/>
      <c r="BZ70" s="11">
        <v>67</v>
      </c>
      <c r="CA70" s="12"/>
      <c r="CC70" s="11">
        <v>67</v>
      </c>
      <c r="CD70" s="12"/>
    </row>
    <row r="71" spans="1:82">
      <c r="A71" s="31" t="s">
        <v>42</v>
      </c>
      <c r="R71" s="11">
        <v>68</v>
      </c>
      <c r="S71" s="12"/>
      <c r="T71" s="13"/>
      <c r="U71" s="13"/>
      <c r="W71" s="11">
        <v>68</v>
      </c>
      <c r="X71" s="12"/>
      <c r="Y71" s="13"/>
      <c r="Z71" s="13"/>
      <c r="AB71" s="11">
        <v>68</v>
      </c>
      <c r="AC71" s="12"/>
      <c r="AD71" s="12"/>
      <c r="AE71" s="12"/>
      <c r="AG71" s="11">
        <v>68</v>
      </c>
      <c r="AH71" s="12"/>
      <c r="AI71" s="12"/>
      <c r="AJ71" s="12"/>
      <c r="AL71" s="11">
        <v>68</v>
      </c>
      <c r="AM71" s="12"/>
      <c r="AN71" s="12"/>
      <c r="AO71" s="12"/>
      <c r="AQ71" s="11">
        <v>68</v>
      </c>
      <c r="AR71" s="13"/>
      <c r="AS71" s="13"/>
      <c r="AT71" s="11">
        <v>68</v>
      </c>
      <c r="AU71" s="13"/>
      <c r="AW71" s="11">
        <v>68</v>
      </c>
      <c r="AX71" s="12"/>
      <c r="AY71" s="12"/>
      <c r="AZ71" s="12"/>
      <c r="BA71" s="12"/>
      <c r="BB71" s="12"/>
      <c r="BC71" s="12"/>
      <c r="BD71" s="12"/>
      <c r="BE71" s="12"/>
      <c r="BF71" s="24"/>
      <c r="BG71" s="29"/>
      <c r="BH71" s="12"/>
      <c r="BI71" s="12"/>
      <c r="BK71" s="11">
        <v>68</v>
      </c>
      <c r="BL71" s="12"/>
      <c r="BM71" s="13"/>
      <c r="BN71" s="13"/>
      <c r="BP71" s="11">
        <v>68</v>
      </c>
      <c r="BQ71" s="12"/>
      <c r="BR71" s="13"/>
      <c r="BS71" s="13"/>
      <c r="BU71" s="11">
        <v>68</v>
      </c>
      <c r="BV71" s="12"/>
      <c r="BW71" s="12"/>
      <c r="BX71" s="12"/>
      <c r="BZ71" s="11">
        <v>68</v>
      </c>
      <c r="CA71" s="12"/>
      <c r="CC71" s="11">
        <v>68</v>
      </c>
      <c r="CD71" s="12"/>
    </row>
    <row r="72" spans="1:82">
      <c r="A72" s="30" t="s">
        <v>42</v>
      </c>
      <c r="B72" s="1" t="s">
        <v>86</v>
      </c>
      <c r="C72" s="2" t="s">
        <v>114</v>
      </c>
      <c r="D72" s="3" t="s">
        <v>80</v>
      </c>
      <c r="E72" s="122" t="s">
        <v>1</v>
      </c>
      <c r="F72" s="4" t="s">
        <v>2</v>
      </c>
      <c r="R72" s="11">
        <v>69</v>
      </c>
      <c r="S72" s="12"/>
      <c r="T72" s="13"/>
      <c r="U72" s="13"/>
      <c r="W72" s="11">
        <v>69</v>
      </c>
      <c r="X72" s="12"/>
      <c r="Y72" s="13"/>
      <c r="Z72" s="13"/>
      <c r="AB72" s="11">
        <v>69</v>
      </c>
      <c r="AC72" s="12"/>
      <c r="AD72" s="12"/>
      <c r="AE72" s="12"/>
      <c r="AG72" s="11">
        <v>69</v>
      </c>
      <c r="AH72" s="12"/>
      <c r="AI72" s="12"/>
      <c r="AJ72" s="12"/>
      <c r="AL72" s="11">
        <v>69</v>
      </c>
      <c r="AM72" s="12"/>
      <c r="AN72" s="12"/>
      <c r="AO72" s="12"/>
      <c r="AQ72" s="11">
        <v>69</v>
      </c>
      <c r="AR72" s="13"/>
      <c r="AS72" s="13"/>
      <c r="AT72" s="11">
        <v>69</v>
      </c>
      <c r="AU72" s="13"/>
      <c r="AW72" s="11">
        <v>69</v>
      </c>
      <c r="AX72" s="12"/>
      <c r="AY72" s="12"/>
      <c r="AZ72" s="12"/>
      <c r="BA72" s="12"/>
      <c r="BB72" s="12"/>
      <c r="BC72" s="12"/>
      <c r="BD72" s="12"/>
      <c r="BE72" s="12"/>
      <c r="BF72" s="24"/>
      <c r="BG72" s="29"/>
      <c r="BH72" s="12"/>
      <c r="BI72" s="12"/>
      <c r="BK72" s="11">
        <v>69</v>
      </c>
      <c r="BL72" s="12"/>
      <c r="BM72" s="13"/>
      <c r="BN72" s="13"/>
      <c r="BP72" s="11">
        <v>69</v>
      </c>
      <c r="BQ72" s="12"/>
      <c r="BR72" s="13"/>
      <c r="BS72" s="13"/>
      <c r="BU72" s="11">
        <v>69</v>
      </c>
      <c r="BV72" s="12"/>
      <c r="BW72" s="12"/>
      <c r="BX72" s="12"/>
      <c r="BZ72" s="11">
        <v>69</v>
      </c>
      <c r="CA72" s="12"/>
      <c r="CC72" s="11">
        <v>69</v>
      </c>
      <c r="CD72" s="12"/>
    </row>
    <row r="73" spans="1:82">
      <c r="A73" s="1" t="s">
        <v>19</v>
      </c>
      <c r="B73" s="1">
        <v>0</v>
      </c>
      <c r="C73" s="3" t="s">
        <v>25</v>
      </c>
      <c r="D73" s="3">
        <f>SUMIF(BL$3:BL$38,$A73,BV$3:BV$38)</f>
        <v>18</v>
      </c>
      <c r="E73" s="122">
        <f>SUMIF(BM$3:BM$52,$A73,BW$3:BW$52)</f>
        <v>25</v>
      </c>
      <c r="F73" s="4">
        <f t="shared" ref="F73:F84" si="12">SUMIF(BN$3:BN$38,$A73,BX$3:BX$38)</f>
        <v>18</v>
      </c>
      <c r="R73" s="11">
        <v>70</v>
      </c>
      <c r="S73" s="12"/>
      <c r="T73" s="13"/>
      <c r="U73" s="13"/>
      <c r="W73" s="11">
        <v>70</v>
      </c>
      <c r="X73" s="12"/>
      <c r="Y73" s="13"/>
      <c r="Z73" s="13"/>
      <c r="AB73" s="11">
        <v>70</v>
      </c>
      <c r="AC73" s="12"/>
      <c r="AD73" s="12"/>
      <c r="AE73" s="12"/>
      <c r="AG73" s="11">
        <v>70</v>
      </c>
      <c r="AH73" s="12"/>
      <c r="AI73" s="12"/>
      <c r="AJ73" s="12"/>
      <c r="AL73" s="11">
        <v>70</v>
      </c>
      <c r="AM73" s="12"/>
      <c r="AN73" s="12"/>
      <c r="AO73" s="12"/>
      <c r="AQ73" s="11">
        <v>70</v>
      </c>
      <c r="AR73" s="13"/>
      <c r="AS73" s="13"/>
      <c r="AT73" s="11">
        <v>70</v>
      </c>
      <c r="AU73" s="13"/>
      <c r="AW73" s="11">
        <v>70</v>
      </c>
      <c r="AX73" s="12"/>
      <c r="AY73" s="12"/>
      <c r="AZ73" s="12"/>
      <c r="BA73" s="12"/>
      <c r="BB73" s="12"/>
      <c r="BC73" s="12"/>
      <c r="BD73" s="12"/>
      <c r="BE73" s="12"/>
      <c r="BF73" s="24"/>
      <c r="BG73" s="29"/>
      <c r="BH73" s="12"/>
      <c r="BI73" s="12"/>
      <c r="BK73" s="11">
        <v>70</v>
      </c>
      <c r="BL73" s="12"/>
      <c r="BM73" s="13"/>
      <c r="BN73" s="13"/>
      <c r="BP73" s="11">
        <v>70</v>
      </c>
      <c r="BQ73" s="12"/>
      <c r="BR73" s="13"/>
      <c r="BS73" s="13"/>
      <c r="BU73" s="11">
        <v>70</v>
      </c>
      <c r="BV73" s="12"/>
      <c r="BW73" s="12"/>
      <c r="BX73" s="12"/>
      <c r="BZ73" s="11">
        <v>70</v>
      </c>
      <c r="CA73" s="12"/>
      <c r="CC73" s="11">
        <v>70</v>
      </c>
      <c r="CD73" s="12"/>
    </row>
    <row r="74" spans="1:82">
      <c r="A74" s="20">
        <v>0</v>
      </c>
      <c r="B74" s="20">
        <v>1</v>
      </c>
      <c r="C74" s="5">
        <v>0</v>
      </c>
      <c r="D74" s="37">
        <f t="shared" ref="D74:D84" si="13">SUMIF(BL$3:BL$38,$A74,BV$3:BV$38)</f>
        <v>0</v>
      </c>
      <c r="E74" s="121">
        <f t="shared" ref="E74:E84" si="14">SUMIF(BM$3:BM$52,$A74,BW$3:BW$52)</f>
        <v>5</v>
      </c>
      <c r="F74" s="7">
        <f t="shared" si="12"/>
        <v>6</v>
      </c>
      <c r="R74" s="11">
        <v>71</v>
      </c>
      <c r="S74" s="12"/>
      <c r="T74" s="13"/>
      <c r="U74" s="13"/>
      <c r="W74" s="11">
        <v>71</v>
      </c>
      <c r="X74" s="12"/>
      <c r="Y74" s="13"/>
      <c r="Z74" s="13"/>
      <c r="AB74" s="11">
        <v>71</v>
      </c>
      <c r="AC74" s="12"/>
      <c r="AD74" s="12"/>
      <c r="AE74" s="12"/>
      <c r="AG74" s="11">
        <v>71</v>
      </c>
      <c r="AH74" s="12"/>
      <c r="AI74" s="12"/>
      <c r="AJ74" s="12"/>
      <c r="AL74" s="11">
        <v>71</v>
      </c>
      <c r="AM74" s="12"/>
      <c r="AN74" s="12"/>
      <c r="AO74" s="12"/>
      <c r="AQ74" s="11">
        <v>71</v>
      </c>
      <c r="AR74" s="13"/>
      <c r="AS74" s="13"/>
      <c r="AT74" s="11">
        <v>71</v>
      </c>
      <c r="AU74" s="13"/>
      <c r="AW74" s="11">
        <v>71</v>
      </c>
      <c r="AX74" s="12"/>
      <c r="AY74" s="12"/>
      <c r="AZ74" s="12"/>
      <c r="BA74" s="12"/>
      <c r="BB74" s="12"/>
      <c r="BC74" s="12"/>
      <c r="BD74" s="12"/>
      <c r="BE74" s="12"/>
      <c r="BF74" s="24"/>
      <c r="BG74" s="29"/>
      <c r="BH74" s="12"/>
      <c r="BI74" s="12"/>
      <c r="BK74" s="11">
        <v>71</v>
      </c>
      <c r="BL74" s="12"/>
      <c r="BM74" s="13"/>
      <c r="BN74" s="13"/>
      <c r="BP74" s="11">
        <v>71</v>
      </c>
      <c r="BQ74" s="12"/>
      <c r="BR74" s="13"/>
      <c r="BS74" s="13"/>
      <c r="BU74" s="11">
        <v>71</v>
      </c>
      <c r="BV74" s="12"/>
      <c r="BW74" s="12"/>
      <c r="BX74" s="12"/>
      <c r="BZ74" s="11">
        <v>71</v>
      </c>
      <c r="CA74" s="12"/>
      <c r="CC74" s="11">
        <v>71</v>
      </c>
      <c r="CD74" s="12"/>
    </row>
    <row r="75" spans="1:82">
      <c r="A75" s="20">
        <v>1</v>
      </c>
      <c r="B75" s="20">
        <v>2</v>
      </c>
      <c r="C75" s="5">
        <v>1</v>
      </c>
      <c r="D75" s="6">
        <f t="shared" si="13"/>
        <v>6</v>
      </c>
      <c r="E75" s="121">
        <f t="shared" si="14"/>
        <v>5</v>
      </c>
      <c r="F75" s="7">
        <f t="shared" si="12"/>
        <v>6</v>
      </c>
      <c r="R75" s="11">
        <v>72</v>
      </c>
      <c r="S75" s="12"/>
      <c r="T75" s="13"/>
      <c r="U75" s="13"/>
      <c r="W75" s="11">
        <v>72</v>
      </c>
      <c r="X75" s="12"/>
      <c r="Y75" s="13"/>
      <c r="Z75" s="13"/>
      <c r="AB75" s="11">
        <v>72</v>
      </c>
      <c r="AC75" s="12"/>
      <c r="AD75" s="12"/>
      <c r="AE75" s="12"/>
      <c r="AG75" s="11">
        <v>72</v>
      </c>
      <c r="AH75" s="12"/>
      <c r="AI75" s="12"/>
      <c r="AJ75" s="12"/>
      <c r="AL75" s="11">
        <v>72</v>
      </c>
      <c r="AM75" s="12"/>
      <c r="AN75" s="12"/>
      <c r="AO75" s="12"/>
      <c r="AQ75" s="11">
        <v>72</v>
      </c>
      <c r="AR75" s="13"/>
      <c r="AS75" s="13"/>
      <c r="AT75" s="11">
        <v>72</v>
      </c>
      <c r="AU75" s="13"/>
      <c r="AW75" s="11">
        <v>72</v>
      </c>
      <c r="AX75" s="12"/>
      <c r="AY75" s="12"/>
      <c r="AZ75" s="12"/>
      <c r="BA75" s="12"/>
      <c r="BB75" s="12"/>
      <c r="BC75" s="12"/>
      <c r="BD75" s="12"/>
      <c r="BE75" s="12"/>
      <c r="BF75" s="24"/>
      <c r="BG75" s="29"/>
      <c r="BH75" s="12"/>
      <c r="BI75" s="12"/>
      <c r="BK75" s="11">
        <v>72</v>
      </c>
      <c r="BL75" s="12"/>
      <c r="BM75" s="13"/>
      <c r="BN75" s="13"/>
      <c r="BP75" s="11">
        <v>72</v>
      </c>
      <c r="BQ75" s="12"/>
      <c r="BR75" s="13"/>
      <c r="BS75" s="13"/>
      <c r="BU75" s="11">
        <v>72</v>
      </c>
      <c r="BV75" s="12"/>
      <c r="BW75" s="12"/>
      <c r="BX75" s="12"/>
      <c r="BZ75" s="11">
        <v>72</v>
      </c>
      <c r="CA75" s="12"/>
      <c r="CC75" s="11">
        <v>72</v>
      </c>
      <c r="CD75" s="12"/>
    </row>
    <row r="76" spans="1:82">
      <c r="A76" s="21">
        <v>5</v>
      </c>
      <c r="B76" s="21">
        <v>3</v>
      </c>
      <c r="C76" s="23">
        <v>5</v>
      </c>
      <c r="D76" s="6">
        <f t="shared" si="13"/>
        <v>6</v>
      </c>
      <c r="E76" s="121">
        <f t="shared" si="14"/>
        <v>5</v>
      </c>
      <c r="F76" s="7">
        <f t="shared" si="12"/>
        <v>6</v>
      </c>
      <c r="R76" s="11">
        <v>73</v>
      </c>
      <c r="S76" s="12"/>
      <c r="T76" s="13"/>
      <c r="U76" s="13"/>
      <c r="W76" s="11">
        <v>73</v>
      </c>
      <c r="X76" s="12"/>
      <c r="Y76" s="13"/>
      <c r="Z76" s="13"/>
      <c r="AB76" s="11">
        <v>73</v>
      </c>
      <c r="AC76" s="12"/>
      <c r="AD76" s="12"/>
      <c r="AE76" s="12"/>
      <c r="AG76" s="11">
        <v>73</v>
      </c>
      <c r="AH76" s="12"/>
      <c r="AI76" s="12"/>
      <c r="AJ76" s="12"/>
      <c r="AL76" s="11">
        <v>73</v>
      </c>
      <c r="AM76" s="12"/>
      <c r="AN76" s="12"/>
      <c r="AO76" s="12"/>
      <c r="AQ76" s="11">
        <v>73</v>
      </c>
      <c r="AR76" s="13"/>
      <c r="AS76" s="13"/>
      <c r="AT76" s="11">
        <v>73</v>
      </c>
      <c r="AU76" s="13"/>
      <c r="AW76" s="11">
        <v>73</v>
      </c>
      <c r="AX76" s="12"/>
      <c r="AY76" s="12"/>
      <c r="AZ76" s="12"/>
      <c r="BA76" s="12"/>
      <c r="BB76" s="12"/>
      <c r="BC76" s="12"/>
      <c r="BD76" s="12"/>
      <c r="BE76" s="12"/>
      <c r="BF76" s="24"/>
      <c r="BG76" s="29"/>
      <c r="BH76" s="12"/>
      <c r="BI76" s="12"/>
      <c r="BK76" s="11">
        <v>73</v>
      </c>
      <c r="BL76" s="12"/>
      <c r="BM76" s="13"/>
      <c r="BN76" s="13"/>
      <c r="BP76" s="11">
        <v>73</v>
      </c>
      <c r="BQ76" s="12"/>
      <c r="BR76" s="13"/>
      <c r="BS76" s="13"/>
      <c r="BU76" s="11">
        <v>73</v>
      </c>
      <c r="BV76" s="12"/>
      <c r="BW76" s="12"/>
      <c r="BX76" s="12"/>
      <c r="BZ76" s="11">
        <v>73</v>
      </c>
      <c r="CA76" s="12"/>
      <c r="CC76" s="11">
        <v>73</v>
      </c>
      <c r="CD76" s="12"/>
    </row>
    <row r="77" spans="1:82">
      <c r="A77" s="21">
        <v>10</v>
      </c>
      <c r="B77" s="21">
        <v>4</v>
      </c>
      <c r="C77" s="23">
        <v>10</v>
      </c>
      <c r="D77" s="6">
        <f t="shared" si="13"/>
        <v>6</v>
      </c>
      <c r="E77" s="101">
        <f t="shared" si="14"/>
        <v>5</v>
      </c>
      <c r="F77" s="38">
        <f t="shared" si="12"/>
        <v>0</v>
      </c>
      <c r="R77" s="11">
        <v>74</v>
      </c>
      <c r="S77" s="12"/>
      <c r="T77" s="13"/>
      <c r="U77" s="13"/>
      <c r="W77" s="11">
        <v>74</v>
      </c>
      <c r="X77" s="12"/>
      <c r="Y77" s="13"/>
      <c r="Z77" s="13"/>
      <c r="AB77" s="11">
        <v>74</v>
      </c>
      <c r="AC77" s="12"/>
      <c r="AD77" s="12"/>
      <c r="AE77" s="12"/>
      <c r="AG77" s="11">
        <v>74</v>
      </c>
      <c r="AH77" s="12"/>
      <c r="AI77" s="12"/>
      <c r="AJ77" s="12"/>
      <c r="AL77" s="11">
        <v>74</v>
      </c>
      <c r="AM77" s="12"/>
      <c r="AN77" s="12"/>
      <c r="AO77" s="12"/>
      <c r="AQ77" s="11">
        <v>74</v>
      </c>
      <c r="AR77" s="13"/>
      <c r="AS77" s="13"/>
      <c r="AT77" s="11">
        <v>74</v>
      </c>
      <c r="AU77" s="13"/>
      <c r="AW77" s="11">
        <v>74</v>
      </c>
      <c r="AX77" s="12"/>
      <c r="AY77" s="12"/>
      <c r="AZ77" s="12"/>
      <c r="BA77" s="12"/>
      <c r="BB77" s="12"/>
      <c r="BC77" s="12"/>
      <c r="BD77" s="12"/>
      <c r="BE77" s="12"/>
      <c r="BF77" s="24"/>
      <c r="BG77" s="29"/>
      <c r="BH77" s="12"/>
      <c r="BI77" s="12"/>
      <c r="BK77" s="11">
        <v>74</v>
      </c>
      <c r="BL77" s="12"/>
      <c r="BM77" s="13"/>
      <c r="BN77" s="13"/>
      <c r="BP77" s="11">
        <v>74</v>
      </c>
      <c r="BQ77" s="12"/>
      <c r="BR77" s="13"/>
      <c r="BS77" s="13"/>
      <c r="BU77" s="11">
        <v>74</v>
      </c>
      <c r="BV77" s="12"/>
      <c r="BW77" s="12"/>
      <c r="BX77" s="12"/>
      <c r="BZ77" s="11">
        <v>74</v>
      </c>
      <c r="CA77" s="12"/>
      <c r="CC77" s="11">
        <v>74</v>
      </c>
      <c r="CD77" s="12"/>
    </row>
    <row r="78" spans="1:82">
      <c r="A78" s="20" t="s">
        <v>20</v>
      </c>
      <c r="B78" s="20">
        <v>5</v>
      </c>
      <c r="C78" s="23" t="s">
        <v>29</v>
      </c>
      <c r="D78" s="37">
        <f t="shared" si="13"/>
        <v>0</v>
      </c>
      <c r="E78" s="101">
        <f t="shared" si="14"/>
        <v>5</v>
      </c>
      <c r="F78" s="38">
        <f t="shared" si="12"/>
        <v>0</v>
      </c>
      <c r="R78" s="11">
        <v>75</v>
      </c>
      <c r="S78" s="12"/>
      <c r="T78" s="13"/>
      <c r="U78" s="13"/>
      <c r="W78" s="11">
        <v>75</v>
      </c>
      <c r="X78" s="12"/>
      <c r="Y78" s="13"/>
      <c r="Z78" s="13"/>
      <c r="AB78" s="11">
        <v>75</v>
      </c>
      <c r="AC78" s="12"/>
      <c r="AD78" s="12"/>
      <c r="AE78" s="12"/>
      <c r="AG78" s="11">
        <v>75</v>
      </c>
      <c r="AH78" s="12"/>
      <c r="AI78" s="12"/>
      <c r="AJ78" s="12"/>
      <c r="AL78" s="11">
        <v>75</v>
      </c>
      <c r="AM78" s="12"/>
      <c r="AN78" s="12"/>
      <c r="AO78" s="12"/>
      <c r="AQ78" s="11">
        <v>75</v>
      </c>
      <c r="AR78" s="13"/>
      <c r="AS78" s="13"/>
      <c r="AT78" s="11">
        <v>75</v>
      </c>
      <c r="AU78" s="13"/>
      <c r="AW78" s="11">
        <v>75</v>
      </c>
      <c r="AX78" s="12"/>
      <c r="AY78" s="12"/>
      <c r="AZ78" s="12"/>
      <c r="BA78" s="12"/>
      <c r="BB78" s="12"/>
      <c r="BC78" s="12"/>
      <c r="BD78" s="12"/>
      <c r="BE78" s="12"/>
      <c r="BF78" s="24"/>
      <c r="BG78" s="29"/>
      <c r="BH78" s="12"/>
      <c r="BI78" s="12"/>
      <c r="BK78" s="11">
        <v>75</v>
      </c>
      <c r="BL78" s="12"/>
      <c r="BM78" s="13"/>
      <c r="BN78" s="13"/>
      <c r="BP78" s="11">
        <v>75</v>
      </c>
      <c r="BQ78" s="12"/>
      <c r="BR78" s="13"/>
      <c r="BS78" s="13"/>
      <c r="BU78" s="11">
        <v>75</v>
      </c>
      <c r="BV78" s="12"/>
      <c r="BW78" s="12"/>
      <c r="BX78" s="12"/>
      <c r="BZ78" s="11">
        <v>75</v>
      </c>
      <c r="CA78" s="12"/>
      <c r="CC78" s="11">
        <v>75</v>
      </c>
      <c r="CD78" s="12"/>
    </row>
    <row r="79" spans="1:82">
      <c r="A79" s="21" t="s">
        <v>21</v>
      </c>
      <c r="B79" s="21">
        <v>6</v>
      </c>
      <c r="C79" s="23" t="s">
        <v>26</v>
      </c>
      <c r="D79" s="37">
        <f t="shared" si="13"/>
        <v>0</v>
      </c>
      <c r="E79" s="59">
        <f t="shared" si="14"/>
        <v>0</v>
      </c>
      <c r="F79" s="38">
        <f t="shared" si="12"/>
        <v>0</v>
      </c>
      <c r="R79" s="11">
        <v>76</v>
      </c>
      <c r="S79" s="12"/>
      <c r="T79" s="13"/>
      <c r="U79" s="13"/>
      <c r="W79" s="11">
        <v>76</v>
      </c>
      <c r="X79" s="12"/>
      <c r="Y79" s="13"/>
      <c r="Z79" s="13"/>
      <c r="AB79" s="11">
        <v>76</v>
      </c>
      <c r="AC79" s="12"/>
      <c r="AD79" s="12"/>
      <c r="AE79" s="12"/>
      <c r="AG79" s="11">
        <v>76</v>
      </c>
      <c r="AH79" s="12"/>
      <c r="AI79" s="12"/>
      <c r="AJ79" s="12"/>
      <c r="AL79" s="11">
        <v>76</v>
      </c>
      <c r="AM79" s="12"/>
      <c r="AN79" s="12"/>
      <c r="AO79" s="12"/>
      <c r="AQ79" s="11">
        <v>76</v>
      </c>
      <c r="AR79" s="13"/>
      <c r="AS79" s="13"/>
      <c r="AT79" s="11">
        <v>76</v>
      </c>
      <c r="AU79" s="13"/>
      <c r="AW79" s="11">
        <v>76</v>
      </c>
      <c r="AX79" s="12"/>
      <c r="AY79" s="12"/>
      <c r="AZ79" s="12"/>
      <c r="BA79" s="12"/>
      <c r="BB79" s="12"/>
      <c r="BC79" s="12"/>
      <c r="BD79" s="12"/>
      <c r="BE79" s="12"/>
      <c r="BF79" s="24"/>
      <c r="BG79" s="29"/>
      <c r="BH79" s="12"/>
      <c r="BI79" s="12"/>
      <c r="BK79" s="11">
        <v>76</v>
      </c>
      <c r="BL79" s="12"/>
      <c r="BM79" s="13"/>
      <c r="BN79" s="13"/>
      <c r="BP79" s="11">
        <v>76</v>
      </c>
      <c r="BQ79" s="12"/>
      <c r="BR79" s="13"/>
      <c r="BS79" s="13"/>
      <c r="BU79" s="11">
        <v>76</v>
      </c>
      <c r="BV79" s="12"/>
      <c r="BW79" s="12"/>
      <c r="BX79" s="12"/>
      <c r="BZ79" s="11">
        <v>76</v>
      </c>
      <c r="CA79" s="12"/>
      <c r="CC79" s="11">
        <v>76</v>
      </c>
      <c r="CD79" s="12"/>
    </row>
    <row r="80" spans="1:82">
      <c r="A80" s="20" t="s">
        <v>22</v>
      </c>
      <c r="B80" s="20">
        <v>7</v>
      </c>
      <c r="C80" s="5" t="s">
        <v>27</v>
      </c>
      <c r="D80" s="37">
        <f t="shared" si="13"/>
        <v>0</v>
      </c>
      <c r="E80" s="59">
        <f t="shared" si="14"/>
        <v>0</v>
      </c>
      <c r="F80" s="38">
        <f t="shared" si="12"/>
        <v>0</v>
      </c>
      <c r="R80" s="11">
        <v>77</v>
      </c>
      <c r="S80" s="12"/>
      <c r="T80" s="13"/>
      <c r="U80" s="13"/>
      <c r="W80" s="11">
        <v>77</v>
      </c>
      <c r="X80" s="12"/>
      <c r="Y80" s="13"/>
      <c r="Z80" s="13"/>
      <c r="AB80" s="11">
        <v>77</v>
      </c>
      <c r="AC80" s="12"/>
      <c r="AD80" s="12"/>
      <c r="AE80" s="12"/>
      <c r="AG80" s="11">
        <v>77</v>
      </c>
      <c r="AH80" s="12"/>
      <c r="AI80" s="12"/>
      <c r="AJ80" s="12"/>
      <c r="AL80" s="11">
        <v>77</v>
      </c>
      <c r="AM80" s="12"/>
      <c r="AN80" s="12"/>
      <c r="AO80" s="12"/>
      <c r="AQ80" s="11">
        <v>77</v>
      </c>
      <c r="AR80" s="13"/>
      <c r="AS80" s="13"/>
      <c r="AT80" s="11">
        <v>77</v>
      </c>
      <c r="AU80" s="13"/>
      <c r="AW80" s="11">
        <v>77</v>
      </c>
      <c r="AX80" s="12"/>
      <c r="AY80" s="12"/>
      <c r="AZ80" s="12"/>
      <c r="BA80" s="12"/>
      <c r="BB80" s="12"/>
      <c r="BC80" s="12"/>
      <c r="BD80" s="12"/>
      <c r="BE80" s="12"/>
      <c r="BF80" s="24"/>
      <c r="BG80" s="29"/>
      <c r="BH80" s="12"/>
      <c r="BI80" s="12"/>
      <c r="BK80" s="11">
        <v>77</v>
      </c>
      <c r="BL80" s="12"/>
      <c r="BM80" s="13"/>
      <c r="BN80" s="13"/>
      <c r="BP80" s="11">
        <v>77</v>
      </c>
      <c r="BQ80" s="12"/>
      <c r="BR80" s="13"/>
      <c r="BS80" s="13"/>
      <c r="BU80" s="11">
        <v>77</v>
      </c>
      <c r="BV80" s="12"/>
      <c r="BW80" s="12"/>
      <c r="BX80" s="12"/>
      <c r="BZ80" s="11">
        <v>77</v>
      </c>
      <c r="CA80" s="12"/>
      <c r="CC80" s="11">
        <v>77</v>
      </c>
      <c r="CD80" s="12"/>
    </row>
    <row r="81" spans="1:82">
      <c r="A81" s="20" t="s">
        <v>23</v>
      </c>
      <c r="B81" s="20">
        <v>8</v>
      </c>
      <c r="C81" s="5" t="s">
        <v>28</v>
      </c>
      <c r="D81" s="37">
        <f t="shared" si="13"/>
        <v>0</v>
      </c>
      <c r="E81" s="59">
        <f t="shared" si="14"/>
        <v>0</v>
      </c>
      <c r="F81" s="38">
        <f t="shared" si="12"/>
        <v>0</v>
      </c>
      <c r="R81" s="11">
        <v>78</v>
      </c>
      <c r="S81" s="12"/>
      <c r="T81" s="13"/>
      <c r="U81" s="13"/>
      <c r="W81" s="11">
        <v>78</v>
      </c>
      <c r="X81" s="12"/>
      <c r="Y81" s="13"/>
      <c r="Z81" s="13"/>
      <c r="AB81" s="11">
        <v>78</v>
      </c>
      <c r="AC81" s="12"/>
      <c r="AD81" s="12"/>
      <c r="AE81" s="12"/>
      <c r="AG81" s="11">
        <v>78</v>
      </c>
      <c r="AH81" s="12"/>
      <c r="AI81" s="12"/>
      <c r="AJ81" s="12"/>
      <c r="AL81" s="11">
        <v>78</v>
      </c>
      <c r="AM81" s="12"/>
      <c r="AN81" s="12"/>
      <c r="AO81" s="12"/>
      <c r="AQ81" s="11">
        <v>78</v>
      </c>
      <c r="AR81" s="13"/>
      <c r="AS81" s="13"/>
      <c r="AT81" s="11">
        <v>78</v>
      </c>
      <c r="AU81" s="13"/>
      <c r="AW81" s="11">
        <v>78</v>
      </c>
      <c r="AX81" s="12"/>
      <c r="AY81" s="12"/>
      <c r="AZ81" s="12"/>
      <c r="BA81" s="12"/>
      <c r="BB81" s="12"/>
      <c r="BC81" s="12"/>
      <c r="BD81" s="12"/>
      <c r="BE81" s="12"/>
      <c r="BF81" s="24"/>
      <c r="BG81" s="29"/>
      <c r="BH81" s="12"/>
      <c r="BI81" s="12"/>
      <c r="BK81" s="11">
        <v>78</v>
      </c>
      <c r="BL81" s="12"/>
      <c r="BM81" s="13"/>
      <c r="BN81" s="13"/>
      <c r="BP81" s="11">
        <v>78</v>
      </c>
      <c r="BQ81" s="12"/>
      <c r="BR81" s="13"/>
      <c r="BS81" s="13"/>
      <c r="BU81" s="11">
        <v>78</v>
      </c>
      <c r="BV81" s="12"/>
      <c r="BW81" s="12"/>
      <c r="BX81" s="12"/>
      <c r="BZ81" s="11">
        <v>78</v>
      </c>
      <c r="CA81" s="12"/>
      <c r="CC81" s="11">
        <v>78</v>
      </c>
      <c r="CD81" s="12"/>
    </row>
    <row r="82" spans="1:82">
      <c r="A82" s="20" t="s">
        <v>24</v>
      </c>
      <c r="B82" s="20">
        <v>9</v>
      </c>
      <c r="C82" s="5" t="s">
        <v>16</v>
      </c>
      <c r="D82" s="37">
        <f t="shared" si="13"/>
        <v>0</v>
      </c>
      <c r="E82" s="59">
        <f t="shared" si="14"/>
        <v>0</v>
      </c>
      <c r="F82" s="38">
        <f t="shared" si="12"/>
        <v>0</v>
      </c>
      <c r="R82" s="11">
        <v>79</v>
      </c>
      <c r="S82" s="12"/>
      <c r="T82" s="13"/>
      <c r="U82" s="13"/>
      <c r="W82" s="11">
        <v>79</v>
      </c>
      <c r="X82" s="12"/>
      <c r="Y82" s="13"/>
      <c r="Z82" s="13"/>
      <c r="AB82" s="11">
        <v>79</v>
      </c>
      <c r="AC82" s="12"/>
      <c r="AD82" s="12"/>
      <c r="AE82" s="12"/>
      <c r="AG82" s="11">
        <v>79</v>
      </c>
      <c r="AH82" s="12"/>
      <c r="AI82" s="12"/>
      <c r="AJ82" s="12"/>
      <c r="AL82" s="11">
        <v>79</v>
      </c>
      <c r="AM82" s="12"/>
      <c r="AN82" s="12"/>
      <c r="AO82" s="12"/>
      <c r="AQ82" s="11">
        <v>79</v>
      </c>
      <c r="AR82" s="13"/>
      <c r="AS82" s="13"/>
      <c r="AT82" s="11">
        <v>79</v>
      </c>
      <c r="AU82" s="13"/>
      <c r="AW82" s="11">
        <v>79</v>
      </c>
      <c r="AX82" s="12"/>
      <c r="AY82" s="12"/>
      <c r="AZ82" s="12"/>
      <c r="BA82" s="12"/>
      <c r="BB82" s="12"/>
      <c r="BC82" s="12"/>
      <c r="BD82" s="12"/>
      <c r="BE82" s="12"/>
      <c r="BF82" s="24"/>
      <c r="BG82" s="29"/>
      <c r="BH82" s="12"/>
      <c r="BI82" s="12"/>
      <c r="BK82" s="11">
        <v>79</v>
      </c>
      <c r="BL82" s="12"/>
      <c r="BM82" s="13"/>
      <c r="BN82" s="13"/>
      <c r="BP82" s="11">
        <v>79</v>
      </c>
      <c r="BQ82" s="12"/>
      <c r="BR82" s="13"/>
      <c r="BS82" s="13"/>
      <c r="BU82" s="11">
        <v>79</v>
      </c>
      <c r="BV82" s="12"/>
      <c r="BW82" s="12"/>
      <c r="BX82" s="12"/>
      <c r="BZ82" s="11">
        <v>79</v>
      </c>
      <c r="CA82" s="12"/>
      <c r="CC82" s="11">
        <v>79</v>
      </c>
      <c r="CD82" s="12"/>
    </row>
    <row r="83" spans="1:82">
      <c r="A83" s="21" t="s">
        <v>35</v>
      </c>
      <c r="B83" s="21">
        <v>10</v>
      </c>
      <c r="C83" s="5" t="s">
        <v>37</v>
      </c>
      <c r="D83" s="37">
        <f t="shared" si="13"/>
        <v>0</v>
      </c>
      <c r="E83" s="59">
        <f t="shared" si="14"/>
        <v>0</v>
      </c>
      <c r="F83" s="38">
        <f t="shared" si="12"/>
        <v>0</v>
      </c>
      <c r="R83" s="11">
        <v>80</v>
      </c>
      <c r="S83" s="12"/>
      <c r="T83" s="13"/>
      <c r="U83" s="13"/>
      <c r="W83" s="11">
        <v>80</v>
      </c>
      <c r="X83" s="12"/>
      <c r="Y83" s="13"/>
      <c r="Z83" s="13"/>
      <c r="AB83" s="11">
        <v>80</v>
      </c>
      <c r="AC83" s="12"/>
      <c r="AD83" s="12"/>
      <c r="AE83" s="12"/>
      <c r="AG83" s="11">
        <v>80</v>
      </c>
      <c r="AH83" s="12"/>
      <c r="AI83" s="12"/>
      <c r="AJ83" s="12"/>
      <c r="AL83" s="11">
        <v>80</v>
      </c>
      <c r="AM83" s="12"/>
      <c r="AN83" s="12"/>
      <c r="AO83" s="12"/>
      <c r="AQ83" s="11">
        <v>80</v>
      </c>
      <c r="AR83" s="13"/>
      <c r="AS83" s="13"/>
      <c r="AT83" s="11">
        <v>80</v>
      </c>
      <c r="AU83" s="13"/>
      <c r="AW83" s="11">
        <v>80</v>
      </c>
      <c r="AX83" s="12"/>
      <c r="AY83" s="12"/>
      <c r="AZ83" s="12"/>
      <c r="BA83" s="12"/>
      <c r="BB83" s="12"/>
      <c r="BC83" s="12"/>
      <c r="BD83" s="12"/>
      <c r="BE83" s="12"/>
      <c r="BF83" s="24"/>
      <c r="BG83" s="29"/>
      <c r="BH83" s="12"/>
      <c r="BI83" s="12"/>
      <c r="BK83" s="11">
        <v>80</v>
      </c>
      <c r="BL83" s="12"/>
      <c r="BM83" s="13"/>
      <c r="BN83" s="13"/>
      <c r="BP83" s="11">
        <v>80</v>
      </c>
      <c r="BQ83" s="12"/>
      <c r="BR83" s="13"/>
      <c r="BS83" s="13"/>
      <c r="BU83" s="11">
        <v>80</v>
      </c>
      <c r="BV83" s="12"/>
      <c r="BW83" s="12"/>
      <c r="BX83" s="12"/>
      <c r="BZ83" s="11">
        <v>80</v>
      </c>
      <c r="CA83" s="12"/>
      <c r="CC83" s="11">
        <v>80</v>
      </c>
      <c r="CD83" s="12"/>
    </row>
    <row r="84" spans="1:82">
      <c r="A84" s="22" t="s">
        <v>39</v>
      </c>
      <c r="B84" s="22">
        <v>11</v>
      </c>
      <c r="C84" s="17" t="s">
        <v>38</v>
      </c>
      <c r="D84" s="60">
        <f t="shared" si="13"/>
        <v>0</v>
      </c>
      <c r="E84" s="39">
        <f t="shared" si="14"/>
        <v>0</v>
      </c>
      <c r="F84" s="40">
        <f t="shared" si="12"/>
        <v>0</v>
      </c>
      <c r="R84" s="11">
        <v>81</v>
      </c>
      <c r="S84" s="12"/>
      <c r="T84" s="13"/>
      <c r="U84" s="13"/>
      <c r="W84" s="11">
        <v>81</v>
      </c>
      <c r="X84" s="12"/>
      <c r="Y84" s="13"/>
      <c r="Z84" s="13"/>
      <c r="AB84" s="11">
        <v>81</v>
      </c>
      <c r="AC84" s="12"/>
      <c r="AD84" s="12"/>
      <c r="AE84" s="12"/>
      <c r="AG84" s="11">
        <v>81</v>
      </c>
      <c r="AH84" s="12"/>
      <c r="AI84" s="12"/>
      <c r="AJ84" s="12"/>
      <c r="AL84" s="11">
        <v>81</v>
      </c>
      <c r="AM84" s="12"/>
      <c r="AN84" s="12"/>
      <c r="AO84" s="12"/>
      <c r="AQ84" s="11">
        <v>81</v>
      </c>
      <c r="AR84" s="13"/>
      <c r="AS84" s="13"/>
      <c r="AT84" s="11">
        <v>81</v>
      </c>
      <c r="AU84" s="13"/>
      <c r="AW84" s="11">
        <v>81</v>
      </c>
      <c r="AX84" s="12"/>
      <c r="AY84" s="12"/>
      <c r="AZ84" s="12"/>
      <c r="BA84" s="12"/>
      <c r="BB84" s="12"/>
      <c r="BC84" s="12"/>
      <c r="BD84" s="12"/>
      <c r="BE84" s="12"/>
      <c r="BF84" s="24"/>
      <c r="BG84" s="29"/>
      <c r="BH84" s="12"/>
      <c r="BI84" s="12"/>
      <c r="BK84" s="11">
        <v>81</v>
      </c>
      <c r="BL84" s="12"/>
      <c r="BM84" s="13"/>
      <c r="BN84" s="13"/>
      <c r="BP84" s="11">
        <v>81</v>
      </c>
      <c r="BQ84" s="12"/>
      <c r="BR84" s="13"/>
      <c r="BS84" s="13"/>
      <c r="BU84" s="11">
        <v>81</v>
      </c>
      <c r="BV84" s="12"/>
      <c r="BW84" s="12"/>
      <c r="BX84" s="12"/>
      <c r="BZ84" s="11">
        <v>81</v>
      </c>
      <c r="CA84" s="12"/>
      <c r="CC84" s="11">
        <v>81</v>
      </c>
      <c r="CD84" s="12"/>
    </row>
    <row r="85" spans="1:82">
      <c r="R85" s="11">
        <v>82</v>
      </c>
      <c r="S85" s="12"/>
      <c r="T85" s="13"/>
      <c r="U85" s="13"/>
      <c r="W85" s="11">
        <v>82</v>
      </c>
      <c r="X85" s="12"/>
      <c r="Y85" s="13"/>
      <c r="Z85" s="13"/>
      <c r="AB85" s="11">
        <v>82</v>
      </c>
      <c r="AC85" s="12"/>
      <c r="AD85" s="12"/>
      <c r="AE85" s="12"/>
      <c r="AG85" s="11">
        <v>82</v>
      </c>
      <c r="AH85" s="12"/>
      <c r="AI85" s="12"/>
      <c r="AJ85" s="12"/>
      <c r="AL85" s="11">
        <v>82</v>
      </c>
      <c r="AM85" s="12"/>
      <c r="AN85" s="12"/>
      <c r="AO85" s="12"/>
      <c r="AQ85" s="11">
        <v>82</v>
      </c>
      <c r="AR85" s="13"/>
      <c r="AS85" s="13"/>
      <c r="AT85" s="11">
        <v>82</v>
      </c>
      <c r="AU85" s="13"/>
      <c r="AW85" s="11">
        <v>82</v>
      </c>
      <c r="AX85" s="12"/>
      <c r="AY85" s="12"/>
      <c r="AZ85" s="12"/>
      <c r="BA85" s="12"/>
      <c r="BB85" s="12"/>
      <c r="BC85" s="12"/>
      <c r="BD85" s="12"/>
      <c r="BE85" s="12"/>
      <c r="BF85" s="24"/>
      <c r="BG85" s="29"/>
      <c r="BH85" s="12"/>
      <c r="BI85" s="12"/>
      <c r="BK85" s="11">
        <v>82</v>
      </c>
      <c r="BL85" s="12"/>
      <c r="BM85" s="13"/>
      <c r="BN85" s="13"/>
      <c r="BP85" s="11">
        <v>82</v>
      </c>
      <c r="BQ85" s="12"/>
      <c r="BR85" s="13"/>
      <c r="BS85" s="13"/>
      <c r="BU85" s="11">
        <v>82</v>
      </c>
      <c r="BV85" s="12"/>
      <c r="BW85" s="12"/>
      <c r="BX85" s="12"/>
      <c r="BZ85" s="11">
        <v>82</v>
      </c>
      <c r="CA85" s="12"/>
      <c r="CC85" s="11">
        <v>82</v>
      </c>
      <c r="CD85" s="12"/>
    </row>
    <row r="86" spans="1:82">
      <c r="R86" s="11">
        <v>83</v>
      </c>
      <c r="S86" s="12"/>
      <c r="T86" s="13"/>
      <c r="U86" s="13"/>
      <c r="W86" s="11">
        <v>83</v>
      </c>
      <c r="X86" s="12"/>
      <c r="Y86" s="13"/>
      <c r="Z86" s="13"/>
      <c r="AB86" s="11">
        <v>83</v>
      </c>
      <c r="AC86" s="12"/>
      <c r="AD86" s="12"/>
      <c r="AE86" s="12"/>
      <c r="AG86" s="11">
        <v>83</v>
      </c>
      <c r="AH86" s="12"/>
      <c r="AI86" s="12"/>
      <c r="AJ86" s="12"/>
      <c r="AL86" s="11">
        <v>83</v>
      </c>
      <c r="AM86" s="12"/>
      <c r="AN86" s="12"/>
      <c r="AO86" s="12"/>
      <c r="AQ86" s="11">
        <v>83</v>
      </c>
      <c r="AR86" s="13"/>
      <c r="AS86" s="13"/>
      <c r="AT86" s="11">
        <v>83</v>
      </c>
      <c r="AU86" s="13"/>
      <c r="AW86" s="11">
        <v>83</v>
      </c>
      <c r="AX86" s="12"/>
      <c r="AY86" s="12"/>
      <c r="AZ86" s="12"/>
      <c r="BA86" s="12"/>
      <c r="BB86" s="12"/>
      <c r="BC86" s="12"/>
      <c r="BD86" s="12"/>
      <c r="BE86" s="12"/>
      <c r="BF86" s="24"/>
      <c r="BG86" s="29"/>
      <c r="BH86" s="12"/>
      <c r="BI86" s="12"/>
      <c r="BK86" s="11">
        <v>83</v>
      </c>
      <c r="BL86" s="12"/>
      <c r="BM86" s="13"/>
      <c r="BN86" s="13"/>
      <c r="BP86" s="11">
        <v>83</v>
      </c>
      <c r="BQ86" s="12"/>
      <c r="BR86" s="13"/>
      <c r="BS86" s="13"/>
      <c r="BU86" s="11">
        <v>83</v>
      </c>
      <c r="BV86" s="12"/>
      <c r="BW86" s="12"/>
      <c r="BX86" s="12"/>
      <c r="BZ86" s="11">
        <v>83</v>
      </c>
      <c r="CA86" s="12"/>
      <c r="CC86" s="11">
        <v>83</v>
      </c>
      <c r="CD86" s="12"/>
    </row>
    <row r="87" spans="1:82">
      <c r="R87" s="11">
        <v>84</v>
      </c>
      <c r="S87" s="12"/>
      <c r="T87" s="13"/>
      <c r="U87" s="13"/>
      <c r="W87" s="11">
        <v>84</v>
      </c>
      <c r="X87" s="12"/>
      <c r="Y87" s="13"/>
      <c r="Z87" s="13"/>
      <c r="AB87" s="11">
        <v>84</v>
      </c>
      <c r="AC87" s="12"/>
      <c r="AD87" s="12"/>
      <c r="AE87" s="12"/>
      <c r="AG87" s="11">
        <v>84</v>
      </c>
      <c r="AH87" s="12"/>
      <c r="AI87" s="12"/>
      <c r="AJ87" s="12"/>
      <c r="AL87" s="11">
        <v>84</v>
      </c>
      <c r="AM87" s="12"/>
      <c r="AN87" s="12"/>
      <c r="AO87" s="12"/>
      <c r="AQ87" s="11">
        <v>84</v>
      </c>
      <c r="AR87" s="13"/>
      <c r="AS87" s="13"/>
      <c r="AT87" s="11">
        <v>84</v>
      </c>
      <c r="AU87" s="13"/>
      <c r="AW87" s="11">
        <v>84</v>
      </c>
      <c r="AX87" s="12"/>
      <c r="AY87" s="12"/>
      <c r="AZ87" s="12"/>
      <c r="BA87" s="12"/>
      <c r="BB87" s="12"/>
      <c r="BC87" s="12"/>
      <c r="BD87" s="12"/>
      <c r="BE87" s="12"/>
      <c r="BF87" s="24"/>
      <c r="BG87" s="29"/>
      <c r="BH87" s="12"/>
      <c r="BI87" s="12"/>
      <c r="BK87" s="11">
        <v>84</v>
      </c>
      <c r="BL87" s="12"/>
      <c r="BM87" s="13"/>
      <c r="BN87" s="13"/>
      <c r="BP87" s="11">
        <v>84</v>
      </c>
      <c r="BQ87" s="12"/>
      <c r="BR87" s="13"/>
      <c r="BS87" s="13"/>
      <c r="BU87" s="11">
        <v>84</v>
      </c>
      <c r="BV87" s="12"/>
      <c r="BW87" s="12"/>
      <c r="BX87" s="12"/>
      <c r="BZ87" s="11">
        <v>84</v>
      </c>
      <c r="CA87" s="12"/>
      <c r="CC87" s="11">
        <v>84</v>
      </c>
      <c r="CD87" s="12"/>
    </row>
    <row r="88" spans="1:82">
      <c r="R88" s="11">
        <v>85</v>
      </c>
      <c r="S88" s="12"/>
      <c r="T88" s="13"/>
      <c r="U88" s="13"/>
      <c r="W88" s="11">
        <v>85</v>
      </c>
      <c r="X88" s="12"/>
      <c r="Y88" s="13"/>
      <c r="Z88" s="13"/>
      <c r="AB88" s="11">
        <v>85</v>
      </c>
      <c r="AC88" s="12"/>
      <c r="AD88" s="12"/>
      <c r="AE88" s="12"/>
      <c r="AG88" s="11">
        <v>85</v>
      </c>
      <c r="AH88" s="12"/>
      <c r="AI88" s="12"/>
      <c r="AJ88" s="12"/>
      <c r="AL88" s="11">
        <v>85</v>
      </c>
      <c r="AM88" s="12"/>
      <c r="AN88" s="12"/>
      <c r="AO88" s="12"/>
      <c r="AQ88" s="11">
        <v>85</v>
      </c>
      <c r="AR88" s="13"/>
      <c r="AS88" s="13"/>
      <c r="AT88" s="11">
        <v>85</v>
      </c>
      <c r="AU88" s="13"/>
      <c r="AW88" s="11">
        <v>85</v>
      </c>
      <c r="AX88" s="12"/>
      <c r="AY88" s="12"/>
      <c r="AZ88" s="12"/>
      <c r="BA88" s="12"/>
      <c r="BB88" s="12"/>
      <c r="BC88" s="12"/>
      <c r="BD88" s="12"/>
      <c r="BE88" s="12"/>
      <c r="BF88" s="24"/>
      <c r="BG88" s="29"/>
      <c r="BH88" s="12"/>
      <c r="BI88" s="12"/>
      <c r="BK88" s="11">
        <v>85</v>
      </c>
      <c r="BL88" s="12"/>
      <c r="BM88" s="13"/>
      <c r="BN88" s="13"/>
      <c r="BP88" s="11">
        <v>85</v>
      </c>
      <c r="BQ88" s="12"/>
      <c r="BR88" s="13"/>
      <c r="BS88" s="13"/>
      <c r="BU88" s="11">
        <v>85</v>
      </c>
      <c r="BV88" s="12"/>
      <c r="BW88" s="12"/>
      <c r="BX88" s="12"/>
      <c r="BZ88" s="11">
        <v>85</v>
      </c>
      <c r="CA88" s="12"/>
      <c r="CC88" s="11">
        <v>85</v>
      </c>
      <c r="CD88" s="12"/>
    </row>
    <row r="89" spans="1:82">
      <c r="R89" s="11">
        <v>86</v>
      </c>
      <c r="S89" s="12"/>
      <c r="T89" s="13"/>
      <c r="U89" s="13"/>
      <c r="W89" s="11">
        <v>86</v>
      </c>
      <c r="X89" s="12"/>
      <c r="Y89" s="13"/>
      <c r="Z89" s="13"/>
      <c r="AB89" s="11">
        <v>86</v>
      </c>
      <c r="AC89" s="12"/>
      <c r="AD89" s="12"/>
      <c r="AE89" s="12"/>
      <c r="AG89" s="11">
        <v>86</v>
      </c>
      <c r="AH89" s="12"/>
      <c r="AI89" s="12"/>
      <c r="AJ89" s="12"/>
      <c r="AL89" s="11">
        <v>86</v>
      </c>
      <c r="AM89" s="12"/>
      <c r="AN89" s="12"/>
      <c r="AO89" s="12"/>
      <c r="AQ89" s="11">
        <v>86</v>
      </c>
      <c r="AR89" s="13"/>
      <c r="AS89" s="13"/>
      <c r="AT89" s="11">
        <v>86</v>
      </c>
      <c r="AU89" s="13"/>
      <c r="AW89" s="11">
        <v>86</v>
      </c>
      <c r="AX89" s="12"/>
      <c r="AY89" s="12"/>
      <c r="AZ89" s="12"/>
      <c r="BA89" s="12"/>
      <c r="BB89" s="12"/>
      <c r="BC89" s="12"/>
      <c r="BD89" s="12"/>
      <c r="BE89" s="12"/>
      <c r="BF89" s="24"/>
      <c r="BG89" s="29"/>
      <c r="BH89" s="12"/>
      <c r="BI89" s="12"/>
      <c r="BK89" s="11">
        <v>86</v>
      </c>
      <c r="BL89" s="12"/>
      <c r="BM89" s="13"/>
      <c r="BN89" s="13"/>
      <c r="BP89" s="11">
        <v>86</v>
      </c>
      <c r="BQ89" s="12"/>
      <c r="BR89" s="13"/>
      <c r="BS89" s="13"/>
      <c r="BU89" s="11">
        <v>86</v>
      </c>
      <c r="BV89" s="12"/>
      <c r="BW89" s="12"/>
      <c r="BX89" s="12"/>
      <c r="BZ89" s="11">
        <v>86</v>
      </c>
      <c r="CA89" s="12"/>
      <c r="CC89" s="11">
        <v>86</v>
      </c>
      <c r="CD89" s="12"/>
    </row>
    <row r="90" spans="1:82">
      <c r="R90" s="11">
        <v>87</v>
      </c>
      <c r="S90" s="12"/>
      <c r="T90" s="13"/>
      <c r="U90" s="13"/>
      <c r="W90" s="11">
        <v>87</v>
      </c>
      <c r="X90" s="12"/>
      <c r="Y90" s="13"/>
      <c r="Z90" s="13"/>
      <c r="AB90" s="11">
        <v>87</v>
      </c>
      <c r="AC90" s="12"/>
      <c r="AD90" s="12"/>
      <c r="AE90" s="12"/>
      <c r="AG90" s="11">
        <v>87</v>
      </c>
      <c r="AH90" s="12"/>
      <c r="AI90" s="12"/>
      <c r="AJ90" s="12"/>
      <c r="AL90" s="11">
        <v>87</v>
      </c>
      <c r="AM90" s="12"/>
      <c r="AN90" s="12"/>
      <c r="AO90" s="12"/>
      <c r="AQ90" s="11">
        <v>87</v>
      </c>
      <c r="AR90" s="13"/>
      <c r="AS90" s="13"/>
      <c r="AT90" s="11">
        <v>87</v>
      </c>
      <c r="AU90" s="13"/>
      <c r="AW90" s="11">
        <v>87</v>
      </c>
      <c r="AX90" s="12"/>
      <c r="AY90" s="12"/>
      <c r="AZ90" s="12"/>
      <c r="BA90" s="12"/>
      <c r="BB90" s="12"/>
      <c r="BC90" s="12"/>
      <c r="BD90" s="12"/>
      <c r="BE90" s="12"/>
      <c r="BF90" s="24"/>
      <c r="BG90" s="29"/>
      <c r="BH90" s="12"/>
      <c r="BI90" s="12"/>
      <c r="BK90" s="11">
        <v>87</v>
      </c>
      <c r="BL90" s="12"/>
      <c r="BM90" s="13"/>
      <c r="BN90" s="13"/>
      <c r="BP90" s="11">
        <v>87</v>
      </c>
      <c r="BQ90" s="12"/>
      <c r="BR90" s="13"/>
      <c r="BS90" s="13"/>
      <c r="BU90" s="11">
        <v>87</v>
      </c>
      <c r="BV90" s="12"/>
      <c r="BW90" s="12"/>
      <c r="BX90" s="12"/>
      <c r="BZ90" s="11">
        <v>87</v>
      </c>
      <c r="CA90" s="12"/>
      <c r="CC90" s="11">
        <v>87</v>
      </c>
      <c r="CD90" s="12"/>
    </row>
    <row r="91" spans="1:82">
      <c r="R91" s="11">
        <v>88</v>
      </c>
      <c r="S91" s="12"/>
      <c r="T91" s="13"/>
      <c r="U91" s="13"/>
      <c r="W91" s="11">
        <v>88</v>
      </c>
      <c r="X91" s="12"/>
      <c r="Y91" s="13"/>
      <c r="Z91" s="13"/>
      <c r="AB91" s="11">
        <v>88</v>
      </c>
      <c r="AC91" s="12"/>
      <c r="AD91" s="12"/>
      <c r="AE91" s="12"/>
      <c r="AG91" s="11">
        <v>88</v>
      </c>
      <c r="AH91" s="12"/>
      <c r="AI91" s="12"/>
      <c r="AJ91" s="12"/>
      <c r="AL91" s="11">
        <v>88</v>
      </c>
      <c r="AM91" s="12"/>
      <c r="AN91" s="12"/>
      <c r="AO91" s="12"/>
      <c r="AQ91" s="11">
        <v>88</v>
      </c>
      <c r="AR91" s="13"/>
      <c r="AS91" s="13"/>
      <c r="AT91" s="11">
        <v>88</v>
      </c>
      <c r="AU91" s="13"/>
      <c r="AW91" s="11">
        <v>88</v>
      </c>
      <c r="AX91" s="12"/>
      <c r="AY91" s="12"/>
      <c r="AZ91" s="12"/>
      <c r="BA91" s="12"/>
      <c r="BB91" s="12"/>
      <c r="BC91" s="12"/>
      <c r="BD91" s="12"/>
      <c r="BE91" s="12"/>
      <c r="BF91" s="24"/>
      <c r="BG91" s="29"/>
      <c r="BH91" s="12"/>
      <c r="BI91" s="12"/>
      <c r="BK91" s="11">
        <v>88</v>
      </c>
      <c r="BL91" s="12"/>
      <c r="BM91" s="13"/>
      <c r="BN91" s="13"/>
      <c r="BP91" s="11">
        <v>88</v>
      </c>
      <c r="BQ91" s="12"/>
      <c r="BR91" s="13"/>
      <c r="BS91" s="13"/>
      <c r="BU91" s="11">
        <v>88</v>
      </c>
      <c r="BV91" s="12"/>
      <c r="BW91" s="12"/>
      <c r="BX91" s="12"/>
      <c r="BZ91" s="11">
        <v>88</v>
      </c>
      <c r="CA91" s="12"/>
      <c r="CC91" s="11">
        <v>88</v>
      </c>
      <c r="CD91" s="12"/>
    </row>
    <row r="92" spans="1:82">
      <c r="R92" s="11">
        <v>89</v>
      </c>
      <c r="S92" s="12"/>
      <c r="T92" s="13"/>
      <c r="U92" s="13"/>
      <c r="W92" s="11">
        <v>89</v>
      </c>
      <c r="X92" s="12"/>
      <c r="Y92" s="13"/>
      <c r="Z92" s="13"/>
      <c r="AB92" s="11">
        <v>89</v>
      </c>
      <c r="AC92" s="12"/>
      <c r="AD92" s="12"/>
      <c r="AE92" s="12"/>
      <c r="AG92" s="11">
        <v>89</v>
      </c>
      <c r="AH92" s="12"/>
      <c r="AI92" s="12"/>
      <c r="AJ92" s="12"/>
      <c r="AL92" s="11">
        <v>89</v>
      </c>
      <c r="AM92" s="12"/>
      <c r="AN92" s="12"/>
      <c r="AO92" s="12"/>
      <c r="AQ92" s="11">
        <v>89</v>
      </c>
      <c r="AR92" s="13"/>
      <c r="AS92" s="13"/>
      <c r="AT92" s="11">
        <v>89</v>
      </c>
      <c r="AU92" s="13"/>
      <c r="AW92" s="11">
        <v>89</v>
      </c>
      <c r="AX92" s="12"/>
      <c r="AY92" s="12"/>
      <c r="AZ92" s="12"/>
      <c r="BA92" s="12"/>
      <c r="BB92" s="12"/>
      <c r="BC92" s="12"/>
      <c r="BD92" s="12"/>
      <c r="BE92" s="12"/>
      <c r="BF92" s="24"/>
      <c r="BG92" s="29"/>
      <c r="BH92" s="12"/>
      <c r="BI92" s="12"/>
      <c r="BK92" s="11">
        <v>89</v>
      </c>
      <c r="BL92" s="12"/>
      <c r="BM92" s="13"/>
      <c r="BN92" s="13"/>
      <c r="BP92" s="11">
        <v>89</v>
      </c>
      <c r="BQ92" s="12"/>
      <c r="BR92" s="13"/>
      <c r="BS92" s="13"/>
      <c r="BU92" s="11">
        <v>89</v>
      </c>
      <c r="BV92" s="12"/>
      <c r="BW92" s="12"/>
      <c r="BX92" s="12"/>
      <c r="BZ92" s="11">
        <v>89</v>
      </c>
      <c r="CA92" s="12"/>
      <c r="CC92" s="11">
        <v>89</v>
      </c>
      <c r="CD92" s="12"/>
    </row>
    <row r="93" spans="1:82">
      <c r="R93" s="11">
        <v>90</v>
      </c>
      <c r="S93" s="12"/>
      <c r="T93" s="13"/>
      <c r="U93" s="13"/>
      <c r="W93" s="11">
        <v>90</v>
      </c>
      <c r="X93" s="12"/>
      <c r="Y93" s="13"/>
      <c r="Z93" s="13"/>
      <c r="AB93" s="11">
        <v>90</v>
      </c>
      <c r="AC93" s="12"/>
      <c r="AD93" s="12"/>
      <c r="AE93" s="12"/>
      <c r="AG93" s="11">
        <v>90</v>
      </c>
      <c r="AH93" s="12"/>
      <c r="AI93" s="12"/>
      <c r="AJ93" s="12"/>
      <c r="AL93" s="11">
        <v>90</v>
      </c>
      <c r="AM93" s="12"/>
      <c r="AN93" s="12"/>
      <c r="AO93" s="12"/>
      <c r="AQ93" s="11">
        <v>90</v>
      </c>
      <c r="AR93" s="13"/>
      <c r="AS93" s="13"/>
      <c r="AT93" s="11">
        <v>90</v>
      </c>
      <c r="AU93" s="13"/>
      <c r="AW93" s="11">
        <v>90</v>
      </c>
      <c r="AX93" s="12"/>
      <c r="AY93" s="12"/>
      <c r="AZ93" s="12"/>
      <c r="BA93" s="12"/>
      <c r="BB93" s="12"/>
      <c r="BC93" s="12"/>
      <c r="BD93" s="12"/>
      <c r="BE93" s="12"/>
      <c r="BF93" s="24"/>
      <c r="BG93" s="29"/>
      <c r="BH93" s="12"/>
      <c r="BI93" s="12"/>
      <c r="BK93" s="11">
        <v>90</v>
      </c>
      <c r="BL93" s="12"/>
      <c r="BM93" s="13"/>
      <c r="BN93" s="13"/>
      <c r="BP93" s="11">
        <v>90</v>
      </c>
      <c r="BQ93" s="12"/>
      <c r="BR93" s="13"/>
      <c r="BS93" s="13"/>
      <c r="BU93" s="11">
        <v>90</v>
      </c>
      <c r="BV93" s="12"/>
      <c r="BW93" s="12"/>
      <c r="BX93" s="12"/>
      <c r="BZ93" s="11">
        <v>90</v>
      </c>
      <c r="CA93" s="12"/>
      <c r="CC93" s="11">
        <v>90</v>
      </c>
      <c r="CD93" s="12"/>
    </row>
    <row r="94" spans="1:82">
      <c r="R94" s="11">
        <v>91</v>
      </c>
      <c r="S94" s="12"/>
      <c r="T94" s="13"/>
      <c r="U94" s="13"/>
      <c r="W94" s="11">
        <v>91</v>
      </c>
      <c r="X94" s="12"/>
      <c r="Y94" s="13"/>
      <c r="Z94" s="13"/>
      <c r="AB94" s="11">
        <v>91</v>
      </c>
      <c r="AC94" s="12"/>
      <c r="AD94" s="12"/>
      <c r="AE94" s="12"/>
      <c r="AG94" s="11">
        <v>91</v>
      </c>
      <c r="AH94" s="12"/>
      <c r="AI94" s="12"/>
      <c r="AJ94" s="12"/>
      <c r="AL94" s="11">
        <v>91</v>
      </c>
      <c r="AM94" s="12"/>
      <c r="AN94" s="12"/>
      <c r="AO94" s="12"/>
      <c r="AQ94" s="11">
        <v>91</v>
      </c>
      <c r="AR94" s="13"/>
      <c r="AS94" s="13"/>
      <c r="AT94" s="11">
        <v>91</v>
      </c>
      <c r="AU94" s="13"/>
      <c r="AW94" s="11">
        <v>91</v>
      </c>
      <c r="AX94" s="12"/>
      <c r="AY94" s="12"/>
      <c r="AZ94" s="12"/>
      <c r="BA94" s="12"/>
      <c r="BB94" s="12"/>
      <c r="BC94" s="12"/>
      <c r="BD94" s="12"/>
      <c r="BE94" s="12"/>
      <c r="BF94" s="24"/>
      <c r="BG94" s="29"/>
      <c r="BH94" s="12"/>
      <c r="BI94" s="12"/>
      <c r="BK94" s="11">
        <v>91</v>
      </c>
      <c r="BL94" s="12"/>
      <c r="BM94" s="13"/>
      <c r="BN94" s="13"/>
      <c r="BP94" s="11">
        <v>91</v>
      </c>
      <c r="BQ94" s="12"/>
      <c r="BR94" s="13"/>
      <c r="BS94" s="13"/>
      <c r="BU94" s="11">
        <v>91</v>
      </c>
      <c r="BV94" s="12"/>
      <c r="BW94" s="12"/>
      <c r="BX94" s="12"/>
      <c r="BZ94" s="11">
        <v>91</v>
      </c>
      <c r="CA94" s="12"/>
      <c r="CC94" s="11">
        <v>91</v>
      </c>
      <c r="CD94" s="12"/>
    </row>
    <row r="95" spans="1:82">
      <c r="R95" s="11">
        <v>92</v>
      </c>
      <c r="S95" s="12"/>
      <c r="T95" s="13"/>
      <c r="U95" s="13"/>
      <c r="W95" s="11">
        <v>92</v>
      </c>
      <c r="X95" s="12"/>
      <c r="Y95" s="13"/>
      <c r="Z95" s="13"/>
      <c r="AB95" s="11">
        <v>92</v>
      </c>
      <c r="AC95" s="12"/>
      <c r="AD95" s="12"/>
      <c r="AE95" s="12"/>
      <c r="AG95" s="11">
        <v>92</v>
      </c>
      <c r="AH95" s="12"/>
      <c r="AI95" s="12"/>
      <c r="AJ95" s="12"/>
      <c r="AL95" s="11">
        <v>92</v>
      </c>
      <c r="AM95" s="12"/>
      <c r="AN95" s="12"/>
      <c r="AO95" s="12"/>
      <c r="AQ95" s="11">
        <v>92</v>
      </c>
      <c r="AR95" s="13"/>
      <c r="AS95" s="13"/>
      <c r="AT95" s="11">
        <v>92</v>
      </c>
      <c r="AU95" s="13"/>
      <c r="AW95" s="11">
        <v>92</v>
      </c>
      <c r="AX95" s="12"/>
      <c r="AY95" s="12"/>
      <c r="AZ95" s="12"/>
      <c r="BA95" s="12"/>
      <c r="BB95" s="12"/>
      <c r="BC95" s="12"/>
      <c r="BD95" s="12"/>
      <c r="BE95" s="12"/>
      <c r="BF95" s="24"/>
      <c r="BG95" s="29"/>
      <c r="BH95" s="12"/>
      <c r="BI95" s="12"/>
      <c r="BK95" s="11">
        <v>92</v>
      </c>
      <c r="BL95" s="12"/>
      <c r="BM95" s="13"/>
      <c r="BN95" s="13"/>
      <c r="BP95" s="11">
        <v>92</v>
      </c>
      <c r="BQ95" s="12"/>
      <c r="BR95" s="13"/>
      <c r="BS95" s="13"/>
      <c r="BU95" s="11">
        <v>92</v>
      </c>
      <c r="BV95" s="12"/>
      <c r="BW95" s="12"/>
      <c r="BX95" s="12"/>
      <c r="BZ95" s="11">
        <v>92</v>
      </c>
      <c r="CA95" s="12"/>
      <c r="CC95" s="11">
        <v>92</v>
      </c>
      <c r="CD95" s="12"/>
    </row>
    <row r="96" spans="1:82">
      <c r="R96" s="11">
        <v>93</v>
      </c>
      <c r="S96" s="12"/>
      <c r="T96" s="13"/>
      <c r="U96" s="13"/>
      <c r="W96" s="11">
        <v>93</v>
      </c>
      <c r="X96" s="12"/>
      <c r="Y96" s="13"/>
      <c r="Z96" s="13"/>
      <c r="AB96" s="11">
        <v>93</v>
      </c>
      <c r="AC96" s="12"/>
      <c r="AD96" s="12"/>
      <c r="AE96" s="12"/>
      <c r="AG96" s="11">
        <v>93</v>
      </c>
      <c r="AH96" s="12"/>
      <c r="AI96" s="12"/>
      <c r="AJ96" s="12"/>
      <c r="AL96" s="11">
        <v>93</v>
      </c>
      <c r="AM96" s="12"/>
      <c r="AN96" s="12"/>
      <c r="AO96" s="12"/>
      <c r="AQ96" s="11">
        <v>93</v>
      </c>
      <c r="AR96" s="13"/>
      <c r="AS96" s="13"/>
      <c r="AT96" s="11">
        <v>93</v>
      </c>
      <c r="AU96" s="13"/>
      <c r="AW96" s="11">
        <v>93</v>
      </c>
      <c r="AX96" s="12"/>
      <c r="AY96" s="12"/>
      <c r="AZ96" s="12"/>
      <c r="BA96" s="12"/>
      <c r="BB96" s="12"/>
      <c r="BC96" s="12"/>
      <c r="BD96" s="12"/>
      <c r="BE96" s="12"/>
      <c r="BF96" s="24"/>
      <c r="BG96" s="29"/>
      <c r="BH96" s="12"/>
      <c r="BI96" s="12"/>
      <c r="BK96" s="11">
        <v>93</v>
      </c>
      <c r="BL96" s="12"/>
      <c r="BM96" s="13"/>
      <c r="BN96" s="13"/>
      <c r="BP96" s="11">
        <v>93</v>
      </c>
      <c r="BQ96" s="12"/>
      <c r="BR96" s="13"/>
      <c r="BS96" s="13"/>
      <c r="BU96" s="11">
        <v>93</v>
      </c>
      <c r="BV96" s="12"/>
      <c r="BW96" s="12"/>
      <c r="BX96" s="12"/>
      <c r="BZ96" s="11">
        <v>93</v>
      </c>
      <c r="CA96" s="12"/>
      <c r="CC96" s="11">
        <v>93</v>
      </c>
      <c r="CD96" s="12"/>
    </row>
    <row r="97" spans="18:82">
      <c r="R97" s="11">
        <v>94</v>
      </c>
      <c r="S97" s="12"/>
      <c r="T97" s="13"/>
      <c r="U97" s="13"/>
      <c r="W97" s="11">
        <v>94</v>
      </c>
      <c r="X97" s="12"/>
      <c r="Y97" s="13"/>
      <c r="Z97" s="13"/>
      <c r="AB97" s="11">
        <v>94</v>
      </c>
      <c r="AC97" s="12"/>
      <c r="AD97" s="12"/>
      <c r="AE97" s="12"/>
      <c r="AG97" s="11">
        <v>94</v>
      </c>
      <c r="AH97" s="12"/>
      <c r="AI97" s="12"/>
      <c r="AJ97" s="12"/>
      <c r="AL97" s="11">
        <v>94</v>
      </c>
      <c r="AM97" s="12"/>
      <c r="AN97" s="12"/>
      <c r="AO97" s="12"/>
      <c r="AQ97" s="11">
        <v>94</v>
      </c>
      <c r="AR97" s="13"/>
      <c r="AS97" s="13"/>
      <c r="AT97" s="11">
        <v>94</v>
      </c>
      <c r="AU97" s="13"/>
      <c r="AW97" s="11">
        <v>94</v>
      </c>
      <c r="AX97" s="12"/>
      <c r="AY97" s="12"/>
      <c r="AZ97" s="12"/>
      <c r="BA97" s="12"/>
      <c r="BB97" s="12"/>
      <c r="BC97" s="12"/>
      <c r="BD97" s="12"/>
      <c r="BE97" s="12"/>
      <c r="BF97" s="24"/>
      <c r="BG97" s="29"/>
      <c r="BH97" s="12"/>
      <c r="BI97" s="12"/>
      <c r="BK97" s="11">
        <v>94</v>
      </c>
      <c r="BL97" s="12"/>
      <c r="BM97" s="13"/>
      <c r="BN97" s="13"/>
      <c r="BP97" s="11">
        <v>94</v>
      </c>
      <c r="BQ97" s="12"/>
      <c r="BR97" s="13"/>
      <c r="BS97" s="13"/>
      <c r="BU97" s="11">
        <v>94</v>
      </c>
      <c r="BV97" s="12"/>
      <c r="BW97" s="12"/>
      <c r="BX97" s="12"/>
      <c r="BZ97" s="11">
        <v>94</v>
      </c>
      <c r="CA97" s="12"/>
      <c r="CC97" s="11">
        <v>94</v>
      </c>
      <c r="CD97" s="12"/>
    </row>
    <row r="98" spans="18:82">
      <c r="R98" s="11">
        <v>95</v>
      </c>
      <c r="S98" s="12"/>
      <c r="T98" s="13"/>
      <c r="U98" s="13"/>
      <c r="W98" s="11">
        <v>95</v>
      </c>
      <c r="X98" s="12"/>
      <c r="Y98" s="13"/>
      <c r="Z98" s="13"/>
      <c r="AB98" s="11">
        <v>95</v>
      </c>
      <c r="AC98" s="12"/>
      <c r="AD98" s="12"/>
      <c r="AE98" s="12"/>
      <c r="AG98" s="11">
        <v>95</v>
      </c>
      <c r="AH98" s="12"/>
      <c r="AI98" s="12"/>
      <c r="AJ98" s="12"/>
      <c r="AL98" s="11">
        <v>95</v>
      </c>
      <c r="AM98" s="12"/>
      <c r="AN98" s="12"/>
      <c r="AO98" s="12"/>
      <c r="AQ98" s="11">
        <v>95</v>
      </c>
      <c r="AR98" s="13"/>
      <c r="AS98" s="13"/>
      <c r="AT98" s="11">
        <v>95</v>
      </c>
      <c r="AU98" s="13"/>
      <c r="AW98" s="11">
        <v>95</v>
      </c>
      <c r="AX98" s="12"/>
      <c r="AY98" s="12"/>
      <c r="AZ98" s="12"/>
      <c r="BA98" s="12"/>
      <c r="BB98" s="12"/>
      <c r="BC98" s="12"/>
      <c r="BD98" s="12"/>
      <c r="BE98" s="12"/>
      <c r="BF98" s="24"/>
      <c r="BG98" s="29"/>
      <c r="BH98" s="12"/>
      <c r="BI98" s="12"/>
      <c r="BK98" s="11">
        <v>95</v>
      </c>
      <c r="BL98" s="12"/>
      <c r="BM98" s="13"/>
      <c r="BN98" s="13"/>
      <c r="BP98" s="11">
        <v>95</v>
      </c>
      <c r="BQ98" s="12"/>
      <c r="BR98" s="13"/>
      <c r="BS98" s="13"/>
      <c r="BU98" s="11">
        <v>95</v>
      </c>
      <c r="BV98" s="12"/>
      <c r="BW98" s="12"/>
      <c r="BX98" s="12"/>
      <c r="BZ98" s="11">
        <v>95</v>
      </c>
      <c r="CA98" s="12"/>
      <c r="CC98" s="11">
        <v>95</v>
      </c>
      <c r="CD98" s="12"/>
    </row>
    <row r="99" spans="18:82">
      <c r="R99" s="11">
        <v>96</v>
      </c>
      <c r="S99" s="12"/>
      <c r="T99" s="13"/>
      <c r="U99" s="13"/>
      <c r="W99" s="11">
        <v>96</v>
      </c>
      <c r="X99" s="12"/>
      <c r="Y99" s="13"/>
      <c r="Z99" s="13"/>
      <c r="AB99" s="11">
        <v>96</v>
      </c>
      <c r="AC99" s="12"/>
      <c r="AD99" s="12"/>
      <c r="AE99" s="12"/>
      <c r="AG99" s="11">
        <v>96</v>
      </c>
      <c r="AH99" s="12"/>
      <c r="AI99" s="12"/>
      <c r="AJ99" s="12"/>
      <c r="AL99" s="11">
        <v>96</v>
      </c>
      <c r="AM99" s="12"/>
      <c r="AN99" s="12"/>
      <c r="AO99" s="12"/>
      <c r="AQ99" s="11">
        <v>96</v>
      </c>
      <c r="AR99" s="13"/>
      <c r="AS99" s="13"/>
      <c r="AT99" s="11">
        <v>96</v>
      </c>
      <c r="AU99" s="13"/>
      <c r="AW99" s="11">
        <v>96</v>
      </c>
      <c r="AX99" s="12"/>
      <c r="AY99" s="12"/>
      <c r="AZ99" s="12"/>
      <c r="BA99" s="12"/>
      <c r="BB99" s="12"/>
      <c r="BC99" s="12"/>
      <c r="BD99" s="12"/>
      <c r="BE99" s="12"/>
      <c r="BF99" s="24"/>
      <c r="BG99" s="29"/>
      <c r="BH99" s="12"/>
      <c r="BI99" s="12"/>
      <c r="BK99" s="11">
        <v>96</v>
      </c>
      <c r="BL99" s="12"/>
      <c r="BM99" s="13"/>
      <c r="BN99" s="13"/>
      <c r="BP99" s="11">
        <v>96</v>
      </c>
      <c r="BQ99" s="12"/>
      <c r="BR99" s="13"/>
      <c r="BS99" s="13"/>
      <c r="BU99" s="11">
        <v>96</v>
      </c>
      <c r="BV99" s="12"/>
      <c r="BW99" s="12"/>
      <c r="BX99" s="12"/>
      <c r="BZ99" s="11">
        <v>96</v>
      </c>
      <c r="CA99" s="12"/>
      <c r="CC99" s="11">
        <v>96</v>
      </c>
      <c r="CD99" s="12"/>
    </row>
    <row r="100" spans="18:82">
      <c r="R100" s="11">
        <v>97</v>
      </c>
      <c r="S100" s="12"/>
      <c r="T100" s="13"/>
      <c r="U100" s="13"/>
      <c r="W100" s="11">
        <v>97</v>
      </c>
      <c r="X100" s="12"/>
      <c r="Y100" s="13"/>
      <c r="Z100" s="13"/>
      <c r="AB100" s="11">
        <v>97</v>
      </c>
      <c r="AC100" s="12"/>
      <c r="AD100" s="12"/>
      <c r="AE100" s="12"/>
      <c r="AG100" s="11">
        <v>97</v>
      </c>
      <c r="AH100" s="12"/>
      <c r="AI100" s="12"/>
      <c r="AJ100" s="12"/>
      <c r="AL100" s="11">
        <v>97</v>
      </c>
      <c r="AM100" s="12"/>
      <c r="AN100" s="12"/>
      <c r="AO100" s="12"/>
      <c r="AQ100" s="11">
        <v>97</v>
      </c>
      <c r="AR100" s="13"/>
      <c r="AS100" s="13"/>
      <c r="AT100" s="11">
        <v>97</v>
      </c>
      <c r="AU100" s="13"/>
      <c r="AW100" s="11">
        <v>97</v>
      </c>
      <c r="AX100" s="12"/>
      <c r="AY100" s="12"/>
      <c r="AZ100" s="12"/>
      <c r="BA100" s="12"/>
      <c r="BB100" s="12"/>
      <c r="BC100" s="12"/>
      <c r="BD100" s="12"/>
      <c r="BE100" s="12"/>
      <c r="BF100" s="24"/>
      <c r="BG100" s="29"/>
      <c r="BH100" s="12"/>
      <c r="BI100" s="12"/>
      <c r="BK100" s="11">
        <v>97</v>
      </c>
      <c r="BL100" s="12"/>
      <c r="BM100" s="13"/>
      <c r="BN100" s="13"/>
      <c r="BP100" s="11">
        <v>97</v>
      </c>
      <c r="BQ100" s="12"/>
      <c r="BR100" s="13"/>
      <c r="BS100" s="13"/>
      <c r="BU100" s="11">
        <v>97</v>
      </c>
      <c r="BV100" s="12"/>
      <c r="BW100" s="12"/>
      <c r="BX100" s="12"/>
      <c r="BZ100" s="11">
        <v>97</v>
      </c>
      <c r="CA100" s="12"/>
      <c r="CC100" s="11">
        <v>97</v>
      </c>
      <c r="CD100" s="12"/>
    </row>
    <row r="101" spans="18:82">
      <c r="R101" s="11">
        <v>98</v>
      </c>
      <c r="S101" s="12"/>
      <c r="T101" s="13"/>
      <c r="U101" s="13"/>
      <c r="W101" s="11">
        <v>98</v>
      </c>
      <c r="X101" s="12"/>
      <c r="Y101" s="13"/>
      <c r="Z101" s="13"/>
      <c r="AB101" s="11">
        <v>98</v>
      </c>
      <c r="AC101" s="12"/>
      <c r="AD101" s="12"/>
      <c r="AE101" s="12"/>
      <c r="AG101" s="11">
        <v>98</v>
      </c>
      <c r="AH101" s="12"/>
      <c r="AI101" s="12"/>
      <c r="AJ101" s="12"/>
      <c r="AL101" s="11">
        <v>98</v>
      </c>
      <c r="AM101" s="12"/>
      <c r="AN101" s="12"/>
      <c r="AO101" s="12"/>
      <c r="AQ101" s="11">
        <v>98</v>
      </c>
      <c r="AR101" s="13"/>
      <c r="AS101" s="13"/>
      <c r="AT101" s="11">
        <v>98</v>
      </c>
      <c r="AU101" s="13"/>
      <c r="AW101" s="11">
        <v>98</v>
      </c>
      <c r="AX101" s="12"/>
      <c r="AY101" s="12"/>
      <c r="AZ101" s="12"/>
      <c r="BA101" s="12"/>
      <c r="BB101" s="12"/>
      <c r="BC101" s="12"/>
      <c r="BD101" s="12"/>
      <c r="BE101" s="12"/>
      <c r="BF101" s="24"/>
      <c r="BG101" s="29"/>
      <c r="BH101" s="12"/>
      <c r="BI101" s="12"/>
      <c r="BK101" s="11">
        <v>98</v>
      </c>
      <c r="BL101" s="12"/>
      <c r="BM101" s="13"/>
      <c r="BN101" s="13"/>
      <c r="BP101" s="11">
        <v>98</v>
      </c>
      <c r="BQ101" s="12"/>
      <c r="BR101" s="13"/>
      <c r="BS101" s="13"/>
      <c r="BU101" s="11">
        <v>98</v>
      </c>
      <c r="BV101" s="12"/>
      <c r="BW101" s="12"/>
      <c r="BX101" s="12"/>
      <c r="BZ101" s="11">
        <v>98</v>
      </c>
      <c r="CA101" s="12"/>
      <c r="CC101" s="11">
        <v>98</v>
      </c>
      <c r="CD101" s="12"/>
    </row>
    <row r="102" spans="18:82">
      <c r="R102" s="11">
        <v>99</v>
      </c>
      <c r="S102" s="12"/>
      <c r="T102" s="13"/>
      <c r="U102" s="13"/>
      <c r="W102" s="11">
        <v>99</v>
      </c>
      <c r="X102" s="12"/>
      <c r="Y102" s="13"/>
      <c r="Z102" s="13"/>
      <c r="AB102" s="11">
        <v>99</v>
      </c>
      <c r="AC102" s="12"/>
      <c r="AD102" s="12"/>
      <c r="AE102" s="12"/>
      <c r="AG102" s="11">
        <v>99</v>
      </c>
      <c r="AH102" s="12"/>
      <c r="AI102" s="12"/>
      <c r="AJ102" s="12"/>
      <c r="AL102" s="11">
        <v>99</v>
      </c>
      <c r="AM102" s="12"/>
      <c r="AN102" s="12"/>
      <c r="AO102" s="12"/>
      <c r="AQ102" s="11">
        <v>99</v>
      </c>
      <c r="AR102" s="13"/>
      <c r="AS102" s="13"/>
      <c r="AT102" s="11">
        <v>99</v>
      </c>
      <c r="AU102" s="13"/>
      <c r="AW102" s="11">
        <v>99</v>
      </c>
      <c r="AX102" s="12"/>
      <c r="AY102" s="12"/>
      <c r="AZ102" s="12"/>
      <c r="BA102" s="12"/>
      <c r="BB102" s="12"/>
      <c r="BC102" s="12"/>
      <c r="BD102" s="12"/>
      <c r="BE102" s="12"/>
      <c r="BF102" s="24"/>
      <c r="BG102" s="29"/>
      <c r="BH102" s="12"/>
      <c r="BI102" s="12"/>
      <c r="BK102" s="11">
        <v>99</v>
      </c>
      <c r="BL102" s="12"/>
      <c r="BM102" s="13"/>
      <c r="BN102" s="13"/>
      <c r="BP102" s="11">
        <v>99</v>
      </c>
      <c r="BQ102" s="12"/>
      <c r="BR102" s="13"/>
      <c r="BS102" s="13"/>
      <c r="BU102" s="11">
        <v>99</v>
      </c>
      <c r="BV102" s="12"/>
      <c r="BW102" s="12"/>
      <c r="BX102" s="12"/>
      <c r="BZ102" s="11">
        <v>99</v>
      </c>
      <c r="CA102" s="12"/>
      <c r="CC102" s="11">
        <v>99</v>
      </c>
      <c r="CD102" s="12"/>
    </row>
    <row r="103" spans="18:82">
      <c r="R103" s="11">
        <v>100</v>
      </c>
      <c r="S103" s="12"/>
      <c r="T103" s="13"/>
      <c r="U103" s="13"/>
      <c r="W103" s="11">
        <v>100</v>
      </c>
      <c r="X103" s="12"/>
      <c r="Y103" s="13"/>
      <c r="Z103" s="13"/>
      <c r="AB103" s="11">
        <v>100</v>
      </c>
      <c r="AC103" s="12"/>
      <c r="AD103" s="12"/>
      <c r="AE103" s="12"/>
      <c r="AG103" s="11">
        <v>100</v>
      </c>
      <c r="AH103" s="12"/>
      <c r="AI103" s="12"/>
      <c r="AJ103" s="12"/>
      <c r="AL103" s="11">
        <v>100</v>
      </c>
      <c r="AM103" s="12"/>
      <c r="AN103" s="12"/>
      <c r="AO103" s="12"/>
      <c r="AQ103" s="11">
        <v>100</v>
      </c>
      <c r="AR103" s="13"/>
      <c r="AS103" s="13"/>
      <c r="AT103" s="11">
        <v>100</v>
      </c>
      <c r="AU103" s="13"/>
      <c r="AW103" s="11">
        <v>100</v>
      </c>
      <c r="AX103" s="12"/>
      <c r="AY103" s="12"/>
      <c r="AZ103" s="12"/>
      <c r="BA103" s="12"/>
      <c r="BB103" s="12"/>
      <c r="BC103" s="12"/>
      <c r="BD103" s="12"/>
      <c r="BE103" s="12"/>
      <c r="BF103" s="24"/>
      <c r="BG103" s="29"/>
      <c r="BH103" s="12"/>
      <c r="BI103" s="12"/>
      <c r="BK103" s="11">
        <v>100</v>
      </c>
      <c r="BL103" s="12"/>
      <c r="BM103" s="13"/>
      <c r="BN103" s="13"/>
      <c r="BP103" s="11">
        <v>100</v>
      </c>
      <c r="BQ103" s="12"/>
      <c r="BR103" s="13"/>
      <c r="BS103" s="13"/>
      <c r="BU103" s="11">
        <v>100</v>
      </c>
      <c r="BV103" s="12"/>
      <c r="BW103" s="12"/>
      <c r="BX103" s="12"/>
      <c r="BZ103" s="11">
        <v>100</v>
      </c>
      <c r="CA103" s="12"/>
      <c r="CC103" s="11">
        <v>100</v>
      </c>
      <c r="CD103" s="12"/>
    </row>
    <row r="111" spans="18:82">
      <c r="U111"/>
      <c r="AC111"/>
      <c r="AD111"/>
      <c r="AE111"/>
    </row>
    <row r="112" spans="18:82">
      <c r="U112" s="15"/>
      <c r="V112" s="15"/>
      <c r="W112" s="15"/>
      <c r="X112" s="15"/>
      <c r="Y112" s="15"/>
      <c r="Z112" s="15"/>
      <c r="AA112" s="15"/>
      <c r="AB112" s="15"/>
      <c r="AC112" s="15"/>
      <c r="AD112" s="15"/>
      <c r="AE112" s="15"/>
      <c r="AF112" s="15"/>
      <c r="AP112" s="15"/>
    </row>
    <row r="113" spans="9:42">
      <c r="V113" s="16"/>
      <c r="W113" s="16"/>
      <c r="X113" s="16"/>
      <c r="Y113" s="16"/>
      <c r="Z113" s="16"/>
      <c r="AA113" s="16"/>
      <c r="AB113" s="16"/>
      <c r="AF113" s="16"/>
      <c r="AP113" s="16"/>
    </row>
    <row r="126" spans="9:42">
      <c r="I126" s="34"/>
    </row>
  </sheetData>
  <mergeCells count="2">
    <mergeCell ref="J2:N2"/>
    <mergeCell ref="L5:N5"/>
  </mergeCells>
  <phoneticPr fontId="1" type="noConversion"/>
  <conditionalFormatting sqref="AF113">
    <cfRule type="cellIs" dxfId="739" priority="205" operator="equal">
      <formula>"E"</formula>
    </cfRule>
  </conditionalFormatting>
  <conditionalFormatting sqref="AB1">
    <cfRule type="cellIs" dxfId="738" priority="209" operator="equal">
      <formula>"E"</formula>
    </cfRule>
  </conditionalFormatting>
  <conditionalFormatting sqref="AB2:AB70">
    <cfRule type="cellIs" dxfId="737" priority="207" stopIfTrue="1" operator="equal">
      <formula>"WW"</formula>
    </cfRule>
    <cfRule type="cellIs" dxfId="736" priority="208" stopIfTrue="1" operator="equal">
      <formula>"C2"</formula>
    </cfRule>
  </conditionalFormatting>
  <conditionalFormatting sqref="AA113:AB113 AP113">
    <cfRule type="cellIs" dxfId="735" priority="206" operator="equal">
      <formula>"E"</formula>
    </cfRule>
  </conditionalFormatting>
  <conditionalFormatting sqref="J13">
    <cfRule type="dataBar" priority="20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{797A52B9-858C-4FF9-AC9F-B40433D38034}</x14:id>
        </ext>
      </extLst>
    </cfRule>
  </conditionalFormatting>
  <conditionalFormatting sqref="AL1">
    <cfRule type="cellIs" dxfId="734" priority="200" operator="equal">
      <formula>"E"</formula>
    </cfRule>
  </conditionalFormatting>
  <conditionalFormatting sqref="AG1">
    <cfRule type="cellIs" dxfId="733" priority="203" operator="equal">
      <formula>"E"</formula>
    </cfRule>
  </conditionalFormatting>
  <conditionalFormatting sqref="AG2:AG70">
    <cfRule type="cellIs" dxfId="732" priority="201" stopIfTrue="1" operator="equal">
      <formula>"WW"</formula>
    </cfRule>
    <cfRule type="cellIs" dxfId="731" priority="202" stopIfTrue="1" operator="equal">
      <formula>"C2"</formula>
    </cfRule>
  </conditionalFormatting>
  <conditionalFormatting sqref="AL2:AL70">
    <cfRule type="cellIs" dxfId="730" priority="198" stopIfTrue="1" operator="equal">
      <formula>"WW"</formula>
    </cfRule>
    <cfRule type="cellIs" dxfId="729" priority="199" stopIfTrue="1" operator="equal">
      <formula>"C2"</formula>
    </cfRule>
  </conditionalFormatting>
  <conditionalFormatting sqref="BA3:BA12 BA43:BA103">
    <cfRule type="cellIs" dxfId="728" priority="189" operator="equal">
      <formula>"E"</formula>
    </cfRule>
  </conditionalFormatting>
  <conditionalFormatting sqref="AZ2">
    <cfRule type="cellIs" dxfId="727" priority="190" operator="equal">
      <formula>"E"</formula>
    </cfRule>
  </conditionalFormatting>
  <conditionalFormatting sqref="BI2">
    <cfRule type="cellIs" dxfId="726" priority="162" operator="equal">
      <formula>"E"</formula>
    </cfRule>
  </conditionalFormatting>
  <conditionalFormatting sqref="BA2">
    <cfRule type="cellIs" dxfId="725" priority="188" operator="equal">
      <formula>"E"</formula>
    </cfRule>
  </conditionalFormatting>
  <conditionalFormatting sqref="BB43:BB103">
    <cfRule type="cellIs" dxfId="724" priority="187" operator="equal">
      <formula>"E"</formula>
    </cfRule>
  </conditionalFormatting>
  <conditionalFormatting sqref="BB2">
    <cfRule type="cellIs" dxfId="723" priority="186" operator="equal">
      <formula>"E"</formula>
    </cfRule>
  </conditionalFormatting>
  <conditionalFormatting sqref="BC43:BC103">
    <cfRule type="cellIs" dxfId="722" priority="185" operator="equal">
      <formula>"E"</formula>
    </cfRule>
  </conditionalFormatting>
  <conditionalFormatting sqref="BC2">
    <cfRule type="cellIs" dxfId="721" priority="184" operator="equal">
      <formula>"E"</formula>
    </cfRule>
  </conditionalFormatting>
  <conditionalFormatting sqref="BD43:BD103">
    <cfRule type="cellIs" dxfId="720" priority="183" operator="equal">
      <formula>"E"</formula>
    </cfRule>
  </conditionalFormatting>
  <conditionalFormatting sqref="BD2">
    <cfRule type="cellIs" dxfId="719" priority="182" operator="equal">
      <formula>"E"</formula>
    </cfRule>
  </conditionalFormatting>
  <conditionalFormatting sqref="BE43:BE103">
    <cfRule type="cellIs" dxfId="718" priority="181" operator="equal">
      <formula>"E"</formula>
    </cfRule>
  </conditionalFormatting>
  <conditionalFormatting sqref="BE2">
    <cfRule type="cellIs" dxfId="717" priority="180" operator="equal">
      <formula>"E"</formula>
    </cfRule>
  </conditionalFormatting>
  <conditionalFormatting sqref="BF43:BF103">
    <cfRule type="cellIs" dxfId="716" priority="179" operator="equal">
      <formula>"E"</formula>
    </cfRule>
  </conditionalFormatting>
  <conditionalFormatting sqref="BF2">
    <cfRule type="cellIs" dxfId="715" priority="178" operator="equal">
      <formula>"E"</formula>
    </cfRule>
  </conditionalFormatting>
  <conditionalFormatting sqref="BB3:BB12">
    <cfRule type="cellIs" dxfId="714" priority="177" operator="equal">
      <formula>"E"</formula>
    </cfRule>
  </conditionalFormatting>
  <conditionalFormatting sqref="BE3:BE12">
    <cfRule type="cellIs" dxfId="713" priority="176" operator="equal">
      <formula>"E"</formula>
    </cfRule>
  </conditionalFormatting>
  <conditionalFormatting sqref="BF3:BF12">
    <cfRule type="cellIs" dxfId="712" priority="175" operator="equal">
      <formula>"E"</formula>
    </cfRule>
  </conditionalFormatting>
  <conditionalFormatting sqref="BG43:BG103">
    <cfRule type="cellIs" dxfId="711" priority="174" operator="equal">
      <formula>"E"</formula>
    </cfRule>
  </conditionalFormatting>
  <conditionalFormatting sqref="BG2">
    <cfRule type="cellIs" dxfId="710" priority="173" operator="equal">
      <formula>"E"</formula>
    </cfRule>
  </conditionalFormatting>
  <conditionalFormatting sqref="BG3:BG12">
    <cfRule type="cellIs" dxfId="709" priority="172" operator="equal">
      <formula>"E"</formula>
    </cfRule>
  </conditionalFormatting>
  <conditionalFormatting sqref="BH43:BH103">
    <cfRule type="cellIs" dxfId="708" priority="171" operator="equal">
      <formula>"E"</formula>
    </cfRule>
  </conditionalFormatting>
  <conditionalFormatting sqref="BH2">
    <cfRule type="cellIs" dxfId="707" priority="170" operator="equal">
      <formula>"E"</formula>
    </cfRule>
  </conditionalFormatting>
  <conditionalFormatting sqref="BH3:BH12">
    <cfRule type="cellIs" dxfId="706" priority="169" operator="equal">
      <formula>"E"</formula>
    </cfRule>
  </conditionalFormatting>
  <conditionalFormatting sqref="AX3:AX103">
    <cfRule type="cellIs" dxfId="705" priority="165" operator="equal">
      <formula>"E"</formula>
    </cfRule>
  </conditionalFormatting>
  <conditionalFormatting sqref="AX2">
    <cfRule type="cellIs" dxfId="704" priority="164" operator="equal">
      <formula>"E"</formula>
    </cfRule>
  </conditionalFormatting>
  <conditionalFormatting sqref="BI43:BI103">
    <cfRule type="cellIs" dxfId="703" priority="163" operator="equal">
      <formula>"E"</formula>
    </cfRule>
  </conditionalFormatting>
  <conditionalFormatting sqref="BA13:BA22">
    <cfRule type="cellIs" dxfId="702" priority="159" operator="equal">
      <formula>"E"</formula>
    </cfRule>
  </conditionalFormatting>
  <conditionalFormatting sqref="BH13:BH22">
    <cfRule type="cellIs" dxfId="701" priority="154" operator="equal">
      <formula>"E"</formula>
    </cfRule>
  </conditionalFormatting>
  <conditionalFormatting sqref="BE23:BE32">
    <cfRule type="cellIs" dxfId="700" priority="149" operator="equal">
      <formula>"E"</formula>
    </cfRule>
  </conditionalFormatting>
  <conditionalFormatting sqref="AZ33:AZ42">
    <cfRule type="cellIs" dxfId="699" priority="144" operator="equal">
      <formula>"E"</formula>
    </cfRule>
  </conditionalFormatting>
  <conditionalFormatting sqref="BA33:BA42">
    <cfRule type="cellIs" dxfId="698" priority="143" operator="equal">
      <formula>"E"</formula>
    </cfRule>
  </conditionalFormatting>
  <conditionalFormatting sqref="BB33:BB42">
    <cfRule type="cellIs" dxfId="697" priority="142" operator="equal">
      <formula>"E"</formula>
    </cfRule>
  </conditionalFormatting>
  <conditionalFormatting sqref="BE33:BE42">
    <cfRule type="cellIs" dxfId="696" priority="141" operator="equal">
      <formula>"E"</formula>
    </cfRule>
  </conditionalFormatting>
  <conditionalFormatting sqref="BC23:BC32">
    <cfRule type="cellIs" dxfId="695" priority="129" operator="equal">
      <formula>"E"</formula>
    </cfRule>
  </conditionalFormatting>
  <conditionalFormatting sqref="BC33:BC42">
    <cfRule type="cellIs" dxfId="694" priority="128" operator="equal">
      <formula>"E"</formula>
    </cfRule>
  </conditionalFormatting>
  <conditionalFormatting sqref="BD3:BD12">
    <cfRule type="cellIs" dxfId="693" priority="127" operator="equal">
      <formula>"E"</formula>
    </cfRule>
  </conditionalFormatting>
  <conditionalFormatting sqref="AW1">
    <cfRule type="cellIs" dxfId="692" priority="196" operator="equal">
      <formula>"E"</formula>
    </cfRule>
  </conditionalFormatting>
  <conditionalFormatting sqref="AY3:AY103">
    <cfRule type="cellIs" dxfId="691" priority="195" operator="equal">
      <formula>"E"</formula>
    </cfRule>
  </conditionalFormatting>
  <conditionalFormatting sqref="AY2">
    <cfRule type="cellIs" dxfId="690" priority="194" operator="equal">
      <formula>"E"</formula>
    </cfRule>
  </conditionalFormatting>
  <conditionalFormatting sqref="AW2:AW70">
    <cfRule type="cellIs" dxfId="689" priority="192" stopIfTrue="1" operator="equal">
      <formula>"WW"</formula>
    </cfRule>
    <cfRule type="cellIs" dxfId="688" priority="193" stopIfTrue="1" operator="equal">
      <formula>"C2"</formula>
    </cfRule>
  </conditionalFormatting>
  <conditionalFormatting sqref="AZ3:AZ12 AZ43:AZ103">
    <cfRule type="cellIs" dxfId="687" priority="191" operator="equal">
      <formula>"E"</formula>
    </cfRule>
  </conditionalFormatting>
  <conditionalFormatting sqref="BI3:BI12">
    <cfRule type="cellIs" dxfId="686" priority="161" operator="equal">
      <formula>"E"</formula>
    </cfRule>
  </conditionalFormatting>
  <conditionalFormatting sqref="AZ13:AZ22">
    <cfRule type="cellIs" dxfId="685" priority="160" operator="equal">
      <formula>"E"</formula>
    </cfRule>
  </conditionalFormatting>
  <conditionalFormatting sqref="BB13:BB22">
    <cfRule type="cellIs" dxfId="684" priority="158" operator="equal">
      <formula>"E"</formula>
    </cfRule>
  </conditionalFormatting>
  <conditionalFormatting sqref="BF13:BF22">
    <cfRule type="cellIs" dxfId="683" priority="156" operator="equal">
      <formula>"E"</formula>
    </cfRule>
  </conditionalFormatting>
  <conditionalFormatting sqref="BE13:BE22">
    <cfRule type="cellIs" dxfId="682" priority="157" operator="equal">
      <formula>"E"</formula>
    </cfRule>
  </conditionalFormatting>
  <conditionalFormatting sqref="BG13:BG22">
    <cfRule type="cellIs" dxfId="681" priority="155" operator="equal">
      <formula>"E"</formula>
    </cfRule>
  </conditionalFormatting>
  <conditionalFormatting sqref="BI13:BI22">
    <cfRule type="cellIs" dxfId="680" priority="153" operator="equal">
      <formula>"E"</formula>
    </cfRule>
  </conditionalFormatting>
  <conditionalFormatting sqref="AZ23:AZ32">
    <cfRule type="cellIs" dxfId="679" priority="152" operator="equal">
      <formula>"E"</formula>
    </cfRule>
  </conditionalFormatting>
  <conditionalFormatting sqref="BA23:BA32">
    <cfRule type="cellIs" dxfId="678" priority="151" operator="equal">
      <formula>"E"</formula>
    </cfRule>
  </conditionalFormatting>
  <conditionalFormatting sqref="BB23:BB32">
    <cfRule type="cellIs" dxfId="677" priority="150" operator="equal">
      <formula>"E"</formula>
    </cfRule>
  </conditionalFormatting>
  <conditionalFormatting sqref="BH23:BH32">
    <cfRule type="cellIs" dxfId="676" priority="146" operator="equal">
      <formula>"E"</formula>
    </cfRule>
  </conditionalFormatting>
  <conditionalFormatting sqref="BF23:BF32">
    <cfRule type="cellIs" dxfId="675" priority="148" operator="equal">
      <formula>"E"</formula>
    </cfRule>
  </conditionalFormatting>
  <conditionalFormatting sqref="BG23:BG32">
    <cfRule type="cellIs" dxfId="674" priority="147" operator="equal">
      <formula>"E"</formula>
    </cfRule>
  </conditionalFormatting>
  <conditionalFormatting sqref="BI23:BI32">
    <cfRule type="cellIs" dxfId="673" priority="145" operator="equal">
      <formula>"E"</formula>
    </cfRule>
  </conditionalFormatting>
  <conditionalFormatting sqref="BH33:BH42">
    <cfRule type="cellIs" dxfId="672" priority="138" operator="equal">
      <formula>"E"</formula>
    </cfRule>
  </conditionalFormatting>
  <conditionalFormatting sqref="BF33:BF42">
    <cfRule type="cellIs" dxfId="671" priority="140" operator="equal">
      <formula>"E"</formula>
    </cfRule>
  </conditionalFormatting>
  <conditionalFormatting sqref="BG33:BG42">
    <cfRule type="cellIs" dxfId="670" priority="139" operator="equal">
      <formula>"E"</formula>
    </cfRule>
  </conditionalFormatting>
  <conditionalFormatting sqref="BI33:BI42">
    <cfRule type="cellIs" dxfId="669" priority="137" operator="equal">
      <formula>"E"</formula>
    </cfRule>
  </conditionalFormatting>
  <conditionalFormatting sqref="CC1">
    <cfRule type="cellIs" dxfId="668" priority="136" operator="equal">
      <formula>"E"</formula>
    </cfRule>
  </conditionalFormatting>
  <conditionalFormatting sqref="CC2:CC70">
    <cfRule type="cellIs" dxfId="667" priority="133" stopIfTrue="1" operator="equal">
      <formula>"WW"</formula>
    </cfRule>
    <cfRule type="cellIs" dxfId="666" priority="134" stopIfTrue="1" operator="equal">
      <formula>"C2"</formula>
    </cfRule>
  </conditionalFormatting>
  <conditionalFormatting sqref="BC3:BC12">
    <cfRule type="cellIs" dxfId="665" priority="131" operator="equal">
      <formula>"E"</formula>
    </cfRule>
  </conditionalFormatting>
  <conditionalFormatting sqref="BC13:BC22">
    <cfRule type="cellIs" dxfId="664" priority="130" operator="equal">
      <formula>"E"</formula>
    </cfRule>
  </conditionalFormatting>
  <conditionalFormatting sqref="BD13:BD22">
    <cfRule type="cellIs" dxfId="663" priority="126" operator="equal">
      <formula>"E"</formula>
    </cfRule>
  </conditionalFormatting>
  <conditionalFormatting sqref="BD23:BD32">
    <cfRule type="cellIs" dxfId="662" priority="125" operator="equal">
      <formula>"E"</formula>
    </cfRule>
  </conditionalFormatting>
  <conditionalFormatting sqref="BD33:BD42">
    <cfRule type="cellIs" dxfId="661" priority="124" operator="equal">
      <formula>"E"</formula>
    </cfRule>
  </conditionalFormatting>
  <conditionalFormatting sqref="AD1:AE1">
    <cfRule type="cellIs" dxfId="660" priority="123" operator="equal">
      <formula>"E"</formula>
    </cfRule>
  </conditionalFormatting>
  <conditionalFormatting sqref="AC39:AE110 AC114:AE1048576 AC3:AC38">
    <cfRule type="cellIs" dxfId="659" priority="122" operator="equal">
      <formula>"E"</formula>
    </cfRule>
  </conditionalFormatting>
  <conditionalFormatting sqref="AC2:AE2">
    <cfRule type="cellIs" dxfId="658" priority="121" operator="equal">
      <formula>"E"</formula>
    </cfRule>
  </conditionalFormatting>
  <conditionalFormatting sqref="AC113:AE113">
    <cfRule type="cellIs" dxfId="657" priority="120" operator="equal">
      <formula>"E"</formula>
    </cfRule>
  </conditionalFormatting>
  <conditionalFormatting sqref="AE4:AE38">
    <cfRule type="cellIs" dxfId="656" priority="119" operator="equal">
      <formula>"E"</formula>
    </cfRule>
  </conditionalFormatting>
  <conditionalFormatting sqref="AE3">
    <cfRule type="cellIs" dxfId="655" priority="118" operator="equal">
      <formula>"E"</formula>
    </cfRule>
  </conditionalFormatting>
  <conditionalFormatting sqref="AD3:AD38">
    <cfRule type="cellIs" dxfId="654" priority="117" operator="equal">
      <formula>"E"</formula>
    </cfRule>
  </conditionalFormatting>
  <conditionalFormatting sqref="AI1:AJ1">
    <cfRule type="cellIs" dxfId="653" priority="116" operator="equal">
      <formula>"E"</formula>
    </cfRule>
  </conditionalFormatting>
  <conditionalFormatting sqref="AH53:AJ103">
    <cfRule type="cellIs" dxfId="652" priority="115" operator="equal">
      <formula>"E"</formula>
    </cfRule>
  </conditionalFormatting>
  <conditionalFormatting sqref="AH2:AJ2">
    <cfRule type="cellIs" dxfId="651" priority="114" operator="equal">
      <formula>"E"</formula>
    </cfRule>
  </conditionalFormatting>
  <conditionalFormatting sqref="AN1:AO1">
    <cfRule type="cellIs" dxfId="650" priority="108" operator="equal">
      <formula>"E"</formula>
    </cfRule>
  </conditionalFormatting>
  <conditionalFormatting sqref="AM53:AO103">
    <cfRule type="cellIs" dxfId="649" priority="107" operator="equal">
      <formula>"E"</formula>
    </cfRule>
  </conditionalFormatting>
  <conditionalFormatting sqref="AM2:AO2">
    <cfRule type="cellIs" dxfId="648" priority="106" operator="equal">
      <formula>"E"</formula>
    </cfRule>
  </conditionalFormatting>
  <conditionalFormatting sqref="T3:T52">
    <cfRule type="cellIs" dxfId="647" priority="78" operator="equal">
      <formula>"E"</formula>
    </cfRule>
  </conditionalFormatting>
  <conditionalFormatting sqref="R1:R70">
    <cfRule type="cellIs" dxfId="646" priority="100" stopIfTrue="1" operator="equal">
      <formula>"WW"</formula>
    </cfRule>
    <cfRule type="cellIs" dxfId="645" priority="101" stopIfTrue="1" operator="equal">
      <formula>"C2"</formula>
    </cfRule>
  </conditionalFormatting>
  <conditionalFormatting sqref="S1:U2 S114:U1048576 S111:T113 S53:U110 S3:S52 U39:U52 X2:Z103">
    <cfRule type="cellIs" dxfId="644" priority="95" operator="equal">
      <formula>"E"</formula>
    </cfRule>
  </conditionalFormatting>
  <conditionalFormatting sqref="U3:U38">
    <cfRule type="cellIs" dxfId="643" priority="83" operator="equal">
      <formula>"E"</formula>
    </cfRule>
  </conditionalFormatting>
  <conditionalFormatting sqref="U113:Z113">
    <cfRule type="cellIs" dxfId="642" priority="88" operator="equal">
      <formula>"E"</formula>
    </cfRule>
  </conditionalFormatting>
  <conditionalFormatting sqref="S53:U103 S3:S52 U39:U52 Y3:Z52">
    <cfRule type="cellIs" dxfId="641" priority="96" operator="equal">
      <formula>"M4"</formula>
    </cfRule>
    <cfRule type="cellIs" dxfId="640" priority="97" operator="equal">
      <formula>"M3"</formula>
    </cfRule>
    <cfRule type="cellIs" dxfId="639" priority="98" operator="equal">
      <formula>"M2"</formula>
    </cfRule>
    <cfRule type="cellIs" dxfId="638" priority="99" operator="equal">
      <formula>"M1"</formula>
    </cfRule>
  </conditionalFormatting>
  <conditionalFormatting sqref="W2:W70">
    <cfRule type="cellIs" dxfId="637" priority="93" stopIfTrue="1" operator="equal">
      <formula>"WW"</formula>
    </cfRule>
    <cfRule type="cellIs" dxfId="636" priority="94" stopIfTrue="1" operator="equal">
      <formula>"C2"</formula>
    </cfRule>
  </conditionalFormatting>
  <conditionalFormatting sqref="X3:Z103">
    <cfRule type="cellIs" dxfId="635" priority="89" operator="equal">
      <formula>"M4"</formula>
    </cfRule>
    <cfRule type="cellIs" dxfId="634" priority="90" operator="equal">
      <formula>"M3"</formula>
    </cfRule>
    <cfRule type="cellIs" dxfId="633" priority="91" operator="equal">
      <formula>"M2"</formula>
    </cfRule>
    <cfRule type="cellIs" dxfId="632" priority="92" operator="equal">
      <formula>"M1"</formula>
    </cfRule>
  </conditionalFormatting>
  <conditionalFormatting sqref="U3:U38">
    <cfRule type="cellIs" dxfId="631" priority="84" operator="equal">
      <formula>"M4"</formula>
    </cfRule>
    <cfRule type="cellIs" dxfId="630" priority="85" operator="equal">
      <formula>"M3"</formula>
    </cfRule>
    <cfRule type="cellIs" dxfId="629" priority="86" operator="equal">
      <formula>"M2"</formula>
    </cfRule>
    <cfRule type="cellIs" dxfId="628" priority="87" operator="equal">
      <formula>"M1"</formula>
    </cfRule>
  </conditionalFormatting>
  <conditionalFormatting sqref="T3:T52">
    <cfRule type="cellIs" dxfId="627" priority="79" operator="equal">
      <formula>"M4"</formula>
    </cfRule>
    <cfRule type="cellIs" dxfId="626" priority="80" operator="equal">
      <formula>"M3"</formula>
    </cfRule>
    <cfRule type="cellIs" dxfId="625" priority="81" operator="equal">
      <formula>"M2"</formula>
    </cfRule>
    <cfRule type="cellIs" dxfId="624" priority="82" operator="equal">
      <formula>"M1"</formula>
    </cfRule>
  </conditionalFormatting>
  <conditionalFormatting sqref="AS39:AS103 AU2:AU42 AR1:AR1048576">
    <cfRule type="cellIs" dxfId="623" priority="72" operator="equal">
      <formula>"E"</formula>
    </cfRule>
  </conditionalFormatting>
  <conditionalFormatting sqref="AT1">
    <cfRule type="cellIs" dxfId="622" priority="50" operator="equal">
      <formula>"E"</formula>
    </cfRule>
  </conditionalFormatting>
  <conditionalFormatting sqref="AQ1">
    <cfRule type="cellIs" dxfId="621" priority="51" operator="equal">
      <formula>"E"</formula>
    </cfRule>
  </conditionalFormatting>
  <conditionalFormatting sqref="AU3:AU42">
    <cfRule type="cellIs" dxfId="620" priority="74" operator="equal">
      <formula>"M4"</formula>
    </cfRule>
    <cfRule type="cellIs" dxfId="619" priority="75" operator="equal">
      <formula>"M3"</formula>
    </cfRule>
    <cfRule type="cellIs" dxfId="618" priority="76" operator="equal">
      <formula>"M2"</formula>
    </cfRule>
    <cfRule type="cellIs" dxfId="617" priority="77" operator="equal">
      <formula>"M1"</formula>
    </cfRule>
  </conditionalFormatting>
  <conditionalFormatting sqref="AS39:AS103 AU3:AU42 AR3:AR103">
    <cfRule type="cellIs" dxfId="616" priority="61" operator="equal">
      <formula>"RE"</formula>
    </cfRule>
    <cfRule type="cellIs" dxfId="615" priority="62" operator="equal">
      <formula>"3000"</formula>
    </cfRule>
    <cfRule type="cellIs" dxfId="614" priority="63" operator="equal">
      <formula>"300"</formula>
    </cfRule>
    <cfRule type="cellIs" dxfId="613" priority="64" operator="equal">
      <formula>"100"</formula>
    </cfRule>
    <cfRule type="cellIs" dxfId="612" priority="65" operator="equal">
      <formula>"50"</formula>
    </cfRule>
    <cfRule type="cellIs" dxfId="611" priority="66" operator="equal">
      <formula>"40"</formula>
    </cfRule>
    <cfRule type="cellIs" dxfId="610" priority="67" operator="equal">
      <formula>"20"</formula>
    </cfRule>
  </conditionalFormatting>
  <conditionalFormatting sqref="AR1 AR104:AR1048576">
    <cfRule type="cellIs" dxfId="609" priority="68" operator="equal">
      <formula>"M4"</formula>
    </cfRule>
    <cfRule type="cellIs" dxfId="608" priority="69" operator="equal">
      <formula>"M3"</formula>
    </cfRule>
    <cfRule type="cellIs" dxfId="607" priority="70" operator="equal">
      <formula>"M1"</formula>
    </cfRule>
    <cfRule type="cellIs" dxfId="606" priority="71" operator="equal">
      <formula>"M2"</formula>
    </cfRule>
    <cfRule type="cellIs" dxfId="605" priority="73" stopIfTrue="1" operator="between">
      <formula>"C1"</formula>
      <formula>"C2"</formula>
    </cfRule>
  </conditionalFormatting>
  <conditionalFormatting sqref="AQ2:AQ70">
    <cfRule type="cellIs" dxfId="604" priority="59" stopIfTrue="1" operator="equal">
      <formula>"WW"</formula>
    </cfRule>
    <cfRule type="cellIs" dxfId="603" priority="60" stopIfTrue="1" operator="equal">
      <formula>"C2"</formula>
    </cfRule>
  </conditionalFormatting>
  <conditionalFormatting sqref="AT2:AT70">
    <cfRule type="cellIs" dxfId="602" priority="57" stopIfTrue="1" operator="equal">
      <formula>"WW"</formula>
    </cfRule>
    <cfRule type="cellIs" dxfId="601" priority="58" stopIfTrue="1" operator="equal">
      <formula>"C2"</formula>
    </cfRule>
  </conditionalFormatting>
  <conditionalFormatting sqref="AU43:AU103">
    <cfRule type="cellIs" dxfId="600" priority="56" operator="equal">
      <formula>"E"</formula>
    </cfRule>
  </conditionalFormatting>
  <conditionalFormatting sqref="AU43:AU103">
    <cfRule type="cellIs" dxfId="599" priority="52" operator="equal">
      <formula>"M4"</formula>
    </cfRule>
    <cfRule type="cellIs" dxfId="598" priority="53" operator="equal">
      <formula>"M3"</formula>
    </cfRule>
    <cfRule type="cellIs" dxfId="597" priority="54" operator="equal">
      <formula>"M2"</formula>
    </cfRule>
    <cfRule type="cellIs" dxfId="596" priority="55" operator="equal">
      <formula>"M1"</formula>
    </cfRule>
  </conditionalFormatting>
  <conditionalFormatting sqref="BL3:BL52 BN39:BN52">
    <cfRule type="cellIs" dxfId="595" priority="32" operator="equal">
      <formula>"E"</formula>
    </cfRule>
  </conditionalFormatting>
  <conditionalFormatting sqref="BN3:BN38">
    <cfRule type="cellIs" dxfId="594" priority="27" operator="equal">
      <formula>"E"</formula>
    </cfRule>
  </conditionalFormatting>
  <conditionalFormatting sqref="BL1:BN2 BL53:BN1048576 BQ2:BS103">
    <cfRule type="cellIs" dxfId="593" priority="43" operator="equal">
      <formula>"E"</formula>
    </cfRule>
  </conditionalFormatting>
  <conditionalFormatting sqref="BK1:BK70">
    <cfRule type="cellIs" dxfId="592" priority="48" stopIfTrue="1" operator="equal">
      <formula>"WW"</formula>
    </cfRule>
    <cfRule type="cellIs" dxfId="591" priority="49" stopIfTrue="1" operator="equal">
      <formula>"C2"</formula>
    </cfRule>
  </conditionalFormatting>
  <conditionalFormatting sqref="BL53:BN103 BR3:BS52">
    <cfRule type="cellIs" dxfId="590" priority="44" operator="equal">
      <formula>"M4"</formula>
    </cfRule>
    <cfRule type="cellIs" dxfId="589" priority="45" operator="equal">
      <formula>"M3"</formula>
    </cfRule>
    <cfRule type="cellIs" dxfId="588" priority="46" operator="equal">
      <formula>"M2"</formula>
    </cfRule>
    <cfRule type="cellIs" dxfId="587" priority="47" operator="equal">
      <formula>"M1"</formula>
    </cfRule>
  </conditionalFormatting>
  <conditionalFormatting sqref="BP2:BP70">
    <cfRule type="cellIs" dxfId="586" priority="41" stopIfTrue="1" operator="equal">
      <formula>"WW"</formula>
    </cfRule>
    <cfRule type="cellIs" dxfId="585" priority="42" stopIfTrue="1" operator="equal">
      <formula>"C2"</formula>
    </cfRule>
  </conditionalFormatting>
  <conditionalFormatting sqref="BQ3:BS103">
    <cfRule type="cellIs" dxfId="584" priority="37" operator="equal">
      <formula>"M4"</formula>
    </cfRule>
    <cfRule type="cellIs" dxfId="583" priority="38" operator="equal">
      <formula>"M3"</formula>
    </cfRule>
    <cfRule type="cellIs" dxfId="582" priority="39" operator="equal">
      <formula>"M2"</formula>
    </cfRule>
    <cfRule type="cellIs" dxfId="581" priority="40" operator="equal">
      <formula>"M1"</formula>
    </cfRule>
  </conditionalFormatting>
  <conditionalFormatting sqref="BN3:BN38">
    <cfRule type="cellIs" dxfId="580" priority="28" operator="equal">
      <formula>"M4"</formula>
    </cfRule>
    <cfRule type="cellIs" dxfId="579" priority="29" operator="equal">
      <formula>"M3"</formula>
    </cfRule>
    <cfRule type="cellIs" dxfId="578" priority="30" operator="equal">
      <formula>"M2"</formula>
    </cfRule>
    <cfRule type="cellIs" dxfId="577" priority="31" operator="equal">
      <formula>"M1"</formula>
    </cfRule>
  </conditionalFormatting>
  <conditionalFormatting sqref="BM3:BM52">
    <cfRule type="cellIs" dxfId="576" priority="23" operator="equal">
      <formula>"M4"</formula>
    </cfRule>
    <cfRule type="cellIs" dxfId="575" priority="24" operator="equal">
      <formula>"M3"</formula>
    </cfRule>
    <cfRule type="cellIs" dxfId="574" priority="25" operator="equal">
      <formula>"M2"</formula>
    </cfRule>
    <cfRule type="cellIs" dxfId="573" priority="26" operator="equal">
      <formula>"M1"</formula>
    </cfRule>
  </conditionalFormatting>
  <conditionalFormatting sqref="BM3:BM52">
    <cfRule type="cellIs" dxfId="572" priority="22" operator="equal">
      <formula>"E"</formula>
    </cfRule>
  </conditionalFormatting>
  <conditionalFormatting sqref="BL3:BL52 BN39:BN52">
    <cfRule type="cellIs" dxfId="571" priority="33" operator="equal">
      <formula>"M4"</formula>
    </cfRule>
    <cfRule type="cellIs" dxfId="570" priority="34" operator="equal">
      <formula>"M3"</formula>
    </cfRule>
    <cfRule type="cellIs" dxfId="569" priority="35" operator="equal">
      <formula>"M2"</formula>
    </cfRule>
    <cfRule type="cellIs" dxfId="568" priority="36" operator="equal">
      <formula>"M1"</formula>
    </cfRule>
  </conditionalFormatting>
  <conditionalFormatting sqref="CA1:CA1048576">
    <cfRule type="cellIs" dxfId="567" priority="15" operator="equal">
      <formula>"E"</formula>
    </cfRule>
  </conditionalFormatting>
  <conditionalFormatting sqref="BZ1:BZ70">
    <cfRule type="cellIs" dxfId="566" priority="20" stopIfTrue="1" operator="equal">
      <formula>"WW"</formula>
    </cfRule>
    <cfRule type="cellIs" dxfId="565" priority="21" stopIfTrue="1" operator="equal">
      <formula>"C2"</formula>
    </cfRule>
  </conditionalFormatting>
  <conditionalFormatting sqref="CA3:CA103">
    <cfRule type="cellIs" dxfId="564" priority="16" operator="equal">
      <formula>"M4"</formula>
    </cfRule>
    <cfRule type="cellIs" dxfId="563" priority="17" operator="equal">
      <formula>"M3"</formula>
    </cfRule>
    <cfRule type="cellIs" dxfId="562" priority="18" operator="equal">
      <formula>"M2"</formula>
    </cfRule>
    <cfRule type="cellIs" dxfId="561" priority="19" operator="equal">
      <formula>"M1"</formula>
    </cfRule>
  </conditionalFormatting>
  <conditionalFormatting sqref="BW1 BV2:BW1048576 BX1:BX1048576">
    <cfRule type="cellIs" dxfId="560" priority="14" operator="equal">
      <formula>"E"</formula>
    </cfRule>
  </conditionalFormatting>
  <conditionalFormatting sqref="BU1">
    <cfRule type="cellIs" dxfId="559" priority="13" operator="equal">
      <formula>"E"</formula>
    </cfRule>
  </conditionalFormatting>
  <conditionalFormatting sqref="BU2:BU70">
    <cfRule type="cellIs" dxfId="558" priority="11" stopIfTrue="1" operator="equal">
      <formula>"WW"</formula>
    </cfRule>
    <cfRule type="cellIs" dxfId="557" priority="12" stopIfTrue="1" operator="equal">
      <formula>"C2"</formula>
    </cfRule>
  </conditionalFormatting>
  <conditionalFormatting sqref="CD3:CD1048576">
    <cfRule type="cellIs" dxfId="556" priority="10" operator="equal">
      <formula>"E"</formula>
    </cfRule>
  </conditionalFormatting>
  <conditionalFormatting sqref="CD2">
    <cfRule type="cellIs" dxfId="555" priority="9" operator="equal">
      <formula>"E"</formula>
    </cfRule>
  </conditionalFormatting>
  <conditionalFormatting sqref="AH39:AJ52 AH3:AH38">
    <cfRule type="cellIs" dxfId="554" priority="8" operator="equal">
      <formula>"E"</formula>
    </cfRule>
  </conditionalFormatting>
  <conditionalFormatting sqref="AJ4:AJ38">
    <cfRule type="cellIs" dxfId="553" priority="7" operator="equal">
      <formula>"E"</formula>
    </cfRule>
  </conditionalFormatting>
  <conditionalFormatting sqref="AJ3">
    <cfRule type="cellIs" dxfId="552" priority="6" operator="equal">
      <formula>"E"</formula>
    </cfRule>
  </conditionalFormatting>
  <conditionalFormatting sqref="AI3:AI38">
    <cfRule type="cellIs" dxfId="551" priority="5" operator="equal">
      <formula>"E"</formula>
    </cfRule>
  </conditionalFormatting>
  <conditionalFormatting sqref="AM39:AO52 AM3:AM38">
    <cfRule type="cellIs" dxfId="550" priority="4" operator="equal">
      <formula>"E"</formula>
    </cfRule>
  </conditionalFormatting>
  <conditionalFormatting sqref="AO4:AO38">
    <cfRule type="cellIs" dxfId="549" priority="3" operator="equal">
      <formula>"E"</formula>
    </cfRule>
  </conditionalFormatting>
  <conditionalFormatting sqref="AO3">
    <cfRule type="cellIs" dxfId="548" priority="2" operator="equal">
      <formula>"E"</formula>
    </cfRule>
  </conditionalFormatting>
  <conditionalFormatting sqref="AN3:AN38">
    <cfRule type="cellIs" dxfId="547" priority="1" operator="equal">
      <formula>"E"</formula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97A52B9-858C-4FF9-AC9F-B40433D3803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J13</xm:sqref>
        </x14:conditionalFormatting>
      </x14:conditionalFormatting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5C9A6B-124A-4A05-9D40-B240CDEE375E}">
  <dimension ref="A1:CE126"/>
  <sheetViews>
    <sheetView workbookViewId="0">
      <selection sqref="A1:C1"/>
    </sheetView>
  </sheetViews>
  <sheetFormatPr defaultRowHeight="16.2"/>
  <cols>
    <col min="1" max="1" width="14.44140625" customWidth="1"/>
    <col min="2" max="2" width="5.77734375" customWidth="1"/>
    <col min="3" max="3" width="20.109375" customWidth="1"/>
    <col min="4" max="4" width="8.77734375" customWidth="1"/>
    <col min="5" max="6" width="8.88671875" bestFit="1" customWidth="1"/>
    <col min="10" max="10" width="12.88671875" customWidth="1"/>
    <col min="13" max="15" width="8.6640625" customWidth="1"/>
    <col min="16" max="16" width="10.44140625" bestFit="1" customWidth="1"/>
    <col min="18" max="18" width="10.6640625" style="15" customWidth="1"/>
    <col min="19" max="21" width="9.77734375" style="16" customWidth="1"/>
    <col min="22" max="22" width="3.77734375" customWidth="1"/>
    <col min="24" max="26" width="4.44140625" customWidth="1"/>
    <col min="27" max="27" width="3.77734375" customWidth="1"/>
    <col min="28" max="28" width="9.88671875" customWidth="1"/>
    <col min="29" max="31" width="5.109375" style="16" customWidth="1"/>
    <col min="32" max="32" width="3.6640625" customWidth="1"/>
    <col min="34" max="36" width="5.33203125" customWidth="1"/>
    <col min="37" max="37" width="3.44140625" customWidth="1"/>
    <col min="39" max="41" width="5.33203125" customWidth="1"/>
    <col min="42" max="42" width="13.44140625" customWidth="1"/>
    <col min="44" max="44" width="13.44140625" style="16" customWidth="1"/>
    <col min="45" max="45" width="3.77734375" customWidth="1"/>
    <col min="48" max="48" width="3.77734375" customWidth="1"/>
    <col min="49" max="49" width="12.44140625" customWidth="1"/>
    <col min="59" max="59" width="9.44140625" style="26" customWidth="1"/>
    <col min="60" max="60" width="8.88671875" customWidth="1"/>
    <col min="61" max="61" width="15.33203125" customWidth="1"/>
    <col min="77" max="77" width="4.44140625" customWidth="1"/>
    <col min="78" max="78" width="10.6640625" style="15" bestFit="1" customWidth="1"/>
    <col min="79" max="79" width="9.77734375" style="16" customWidth="1"/>
    <col min="80" max="80" width="10.88671875" customWidth="1"/>
    <col min="81" max="81" width="9.88671875" customWidth="1"/>
    <col min="82" max="82" width="12.21875" style="16" customWidth="1"/>
    <col min="83" max="83" width="9.77734375" style="16" customWidth="1"/>
  </cols>
  <sheetData>
    <row r="1" spans="1:82">
      <c r="A1" s="30" t="s">
        <v>115</v>
      </c>
      <c r="D1" s="119"/>
      <c r="E1" s="119"/>
      <c r="F1" s="119"/>
      <c r="R1" s="9" t="s">
        <v>41</v>
      </c>
      <c r="S1" s="10"/>
      <c r="T1" s="10"/>
      <c r="U1" s="10"/>
      <c r="W1" s="18" t="s">
        <v>30</v>
      </c>
      <c r="AB1" s="10" t="s">
        <v>93</v>
      </c>
      <c r="AD1" s="10"/>
      <c r="AE1" s="10"/>
      <c r="AG1" s="10" t="s">
        <v>94</v>
      </c>
      <c r="AH1" s="16"/>
      <c r="AI1" s="10"/>
      <c r="AJ1" s="10"/>
      <c r="AL1" s="10" t="s">
        <v>95</v>
      </c>
      <c r="AM1" s="16"/>
      <c r="AN1" s="10"/>
      <c r="AO1" s="10"/>
      <c r="AQ1" s="19" t="s">
        <v>31</v>
      </c>
      <c r="AR1" s="10"/>
      <c r="AT1" s="19" t="s">
        <v>32</v>
      </c>
      <c r="AW1" s="19" t="s">
        <v>33</v>
      </c>
      <c r="AX1" s="16" t="s">
        <v>60</v>
      </c>
      <c r="AY1" s="16" t="s">
        <v>48</v>
      </c>
      <c r="AZ1" s="16" t="s">
        <v>49</v>
      </c>
      <c r="BA1" s="16" t="s">
        <v>50</v>
      </c>
      <c r="BB1" s="16" t="s">
        <v>51</v>
      </c>
      <c r="BC1" s="16" t="s">
        <v>52</v>
      </c>
      <c r="BD1" s="16" t="s">
        <v>53</v>
      </c>
      <c r="BE1" s="16" t="s">
        <v>54</v>
      </c>
      <c r="BF1" s="16" t="s">
        <v>55</v>
      </c>
      <c r="BG1" s="25" t="s">
        <v>87</v>
      </c>
      <c r="BH1" s="16" t="s">
        <v>88</v>
      </c>
      <c r="BI1" s="41" t="s">
        <v>89</v>
      </c>
      <c r="BK1" s="9" t="s">
        <v>43</v>
      </c>
      <c r="BL1" s="10"/>
      <c r="BM1" s="10"/>
      <c r="BN1" s="10"/>
      <c r="BP1" s="18" t="s">
        <v>45</v>
      </c>
      <c r="BU1" s="19" t="s">
        <v>142</v>
      </c>
      <c r="BV1" s="16"/>
      <c r="BW1" s="10"/>
      <c r="BX1" s="10"/>
      <c r="BZ1" s="9" t="s">
        <v>70</v>
      </c>
      <c r="CA1" s="10"/>
      <c r="CC1" s="19" t="s">
        <v>71</v>
      </c>
    </row>
    <row r="2" spans="1:82" ht="18" customHeight="1">
      <c r="D2" s="119"/>
      <c r="E2" s="119"/>
      <c r="F2" s="119"/>
      <c r="J2" s="301" t="s">
        <v>112</v>
      </c>
      <c r="K2" s="318"/>
      <c r="L2" s="318"/>
      <c r="M2" s="318"/>
      <c r="N2" s="319"/>
      <c r="R2" s="11" t="s">
        <v>17</v>
      </c>
      <c r="S2" s="12" t="s">
        <v>0</v>
      </c>
      <c r="T2" s="13" t="s">
        <v>1</v>
      </c>
      <c r="U2" s="12" t="s">
        <v>2</v>
      </c>
      <c r="W2" s="11" t="s">
        <v>17</v>
      </c>
      <c r="X2" s="12" t="s">
        <v>0</v>
      </c>
      <c r="Y2" s="13" t="s">
        <v>1</v>
      </c>
      <c r="Z2" s="12" t="s">
        <v>2</v>
      </c>
      <c r="AB2" s="11" t="s">
        <v>17</v>
      </c>
      <c r="AC2" s="12" t="s">
        <v>0</v>
      </c>
      <c r="AD2" s="13" t="s">
        <v>1</v>
      </c>
      <c r="AE2" s="12" t="s">
        <v>2</v>
      </c>
      <c r="AG2" s="11" t="s">
        <v>17</v>
      </c>
      <c r="AH2" s="12" t="s">
        <v>0</v>
      </c>
      <c r="AI2" s="13" t="s">
        <v>1</v>
      </c>
      <c r="AJ2" s="12" t="s">
        <v>2</v>
      </c>
      <c r="AL2" s="11" t="s">
        <v>17</v>
      </c>
      <c r="AM2" s="12" t="s">
        <v>0</v>
      </c>
      <c r="AN2" s="13" t="s">
        <v>1</v>
      </c>
      <c r="AO2" s="12" t="s">
        <v>2</v>
      </c>
      <c r="AQ2" s="11" t="s">
        <v>17</v>
      </c>
      <c r="AR2" s="13" t="s">
        <v>3</v>
      </c>
      <c r="AT2" s="11" t="s">
        <v>17</v>
      </c>
      <c r="AU2" s="13" t="s">
        <v>4</v>
      </c>
      <c r="AW2" s="11" t="s">
        <v>17</v>
      </c>
      <c r="AX2" s="12" t="s">
        <v>4</v>
      </c>
      <c r="AY2" s="12" t="s">
        <v>4</v>
      </c>
      <c r="AZ2" s="12" t="s">
        <v>4</v>
      </c>
      <c r="BA2" s="12" t="s">
        <v>4</v>
      </c>
      <c r="BB2" s="12" t="s">
        <v>4</v>
      </c>
      <c r="BC2" s="12" t="s">
        <v>4</v>
      </c>
      <c r="BD2" s="12" t="s">
        <v>4</v>
      </c>
      <c r="BE2" s="12" t="s">
        <v>4</v>
      </c>
      <c r="BF2" s="24" t="s">
        <v>4</v>
      </c>
      <c r="BG2" s="29" t="s">
        <v>4</v>
      </c>
      <c r="BH2" s="12" t="s">
        <v>4</v>
      </c>
      <c r="BI2" s="12" t="s">
        <v>4</v>
      </c>
      <c r="BK2" s="11" t="s">
        <v>17</v>
      </c>
      <c r="BL2" s="12" t="s">
        <v>0</v>
      </c>
      <c r="BM2" s="13" t="s">
        <v>1</v>
      </c>
      <c r="BN2" s="12" t="s">
        <v>2</v>
      </c>
      <c r="BP2" s="11" t="s">
        <v>17</v>
      </c>
      <c r="BQ2" s="12" t="s">
        <v>0</v>
      </c>
      <c r="BR2" s="13" t="s">
        <v>1</v>
      </c>
      <c r="BS2" s="12" t="s">
        <v>2</v>
      </c>
      <c r="BU2" s="11" t="s">
        <v>17</v>
      </c>
      <c r="BV2" s="12" t="s">
        <v>0</v>
      </c>
      <c r="BW2" s="13" t="s">
        <v>1</v>
      </c>
      <c r="BX2" s="12" t="s">
        <v>2</v>
      </c>
      <c r="BZ2" s="11" t="s">
        <v>17</v>
      </c>
      <c r="CA2" s="12" t="s">
        <v>69</v>
      </c>
      <c r="CC2" s="11" t="s">
        <v>17</v>
      </c>
      <c r="CD2" s="12" t="s">
        <v>58</v>
      </c>
    </row>
    <row r="3" spans="1:82" ht="16.8">
      <c r="D3" s="119"/>
      <c r="E3" s="119"/>
      <c r="F3" s="119"/>
      <c r="H3" s="27"/>
      <c r="I3" s="27"/>
      <c r="J3" s="64" t="s">
        <v>79</v>
      </c>
      <c r="K3" s="64" t="s">
        <v>78</v>
      </c>
      <c r="L3" s="2" t="s">
        <v>80</v>
      </c>
      <c r="M3" s="2" t="s">
        <v>72</v>
      </c>
      <c r="N3" s="2" t="s">
        <v>73</v>
      </c>
      <c r="R3" s="11">
        <v>0</v>
      </c>
      <c r="S3" s="12">
        <v>1</v>
      </c>
      <c r="T3" s="12" t="s">
        <v>15</v>
      </c>
      <c r="U3" s="12" t="s">
        <v>15</v>
      </c>
      <c r="W3" s="11">
        <v>0</v>
      </c>
      <c r="X3" s="12">
        <v>2</v>
      </c>
      <c r="Y3" s="12">
        <v>0</v>
      </c>
      <c r="Z3" s="12">
        <v>0</v>
      </c>
      <c r="AB3" s="11">
        <v>0</v>
      </c>
      <c r="AC3" s="12">
        <v>1172</v>
      </c>
      <c r="AD3" s="12">
        <v>39</v>
      </c>
      <c r="AE3" s="12">
        <v>400</v>
      </c>
      <c r="AG3" s="11">
        <v>0</v>
      </c>
      <c r="AH3" s="12">
        <v>632</v>
      </c>
      <c r="AI3" s="12">
        <v>213</v>
      </c>
      <c r="AJ3" s="12">
        <v>0</v>
      </c>
      <c r="AL3" s="11">
        <v>0</v>
      </c>
      <c r="AM3" s="12">
        <v>5</v>
      </c>
      <c r="AN3" s="12">
        <v>174</v>
      </c>
      <c r="AO3" s="12">
        <v>184</v>
      </c>
      <c r="AQ3" s="11">
        <v>0</v>
      </c>
      <c r="AR3" s="14" t="s">
        <v>5</v>
      </c>
      <c r="AT3" s="11">
        <v>0</v>
      </c>
      <c r="AU3" s="12">
        <v>6</v>
      </c>
      <c r="AW3" s="11">
        <v>0</v>
      </c>
      <c r="AX3" s="12">
        <v>149</v>
      </c>
      <c r="AY3" s="12">
        <v>18</v>
      </c>
      <c r="AZ3" s="12">
        <v>1381</v>
      </c>
      <c r="BA3" s="12">
        <v>67</v>
      </c>
      <c r="BB3" s="12">
        <v>5</v>
      </c>
      <c r="BC3" s="12">
        <v>34</v>
      </c>
      <c r="BD3" s="12">
        <v>255</v>
      </c>
      <c r="BE3" s="12">
        <v>10</v>
      </c>
      <c r="BF3" s="24">
        <v>512</v>
      </c>
      <c r="BG3" s="29">
        <v>367</v>
      </c>
      <c r="BH3" s="12">
        <v>241</v>
      </c>
      <c r="BI3" s="12">
        <v>241</v>
      </c>
      <c r="BK3" s="11">
        <v>0</v>
      </c>
      <c r="BL3" s="12">
        <v>1</v>
      </c>
      <c r="BM3" s="12" t="s">
        <v>15</v>
      </c>
      <c r="BN3" s="12" t="s">
        <v>15</v>
      </c>
      <c r="BP3" s="11">
        <v>0</v>
      </c>
      <c r="BQ3" s="12">
        <v>2</v>
      </c>
      <c r="BR3" s="12">
        <v>0</v>
      </c>
      <c r="BS3" s="12">
        <v>0</v>
      </c>
      <c r="BU3" s="11">
        <v>0</v>
      </c>
      <c r="BV3" s="12">
        <v>1103</v>
      </c>
      <c r="BW3" s="12">
        <v>29</v>
      </c>
      <c r="BX3" s="12">
        <v>5</v>
      </c>
      <c r="BZ3" s="11">
        <v>0</v>
      </c>
      <c r="CA3" s="12">
        <v>100</v>
      </c>
      <c r="CC3" s="11">
        <v>0</v>
      </c>
      <c r="CD3" s="12">
        <v>136</v>
      </c>
    </row>
    <row r="4" spans="1:82" ht="16.8">
      <c r="A4" s="30" t="s">
        <v>46</v>
      </c>
      <c r="B4" s="1" t="s">
        <v>86</v>
      </c>
      <c r="C4" s="2" t="s">
        <v>114</v>
      </c>
      <c r="D4" s="3" t="s">
        <v>80</v>
      </c>
      <c r="E4" s="122" t="s">
        <v>1</v>
      </c>
      <c r="F4" s="4" t="s">
        <v>2</v>
      </c>
      <c r="H4" s="27"/>
      <c r="J4" s="61" t="s">
        <v>77</v>
      </c>
      <c r="K4" s="61" t="s">
        <v>7</v>
      </c>
      <c r="L4" s="2">
        <v>8</v>
      </c>
      <c r="M4" s="2">
        <v>1</v>
      </c>
      <c r="N4" s="2">
        <v>1</v>
      </c>
      <c r="O4" s="6"/>
      <c r="R4" s="11">
        <v>1</v>
      </c>
      <c r="S4" s="12" t="s">
        <v>15</v>
      </c>
      <c r="T4" s="12">
        <v>0</v>
      </c>
      <c r="U4" s="12">
        <v>0</v>
      </c>
      <c r="W4" s="11">
        <v>1</v>
      </c>
      <c r="X4" s="12">
        <v>0</v>
      </c>
      <c r="Y4" s="12">
        <v>1</v>
      </c>
      <c r="Z4" s="12">
        <v>1</v>
      </c>
      <c r="AB4" s="11">
        <v>1</v>
      </c>
      <c r="AC4" s="12">
        <v>5</v>
      </c>
      <c r="AD4" s="12">
        <v>424</v>
      </c>
      <c r="AE4" s="12">
        <v>0</v>
      </c>
      <c r="AG4" s="11">
        <v>1</v>
      </c>
      <c r="AH4" s="12">
        <v>280</v>
      </c>
      <c r="AI4" s="12">
        <v>89</v>
      </c>
      <c r="AJ4" s="12">
        <v>649</v>
      </c>
      <c r="AL4" s="11">
        <v>1</v>
      </c>
      <c r="AM4" s="12">
        <v>547</v>
      </c>
      <c r="AN4" s="12">
        <v>1054</v>
      </c>
      <c r="AO4" s="12">
        <v>1075</v>
      </c>
      <c r="AQ4" s="11">
        <v>1</v>
      </c>
      <c r="AR4" s="12" t="s">
        <v>15</v>
      </c>
      <c r="AT4" s="11">
        <v>1</v>
      </c>
      <c r="AU4" s="12">
        <v>0</v>
      </c>
      <c r="AW4" s="11">
        <v>1</v>
      </c>
      <c r="AX4" s="12">
        <v>402</v>
      </c>
      <c r="AY4" s="12">
        <v>27</v>
      </c>
      <c r="AZ4" s="12">
        <v>13</v>
      </c>
      <c r="BA4" s="12">
        <v>279</v>
      </c>
      <c r="BB4" s="12">
        <v>390</v>
      </c>
      <c r="BC4" s="12">
        <v>456</v>
      </c>
      <c r="BD4" s="12">
        <v>316</v>
      </c>
      <c r="BE4" s="12">
        <v>462</v>
      </c>
      <c r="BF4" s="24">
        <v>312</v>
      </c>
      <c r="BG4" s="29">
        <v>196</v>
      </c>
      <c r="BH4" s="12">
        <v>304</v>
      </c>
      <c r="BI4" s="12">
        <v>304</v>
      </c>
      <c r="BK4" s="11">
        <v>1</v>
      </c>
      <c r="BL4" s="12" t="s">
        <v>15</v>
      </c>
      <c r="BM4" s="12">
        <v>0</v>
      </c>
      <c r="BN4" s="12">
        <v>0</v>
      </c>
      <c r="BP4" s="11">
        <v>1</v>
      </c>
      <c r="BQ4" s="12">
        <v>0</v>
      </c>
      <c r="BR4" s="12">
        <v>1</v>
      </c>
      <c r="BS4" s="12">
        <v>1</v>
      </c>
      <c r="BU4" s="11">
        <v>1</v>
      </c>
      <c r="BV4" s="12">
        <v>5</v>
      </c>
      <c r="BW4" s="12">
        <v>630</v>
      </c>
      <c r="BX4" s="12">
        <v>116</v>
      </c>
      <c r="BZ4" s="11">
        <v>1</v>
      </c>
      <c r="CA4" s="12">
        <v>30</v>
      </c>
      <c r="CC4" s="11">
        <v>1</v>
      </c>
      <c r="CD4" s="12">
        <v>344</v>
      </c>
    </row>
    <row r="5" spans="1:82" ht="16.8">
      <c r="A5" s="1" t="s">
        <v>19</v>
      </c>
      <c r="B5" s="1">
        <v>0</v>
      </c>
      <c r="C5" s="3" t="s">
        <v>25</v>
      </c>
      <c r="D5" s="3">
        <f>SUMIF(S$3:S$38,$A5,AC$3:AC$38)</f>
        <v>74</v>
      </c>
      <c r="E5" s="122">
        <f>SUMIF(T$3:T$52,$A5,AD$3:AD$52)</f>
        <v>969</v>
      </c>
      <c r="F5" s="4">
        <f>SUMIF(U$3:U$52,$A5,AE$3:AE$52)</f>
        <v>9984</v>
      </c>
      <c r="H5" s="27"/>
      <c r="I5" s="27"/>
      <c r="J5" s="91"/>
      <c r="K5" s="91"/>
      <c r="L5" s="320" t="s">
        <v>84</v>
      </c>
      <c r="M5" s="320"/>
      <c r="N5" s="320"/>
      <c r="R5" s="11">
        <v>2</v>
      </c>
      <c r="S5" s="12">
        <v>5</v>
      </c>
      <c r="T5" s="12" t="s">
        <v>15</v>
      </c>
      <c r="U5" s="12" t="s">
        <v>15</v>
      </c>
      <c r="W5" s="11">
        <v>2</v>
      </c>
      <c r="X5" s="12">
        <v>3</v>
      </c>
      <c r="Y5" s="12">
        <v>0</v>
      </c>
      <c r="Z5" s="12">
        <v>0</v>
      </c>
      <c r="AB5" s="11">
        <v>2</v>
      </c>
      <c r="AC5" s="12">
        <v>402</v>
      </c>
      <c r="AD5" s="12">
        <v>39</v>
      </c>
      <c r="AE5" s="12">
        <v>400</v>
      </c>
      <c r="AG5" s="11">
        <v>2</v>
      </c>
      <c r="AH5" s="12">
        <v>181</v>
      </c>
      <c r="AI5" s="12">
        <v>213</v>
      </c>
      <c r="AJ5" s="12">
        <v>0</v>
      </c>
      <c r="AL5" s="11">
        <v>2</v>
      </c>
      <c r="AM5" s="12">
        <v>9</v>
      </c>
      <c r="AN5" s="12">
        <v>174</v>
      </c>
      <c r="AO5" s="12">
        <v>184</v>
      </c>
      <c r="AQ5" s="11">
        <v>2</v>
      </c>
      <c r="AR5" s="14" t="s">
        <v>7</v>
      </c>
      <c r="AT5" s="11">
        <v>2</v>
      </c>
      <c r="AU5" s="12">
        <v>9</v>
      </c>
      <c r="AW5" s="11">
        <v>2</v>
      </c>
      <c r="AX5" s="12">
        <v>15</v>
      </c>
      <c r="AY5" s="12">
        <v>45</v>
      </c>
      <c r="AZ5" s="12">
        <v>137</v>
      </c>
      <c r="BA5" s="12">
        <v>92</v>
      </c>
      <c r="BB5" s="12">
        <v>2</v>
      </c>
      <c r="BC5" s="12">
        <v>51</v>
      </c>
      <c r="BD5" s="12">
        <v>127</v>
      </c>
      <c r="BE5" s="12">
        <v>5</v>
      </c>
      <c r="BF5" s="24">
        <v>215</v>
      </c>
      <c r="BG5" s="29">
        <v>569</v>
      </c>
      <c r="BH5" s="12">
        <v>113</v>
      </c>
      <c r="BI5" s="12">
        <v>113</v>
      </c>
      <c r="BK5" s="11">
        <v>2</v>
      </c>
      <c r="BL5" s="12">
        <v>5</v>
      </c>
      <c r="BM5" s="12" t="s">
        <v>15</v>
      </c>
      <c r="BN5" s="12" t="s">
        <v>15</v>
      </c>
      <c r="BP5" s="11">
        <v>2</v>
      </c>
      <c r="BQ5" s="12">
        <v>3</v>
      </c>
      <c r="BR5" s="12">
        <v>0</v>
      </c>
      <c r="BS5" s="12">
        <v>0</v>
      </c>
      <c r="BU5" s="11">
        <v>2</v>
      </c>
      <c r="BV5" s="12">
        <v>276</v>
      </c>
      <c r="BW5" s="12">
        <v>29</v>
      </c>
      <c r="BX5" s="12">
        <v>5</v>
      </c>
      <c r="BZ5" s="11">
        <v>2</v>
      </c>
      <c r="CA5" s="12">
        <v>500</v>
      </c>
      <c r="CC5" s="11">
        <v>2</v>
      </c>
      <c r="CD5" s="12">
        <v>2</v>
      </c>
    </row>
    <row r="6" spans="1:82">
      <c r="A6" s="20">
        <v>0</v>
      </c>
      <c r="B6" s="20">
        <v>1</v>
      </c>
      <c r="C6" s="5">
        <v>0</v>
      </c>
      <c r="D6" s="37">
        <f t="shared" ref="D6:D16" si="0">SUMIF(S$3:S$38,$A6,AC$3:AC$38)</f>
        <v>0</v>
      </c>
      <c r="E6" s="121">
        <f t="shared" ref="E6:E16" si="1">SUMIF(T$3:T$52,$A6,AD$3:AD$52)</f>
        <v>2119</v>
      </c>
      <c r="F6" s="7">
        <f t="shared" ref="F6:F16" si="2">SUMIF(U$3:U$52,$A6,AE$3:AE$52)</f>
        <v>0</v>
      </c>
      <c r="H6" s="27"/>
      <c r="I6" s="27"/>
      <c r="J6" s="27"/>
      <c r="R6" s="11">
        <v>3</v>
      </c>
      <c r="S6" s="12" t="s">
        <v>15</v>
      </c>
      <c r="T6" s="12">
        <v>1</v>
      </c>
      <c r="U6" s="12">
        <v>1</v>
      </c>
      <c r="W6" s="11">
        <v>3</v>
      </c>
      <c r="X6" s="12">
        <v>0</v>
      </c>
      <c r="Y6" s="12">
        <v>2</v>
      </c>
      <c r="Z6" s="12">
        <v>2</v>
      </c>
      <c r="AB6" s="11">
        <v>3</v>
      </c>
      <c r="AC6" s="12">
        <v>5</v>
      </c>
      <c r="AD6" s="12">
        <v>796</v>
      </c>
      <c r="AE6" s="12">
        <v>0</v>
      </c>
      <c r="AG6" s="11">
        <v>3</v>
      </c>
      <c r="AH6" s="12">
        <v>280</v>
      </c>
      <c r="AI6" s="12">
        <v>588</v>
      </c>
      <c r="AJ6" s="12">
        <v>709</v>
      </c>
      <c r="AL6" s="11">
        <v>3</v>
      </c>
      <c r="AM6" s="12">
        <v>547</v>
      </c>
      <c r="AN6" s="12">
        <v>7</v>
      </c>
      <c r="AO6" s="12">
        <v>0</v>
      </c>
      <c r="AQ6" s="11">
        <v>3</v>
      </c>
      <c r="AR6" s="12" t="s">
        <v>15</v>
      </c>
      <c r="AT6" s="11">
        <v>3</v>
      </c>
      <c r="AU6" s="12">
        <v>0</v>
      </c>
      <c r="AW6" s="11">
        <v>3</v>
      </c>
      <c r="AX6" s="12">
        <v>393</v>
      </c>
      <c r="AY6" s="12">
        <v>23</v>
      </c>
      <c r="AZ6" s="12">
        <v>20</v>
      </c>
      <c r="BA6" s="12">
        <v>279</v>
      </c>
      <c r="BB6" s="12">
        <v>390</v>
      </c>
      <c r="BC6" s="12">
        <v>456</v>
      </c>
      <c r="BD6" s="12">
        <v>316</v>
      </c>
      <c r="BE6" s="12">
        <v>462</v>
      </c>
      <c r="BF6" s="24">
        <v>312</v>
      </c>
      <c r="BG6" s="29">
        <v>196</v>
      </c>
      <c r="BH6" s="12">
        <v>304</v>
      </c>
      <c r="BI6" s="12">
        <v>304</v>
      </c>
      <c r="BK6" s="11">
        <v>3</v>
      </c>
      <c r="BL6" s="12" t="s">
        <v>15</v>
      </c>
      <c r="BM6" s="12">
        <v>1</v>
      </c>
      <c r="BN6" s="12">
        <v>1</v>
      </c>
      <c r="BP6" s="11">
        <v>3</v>
      </c>
      <c r="BQ6" s="12">
        <v>0</v>
      </c>
      <c r="BR6" s="12">
        <v>2</v>
      </c>
      <c r="BS6" s="12">
        <v>2</v>
      </c>
      <c r="BU6" s="11">
        <v>3</v>
      </c>
      <c r="BV6" s="12">
        <v>5</v>
      </c>
      <c r="BW6" s="12">
        <v>615</v>
      </c>
      <c r="BX6" s="12">
        <v>38</v>
      </c>
      <c r="BZ6" s="11">
        <v>3</v>
      </c>
      <c r="CA6" s="12">
        <v>10</v>
      </c>
      <c r="CC6" s="11">
        <v>3</v>
      </c>
      <c r="CD6" s="12">
        <v>4998</v>
      </c>
    </row>
    <row r="7" spans="1:82" ht="16.8">
      <c r="A7" s="20">
        <v>1</v>
      </c>
      <c r="B7" s="20">
        <v>2</v>
      </c>
      <c r="C7" s="5">
        <v>1</v>
      </c>
      <c r="D7" s="6">
        <f t="shared" si="0"/>
        <v>7029</v>
      </c>
      <c r="E7" s="121">
        <f t="shared" si="1"/>
        <v>3979</v>
      </c>
      <c r="F7" s="7">
        <f t="shared" si="2"/>
        <v>0</v>
      </c>
      <c r="H7" s="27"/>
      <c r="J7" s="64" t="s">
        <v>81</v>
      </c>
      <c r="K7" s="64" t="s">
        <v>82</v>
      </c>
      <c r="L7" s="64" t="s">
        <v>83</v>
      </c>
      <c r="M7" s="64" t="s">
        <v>113</v>
      </c>
      <c r="R7" s="11">
        <v>4</v>
      </c>
      <c r="S7" s="12">
        <v>10</v>
      </c>
      <c r="T7" s="12" t="s">
        <v>15</v>
      </c>
      <c r="U7" s="12" t="s">
        <v>15</v>
      </c>
      <c r="W7" s="11">
        <v>4</v>
      </c>
      <c r="X7" s="12">
        <v>4</v>
      </c>
      <c r="Y7" s="12">
        <v>0</v>
      </c>
      <c r="Z7" s="12">
        <v>0</v>
      </c>
      <c r="AB7" s="11">
        <v>4</v>
      </c>
      <c r="AC7" s="12">
        <v>81</v>
      </c>
      <c r="AD7" s="12">
        <v>39</v>
      </c>
      <c r="AE7" s="12">
        <v>400</v>
      </c>
      <c r="AG7" s="11">
        <v>4</v>
      </c>
      <c r="AH7" s="12">
        <v>17</v>
      </c>
      <c r="AI7" s="12">
        <v>213</v>
      </c>
      <c r="AJ7" s="12">
        <v>0</v>
      </c>
      <c r="AL7" s="11">
        <v>4</v>
      </c>
      <c r="AM7" s="12">
        <v>14</v>
      </c>
      <c r="AN7" s="12">
        <v>174</v>
      </c>
      <c r="AO7" s="12">
        <v>184</v>
      </c>
      <c r="AQ7" s="11">
        <v>4</v>
      </c>
      <c r="AR7" s="14" t="s">
        <v>6</v>
      </c>
      <c r="AT7" s="11">
        <v>4</v>
      </c>
      <c r="AU7" s="12">
        <v>7</v>
      </c>
      <c r="AW7" s="11">
        <v>4</v>
      </c>
      <c r="AX7" s="12">
        <v>156</v>
      </c>
      <c r="AY7" s="12">
        <v>19</v>
      </c>
      <c r="AZ7" s="12">
        <v>24</v>
      </c>
      <c r="BA7" s="12">
        <v>612</v>
      </c>
      <c r="BB7" s="12">
        <v>451</v>
      </c>
      <c r="BC7" s="12">
        <v>5</v>
      </c>
      <c r="BD7" s="12">
        <v>255</v>
      </c>
      <c r="BE7" s="12">
        <v>10</v>
      </c>
      <c r="BF7" s="24">
        <v>21</v>
      </c>
      <c r="BG7" s="29">
        <v>273</v>
      </c>
      <c r="BH7" s="12">
        <v>253</v>
      </c>
      <c r="BI7" s="12">
        <v>253</v>
      </c>
      <c r="BK7" s="11">
        <v>4</v>
      </c>
      <c r="BL7" s="12">
        <v>10</v>
      </c>
      <c r="BM7" s="12" t="s">
        <v>15</v>
      </c>
      <c r="BN7" s="12" t="s">
        <v>15</v>
      </c>
      <c r="BP7" s="11">
        <v>4</v>
      </c>
      <c r="BQ7" s="12">
        <v>4</v>
      </c>
      <c r="BR7" s="12">
        <v>0</v>
      </c>
      <c r="BS7" s="12">
        <v>0</v>
      </c>
      <c r="BU7" s="11">
        <v>4</v>
      </c>
      <c r="BV7" s="12">
        <v>276</v>
      </c>
      <c r="BW7" s="12">
        <v>29</v>
      </c>
      <c r="BX7" s="12">
        <v>5</v>
      </c>
      <c r="BZ7" s="11">
        <v>4</v>
      </c>
      <c r="CA7" s="12">
        <v>50</v>
      </c>
      <c r="CC7" s="11">
        <v>4</v>
      </c>
      <c r="CD7" s="12">
        <v>1168</v>
      </c>
    </row>
    <row r="8" spans="1:82" ht="16.8">
      <c r="A8" s="21">
        <v>5</v>
      </c>
      <c r="B8" s="21">
        <v>3</v>
      </c>
      <c r="C8" s="23">
        <v>5</v>
      </c>
      <c r="D8" s="6">
        <f t="shared" si="0"/>
        <v>2410</v>
      </c>
      <c r="E8" s="121">
        <f t="shared" si="1"/>
        <v>2621</v>
      </c>
      <c r="F8" s="7">
        <f t="shared" si="2"/>
        <v>0</v>
      </c>
      <c r="H8" s="27"/>
      <c r="J8" s="64" t="s">
        <v>80</v>
      </c>
      <c r="K8" s="64">
        <v>3</v>
      </c>
      <c r="L8" s="64">
        <v>3</v>
      </c>
      <c r="M8" s="64">
        <v>94</v>
      </c>
      <c r="R8" s="11">
        <v>5</v>
      </c>
      <c r="S8" s="12" t="s">
        <v>15</v>
      </c>
      <c r="T8" s="12">
        <v>5</v>
      </c>
      <c r="U8" s="12">
        <v>5</v>
      </c>
      <c r="W8" s="11">
        <v>5</v>
      </c>
      <c r="X8" s="12">
        <v>0</v>
      </c>
      <c r="Y8" s="12">
        <v>3</v>
      </c>
      <c r="Z8" s="12">
        <v>3</v>
      </c>
      <c r="AB8" s="11">
        <v>5</v>
      </c>
      <c r="AC8" s="12">
        <v>4</v>
      </c>
      <c r="AD8" s="12">
        <v>525</v>
      </c>
      <c r="AE8" s="12">
        <v>0</v>
      </c>
      <c r="AG8" s="11">
        <v>5</v>
      </c>
      <c r="AH8" s="12">
        <v>280</v>
      </c>
      <c r="AI8" s="12">
        <v>198</v>
      </c>
      <c r="AJ8" s="12">
        <v>640</v>
      </c>
      <c r="AL8" s="11">
        <v>5</v>
      </c>
      <c r="AM8" s="12">
        <v>547</v>
      </c>
      <c r="AN8" s="12">
        <v>11</v>
      </c>
      <c r="AO8" s="12">
        <v>7</v>
      </c>
      <c r="AQ8" s="11">
        <v>5</v>
      </c>
      <c r="AR8" s="12" t="s">
        <v>15</v>
      </c>
      <c r="AT8" s="11">
        <v>5</v>
      </c>
      <c r="AU8" s="12">
        <v>0</v>
      </c>
      <c r="AW8" s="11">
        <v>5</v>
      </c>
      <c r="AX8" s="12">
        <v>411</v>
      </c>
      <c r="AY8" s="12">
        <v>23</v>
      </c>
      <c r="AZ8" s="12">
        <v>20</v>
      </c>
      <c r="BA8" s="12">
        <v>279</v>
      </c>
      <c r="BB8" s="12">
        <v>390</v>
      </c>
      <c r="BC8" s="12">
        <v>456</v>
      </c>
      <c r="BD8" s="12">
        <v>316</v>
      </c>
      <c r="BE8" s="12">
        <v>461</v>
      </c>
      <c r="BF8" s="24">
        <v>312</v>
      </c>
      <c r="BG8" s="29">
        <v>196</v>
      </c>
      <c r="BH8" s="12">
        <v>304</v>
      </c>
      <c r="BI8" s="12">
        <v>304</v>
      </c>
      <c r="BK8" s="11">
        <v>5</v>
      </c>
      <c r="BL8" s="12" t="s">
        <v>15</v>
      </c>
      <c r="BM8" s="12">
        <v>5</v>
      </c>
      <c r="BN8" s="12">
        <v>5</v>
      </c>
      <c r="BP8" s="11">
        <v>5</v>
      </c>
      <c r="BQ8" s="12">
        <v>0</v>
      </c>
      <c r="BR8" s="12">
        <v>3</v>
      </c>
      <c r="BS8" s="12">
        <v>3</v>
      </c>
      <c r="BU8" s="11">
        <v>5</v>
      </c>
      <c r="BV8" s="12">
        <v>5</v>
      </c>
      <c r="BW8" s="12">
        <v>615</v>
      </c>
      <c r="BX8" s="12">
        <v>63</v>
      </c>
      <c r="BZ8" s="11">
        <v>5</v>
      </c>
      <c r="CA8" s="12">
        <v>1000</v>
      </c>
      <c r="CC8" s="11">
        <v>5</v>
      </c>
      <c r="CD8" s="12">
        <v>2</v>
      </c>
    </row>
    <row r="9" spans="1:82" ht="15.6" customHeight="1">
      <c r="A9" s="21">
        <v>10</v>
      </c>
      <c r="B9" s="21">
        <v>4</v>
      </c>
      <c r="C9" s="23">
        <v>10</v>
      </c>
      <c r="D9" s="6">
        <f t="shared" si="0"/>
        <v>486</v>
      </c>
      <c r="E9" s="101">
        <f t="shared" si="1"/>
        <v>202</v>
      </c>
      <c r="F9" s="126">
        <f t="shared" si="2"/>
        <v>12</v>
      </c>
      <c r="H9" s="27"/>
      <c r="J9" s="64" t="s">
        <v>72</v>
      </c>
      <c r="K9" s="64">
        <v>0</v>
      </c>
      <c r="L9" s="64">
        <v>0</v>
      </c>
      <c r="M9" s="64">
        <v>0</v>
      </c>
      <c r="N9" s="92"/>
      <c r="O9" s="92"/>
      <c r="R9" s="11">
        <v>6</v>
      </c>
      <c r="S9" s="12">
        <v>1</v>
      </c>
      <c r="T9" s="12" t="s">
        <v>15</v>
      </c>
      <c r="U9" s="12" t="s">
        <v>15</v>
      </c>
      <c r="W9" s="11">
        <v>6</v>
      </c>
      <c r="X9" s="12">
        <v>2</v>
      </c>
      <c r="Y9" s="12">
        <v>0</v>
      </c>
      <c r="Z9" s="12">
        <v>0</v>
      </c>
      <c r="AB9" s="11">
        <v>6</v>
      </c>
      <c r="AC9" s="12">
        <v>1172</v>
      </c>
      <c r="AD9" s="12">
        <v>39</v>
      </c>
      <c r="AE9" s="12">
        <v>400</v>
      </c>
      <c r="AG9" s="11">
        <v>6</v>
      </c>
      <c r="AH9" s="12">
        <v>632</v>
      </c>
      <c r="AI9" s="12">
        <v>213</v>
      </c>
      <c r="AJ9" s="12">
        <v>0</v>
      </c>
      <c r="AL9" s="11">
        <v>6</v>
      </c>
      <c r="AM9" s="12">
        <v>5</v>
      </c>
      <c r="AN9" s="12">
        <v>174</v>
      </c>
      <c r="AO9" s="12">
        <v>183</v>
      </c>
      <c r="AQ9" s="11">
        <v>6</v>
      </c>
      <c r="AR9" s="14" t="s">
        <v>40</v>
      </c>
      <c r="AT9" s="11">
        <v>6</v>
      </c>
      <c r="AU9" s="12">
        <v>11</v>
      </c>
      <c r="AW9" s="11">
        <v>6</v>
      </c>
      <c r="AX9" s="12">
        <v>12</v>
      </c>
      <c r="AY9" s="12">
        <v>197</v>
      </c>
      <c r="AZ9" s="12">
        <v>403</v>
      </c>
      <c r="BA9" s="12">
        <v>227</v>
      </c>
      <c r="BB9" s="12">
        <v>57</v>
      </c>
      <c r="BC9" s="12">
        <v>33</v>
      </c>
      <c r="BD9" s="12">
        <v>203</v>
      </c>
      <c r="BE9" s="12">
        <v>144</v>
      </c>
      <c r="BF9" s="24">
        <v>96</v>
      </c>
      <c r="BG9" s="29">
        <v>308</v>
      </c>
      <c r="BH9" s="12">
        <v>170</v>
      </c>
      <c r="BI9" s="12">
        <v>170</v>
      </c>
      <c r="BK9" s="11">
        <v>6</v>
      </c>
      <c r="BL9" s="12">
        <v>1</v>
      </c>
      <c r="BM9" s="12" t="s">
        <v>15</v>
      </c>
      <c r="BN9" s="12" t="s">
        <v>15</v>
      </c>
      <c r="BP9" s="11">
        <v>6</v>
      </c>
      <c r="BQ9" s="12">
        <v>2</v>
      </c>
      <c r="BR9" s="12">
        <v>0</v>
      </c>
      <c r="BS9" s="12">
        <v>0</v>
      </c>
      <c r="BU9" s="11">
        <v>6</v>
      </c>
      <c r="BV9" s="12">
        <v>1103</v>
      </c>
      <c r="BW9" s="12">
        <v>29</v>
      </c>
      <c r="BX9" s="12">
        <v>5</v>
      </c>
      <c r="BZ9" s="11">
        <v>6</v>
      </c>
      <c r="CA9" s="12">
        <v>200</v>
      </c>
      <c r="CC9" s="11">
        <v>6</v>
      </c>
      <c r="CD9" s="12">
        <v>15</v>
      </c>
    </row>
    <row r="10" spans="1:82" ht="16.8">
      <c r="A10" s="20" t="s">
        <v>20</v>
      </c>
      <c r="B10" s="20">
        <v>5</v>
      </c>
      <c r="C10" s="23" t="s">
        <v>29</v>
      </c>
      <c r="D10" s="37">
        <f t="shared" si="0"/>
        <v>0</v>
      </c>
      <c r="E10" s="101">
        <f t="shared" si="1"/>
        <v>109</v>
      </c>
      <c r="F10" s="126">
        <f t="shared" si="2"/>
        <v>4</v>
      </c>
      <c r="H10" s="27"/>
      <c r="J10" s="64" t="s">
        <v>73</v>
      </c>
      <c r="K10" s="64">
        <v>0</v>
      </c>
      <c r="L10" s="64">
        <v>0</v>
      </c>
      <c r="M10" s="64">
        <v>0</v>
      </c>
      <c r="N10" s="93"/>
      <c r="O10" s="93"/>
      <c r="R10" s="11">
        <v>7</v>
      </c>
      <c r="S10" s="12" t="s">
        <v>15</v>
      </c>
      <c r="T10" s="12">
        <v>10</v>
      </c>
      <c r="U10" s="12">
        <v>10</v>
      </c>
      <c r="W10" s="11">
        <v>7</v>
      </c>
      <c r="X10" s="12">
        <v>0</v>
      </c>
      <c r="Y10" s="12">
        <v>4</v>
      </c>
      <c r="Z10" s="12">
        <v>4</v>
      </c>
      <c r="AB10" s="11">
        <v>7</v>
      </c>
      <c r="AC10" s="12">
        <v>4</v>
      </c>
      <c r="AD10" s="12">
        <v>41</v>
      </c>
      <c r="AE10" s="12">
        <v>3</v>
      </c>
      <c r="AG10" s="11">
        <v>7</v>
      </c>
      <c r="AH10" s="12">
        <v>280</v>
      </c>
      <c r="AI10" s="12">
        <v>41</v>
      </c>
      <c r="AJ10" s="12">
        <v>3</v>
      </c>
      <c r="AL10" s="11">
        <v>7</v>
      </c>
      <c r="AM10" s="12">
        <v>547</v>
      </c>
      <c r="AN10" s="12">
        <v>41</v>
      </c>
      <c r="AO10" s="12">
        <v>3</v>
      </c>
      <c r="AQ10" s="11">
        <v>7</v>
      </c>
      <c r="AR10" s="12" t="s">
        <v>15</v>
      </c>
      <c r="AT10" s="11">
        <v>7</v>
      </c>
      <c r="AU10" s="12">
        <v>0</v>
      </c>
      <c r="AW10" s="11">
        <v>7</v>
      </c>
      <c r="AX10" s="12">
        <v>404</v>
      </c>
      <c r="AY10" s="12">
        <v>23</v>
      </c>
      <c r="AZ10" s="12">
        <v>20</v>
      </c>
      <c r="BA10" s="12">
        <v>279</v>
      </c>
      <c r="BB10" s="12">
        <v>390</v>
      </c>
      <c r="BC10" s="12">
        <v>455</v>
      </c>
      <c r="BD10" s="12">
        <v>316</v>
      </c>
      <c r="BE10" s="12">
        <v>461</v>
      </c>
      <c r="BF10" s="24">
        <v>312</v>
      </c>
      <c r="BG10" s="29">
        <v>196</v>
      </c>
      <c r="BH10" s="12">
        <v>304</v>
      </c>
      <c r="BI10" s="12">
        <v>304</v>
      </c>
      <c r="BK10" s="11">
        <v>7</v>
      </c>
      <c r="BL10" s="12" t="s">
        <v>15</v>
      </c>
      <c r="BM10" s="12">
        <v>10</v>
      </c>
      <c r="BN10" s="12">
        <v>10</v>
      </c>
      <c r="BP10" s="11">
        <v>7</v>
      </c>
      <c r="BQ10" s="12">
        <v>0</v>
      </c>
      <c r="BR10" s="12">
        <v>4</v>
      </c>
      <c r="BS10" s="12">
        <v>4</v>
      </c>
      <c r="BU10" s="11">
        <v>7</v>
      </c>
      <c r="BV10" s="12">
        <v>5</v>
      </c>
      <c r="BW10" s="12">
        <v>0</v>
      </c>
      <c r="BX10" s="12">
        <v>960</v>
      </c>
      <c r="BZ10" s="11">
        <v>7</v>
      </c>
      <c r="CA10" s="12">
        <v>20</v>
      </c>
      <c r="CC10" s="11">
        <v>7</v>
      </c>
      <c r="CD10" s="12">
        <v>3335</v>
      </c>
    </row>
    <row r="11" spans="1:82" ht="16.8">
      <c r="A11" s="21" t="s">
        <v>21</v>
      </c>
      <c r="B11" s="21">
        <v>6</v>
      </c>
      <c r="C11" s="23" t="s">
        <v>26</v>
      </c>
      <c r="D11" s="37">
        <f t="shared" si="0"/>
        <v>0</v>
      </c>
      <c r="E11" s="59">
        <f t="shared" si="1"/>
        <v>0</v>
      </c>
      <c r="F11" s="38">
        <f t="shared" si="2"/>
        <v>0</v>
      </c>
      <c r="H11" s="27"/>
      <c r="J11" s="64" t="s">
        <v>4</v>
      </c>
      <c r="K11" s="64">
        <v>7</v>
      </c>
      <c r="L11" s="64">
        <v>7</v>
      </c>
      <c r="M11" s="64">
        <v>86</v>
      </c>
      <c r="N11" s="93"/>
      <c r="O11" s="93"/>
      <c r="R11" s="11">
        <v>8</v>
      </c>
      <c r="S11" s="12">
        <v>5</v>
      </c>
      <c r="T11" s="12" t="s">
        <v>15</v>
      </c>
      <c r="U11" s="12" t="s">
        <v>15</v>
      </c>
      <c r="W11" s="11">
        <v>8</v>
      </c>
      <c r="X11" s="12">
        <v>3</v>
      </c>
      <c r="Y11" s="12">
        <v>0</v>
      </c>
      <c r="Z11" s="12">
        <v>0</v>
      </c>
      <c r="AB11" s="11">
        <v>8</v>
      </c>
      <c r="AC11" s="12">
        <v>402</v>
      </c>
      <c r="AD11" s="12">
        <v>39</v>
      </c>
      <c r="AE11" s="12">
        <v>400</v>
      </c>
      <c r="AG11" s="11">
        <v>8</v>
      </c>
      <c r="AH11" s="12">
        <v>181</v>
      </c>
      <c r="AI11" s="12">
        <v>213</v>
      </c>
      <c r="AJ11" s="12">
        <v>0</v>
      </c>
      <c r="AL11" s="11">
        <v>8</v>
      </c>
      <c r="AM11" s="12">
        <v>9</v>
      </c>
      <c r="AN11" s="12">
        <v>174</v>
      </c>
      <c r="AO11" s="12">
        <v>183</v>
      </c>
      <c r="AQ11" s="11">
        <v>8</v>
      </c>
      <c r="AR11" s="14" t="s">
        <v>9</v>
      </c>
      <c r="AT11" s="11">
        <v>8</v>
      </c>
      <c r="AU11" s="12">
        <v>8</v>
      </c>
      <c r="AW11" s="11">
        <v>8</v>
      </c>
      <c r="AX11" s="12">
        <v>151</v>
      </c>
      <c r="AY11" s="12">
        <v>2110</v>
      </c>
      <c r="AZ11" s="12">
        <v>459</v>
      </c>
      <c r="BA11" s="12">
        <v>111</v>
      </c>
      <c r="BB11" s="12">
        <v>40</v>
      </c>
      <c r="BC11" s="12">
        <v>102</v>
      </c>
      <c r="BD11" s="12">
        <v>83</v>
      </c>
      <c r="BE11" s="12">
        <v>28</v>
      </c>
      <c r="BF11" s="24">
        <v>99</v>
      </c>
      <c r="BG11" s="29">
        <v>8</v>
      </c>
      <c r="BH11" s="12">
        <v>207</v>
      </c>
      <c r="BI11" s="12">
        <v>207</v>
      </c>
      <c r="BK11" s="11">
        <v>8</v>
      </c>
      <c r="BL11" s="12">
        <v>5</v>
      </c>
      <c r="BM11" s="12" t="s">
        <v>15</v>
      </c>
      <c r="BN11" s="12" t="s">
        <v>15</v>
      </c>
      <c r="BP11" s="11">
        <v>8</v>
      </c>
      <c r="BQ11" s="12">
        <v>3</v>
      </c>
      <c r="BR11" s="12">
        <v>0</v>
      </c>
      <c r="BS11" s="12">
        <v>0</v>
      </c>
      <c r="BU11" s="11">
        <v>8</v>
      </c>
      <c r="BV11" s="12">
        <v>276</v>
      </c>
      <c r="BW11" s="12">
        <v>29</v>
      </c>
      <c r="BX11" s="12">
        <v>5</v>
      </c>
      <c r="BZ11" s="11">
        <v>8</v>
      </c>
      <c r="CA11" s="12"/>
      <c r="CC11" s="11">
        <v>8</v>
      </c>
      <c r="CD11" s="12"/>
    </row>
    <row r="12" spans="1:82">
      <c r="A12" s="20" t="s">
        <v>22</v>
      </c>
      <c r="B12" s="20">
        <v>7</v>
      </c>
      <c r="C12" s="5" t="s">
        <v>27</v>
      </c>
      <c r="D12" s="37">
        <f t="shared" si="0"/>
        <v>0</v>
      </c>
      <c r="E12" s="59">
        <f t="shared" si="1"/>
        <v>0</v>
      </c>
      <c r="F12" s="38">
        <f t="shared" si="2"/>
        <v>0</v>
      </c>
      <c r="H12" s="27"/>
      <c r="J12" s="27"/>
      <c r="K12" s="27"/>
      <c r="R12" s="11">
        <v>9</v>
      </c>
      <c r="S12" s="12" t="s">
        <v>15</v>
      </c>
      <c r="T12" s="12" t="s">
        <v>18</v>
      </c>
      <c r="U12" s="12" t="s">
        <v>18</v>
      </c>
      <c r="W12" s="11">
        <v>9</v>
      </c>
      <c r="X12" s="12">
        <v>0</v>
      </c>
      <c r="Y12" s="12">
        <v>5</v>
      </c>
      <c r="Z12" s="12">
        <v>5</v>
      </c>
      <c r="AB12" s="11">
        <v>9</v>
      </c>
      <c r="AC12" s="12">
        <v>4</v>
      </c>
      <c r="AD12" s="12">
        <v>22</v>
      </c>
      <c r="AE12" s="12">
        <v>1</v>
      </c>
      <c r="AG12" s="11">
        <v>9</v>
      </c>
      <c r="AH12" s="12">
        <v>280</v>
      </c>
      <c r="AI12" s="12">
        <v>22</v>
      </c>
      <c r="AJ12" s="12">
        <v>1</v>
      </c>
      <c r="AL12" s="11">
        <v>9</v>
      </c>
      <c r="AM12" s="12">
        <v>547</v>
      </c>
      <c r="AN12" s="12">
        <v>22</v>
      </c>
      <c r="AO12" s="12">
        <v>1</v>
      </c>
      <c r="AQ12" s="11">
        <v>9</v>
      </c>
      <c r="AR12" s="12" t="s">
        <v>15</v>
      </c>
      <c r="AT12" s="11">
        <v>9</v>
      </c>
      <c r="AU12" s="12">
        <v>0</v>
      </c>
      <c r="AW12" s="11">
        <v>9</v>
      </c>
      <c r="AX12" s="12">
        <v>404</v>
      </c>
      <c r="AY12" s="12">
        <v>23</v>
      </c>
      <c r="AZ12" s="12">
        <v>20</v>
      </c>
      <c r="BA12" s="12">
        <v>279</v>
      </c>
      <c r="BB12" s="12">
        <v>390</v>
      </c>
      <c r="BC12" s="12">
        <v>455</v>
      </c>
      <c r="BD12" s="12">
        <v>316</v>
      </c>
      <c r="BE12" s="12">
        <v>461</v>
      </c>
      <c r="BF12" s="24">
        <v>312</v>
      </c>
      <c r="BG12" s="29">
        <v>196</v>
      </c>
      <c r="BH12" s="12">
        <v>304</v>
      </c>
      <c r="BI12" s="12">
        <v>304</v>
      </c>
      <c r="BK12" s="11">
        <v>9</v>
      </c>
      <c r="BL12" s="12" t="s">
        <v>15</v>
      </c>
      <c r="BM12" s="12" t="s">
        <v>18</v>
      </c>
      <c r="BN12" s="12" t="s">
        <v>18</v>
      </c>
      <c r="BP12" s="11">
        <v>9</v>
      </c>
      <c r="BQ12" s="12">
        <v>0</v>
      </c>
      <c r="BR12" s="12">
        <v>5</v>
      </c>
      <c r="BS12" s="12">
        <v>5</v>
      </c>
      <c r="BU12" s="11">
        <v>9</v>
      </c>
      <c r="BV12" s="12">
        <v>5</v>
      </c>
      <c r="BW12" s="12">
        <v>0</v>
      </c>
      <c r="BX12" s="12">
        <v>800</v>
      </c>
      <c r="BZ12" s="11">
        <v>9</v>
      </c>
      <c r="CA12" s="12"/>
      <c r="CC12" s="11">
        <v>9</v>
      </c>
      <c r="CD12" s="12"/>
    </row>
    <row r="13" spans="1:82" ht="18" customHeight="1">
      <c r="A13" s="20" t="s">
        <v>23</v>
      </c>
      <c r="B13" s="20">
        <v>8</v>
      </c>
      <c r="C13" s="5" t="s">
        <v>28</v>
      </c>
      <c r="D13" s="37">
        <f t="shared" si="0"/>
        <v>0</v>
      </c>
      <c r="E13" s="59">
        <f t="shared" si="1"/>
        <v>0</v>
      </c>
      <c r="F13" s="38">
        <f t="shared" si="2"/>
        <v>0</v>
      </c>
      <c r="H13" s="27"/>
      <c r="J13" s="66"/>
      <c r="K13" s="64" t="s">
        <v>90</v>
      </c>
      <c r="L13" s="64" t="s">
        <v>91</v>
      </c>
      <c r="M13" s="64" t="s">
        <v>92</v>
      </c>
      <c r="R13" s="11">
        <v>10</v>
      </c>
      <c r="S13" s="12">
        <v>10</v>
      </c>
      <c r="T13" s="12" t="s">
        <v>15</v>
      </c>
      <c r="U13" s="12" t="s">
        <v>15</v>
      </c>
      <c r="W13" s="11">
        <v>10</v>
      </c>
      <c r="X13" s="12">
        <v>4</v>
      </c>
      <c r="Y13" s="12">
        <v>0</v>
      </c>
      <c r="Z13" s="12">
        <v>0</v>
      </c>
      <c r="AB13" s="11">
        <v>10</v>
      </c>
      <c r="AC13" s="12">
        <v>81</v>
      </c>
      <c r="AD13" s="12">
        <v>39</v>
      </c>
      <c r="AE13" s="12">
        <v>400</v>
      </c>
      <c r="AG13" s="11">
        <v>10</v>
      </c>
      <c r="AH13" s="12">
        <v>17</v>
      </c>
      <c r="AI13" s="12">
        <v>213</v>
      </c>
      <c r="AJ13" s="12">
        <v>0</v>
      </c>
      <c r="AL13" s="11">
        <v>10</v>
      </c>
      <c r="AM13" s="12">
        <v>14</v>
      </c>
      <c r="AN13" s="12">
        <v>174</v>
      </c>
      <c r="AO13" s="12">
        <v>183</v>
      </c>
      <c r="AQ13" s="11">
        <v>10</v>
      </c>
      <c r="AR13" s="14" t="s">
        <v>5</v>
      </c>
      <c r="AT13" s="11">
        <v>10</v>
      </c>
      <c r="AU13" s="12">
        <v>6</v>
      </c>
      <c r="AW13" s="11">
        <v>10</v>
      </c>
      <c r="AX13" s="12">
        <v>149</v>
      </c>
      <c r="AY13" s="12">
        <v>18</v>
      </c>
      <c r="AZ13" s="12">
        <v>1380</v>
      </c>
      <c r="BA13" s="12">
        <v>67</v>
      </c>
      <c r="BB13" s="12">
        <v>4</v>
      </c>
      <c r="BC13" s="12">
        <v>34</v>
      </c>
      <c r="BD13" s="12">
        <v>255</v>
      </c>
      <c r="BE13" s="12">
        <v>10</v>
      </c>
      <c r="BF13" s="24">
        <v>512</v>
      </c>
      <c r="BG13" s="29">
        <v>366</v>
      </c>
      <c r="BH13" s="12">
        <v>240</v>
      </c>
      <c r="BI13" s="12">
        <v>240</v>
      </c>
      <c r="BK13" s="11">
        <v>10</v>
      </c>
      <c r="BL13" s="12">
        <v>10</v>
      </c>
      <c r="BM13" s="12" t="s">
        <v>15</v>
      </c>
      <c r="BN13" s="12" t="s">
        <v>15</v>
      </c>
      <c r="BP13" s="11">
        <v>10</v>
      </c>
      <c r="BQ13" s="12">
        <v>4</v>
      </c>
      <c r="BR13" s="12">
        <v>0</v>
      </c>
      <c r="BS13" s="12">
        <v>0</v>
      </c>
      <c r="BU13" s="11">
        <v>10</v>
      </c>
      <c r="BV13" s="12">
        <v>276</v>
      </c>
      <c r="BW13" s="12">
        <v>29</v>
      </c>
      <c r="BX13" s="12">
        <v>5</v>
      </c>
      <c r="BZ13" s="11">
        <v>10</v>
      </c>
      <c r="CA13" s="12"/>
      <c r="CC13" s="11">
        <v>10</v>
      </c>
      <c r="CD13" s="12"/>
    </row>
    <row r="14" spans="1:82" ht="16.8">
      <c r="A14" s="20" t="s">
        <v>24</v>
      </c>
      <c r="B14" s="20">
        <v>9</v>
      </c>
      <c r="C14" s="5" t="s">
        <v>16</v>
      </c>
      <c r="D14" s="37">
        <f t="shared" si="0"/>
        <v>0</v>
      </c>
      <c r="E14" s="59">
        <f t="shared" si="1"/>
        <v>0</v>
      </c>
      <c r="F14" s="38">
        <f t="shared" si="2"/>
        <v>0</v>
      </c>
      <c r="H14" s="27"/>
      <c r="J14" s="64" t="s">
        <v>96</v>
      </c>
      <c r="K14" s="64">
        <v>29</v>
      </c>
      <c r="L14" s="64">
        <v>69</v>
      </c>
      <c r="M14" s="64">
        <v>902</v>
      </c>
      <c r="R14" s="11">
        <v>11</v>
      </c>
      <c r="S14" s="12" t="s">
        <v>15</v>
      </c>
      <c r="T14" s="12">
        <v>0</v>
      </c>
      <c r="U14" s="12">
        <v>0</v>
      </c>
      <c r="W14" s="11">
        <v>11</v>
      </c>
      <c r="X14" s="12">
        <v>0</v>
      </c>
      <c r="Y14" s="12">
        <v>1</v>
      </c>
      <c r="Z14" s="12">
        <v>1</v>
      </c>
      <c r="AB14" s="11">
        <v>11</v>
      </c>
      <c r="AC14" s="12">
        <v>4</v>
      </c>
      <c r="AD14" s="12">
        <v>424</v>
      </c>
      <c r="AE14" s="12">
        <v>0</v>
      </c>
      <c r="AG14" s="11">
        <v>11</v>
      </c>
      <c r="AH14" s="12">
        <v>280</v>
      </c>
      <c r="AI14" s="12">
        <v>88</v>
      </c>
      <c r="AJ14" s="12">
        <v>649</v>
      </c>
      <c r="AL14" s="11">
        <v>11</v>
      </c>
      <c r="AM14" s="12">
        <v>547</v>
      </c>
      <c r="AN14" s="12">
        <v>1054</v>
      </c>
      <c r="AO14" s="12">
        <v>1075</v>
      </c>
      <c r="AQ14" s="11">
        <v>11</v>
      </c>
      <c r="AR14" s="12" t="s">
        <v>15</v>
      </c>
      <c r="AT14" s="11">
        <v>11</v>
      </c>
      <c r="AU14" s="12">
        <v>0</v>
      </c>
      <c r="AW14" s="11">
        <v>11</v>
      </c>
      <c r="AX14" s="12">
        <v>404</v>
      </c>
      <c r="AY14" s="12">
        <v>23</v>
      </c>
      <c r="AZ14" s="12">
        <v>20</v>
      </c>
      <c r="BA14" s="12">
        <v>279</v>
      </c>
      <c r="BB14" s="12">
        <v>390</v>
      </c>
      <c r="BC14" s="12">
        <v>455</v>
      </c>
      <c r="BD14" s="12">
        <v>316</v>
      </c>
      <c r="BE14" s="12">
        <v>461</v>
      </c>
      <c r="BF14" s="24">
        <v>312</v>
      </c>
      <c r="BG14" s="29">
        <v>196</v>
      </c>
      <c r="BH14" s="12">
        <v>304</v>
      </c>
      <c r="BI14" s="12">
        <v>304</v>
      </c>
      <c r="BK14" s="11">
        <v>11</v>
      </c>
      <c r="BL14" s="12" t="s">
        <v>15</v>
      </c>
      <c r="BM14" s="12">
        <v>0</v>
      </c>
      <c r="BN14" s="12">
        <v>0</v>
      </c>
      <c r="BP14" s="11">
        <v>11</v>
      </c>
      <c r="BQ14" s="12">
        <v>0</v>
      </c>
      <c r="BR14" s="12">
        <v>1</v>
      </c>
      <c r="BS14" s="12">
        <v>1</v>
      </c>
      <c r="BU14" s="11">
        <v>11</v>
      </c>
      <c r="BV14" s="12">
        <v>5</v>
      </c>
      <c r="BW14" s="12">
        <v>630</v>
      </c>
      <c r="BX14" s="12">
        <v>115</v>
      </c>
      <c r="BZ14" s="11">
        <v>11</v>
      </c>
      <c r="CA14" s="12"/>
      <c r="CC14" s="11">
        <v>11</v>
      </c>
      <c r="CD14" s="12"/>
    </row>
    <row r="15" spans="1:82">
      <c r="A15" s="21" t="s">
        <v>35</v>
      </c>
      <c r="B15" s="21">
        <v>10</v>
      </c>
      <c r="C15" s="5" t="s">
        <v>37</v>
      </c>
      <c r="D15" s="37">
        <f t="shared" si="0"/>
        <v>0</v>
      </c>
      <c r="E15" s="59">
        <f t="shared" si="1"/>
        <v>0</v>
      </c>
      <c r="F15" s="38">
        <f t="shared" si="2"/>
        <v>0</v>
      </c>
      <c r="R15" s="11">
        <v>12</v>
      </c>
      <c r="S15" s="12">
        <v>1</v>
      </c>
      <c r="T15" s="12" t="s">
        <v>15</v>
      </c>
      <c r="U15" s="12" t="s">
        <v>15</v>
      </c>
      <c r="W15" s="11">
        <v>12</v>
      </c>
      <c r="X15" s="12">
        <v>2</v>
      </c>
      <c r="Y15" s="12">
        <v>0</v>
      </c>
      <c r="Z15" s="12">
        <v>0</v>
      </c>
      <c r="AB15" s="11">
        <v>12</v>
      </c>
      <c r="AC15" s="12">
        <v>1172</v>
      </c>
      <c r="AD15" s="12">
        <v>39</v>
      </c>
      <c r="AE15" s="12">
        <v>400</v>
      </c>
      <c r="AG15" s="11">
        <v>12</v>
      </c>
      <c r="AH15" s="12">
        <v>631</v>
      </c>
      <c r="AI15" s="12">
        <v>213</v>
      </c>
      <c r="AJ15" s="12">
        <v>0</v>
      </c>
      <c r="AL15" s="11">
        <v>12</v>
      </c>
      <c r="AM15" s="12">
        <v>5</v>
      </c>
      <c r="AN15" s="12">
        <v>174</v>
      </c>
      <c r="AO15" s="12">
        <v>183</v>
      </c>
      <c r="AQ15" s="11">
        <v>12</v>
      </c>
      <c r="AR15" s="14" t="s">
        <v>7</v>
      </c>
      <c r="AT15" s="11">
        <v>12</v>
      </c>
      <c r="AU15" s="12">
        <v>9</v>
      </c>
      <c r="AW15" s="11">
        <v>12</v>
      </c>
      <c r="AX15" s="12">
        <v>15</v>
      </c>
      <c r="AY15" s="12">
        <v>45</v>
      </c>
      <c r="AZ15" s="12">
        <v>136</v>
      </c>
      <c r="BA15" s="12">
        <v>91</v>
      </c>
      <c r="BB15" s="12">
        <v>2</v>
      </c>
      <c r="BC15" s="12">
        <v>51</v>
      </c>
      <c r="BD15" s="12">
        <v>127</v>
      </c>
      <c r="BE15" s="12">
        <v>5</v>
      </c>
      <c r="BF15" s="24">
        <v>214</v>
      </c>
      <c r="BG15" s="29">
        <v>568</v>
      </c>
      <c r="BH15" s="12">
        <v>113</v>
      </c>
      <c r="BI15" s="12">
        <v>113</v>
      </c>
      <c r="BK15" s="11">
        <v>12</v>
      </c>
      <c r="BL15" s="12">
        <v>1</v>
      </c>
      <c r="BM15" s="12" t="s">
        <v>15</v>
      </c>
      <c r="BN15" s="12" t="s">
        <v>15</v>
      </c>
      <c r="BP15" s="11">
        <v>12</v>
      </c>
      <c r="BQ15" s="12">
        <v>2</v>
      </c>
      <c r="BR15" s="12">
        <v>0</v>
      </c>
      <c r="BS15" s="12">
        <v>0</v>
      </c>
      <c r="BU15" s="11">
        <v>12</v>
      </c>
      <c r="BV15" s="12">
        <v>1102</v>
      </c>
      <c r="BW15" s="12">
        <v>29</v>
      </c>
      <c r="BX15" s="12">
        <v>5</v>
      </c>
      <c r="BZ15" s="11">
        <v>12</v>
      </c>
      <c r="CA15" s="12"/>
      <c r="CC15" s="11">
        <v>12</v>
      </c>
      <c r="CD15" s="12"/>
    </row>
    <row r="16" spans="1:82" ht="16.8">
      <c r="A16" s="22" t="s">
        <v>39</v>
      </c>
      <c r="B16" s="22">
        <v>11</v>
      </c>
      <c r="C16" s="17" t="s">
        <v>38</v>
      </c>
      <c r="D16" s="60">
        <f t="shared" si="0"/>
        <v>0</v>
      </c>
      <c r="E16" s="39">
        <f t="shared" si="1"/>
        <v>0</v>
      </c>
      <c r="F16" s="40">
        <f t="shared" si="2"/>
        <v>0</v>
      </c>
      <c r="J16" s="2"/>
      <c r="K16" s="2" t="s">
        <v>119</v>
      </c>
      <c r="L16" s="2" t="s">
        <v>120</v>
      </c>
      <c r="R16" s="11">
        <v>13</v>
      </c>
      <c r="S16" s="12" t="s">
        <v>15</v>
      </c>
      <c r="T16" s="12">
        <v>1</v>
      </c>
      <c r="U16" s="12">
        <v>1</v>
      </c>
      <c r="W16" s="11">
        <v>13</v>
      </c>
      <c r="X16" s="12">
        <v>0</v>
      </c>
      <c r="Y16" s="12">
        <v>2</v>
      </c>
      <c r="Z16" s="12">
        <v>2</v>
      </c>
      <c r="AB16" s="11">
        <v>13</v>
      </c>
      <c r="AC16" s="12">
        <v>4</v>
      </c>
      <c r="AD16" s="12">
        <v>796</v>
      </c>
      <c r="AE16" s="12">
        <v>0</v>
      </c>
      <c r="AG16" s="11">
        <v>13</v>
      </c>
      <c r="AH16" s="12">
        <v>280</v>
      </c>
      <c r="AI16" s="12">
        <v>588</v>
      </c>
      <c r="AJ16" s="12">
        <v>708</v>
      </c>
      <c r="AL16" s="11">
        <v>13</v>
      </c>
      <c r="AM16" s="12">
        <v>547</v>
      </c>
      <c r="AN16" s="12">
        <v>7</v>
      </c>
      <c r="AO16" s="12">
        <v>0</v>
      </c>
      <c r="AQ16" s="11">
        <v>13</v>
      </c>
      <c r="AR16" s="12" t="s">
        <v>15</v>
      </c>
      <c r="AT16" s="11">
        <v>13</v>
      </c>
      <c r="AU16" s="12">
        <v>0</v>
      </c>
      <c r="AW16" s="11">
        <v>13</v>
      </c>
      <c r="AX16" s="12">
        <v>404</v>
      </c>
      <c r="AY16" s="12">
        <v>22</v>
      </c>
      <c r="AZ16" s="12">
        <v>20</v>
      </c>
      <c r="BA16" s="12">
        <v>279</v>
      </c>
      <c r="BB16" s="12">
        <v>390</v>
      </c>
      <c r="BC16" s="12">
        <v>455</v>
      </c>
      <c r="BD16" s="12">
        <v>316</v>
      </c>
      <c r="BE16" s="12">
        <v>461</v>
      </c>
      <c r="BF16" s="24">
        <v>312</v>
      </c>
      <c r="BG16" s="29">
        <v>196</v>
      </c>
      <c r="BH16" s="12">
        <v>304</v>
      </c>
      <c r="BI16" s="12">
        <v>304</v>
      </c>
      <c r="BK16" s="11">
        <v>13</v>
      </c>
      <c r="BL16" s="12" t="s">
        <v>15</v>
      </c>
      <c r="BM16" s="12">
        <v>1</v>
      </c>
      <c r="BN16" s="12">
        <v>1</v>
      </c>
      <c r="BP16" s="11">
        <v>13</v>
      </c>
      <c r="BQ16" s="12">
        <v>0</v>
      </c>
      <c r="BR16" s="12">
        <v>2</v>
      </c>
      <c r="BS16" s="12">
        <v>2</v>
      </c>
      <c r="BU16" s="11">
        <v>13</v>
      </c>
      <c r="BV16" s="12">
        <v>5</v>
      </c>
      <c r="BW16" s="12">
        <v>614</v>
      </c>
      <c r="BX16" s="12">
        <v>38</v>
      </c>
      <c r="BZ16" s="11">
        <v>13</v>
      </c>
      <c r="CA16" s="12"/>
      <c r="CC16" s="11">
        <v>13</v>
      </c>
      <c r="CD16" s="12"/>
    </row>
    <row r="17" spans="1:82" ht="16.8">
      <c r="D17" s="121">
        <f>SUM(D5:D16)</f>
        <v>9999</v>
      </c>
      <c r="E17" s="121">
        <f>SUM(E5:E16)</f>
        <v>9999</v>
      </c>
      <c r="F17" s="121">
        <f>SUM(F5:F16)</f>
        <v>10000</v>
      </c>
      <c r="J17" s="2" t="s">
        <v>118</v>
      </c>
      <c r="K17" s="33">
        <v>100</v>
      </c>
      <c r="L17" s="33">
        <v>0</v>
      </c>
      <c r="R17" s="11">
        <v>14</v>
      </c>
      <c r="S17" s="12">
        <v>5</v>
      </c>
      <c r="T17" s="12" t="s">
        <v>15</v>
      </c>
      <c r="U17" s="12" t="s">
        <v>15</v>
      </c>
      <c r="W17" s="11">
        <v>14</v>
      </c>
      <c r="X17" s="12">
        <v>3</v>
      </c>
      <c r="Y17" s="12">
        <v>0</v>
      </c>
      <c r="Z17" s="12">
        <v>0</v>
      </c>
      <c r="AB17" s="11">
        <v>14</v>
      </c>
      <c r="AC17" s="12">
        <v>402</v>
      </c>
      <c r="AD17" s="12">
        <v>39</v>
      </c>
      <c r="AE17" s="12">
        <v>400</v>
      </c>
      <c r="AG17" s="11">
        <v>14</v>
      </c>
      <c r="AH17" s="12">
        <v>181</v>
      </c>
      <c r="AI17" s="12">
        <v>213</v>
      </c>
      <c r="AJ17" s="12">
        <v>0</v>
      </c>
      <c r="AL17" s="11">
        <v>14</v>
      </c>
      <c r="AM17" s="12">
        <v>9</v>
      </c>
      <c r="AN17" s="12">
        <v>174</v>
      </c>
      <c r="AO17" s="12">
        <v>183</v>
      </c>
      <c r="AQ17" s="11">
        <v>14</v>
      </c>
      <c r="AR17" s="14" t="s">
        <v>6</v>
      </c>
      <c r="AT17" s="11">
        <v>14</v>
      </c>
      <c r="AU17" s="12">
        <v>7</v>
      </c>
      <c r="AW17" s="11">
        <v>14</v>
      </c>
      <c r="AX17" s="12">
        <v>155</v>
      </c>
      <c r="AY17" s="12">
        <v>19</v>
      </c>
      <c r="AZ17" s="12">
        <v>24</v>
      </c>
      <c r="BA17" s="12">
        <v>612</v>
      </c>
      <c r="BB17" s="12">
        <v>451</v>
      </c>
      <c r="BC17" s="12">
        <v>5</v>
      </c>
      <c r="BD17" s="12">
        <v>255</v>
      </c>
      <c r="BE17" s="12">
        <v>10</v>
      </c>
      <c r="BF17" s="24">
        <v>21</v>
      </c>
      <c r="BG17" s="29">
        <v>273</v>
      </c>
      <c r="BH17" s="12">
        <v>253</v>
      </c>
      <c r="BI17" s="12">
        <v>253</v>
      </c>
      <c r="BK17" s="11">
        <v>14</v>
      </c>
      <c r="BL17" s="12">
        <v>5</v>
      </c>
      <c r="BM17" s="12" t="s">
        <v>15</v>
      </c>
      <c r="BN17" s="12" t="s">
        <v>15</v>
      </c>
      <c r="BP17" s="11">
        <v>14</v>
      </c>
      <c r="BQ17" s="12">
        <v>3</v>
      </c>
      <c r="BR17" s="12">
        <v>0</v>
      </c>
      <c r="BS17" s="12">
        <v>0</v>
      </c>
      <c r="BU17" s="11">
        <v>14</v>
      </c>
      <c r="BV17" s="12">
        <v>276</v>
      </c>
      <c r="BW17" s="12">
        <v>29</v>
      </c>
      <c r="BX17" s="12">
        <v>5</v>
      </c>
      <c r="BZ17" s="11">
        <v>14</v>
      </c>
      <c r="CA17" s="12"/>
      <c r="CC17" s="11">
        <v>14</v>
      </c>
      <c r="CD17" s="12"/>
    </row>
    <row r="18" spans="1:82">
      <c r="C18" s="8"/>
      <c r="R18" s="11">
        <v>15</v>
      </c>
      <c r="S18" s="12" t="s">
        <v>15</v>
      </c>
      <c r="T18" s="12">
        <v>5</v>
      </c>
      <c r="U18" s="12">
        <v>5</v>
      </c>
      <c r="W18" s="11">
        <v>15</v>
      </c>
      <c r="X18" s="12">
        <v>0</v>
      </c>
      <c r="Y18" s="12">
        <v>3</v>
      </c>
      <c r="Z18" s="12">
        <v>3</v>
      </c>
      <c r="AB18" s="11">
        <v>15</v>
      </c>
      <c r="AC18" s="12">
        <v>4</v>
      </c>
      <c r="AD18" s="12">
        <v>524</v>
      </c>
      <c r="AE18" s="12">
        <v>0</v>
      </c>
      <c r="AG18" s="11">
        <v>15</v>
      </c>
      <c r="AH18" s="12">
        <v>279</v>
      </c>
      <c r="AI18" s="12">
        <v>198</v>
      </c>
      <c r="AJ18" s="12">
        <v>640</v>
      </c>
      <c r="AL18" s="11">
        <v>15</v>
      </c>
      <c r="AM18" s="12">
        <v>547</v>
      </c>
      <c r="AN18" s="12">
        <v>11</v>
      </c>
      <c r="AO18" s="12">
        <v>7</v>
      </c>
      <c r="AQ18" s="11">
        <v>15</v>
      </c>
      <c r="AR18" s="12" t="s">
        <v>15</v>
      </c>
      <c r="AT18" s="11">
        <v>15</v>
      </c>
      <c r="AU18" s="12">
        <v>0</v>
      </c>
      <c r="AW18" s="11">
        <v>15</v>
      </c>
      <c r="AX18" s="12">
        <v>404</v>
      </c>
      <c r="AY18" s="12">
        <v>22</v>
      </c>
      <c r="AZ18" s="12">
        <v>20</v>
      </c>
      <c r="BA18" s="12">
        <v>279</v>
      </c>
      <c r="BB18" s="12">
        <v>389</v>
      </c>
      <c r="BC18" s="12">
        <v>455</v>
      </c>
      <c r="BD18" s="12">
        <v>316</v>
      </c>
      <c r="BE18" s="12">
        <v>461</v>
      </c>
      <c r="BF18" s="24">
        <v>312</v>
      </c>
      <c r="BG18" s="29">
        <v>196</v>
      </c>
      <c r="BH18" s="12">
        <v>304</v>
      </c>
      <c r="BI18" s="12">
        <v>304</v>
      </c>
      <c r="BK18" s="11">
        <v>15</v>
      </c>
      <c r="BL18" s="12" t="s">
        <v>15</v>
      </c>
      <c r="BM18" s="12">
        <v>5</v>
      </c>
      <c r="BN18" s="12">
        <v>5</v>
      </c>
      <c r="BP18" s="11">
        <v>15</v>
      </c>
      <c r="BQ18" s="12">
        <v>0</v>
      </c>
      <c r="BR18" s="12">
        <v>3</v>
      </c>
      <c r="BS18" s="12">
        <v>3</v>
      </c>
      <c r="BU18" s="11">
        <v>15</v>
      </c>
      <c r="BV18" s="12">
        <v>4</v>
      </c>
      <c r="BW18" s="12">
        <v>614</v>
      </c>
      <c r="BX18" s="12">
        <v>63</v>
      </c>
      <c r="BZ18" s="11">
        <v>15</v>
      </c>
      <c r="CA18" s="12"/>
      <c r="CC18" s="11">
        <v>15</v>
      </c>
      <c r="CD18" s="12"/>
    </row>
    <row r="19" spans="1:82">
      <c r="A19" s="30" t="s">
        <v>116</v>
      </c>
      <c r="D19" s="119"/>
      <c r="E19" s="119"/>
      <c r="F19" s="127"/>
      <c r="J19" s="94" t="s">
        <v>125</v>
      </c>
      <c r="K19" s="121"/>
      <c r="R19" s="11">
        <v>16</v>
      </c>
      <c r="S19" s="12">
        <v>10</v>
      </c>
      <c r="T19" s="12" t="s">
        <v>15</v>
      </c>
      <c r="U19" s="12" t="s">
        <v>15</v>
      </c>
      <c r="W19" s="11">
        <v>16</v>
      </c>
      <c r="X19" s="12">
        <v>4</v>
      </c>
      <c r="Y19" s="12">
        <v>0</v>
      </c>
      <c r="Z19" s="12">
        <v>0</v>
      </c>
      <c r="AB19" s="11">
        <v>16</v>
      </c>
      <c r="AC19" s="12">
        <v>81</v>
      </c>
      <c r="AD19" s="12">
        <v>39</v>
      </c>
      <c r="AE19" s="12">
        <v>400</v>
      </c>
      <c r="AG19" s="11">
        <v>16</v>
      </c>
      <c r="AH19" s="12">
        <v>16</v>
      </c>
      <c r="AI19" s="12">
        <v>213</v>
      </c>
      <c r="AJ19" s="12">
        <v>0</v>
      </c>
      <c r="AL19" s="11">
        <v>16</v>
      </c>
      <c r="AM19" s="12">
        <v>14</v>
      </c>
      <c r="AN19" s="12">
        <v>174</v>
      </c>
      <c r="AO19" s="12">
        <v>183</v>
      </c>
      <c r="AQ19" s="11">
        <v>16</v>
      </c>
      <c r="AR19" s="14" t="s">
        <v>40</v>
      </c>
      <c r="AT19" s="11">
        <v>16</v>
      </c>
      <c r="AU19" s="12">
        <v>11</v>
      </c>
      <c r="AW19" s="11">
        <v>16</v>
      </c>
      <c r="AX19" s="12">
        <v>12</v>
      </c>
      <c r="AY19" s="12">
        <v>196</v>
      </c>
      <c r="AZ19" s="12">
        <v>403</v>
      </c>
      <c r="BA19" s="12">
        <v>226</v>
      </c>
      <c r="BB19" s="12">
        <v>57</v>
      </c>
      <c r="BC19" s="12">
        <v>33</v>
      </c>
      <c r="BD19" s="12">
        <v>203</v>
      </c>
      <c r="BE19" s="12">
        <v>143</v>
      </c>
      <c r="BF19" s="24">
        <v>96</v>
      </c>
      <c r="BG19" s="29">
        <v>307</v>
      </c>
      <c r="BH19" s="12">
        <v>170</v>
      </c>
      <c r="BI19" s="12">
        <v>170</v>
      </c>
      <c r="BK19" s="11">
        <v>16</v>
      </c>
      <c r="BL19" s="12">
        <v>10</v>
      </c>
      <c r="BM19" s="12" t="s">
        <v>15</v>
      </c>
      <c r="BN19" s="12" t="s">
        <v>15</v>
      </c>
      <c r="BP19" s="11">
        <v>16</v>
      </c>
      <c r="BQ19" s="12">
        <v>4</v>
      </c>
      <c r="BR19" s="12">
        <v>0</v>
      </c>
      <c r="BS19" s="12">
        <v>0</v>
      </c>
      <c r="BU19" s="11">
        <v>16</v>
      </c>
      <c r="BV19" s="12">
        <v>276</v>
      </c>
      <c r="BW19" s="12">
        <v>29</v>
      </c>
      <c r="BX19" s="12">
        <v>5</v>
      </c>
      <c r="BZ19" s="11">
        <v>16</v>
      </c>
      <c r="CA19" s="12"/>
      <c r="CC19" s="11">
        <v>16</v>
      </c>
      <c r="CD19" s="12"/>
    </row>
    <row r="20" spans="1:82">
      <c r="D20" s="119"/>
      <c r="E20" s="119"/>
      <c r="F20" s="119"/>
      <c r="J20" s="2" t="s">
        <v>66</v>
      </c>
      <c r="K20" s="2" t="s">
        <v>67</v>
      </c>
      <c r="R20" s="11">
        <v>17</v>
      </c>
      <c r="S20" s="12" t="s">
        <v>15</v>
      </c>
      <c r="T20" s="12">
        <v>10</v>
      </c>
      <c r="U20" s="12">
        <v>10</v>
      </c>
      <c r="W20" s="11">
        <v>17</v>
      </c>
      <c r="X20" s="12">
        <v>0</v>
      </c>
      <c r="Y20" s="12">
        <v>4</v>
      </c>
      <c r="Z20" s="12">
        <v>4</v>
      </c>
      <c r="AB20" s="11">
        <v>17</v>
      </c>
      <c r="AC20" s="12">
        <v>4</v>
      </c>
      <c r="AD20" s="12">
        <v>41</v>
      </c>
      <c r="AE20" s="12">
        <v>3</v>
      </c>
      <c r="AG20" s="11">
        <v>17</v>
      </c>
      <c r="AH20" s="12">
        <v>279</v>
      </c>
      <c r="AI20" s="12">
        <v>41</v>
      </c>
      <c r="AJ20" s="12">
        <v>3</v>
      </c>
      <c r="AL20" s="11">
        <v>17</v>
      </c>
      <c r="AM20" s="12">
        <v>547</v>
      </c>
      <c r="AN20" s="12">
        <v>41</v>
      </c>
      <c r="AO20" s="12">
        <v>3</v>
      </c>
      <c r="AQ20" s="11">
        <v>17</v>
      </c>
      <c r="AR20" s="12" t="s">
        <v>15</v>
      </c>
      <c r="AT20" s="11">
        <v>17</v>
      </c>
      <c r="AU20" s="12">
        <v>0</v>
      </c>
      <c r="AW20" s="11">
        <v>17</v>
      </c>
      <c r="AX20" s="12">
        <v>404</v>
      </c>
      <c r="AY20" s="12">
        <v>22</v>
      </c>
      <c r="AZ20" s="12">
        <v>20</v>
      </c>
      <c r="BA20" s="12">
        <v>279</v>
      </c>
      <c r="BB20" s="12">
        <v>389</v>
      </c>
      <c r="BC20" s="12">
        <v>455</v>
      </c>
      <c r="BD20" s="12">
        <v>316</v>
      </c>
      <c r="BE20" s="12">
        <v>461</v>
      </c>
      <c r="BF20" s="24">
        <v>312</v>
      </c>
      <c r="BG20" s="29">
        <v>196</v>
      </c>
      <c r="BH20" s="12">
        <v>304</v>
      </c>
      <c r="BI20" s="12">
        <v>304</v>
      </c>
      <c r="BK20" s="11">
        <v>17</v>
      </c>
      <c r="BL20" s="12" t="s">
        <v>15</v>
      </c>
      <c r="BM20" s="12">
        <v>10</v>
      </c>
      <c r="BN20" s="12">
        <v>10</v>
      </c>
      <c r="BP20" s="11">
        <v>17</v>
      </c>
      <c r="BQ20" s="12">
        <v>0</v>
      </c>
      <c r="BR20" s="12">
        <v>4</v>
      </c>
      <c r="BS20" s="12">
        <v>4</v>
      </c>
      <c r="BU20" s="11">
        <v>17</v>
      </c>
      <c r="BV20" s="12">
        <v>4</v>
      </c>
      <c r="BW20" s="12">
        <v>0</v>
      </c>
      <c r="BX20" s="12">
        <v>960</v>
      </c>
      <c r="BZ20" s="11">
        <v>17</v>
      </c>
      <c r="CA20" s="12"/>
      <c r="CC20" s="11">
        <v>17</v>
      </c>
      <c r="CD20" s="12"/>
    </row>
    <row r="21" spans="1:82">
      <c r="D21" s="119"/>
      <c r="E21" s="119"/>
      <c r="F21" s="119"/>
      <c r="J21" s="2">
        <v>0</v>
      </c>
      <c r="K21" s="2">
        <v>1</v>
      </c>
      <c r="R21" s="11">
        <v>18</v>
      </c>
      <c r="S21" s="12">
        <v>1</v>
      </c>
      <c r="T21" s="12" t="s">
        <v>15</v>
      </c>
      <c r="U21" s="12" t="s">
        <v>15</v>
      </c>
      <c r="W21" s="11">
        <v>18</v>
      </c>
      <c r="X21" s="12">
        <v>2</v>
      </c>
      <c r="Y21" s="12">
        <v>0</v>
      </c>
      <c r="Z21" s="12">
        <v>0</v>
      </c>
      <c r="AB21" s="11">
        <v>18</v>
      </c>
      <c r="AC21" s="12">
        <v>1171</v>
      </c>
      <c r="AD21" s="12">
        <v>39</v>
      </c>
      <c r="AE21" s="12">
        <v>399</v>
      </c>
      <c r="AG21" s="11">
        <v>18</v>
      </c>
      <c r="AH21" s="12">
        <v>631</v>
      </c>
      <c r="AI21" s="12">
        <v>213</v>
      </c>
      <c r="AJ21" s="12">
        <v>0</v>
      </c>
      <c r="AL21" s="11">
        <v>18</v>
      </c>
      <c r="AM21" s="12">
        <v>5</v>
      </c>
      <c r="AN21" s="12">
        <v>174</v>
      </c>
      <c r="AO21" s="12">
        <v>183</v>
      </c>
      <c r="AQ21" s="11">
        <v>18</v>
      </c>
      <c r="AR21" s="14" t="s">
        <v>9</v>
      </c>
      <c r="AT21" s="11">
        <v>18</v>
      </c>
      <c r="AU21" s="12">
        <v>8</v>
      </c>
      <c r="AW21" s="11">
        <v>18</v>
      </c>
      <c r="AX21" s="12">
        <v>151</v>
      </c>
      <c r="AY21" s="12">
        <v>2110</v>
      </c>
      <c r="AZ21" s="12">
        <v>459</v>
      </c>
      <c r="BA21" s="12">
        <v>111</v>
      </c>
      <c r="BB21" s="12">
        <v>40</v>
      </c>
      <c r="BC21" s="12">
        <v>102</v>
      </c>
      <c r="BD21" s="12">
        <v>83</v>
      </c>
      <c r="BE21" s="12">
        <v>28</v>
      </c>
      <c r="BF21" s="24">
        <v>99</v>
      </c>
      <c r="BG21" s="29">
        <v>8</v>
      </c>
      <c r="BH21" s="12">
        <v>207</v>
      </c>
      <c r="BI21" s="12">
        <v>207</v>
      </c>
      <c r="BK21" s="11">
        <v>18</v>
      </c>
      <c r="BL21" s="12">
        <v>1</v>
      </c>
      <c r="BM21" s="12" t="s">
        <v>15</v>
      </c>
      <c r="BN21" s="12" t="s">
        <v>15</v>
      </c>
      <c r="BP21" s="11">
        <v>18</v>
      </c>
      <c r="BQ21" s="12">
        <v>2</v>
      </c>
      <c r="BR21" s="12">
        <v>0</v>
      </c>
      <c r="BS21" s="12">
        <v>0</v>
      </c>
      <c r="BU21" s="11">
        <v>18</v>
      </c>
      <c r="BV21" s="12">
        <v>1102</v>
      </c>
      <c r="BW21" s="12">
        <v>28</v>
      </c>
      <c r="BX21" s="12">
        <v>5</v>
      </c>
      <c r="BZ21" s="11">
        <v>18</v>
      </c>
      <c r="CA21" s="12"/>
      <c r="CC21" s="11">
        <v>18</v>
      </c>
      <c r="CD21" s="12"/>
    </row>
    <row r="22" spans="1:82">
      <c r="A22" s="30" t="s">
        <v>46</v>
      </c>
      <c r="B22" s="1" t="s">
        <v>10</v>
      </c>
      <c r="C22" s="2" t="s">
        <v>11</v>
      </c>
      <c r="D22" s="3" t="s">
        <v>80</v>
      </c>
      <c r="E22" s="122" t="s">
        <v>1</v>
      </c>
      <c r="F22" s="4" t="s">
        <v>2</v>
      </c>
      <c r="R22" s="11">
        <v>19</v>
      </c>
      <c r="S22" s="12" t="s">
        <v>15</v>
      </c>
      <c r="T22" s="12" t="s">
        <v>18</v>
      </c>
      <c r="U22" s="12" t="s">
        <v>18</v>
      </c>
      <c r="W22" s="11">
        <v>19</v>
      </c>
      <c r="X22" s="12">
        <v>0</v>
      </c>
      <c r="Y22" s="12">
        <v>5</v>
      </c>
      <c r="Z22" s="12">
        <v>5</v>
      </c>
      <c r="AB22" s="11">
        <v>19</v>
      </c>
      <c r="AC22" s="12">
        <v>4</v>
      </c>
      <c r="AD22" s="12">
        <v>22</v>
      </c>
      <c r="AE22" s="12">
        <v>1</v>
      </c>
      <c r="AG22" s="11">
        <v>19</v>
      </c>
      <c r="AH22" s="12">
        <v>279</v>
      </c>
      <c r="AI22" s="12">
        <v>22</v>
      </c>
      <c r="AJ22" s="12">
        <v>1</v>
      </c>
      <c r="AL22" s="11">
        <v>19</v>
      </c>
      <c r="AM22" s="12">
        <v>547</v>
      </c>
      <c r="AN22" s="12">
        <v>22</v>
      </c>
      <c r="AO22" s="12">
        <v>1</v>
      </c>
      <c r="AQ22" s="11">
        <v>19</v>
      </c>
      <c r="AR22" s="12" t="s">
        <v>15</v>
      </c>
      <c r="AT22" s="11">
        <v>19</v>
      </c>
      <c r="AU22" s="12">
        <v>0</v>
      </c>
      <c r="AW22" s="11">
        <v>19</v>
      </c>
      <c r="AX22" s="12">
        <v>404</v>
      </c>
      <c r="AY22" s="12">
        <v>22</v>
      </c>
      <c r="AZ22" s="12">
        <v>20</v>
      </c>
      <c r="BA22" s="12">
        <v>279</v>
      </c>
      <c r="BB22" s="12">
        <v>389</v>
      </c>
      <c r="BC22" s="12">
        <v>455</v>
      </c>
      <c r="BD22" s="12">
        <v>316</v>
      </c>
      <c r="BE22" s="12">
        <v>461</v>
      </c>
      <c r="BF22" s="24">
        <v>312</v>
      </c>
      <c r="BG22" s="29">
        <v>196</v>
      </c>
      <c r="BH22" s="12">
        <v>304</v>
      </c>
      <c r="BI22" s="12">
        <v>304</v>
      </c>
      <c r="BK22" s="11">
        <v>19</v>
      </c>
      <c r="BL22" s="12" t="s">
        <v>15</v>
      </c>
      <c r="BM22" s="12" t="s">
        <v>18</v>
      </c>
      <c r="BN22" s="12" t="s">
        <v>18</v>
      </c>
      <c r="BP22" s="11">
        <v>19</v>
      </c>
      <c r="BQ22" s="12">
        <v>0</v>
      </c>
      <c r="BR22" s="12">
        <v>5</v>
      </c>
      <c r="BS22" s="12">
        <v>5</v>
      </c>
      <c r="BU22" s="11">
        <v>19</v>
      </c>
      <c r="BV22" s="12">
        <v>4</v>
      </c>
      <c r="BW22" s="12">
        <v>0</v>
      </c>
      <c r="BX22" s="12">
        <v>800</v>
      </c>
      <c r="BZ22" s="11">
        <v>19</v>
      </c>
      <c r="CA22" s="12"/>
      <c r="CC22" s="11">
        <v>19</v>
      </c>
      <c r="CD22" s="12"/>
    </row>
    <row r="23" spans="1:82">
      <c r="A23" s="1" t="s">
        <v>19</v>
      </c>
      <c r="B23" s="1">
        <v>0</v>
      </c>
      <c r="C23" s="3" t="s">
        <v>25</v>
      </c>
      <c r="D23" s="3">
        <f>SUMIF(S$3:S$38,$A23,AH$3:AH$38)</f>
        <v>5029</v>
      </c>
      <c r="E23" s="122">
        <f>SUMIF(T$3:T$52,$A23,AI$3:AI$52)</f>
        <v>5323</v>
      </c>
      <c r="F23" s="4">
        <f>SUMIF(U$3:U$52,$A23,AJ$3:AJ$52)</f>
        <v>0</v>
      </c>
      <c r="R23" s="11">
        <v>20</v>
      </c>
      <c r="S23" s="12">
        <v>5</v>
      </c>
      <c r="T23" s="12" t="s">
        <v>15</v>
      </c>
      <c r="U23" s="12" t="s">
        <v>15</v>
      </c>
      <c r="W23" s="11">
        <v>20</v>
      </c>
      <c r="X23" s="12">
        <v>3</v>
      </c>
      <c r="Y23" s="12">
        <v>0</v>
      </c>
      <c r="Z23" s="12">
        <v>0</v>
      </c>
      <c r="AB23" s="11">
        <v>20</v>
      </c>
      <c r="AC23" s="12">
        <v>402</v>
      </c>
      <c r="AD23" s="12">
        <v>39</v>
      </c>
      <c r="AE23" s="12">
        <v>399</v>
      </c>
      <c r="AG23" s="11">
        <v>20</v>
      </c>
      <c r="AH23" s="12">
        <v>181</v>
      </c>
      <c r="AI23" s="12">
        <v>213</v>
      </c>
      <c r="AJ23" s="12">
        <v>0</v>
      </c>
      <c r="AL23" s="11">
        <v>20</v>
      </c>
      <c r="AM23" s="12">
        <v>8</v>
      </c>
      <c r="AN23" s="12">
        <v>174</v>
      </c>
      <c r="AO23" s="12">
        <v>183</v>
      </c>
      <c r="AQ23" s="11">
        <v>20</v>
      </c>
      <c r="AR23" s="14" t="s">
        <v>5</v>
      </c>
      <c r="AT23" s="11">
        <v>20</v>
      </c>
      <c r="AU23" s="12">
        <v>6</v>
      </c>
      <c r="AW23" s="11">
        <v>20</v>
      </c>
      <c r="AX23" s="12">
        <v>149</v>
      </c>
      <c r="AY23" s="12">
        <v>18</v>
      </c>
      <c r="AZ23" s="12">
        <v>1380</v>
      </c>
      <c r="BA23" s="12">
        <v>67</v>
      </c>
      <c r="BB23" s="12">
        <v>4</v>
      </c>
      <c r="BC23" s="12">
        <v>34</v>
      </c>
      <c r="BD23" s="12">
        <v>254</v>
      </c>
      <c r="BE23" s="12">
        <v>9</v>
      </c>
      <c r="BF23" s="24">
        <v>511</v>
      </c>
      <c r="BG23" s="29">
        <v>366</v>
      </c>
      <c r="BH23" s="12">
        <v>240</v>
      </c>
      <c r="BI23" s="12">
        <v>240</v>
      </c>
      <c r="BK23" s="11">
        <v>20</v>
      </c>
      <c r="BL23" s="12">
        <v>5</v>
      </c>
      <c r="BM23" s="12" t="s">
        <v>15</v>
      </c>
      <c r="BN23" s="12" t="s">
        <v>15</v>
      </c>
      <c r="BP23" s="11">
        <v>20</v>
      </c>
      <c r="BQ23" s="12">
        <v>3</v>
      </c>
      <c r="BR23" s="12">
        <v>0</v>
      </c>
      <c r="BS23" s="12">
        <v>0</v>
      </c>
      <c r="BU23" s="11">
        <v>20</v>
      </c>
      <c r="BV23" s="12">
        <v>276</v>
      </c>
      <c r="BW23" s="12">
        <v>28</v>
      </c>
      <c r="BX23" s="12">
        <v>5</v>
      </c>
      <c r="BZ23" s="11">
        <v>20</v>
      </c>
      <c r="CA23" s="12"/>
      <c r="CC23" s="11">
        <v>20</v>
      </c>
      <c r="CD23" s="12"/>
    </row>
    <row r="24" spans="1:82">
      <c r="A24" s="20">
        <v>0</v>
      </c>
      <c r="B24" s="20">
        <v>1</v>
      </c>
      <c r="C24" s="5">
        <v>0</v>
      </c>
      <c r="D24" s="37">
        <f t="shared" ref="D24:D34" si="3">SUMIF(S$3:S$38,$A24,AH$3:AH$38)</f>
        <v>0</v>
      </c>
      <c r="E24" s="121">
        <f t="shared" ref="E24:E34" si="4">SUMIF(T$3:T$52,$A24,AI$3:AI$52)</f>
        <v>441</v>
      </c>
      <c r="F24" s="7">
        <f>SUMIF(U$3:U$52,$A24,AJ$3:AJ$52)</f>
        <v>3243</v>
      </c>
      <c r="R24" s="11">
        <v>21</v>
      </c>
      <c r="S24" s="12" t="s">
        <v>15</v>
      </c>
      <c r="T24" s="12">
        <v>0</v>
      </c>
      <c r="U24" s="12">
        <v>0</v>
      </c>
      <c r="W24" s="11">
        <v>21</v>
      </c>
      <c r="X24" s="12">
        <v>0</v>
      </c>
      <c r="Y24" s="12">
        <v>1</v>
      </c>
      <c r="Z24" s="12">
        <v>1</v>
      </c>
      <c r="AB24" s="11">
        <v>21</v>
      </c>
      <c r="AC24" s="12">
        <v>4</v>
      </c>
      <c r="AD24" s="12">
        <v>424</v>
      </c>
      <c r="AE24" s="12">
        <v>0</v>
      </c>
      <c r="AG24" s="11">
        <v>21</v>
      </c>
      <c r="AH24" s="12">
        <v>279</v>
      </c>
      <c r="AI24" s="12">
        <v>88</v>
      </c>
      <c r="AJ24" s="12">
        <v>649</v>
      </c>
      <c r="AL24" s="11">
        <v>21</v>
      </c>
      <c r="AM24" s="12">
        <v>547</v>
      </c>
      <c r="AN24" s="12">
        <v>1054</v>
      </c>
      <c r="AO24" s="12">
        <v>1074</v>
      </c>
      <c r="AQ24" s="11">
        <v>21</v>
      </c>
      <c r="AR24" s="12" t="s">
        <v>15</v>
      </c>
      <c r="AT24" s="11">
        <v>21</v>
      </c>
      <c r="AU24" s="12">
        <v>0</v>
      </c>
      <c r="AW24" s="11">
        <v>21</v>
      </c>
      <c r="AX24" s="12">
        <v>404</v>
      </c>
      <c r="AY24" s="12">
        <v>22</v>
      </c>
      <c r="AZ24" s="12">
        <v>20</v>
      </c>
      <c r="BA24" s="12">
        <v>279</v>
      </c>
      <c r="BB24" s="12">
        <v>389</v>
      </c>
      <c r="BC24" s="12">
        <v>455</v>
      </c>
      <c r="BD24" s="12">
        <v>316</v>
      </c>
      <c r="BE24" s="12">
        <v>461</v>
      </c>
      <c r="BF24" s="24">
        <v>312</v>
      </c>
      <c r="BG24" s="29">
        <v>196</v>
      </c>
      <c r="BH24" s="12">
        <v>304</v>
      </c>
      <c r="BI24" s="12">
        <v>304</v>
      </c>
      <c r="BK24" s="11">
        <v>21</v>
      </c>
      <c r="BL24" s="12" t="s">
        <v>15</v>
      </c>
      <c r="BM24" s="12">
        <v>0</v>
      </c>
      <c r="BN24" s="12">
        <v>0</v>
      </c>
      <c r="BP24" s="11">
        <v>21</v>
      </c>
      <c r="BQ24" s="12">
        <v>0</v>
      </c>
      <c r="BR24" s="12">
        <v>1</v>
      </c>
      <c r="BS24" s="12">
        <v>1</v>
      </c>
      <c r="BU24" s="11">
        <v>21</v>
      </c>
      <c r="BV24" s="12">
        <v>4</v>
      </c>
      <c r="BW24" s="12">
        <v>630</v>
      </c>
      <c r="BX24" s="12">
        <v>115</v>
      </c>
      <c r="BZ24" s="11">
        <v>21</v>
      </c>
      <c r="CA24" s="12"/>
      <c r="CC24" s="11">
        <v>21</v>
      </c>
      <c r="CD24" s="12"/>
    </row>
    <row r="25" spans="1:82">
      <c r="A25" s="20">
        <v>1</v>
      </c>
      <c r="B25" s="20">
        <v>2</v>
      </c>
      <c r="C25" s="5">
        <v>1</v>
      </c>
      <c r="D25" s="6">
        <f t="shared" si="3"/>
        <v>3788</v>
      </c>
      <c r="E25" s="121">
        <f t="shared" si="4"/>
        <v>2937</v>
      </c>
      <c r="F25" s="7">
        <f t="shared" ref="F25:F34" si="5">SUMIF(U$3:U$52,$A25,AJ$3:AJ$52)</f>
        <v>3541</v>
      </c>
      <c r="R25" s="11">
        <v>22</v>
      </c>
      <c r="S25" s="12">
        <v>10</v>
      </c>
      <c r="T25" s="12" t="s">
        <v>15</v>
      </c>
      <c r="U25" s="12" t="s">
        <v>15</v>
      </c>
      <c r="W25" s="11">
        <v>22</v>
      </c>
      <c r="X25" s="12">
        <v>4</v>
      </c>
      <c r="Y25" s="12">
        <v>0</v>
      </c>
      <c r="Z25" s="12">
        <v>0</v>
      </c>
      <c r="AB25" s="11">
        <v>22</v>
      </c>
      <c r="AC25" s="12">
        <v>81</v>
      </c>
      <c r="AD25" s="12">
        <v>39</v>
      </c>
      <c r="AE25" s="12">
        <v>399</v>
      </c>
      <c r="AG25" s="11">
        <v>22</v>
      </c>
      <c r="AH25" s="12">
        <v>16</v>
      </c>
      <c r="AI25" s="12">
        <v>213</v>
      </c>
      <c r="AJ25" s="12">
        <v>0</v>
      </c>
      <c r="AL25" s="11">
        <v>22</v>
      </c>
      <c r="AM25" s="12">
        <v>13</v>
      </c>
      <c r="AN25" s="12">
        <v>173</v>
      </c>
      <c r="AO25" s="12">
        <v>183</v>
      </c>
      <c r="AQ25" s="11">
        <v>22</v>
      </c>
      <c r="AR25" s="14" t="s">
        <v>7</v>
      </c>
      <c r="AT25" s="11">
        <v>22</v>
      </c>
      <c r="AU25" s="12">
        <v>9</v>
      </c>
      <c r="AW25" s="11">
        <v>22</v>
      </c>
      <c r="AX25" s="12">
        <v>15</v>
      </c>
      <c r="AY25" s="12">
        <v>45</v>
      </c>
      <c r="AZ25" s="12">
        <v>136</v>
      </c>
      <c r="BA25" s="12">
        <v>91</v>
      </c>
      <c r="BB25" s="12">
        <v>2</v>
      </c>
      <c r="BC25" s="12">
        <v>51</v>
      </c>
      <c r="BD25" s="12">
        <v>127</v>
      </c>
      <c r="BE25" s="12">
        <v>4</v>
      </c>
      <c r="BF25" s="24">
        <v>214</v>
      </c>
      <c r="BG25" s="29">
        <v>568</v>
      </c>
      <c r="BH25" s="12">
        <v>113</v>
      </c>
      <c r="BI25" s="12">
        <v>113</v>
      </c>
      <c r="BK25" s="11">
        <v>22</v>
      </c>
      <c r="BL25" s="12">
        <v>10</v>
      </c>
      <c r="BM25" s="12" t="s">
        <v>15</v>
      </c>
      <c r="BN25" s="12" t="s">
        <v>15</v>
      </c>
      <c r="BP25" s="11">
        <v>22</v>
      </c>
      <c r="BQ25" s="12">
        <v>4</v>
      </c>
      <c r="BR25" s="12">
        <v>0</v>
      </c>
      <c r="BS25" s="12">
        <v>0</v>
      </c>
      <c r="BU25" s="11">
        <v>22</v>
      </c>
      <c r="BV25" s="12">
        <v>276</v>
      </c>
      <c r="BW25" s="12">
        <v>28</v>
      </c>
      <c r="BX25" s="12">
        <v>5</v>
      </c>
      <c r="BZ25" s="11">
        <v>22</v>
      </c>
      <c r="CA25" s="12"/>
      <c r="CC25" s="11">
        <v>22</v>
      </c>
      <c r="CD25" s="12"/>
    </row>
    <row r="26" spans="1:82">
      <c r="A26" s="21">
        <v>5</v>
      </c>
      <c r="B26" s="21">
        <v>3</v>
      </c>
      <c r="C26" s="23">
        <v>5</v>
      </c>
      <c r="D26" s="6">
        <f t="shared" si="3"/>
        <v>1085</v>
      </c>
      <c r="E26" s="121">
        <f t="shared" si="4"/>
        <v>988</v>
      </c>
      <c r="F26" s="7">
        <f t="shared" si="5"/>
        <v>3200</v>
      </c>
      <c r="R26" s="11">
        <v>23</v>
      </c>
      <c r="S26" s="12" t="s">
        <v>15</v>
      </c>
      <c r="T26" s="12">
        <v>1</v>
      </c>
      <c r="U26" s="12">
        <v>1</v>
      </c>
      <c r="W26" s="11">
        <v>23</v>
      </c>
      <c r="X26" s="12">
        <v>0</v>
      </c>
      <c r="Y26" s="12">
        <v>2</v>
      </c>
      <c r="Z26" s="12">
        <v>2</v>
      </c>
      <c r="AB26" s="11">
        <v>23</v>
      </c>
      <c r="AC26" s="12">
        <v>4</v>
      </c>
      <c r="AD26" s="12">
        <v>796</v>
      </c>
      <c r="AE26" s="12">
        <v>0</v>
      </c>
      <c r="AG26" s="11">
        <v>23</v>
      </c>
      <c r="AH26" s="12">
        <v>279</v>
      </c>
      <c r="AI26" s="12">
        <v>587</v>
      </c>
      <c r="AJ26" s="12">
        <v>708</v>
      </c>
      <c r="AL26" s="11">
        <v>23</v>
      </c>
      <c r="AM26" s="12">
        <v>546</v>
      </c>
      <c r="AN26" s="12">
        <v>7</v>
      </c>
      <c r="AO26" s="12">
        <v>0</v>
      </c>
      <c r="AQ26" s="11">
        <v>23</v>
      </c>
      <c r="AR26" s="12" t="s">
        <v>15</v>
      </c>
      <c r="AT26" s="11">
        <v>23</v>
      </c>
      <c r="AU26" s="12">
        <v>0</v>
      </c>
      <c r="AW26" s="11">
        <v>23</v>
      </c>
      <c r="AX26" s="12">
        <v>404</v>
      </c>
      <c r="AY26" s="12">
        <v>22</v>
      </c>
      <c r="AZ26" s="12">
        <v>20</v>
      </c>
      <c r="BA26" s="12">
        <v>279</v>
      </c>
      <c r="BB26" s="12">
        <v>389</v>
      </c>
      <c r="BC26" s="12">
        <v>455</v>
      </c>
      <c r="BD26" s="12">
        <v>316</v>
      </c>
      <c r="BE26" s="12">
        <v>461</v>
      </c>
      <c r="BF26" s="24">
        <v>312</v>
      </c>
      <c r="BG26" s="29">
        <v>196</v>
      </c>
      <c r="BH26" s="12">
        <v>303</v>
      </c>
      <c r="BI26" s="12">
        <v>303</v>
      </c>
      <c r="BK26" s="11">
        <v>23</v>
      </c>
      <c r="BL26" s="12" t="s">
        <v>15</v>
      </c>
      <c r="BM26" s="12">
        <v>1</v>
      </c>
      <c r="BN26" s="12">
        <v>1</v>
      </c>
      <c r="BP26" s="11">
        <v>23</v>
      </c>
      <c r="BQ26" s="12">
        <v>0</v>
      </c>
      <c r="BR26" s="12">
        <v>2</v>
      </c>
      <c r="BS26" s="12">
        <v>2</v>
      </c>
      <c r="BU26" s="11">
        <v>23</v>
      </c>
      <c r="BV26" s="12">
        <v>4</v>
      </c>
      <c r="BW26" s="12">
        <v>614</v>
      </c>
      <c r="BX26" s="12">
        <v>38</v>
      </c>
      <c r="BZ26" s="11">
        <v>23</v>
      </c>
      <c r="CA26" s="12"/>
      <c r="CC26" s="11">
        <v>23</v>
      </c>
      <c r="CD26" s="12"/>
    </row>
    <row r="27" spans="1:82">
      <c r="A27" s="21">
        <v>10</v>
      </c>
      <c r="B27" s="21">
        <v>4</v>
      </c>
      <c r="C27" s="23">
        <v>10</v>
      </c>
      <c r="D27" s="6">
        <f t="shared" si="3"/>
        <v>98</v>
      </c>
      <c r="E27" s="101">
        <f t="shared" si="4"/>
        <v>202</v>
      </c>
      <c r="F27" s="126">
        <f t="shared" si="5"/>
        <v>12</v>
      </c>
      <c r="R27" s="11">
        <v>24</v>
      </c>
      <c r="S27" s="12">
        <v>1</v>
      </c>
      <c r="T27" s="12" t="s">
        <v>15</v>
      </c>
      <c r="U27" s="12" t="s">
        <v>15</v>
      </c>
      <c r="W27" s="11">
        <v>24</v>
      </c>
      <c r="X27" s="12">
        <v>2</v>
      </c>
      <c r="Y27" s="12">
        <v>0</v>
      </c>
      <c r="Z27" s="12">
        <v>0</v>
      </c>
      <c r="AB27" s="11">
        <v>24</v>
      </c>
      <c r="AC27" s="12">
        <v>1171</v>
      </c>
      <c r="AD27" s="12">
        <v>39</v>
      </c>
      <c r="AE27" s="12">
        <v>399</v>
      </c>
      <c r="AG27" s="11">
        <v>24</v>
      </c>
      <c r="AH27" s="12">
        <v>631</v>
      </c>
      <c r="AI27" s="12">
        <v>213</v>
      </c>
      <c r="AJ27" s="12">
        <v>0</v>
      </c>
      <c r="AL27" s="11">
        <v>24</v>
      </c>
      <c r="AM27" s="12">
        <v>5</v>
      </c>
      <c r="AN27" s="12">
        <v>173</v>
      </c>
      <c r="AO27" s="12">
        <v>183</v>
      </c>
      <c r="AQ27" s="11">
        <v>24</v>
      </c>
      <c r="AR27" s="14" t="s">
        <v>6</v>
      </c>
      <c r="AT27" s="11">
        <v>24</v>
      </c>
      <c r="AU27" s="12">
        <v>7</v>
      </c>
      <c r="AW27" s="11">
        <v>24</v>
      </c>
      <c r="AX27" s="12">
        <v>155</v>
      </c>
      <c r="AY27" s="12">
        <v>18</v>
      </c>
      <c r="AZ27" s="12">
        <v>24</v>
      </c>
      <c r="BA27" s="12">
        <v>612</v>
      </c>
      <c r="BB27" s="12">
        <v>451</v>
      </c>
      <c r="BC27" s="12">
        <v>5</v>
      </c>
      <c r="BD27" s="12">
        <v>255</v>
      </c>
      <c r="BE27" s="12">
        <v>10</v>
      </c>
      <c r="BF27" s="24">
        <v>21</v>
      </c>
      <c r="BG27" s="29">
        <v>273</v>
      </c>
      <c r="BH27" s="12">
        <v>253</v>
      </c>
      <c r="BI27" s="12">
        <v>253</v>
      </c>
      <c r="BK27" s="11">
        <v>24</v>
      </c>
      <c r="BL27" s="12">
        <v>1</v>
      </c>
      <c r="BM27" s="12" t="s">
        <v>15</v>
      </c>
      <c r="BN27" s="12" t="s">
        <v>15</v>
      </c>
      <c r="BP27" s="11">
        <v>24</v>
      </c>
      <c r="BQ27" s="12">
        <v>2</v>
      </c>
      <c r="BR27" s="12">
        <v>0</v>
      </c>
      <c r="BS27" s="12">
        <v>0</v>
      </c>
      <c r="BU27" s="11">
        <v>24</v>
      </c>
      <c r="BV27" s="12">
        <v>1102</v>
      </c>
      <c r="BW27" s="12">
        <v>28</v>
      </c>
      <c r="BX27" s="12">
        <v>5</v>
      </c>
      <c r="BZ27" s="11">
        <v>24</v>
      </c>
      <c r="CA27" s="12"/>
      <c r="CC27" s="11">
        <v>24</v>
      </c>
      <c r="CD27" s="12"/>
    </row>
    <row r="28" spans="1:82">
      <c r="A28" s="20" t="s">
        <v>20</v>
      </c>
      <c r="B28" s="20">
        <v>5</v>
      </c>
      <c r="C28" s="23" t="s">
        <v>29</v>
      </c>
      <c r="D28" s="37">
        <f t="shared" si="3"/>
        <v>0</v>
      </c>
      <c r="E28" s="101">
        <f t="shared" si="4"/>
        <v>109</v>
      </c>
      <c r="F28" s="126">
        <f t="shared" si="5"/>
        <v>4</v>
      </c>
      <c r="R28" s="11">
        <v>25</v>
      </c>
      <c r="S28" s="12" t="s">
        <v>15</v>
      </c>
      <c r="T28" s="12">
        <v>5</v>
      </c>
      <c r="U28" s="12">
        <v>5</v>
      </c>
      <c r="W28" s="11">
        <v>25</v>
      </c>
      <c r="X28" s="12">
        <v>0</v>
      </c>
      <c r="Y28" s="12">
        <v>3</v>
      </c>
      <c r="Z28" s="12">
        <v>3</v>
      </c>
      <c r="AB28" s="11">
        <v>25</v>
      </c>
      <c r="AC28" s="12">
        <v>4</v>
      </c>
      <c r="AD28" s="12">
        <v>524</v>
      </c>
      <c r="AE28" s="12">
        <v>0</v>
      </c>
      <c r="AG28" s="11">
        <v>25</v>
      </c>
      <c r="AH28" s="12">
        <v>279</v>
      </c>
      <c r="AI28" s="12">
        <v>198</v>
      </c>
      <c r="AJ28" s="12">
        <v>640</v>
      </c>
      <c r="AL28" s="11">
        <v>25</v>
      </c>
      <c r="AM28" s="12">
        <v>546</v>
      </c>
      <c r="AN28" s="12">
        <v>10</v>
      </c>
      <c r="AO28" s="12">
        <v>7</v>
      </c>
      <c r="AQ28" s="11">
        <v>25</v>
      </c>
      <c r="AR28" s="12" t="s">
        <v>15</v>
      </c>
      <c r="AT28" s="11">
        <v>25</v>
      </c>
      <c r="AU28" s="12">
        <v>0</v>
      </c>
      <c r="AW28" s="11">
        <v>25</v>
      </c>
      <c r="AX28" s="12">
        <v>404</v>
      </c>
      <c r="AY28" s="12">
        <v>22</v>
      </c>
      <c r="AZ28" s="12">
        <v>20</v>
      </c>
      <c r="BA28" s="12">
        <v>279</v>
      </c>
      <c r="BB28" s="12">
        <v>389</v>
      </c>
      <c r="BC28" s="12">
        <v>455</v>
      </c>
      <c r="BD28" s="12">
        <v>316</v>
      </c>
      <c r="BE28" s="12">
        <v>461</v>
      </c>
      <c r="BF28" s="24">
        <v>312</v>
      </c>
      <c r="BG28" s="29">
        <v>195</v>
      </c>
      <c r="BH28" s="12">
        <v>303</v>
      </c>
      <c r="BI28" s="12">
        <v>303</v>
      </c>
      <c r="BK28" s="11">
        <v>25</v>
      </c>
      <c r="BL28" s="12" t="s">
        <v>15</v>
      </c>
      <c r="BM28" s="12">
        <v>5</v>
      </c>
      <c r="BN28" s="12">
        <v>5</v>
      </c>
      <c r="BP28" s="11">
        <v>25</v>
      </c>
      <c r="BQ28" s="12">
        <v>0</v>
      </c>
      <c r="BR28" s="12">
        <v>3</v>
      </c>
      <c r="BS28" s="12">
        <v>3</v>
      </c>
      <c r="BU28" s="11">
        <v>25</v>
      </c>
      <c r="BV28" s="12">
        <v>4</v>
      </c>
      <c r="BW28" s="12">
        <v>614</v>
      </c>
      <c r="BX28" s="12">
        <v>62</v>
      </c>
      <c r="BZ28" s="11">
        <v>25</v>
      </c>
      <c r="CA28" s="12"/>
      <c r="CC28" s="11">
        <v>25</v>
      </c>
      <c r="CD28" s="12"/>
    </row>
    <row r="29" spans="1:82">
      <c r="A29" s="21" t="s">
        <v>21</v>
      </c>
      <c r="B29" s="21">
        <v>6</v>
      </c>
      <c r="C29" s="23" t="s">
        <v>26</v>
      </c>
      <c r="D29" s="37">
        <f t="shared" si="3"/>
        <v>0</v>
      </c>
      <c r="E29" s="59">
        <f t="shared" si="4"/>
        <v>0</v>
      </c>
      <c r="F29" s="38">
        <f t="shared" si="5"/>
        <v>0</v>
      </c>
      <c r="R29" s="11">
        <v>26</v>
      </c>
      <c r="S29" s="12">
        <v>5</v>
      </c>
      <c r="T29" s="12" t="s">
        <v>15</v>
      </c>
      <c r="U29" s="12" t="s">
        <v>15</v>
      </c>
      <c r="W29" s="11">
        <v>26</v>
      </c>
      <c r="X29" s="12">
        <v>3</v>
      </c>
      <c r="Y29" s="12">
        <v>0</v>
      </c>
      <c r="Z29" s="12">
        <v>0</v>
      </c>
      <c r="AB29" s="11">
        <v>26</v>
      </c>
      <c r="AC29" s="12">
        <v>401</v>
      </c>
      <c r="AD29" s="12">
        <v>39</v>
      </c>
      <c r="AE29" s="12">
        <v>399</v>
      </c>
      <c r="AG29" s="11">
        <v>26</v>
      </c>
      <c r="AH29" s="12">
        <v>181</v>
      </c>
      <c r="AI29" s="12">
        <v>213</v>
      </c>
      <c r="AJ29" s="12">
        <v>0</v>
      </c>
      <c r="AL29" s="11">
        <v>26</v>
      </c>
      <c r="AM29" s="12">
        <v>8</v>
      </c>
      <c r="AN29" s="12">
        <v>173</v>
      </c>
      <c r="AO29" s="12">
        <v>183</v>
      </c>
      <c r="AQ29" s="11">
        <v>26</v>
      </c>
      <c r="AR29" s="14" t="s">
        <v>40</v>
      </c>
      <c r="AT29" s="11">
        <v>26</v>
      </c>
      <c r="AU29" s="12">
        <v>11</v>
      </c>
      <c r="AW29" s="11">
        <v>26</v>
      </c>
      <c r="AX29" s="12">
        <v>12</v>
      </c>
      <c r="AY29" s="12">
        <v>196</v>
      </c>
      <c r="AZ29" s="12">
        <v>403</v>
      </c>
      <c r="BA29" s="12">
        <v>226</v>
      </c>
      <c r="BB29" s="12">
        <v>56</v>
      </c>
      <c r="BC29" s="12">
        <v>32</v>
      </c>
      <c r="BD29" s="12">
        <v>202</v>
      </c>
      <c r="BE29" s="12">
        <v>143</v>
      </c>
      <c r="BF29" s="24">
        <v>96</v>
      </c>
      <c r="BG29" s="29">
        <v>307</v>
      </c>
      <c r="BH29" s="12">
        <v>169</v>
      </c>
      <c r="BI29" s="12">
        <v>169</v>
      </c>
      <c r="BK29" s="11">
        <v>26</v>
      </c>
      <c r="BL29" s="12">
        <v>5</v>
      </c>
      <c r="BM29" s="12" t="s">
        <v>15</v>
      </c>
      <c r="BN29" s="12" t="s">
        <v>15</v>
      </c>
      <c r="BP29" s="11">
        <v>26</v>
      </c>
      <c r="BQ29" s="12">
        <v>3</v>
      </c>
      <c r="BR29" s="12">
        <v>0</v>
      </c>
      <c r="BS29" s="12">
        <v>0</v>
      </c>
      <c r="BU29" s="11">
        <v>26</v>
      </c>
      <c r="BV29" s="12">
        <v>275</v>
      </c>
      <c r="BW29" s="12">
        <v>28</v>
      </c>
      <c r="BX29" s="12">
        <v>5</v>
      </c>
      <c r="BZ29" s="11">
        <v>26</v>
      </c>
      <c r="CA29" s="12"/>
      <c r="CC29" s="11">
        <v>26</v>
      </c>
      <c r="CD29" s="12"/>
    </row>
    <row r="30" spans="1:82">
      <c r="A30" s="20" t="s">
        <v>22</v>
      </c>
      <c r="B30" s="20">
        <v>7</v>
      </c>
      <c r="C30" s="5" t="s">
        <v>27</v>
      </c>
      <c r="D30" s="37">
        <f t="shared" si="3"/>
        <v>0</v>
      </c>
      <c r="E30" s="59">
        <f t="shared" si="4"/>
        <v>0</v>
      </c>
      <c r="F30" s="38">
        <f t="shared" si="5"/>
        <v>0</v>
      </c>
      <c r="R30" s="11">
        <v>27</v>
      </c>
      <c r="S30" s="12" t="s">
        <v>15</v>
      </c>
      <c r="T30" s="12">
        <v>10</v>
      </c>
      <c r="U30" s="12">
        <v>10</v>
      </c>
      <c r="W30" s="11">
        <v>27</v>
      </c>
      <c r="X30" s="12">
        <v>0</v>
      </c>
      <c r="Y30" s="12">
        <v>4</v>
      </c>
      <c r="Z30" s="12">
        <v>4</v>
      </c>
      <c r="AB30" s="11">
        <v>27</v>
      </c>
      <c r="AC30" s="12">
        <v>4</v>
      </c>
      <c r="AD30" s="12">
        <v>40</v>
      </c>
      <c r="AE30" s="12">
        <v>2</v>
      </c>
      <c r="AG30" s="11">
        <v>27</v>
      </c>
      <c r="AH30" s="12">
        <v>279</v>
      </c>
      <c r="AI30" s="12">
        <v>40</v>
      </c>
      <c r="AJ30" s="12">
        <v>2</v>
      </c>
      <c r="AL30" s="11">
        <v>27</v>
      </c>
      <c r="AM30" s="12">
        <v>546</v>
      </c>
      <c r="AN30" s="12">
        <v>40</v>
      </c>
      <c r="AO30" s="12">
        <v>2</v>
      </c>
      <c r="AQ30" s="11">
        <v>27</v>
      </c>
      <c r="AR30" s="12" t="s">
        <v>15</v>
      </c>
      <c r="AT30" s="11">
        <v>27</v>
      </c>
      <c r="AU30" s="12">
        <v>0</v>
      </c>
      <c r="AW30" s="11">
        <v>27</v>
      </c>
      <c r="AX30" s="12">
        <v>404</v>
      </c>
      <c r="AY30" s="12">
        <v>22</v>
      </c>
      <c r="AZ30" s="12">
        <v>20</v>
      </c>
      <c r="BA30" s="12">
        <v>278</v>
      </c>
      <c r="BB30" s="12">
        <v>389</v>
      </c>
      <c r="BC30" s="12">
        <v>455</v>
      </c>
      <c r="BD30" s="12">
        <v>316</v>
      </c>
      <c r="BE30" s="12">
        <v>461</v>
      </c>
      <c r="BF30" s="24">
        <v>312</v>
      </c>
      <c r="BG30" s="29">
        <v>195</v>
      </c>
      <c r="BH30" s="12">
        <v>303</v>
      </c>
      <c r="BI30" s="12">
        <v>303</v>
      </c>
      <c r="BK30" s="11">
        <v>27</v>
      </c>
      <c r="BL30" s="12" t="s">
        <v>15</v>
      </c>
      <c r="BM30" s="12">
        <v>10</v>
      </c>
      <c r="BN30" s="12">
        <v>10</v>
      </c>
      <c r="BP30" s="11">
        <v>27</v>
      </c>
      <c r="BQ30" s="12">
        <v>0</v>
      </c>
      <c r="BR30" s="12">
        <v>4</v>
      </c>
      <c r="BS30" s="12">
        <v>4</v>
      </c>
      <c r="BU30" s="11">
        <v>27</v>
      </c>
      <c r="BV30" s="12">
        <v>4</v>
      </c>
      <c r="BW30" s="12">
        <v>0</v>
      </c>
      <c r="BX30" s="12">
        <v>960</v>
      </c>
      <c r="BZ30" s="11">
        <v>27</v>
      </c>
      <c r="CA30" s="12"/>
      <c r="CC30" s="11">
        <v>27</v>
      </c>
      <c r="CD30" s="12"/>
    </row>
    <row r="31" spans="1:82">
      <c r="A31" s="20" t="s">
        <v>23</v>
      </c>
      <c r="B31" s="20">
        <v>8</v>
      </c>
      <c r="C31" s="5" t="s">
        <v>28</v>
      </c>
      <c r="D31" s="37">
        <f t="shared" si="3"/>
        <v>0</v>
      </c>
      <c r="E31" s="59">
        <f t="shared" si="4"/>
        <v>0</v>
      </c>
      <c r="F31" s="38">
        <f t="shared" si="5"/>
        <v>0</v>
      </c>
      <c r="R31" s="11">
        <v>28</v>
      </c>
      <c r="S31" s="12">
        <v>10</v>
      </c>
      <c r="T31" s="12" t="s">
        <v>15</v>
      </c>
      <c r="U31" s="12" t="s">
        <v>15</v>
      </c>
      <c r="W31" s="11">
        <v>28</v>
      </c>
      <c r="X31" s="12">
        <v>4</v>
      </c>
      <c r="Y31" s="12">
        <v>0</v>
      </c>
      <c r="Z31" s="12">
        <v>0</v>
      </c>
      <c r="AB31" s="11">
        <v>28</v>
      </c>
      <c r="AC31" s="12">
        <v>81</v>
      </c>
      <c r="AD31" s="12">
        <v>39</v>
      </c>
      <c r="AE31" s="12">
        <v>399</v>
      </c>
      <c r="AG31" s="11">
        <v>28</v>
      </c>
      <c r="AH31" s="12">
        <v>16</v>
      </c>
      <c r="AI31" s="12">
        <v>213</v>
      </c>
      <c r="AJ31" s="12">
        <v>0</v>
      </c>
      <c r="AL31" s="11">
        <v>28</v>
      </c>
      <c r="AM31" s="12">
        <v>13</v>
      </c>
      <c r="AN31" s="12">
        <v>173</v>
      </c>
      <c r="AO31" s="12">
        <v>183</v>
      </c>
      <c r="AQ31" s="11">
        <v>28</v>
      </c>
      <c r="AR31" s="14" t="s">
        <v>9</v>
      </c>
      <c r="AT31" s="11">
        <v>28</v>
      </c>
      <c r="AU31" s="12">
        <v>8</v>
      </c>
      <c r="AW31" s="11">
        <v>28</v>
      </c>
      <c r="AX31" s="12">
        <v>151</v>
      </c>
      <c r="AY31" s="12">
        <v>2110</v>
      </c>
      <c r="AZ31" s="12">
        <v>458</v>
      </c>
      <c r="BA31" s="12">
        <v>111</v>
      </c>
      <c r="BB31" s="12">
        <v>39</v>
      </c>
      <c r="BC31" s="12">
        <v>102</v>
      </c>
      <c r="BD31" s="12">
        <v>83</v>
      </c>
      <c r="BE31" s="12">
        <v>27</v>
      </c>
      <c r="BF31" s="24">
        <v>99</v>
      </c>
      <c r="BG31" s="29">
        <v>8</v>
      </c>
      <c r="BH31" s="12">
        <v>207</v>
      </c>
      <c r="BI31" s="12">
        <v>207</v>
      </c>
      <c r="BK31" s="11">
        <v>28</v>
      </c>
      <c r="BL31" s="12">
        <v>10</v>
      </c>
      <c r="BM31" s="12" t="s">
        <v>15</v>
      </c>
      <c r="BN31" s="12" t="s">
        <v>15</v>
      </c>
      <c r="BP31" s="11">
        <v>28</v>
      </c>
      <c r="BQ31" s="12">
        <v>4</v>
      </c>
      <c r="BR31" s="12">
        <v>0</v>
      </c>
      <c r="BS31" s="12">
        <v>0</v>
      </c>
      <c r="BU31" s="11">
        <v>28</v>
      </c>
      <c r="BV31" s="12">
        <v>275</v>
      </c>
      <c r="BW31" s="12">
        <v>28</v>
      </c>
      <c r="BX31" s="12">
        <v>5</v>
      </c>
      <c r="BZ31" s="11">
        <v>28</v>
      </c>
      <c r="CA31" s="12"/>
      <c r="CC31" s="11">
        <v>28</v>
      </c>
      <c r="CD31" s="12"/>
    </row>
    <row r="32" spans="1:82">
      <c r="A32" s="20" t="s">
        <v>24</v>
      </c>
      <c r="B32" s="20">
        <v>9</v>
      </c>
      <c r="C32" s="5" t="s">
        <v>16</v>
      </c>
      <c r="D32" s="37">
        <f t="shared" si="3"/>
        <v>0</v>
      </c>
      <c r="E32" s="59">
        <f t="shared" si="4"/>
        <v>0</v>
      </c>
      <c r="F32" s="38">
        <f t="shared" si="5"/>
        <v>0</v>
      </c>
      <c r="R32" s="11">
        <v>29</v>
      </c>
      <c r="S32" s="12" t="s">
        <v>15</v>
      </c>
      <c r="T32" s="12" t="s">
        <v>18</v>
      </c>
      <c r="U32" s="12" t="s">
        <v>18</v>
      </c>
      <c r="W32" s="11">
        <v>29</v>
      </c>
      <c r="X32" s="12">
        <v>0</v>
      </c>
      <c r="Y32" s="12">
        <v>5</v>
      </c>
      <c r="Z32" s="12">
        <v>5</v>
      </c>
      <c r="AB32" s="11">
        <v>29</v>
      </c>
      <c r="AC32" s="12">
        <v>4</v>
      </c>
      <c r="AD32" s="12">
        <v>22</v>
      </c>
      <c r="AE32" s="12">
        <v>1</v>
      </c>
      <c r="AG32" s="11">
        <v>29</v>
      </c>
      <c r="AH32" s="12">
        <v>279</v>
      </c>
      <c r="AI32" s="12">
        <v>22</v>
      </c>
      <c r="AJ32" s="12">
        <v>1</v>
      </c>
      <c r="AL32" s="11">
        <v>29</v>
      </c>
      <c r="AM32" s="12">
        <v>546</v>
      </c>
      <c r="AN32" s="12">
        <v>22</v>
      </c>
      <c r="AO32" s="12">
        <v>1</v>
      </c>
      <c r="AQ32" s="11">
        <v>29</v>
      </c>
      <c r="AR32" s="12" t="s">
        <v>15</v>
      </c>
      <c r="AT32" s="11">
        <v>29</v>
      </c>
      <c r="AU32" s="12">
        <v>0</v>
      </c>
      <c r="AW32" s="11">
        <v>29</v>
      </c>
      <c r="AX32" s="12">
        <v>404</v>
      </c>
      <c r="AY32" s="12">
        <v>22</v>
      </c>
      <c r="AZ32" s="12">
        <v>20</v>
      </c>
      <c r="BA32" s="12">
        <v>278</v>
      </c>
      <c r="BB32" s="12">
        <v>389</v>
      </c>
      <c r="BC32" s="12">
        <v>455</v>
      </c>
      <c r="BD32" s="12">
        <v>315</v>
      </c>
      <c r="BE32" s="12">
        <v>461</v>
      </c>
      <c r="BF32" s="24">
        <v>312</v>
      </c>
      <c r="BG32" s="29">
        <v>195</v>
      </c>
      <c r="BH32" s="12">
        <v>303</v>
      </c>
      <c r="BI32" s="12">
        <v>303</v>
      </c>
      <c r="BK32" s="11">
        <v>29</v>
      </c>
      <c r="BL32" s="12" t="s">
        <v>15</v>
      </c>
      <c r="BM32" s="12" t="s">
        <v>18</v>
      </c>
      <c r="BN32" s="12" t="s">
        <v>18</v>
      </c>
      <c r="BP32" s="11">
        <v>29</v>
      </c>
      <c r="BQ32" s="12">
        <v>0</v>
      </c>
      <c r="BR32" s="12">
        <v>5</v>
      </c>
      <c r="BS32" s="12">
        <v>5</v>
      </c>
      <c r="BU32" s="11">
        <v>29</v>
      </c>
      <c r="BV32" s="12">
        <v>4</v>
      </c>
      <c r="BW32" s="12">
        <v>0</v>
      </c>
      <c r="BX32" s="12">
        <v>800</v>
      </c>
      <c r="BZ32" s="11">
        <v>29</v>
      </c>
      <c r="CA32" s="12"/>
      <c r="CC32" s="11">
        <v>29</v>
      </c>
      <c r="CD32" s="12"/>
    </row>
    <row r="33" spans="1:82">
      <c r="A33" s="21" t="s">
        <v>35</v>
      </c>
      <c r="B33" s="21">
        <v>10</v>
      </c>
      <c r="C33" s="5" t="s">
        <v>37</v>
      </c>
      <c r="D33" s="37">
        <f t="shared" si="3"/>
        <v>0</v>
      </c>
      <c r="E33" s="59">
        <f t="shared" si="4"/>
        <v>0</v>
      </c>
      <c r="F33" s="38">
        <f t="shared" si="5"/>
        <v>0</v>
      </c>
      <c r="G33" s="121"/>
      <c r="H33" s="94" t="s">
        <v>34</v>
      </c>
      <c r="J33" s="121"/>
      <c r="R33" s="11">
        <v>30</v>
      </c>
      <c r="S33" s="12">
        <v>1</v>
      </c>
      <c r="T33" s="12" t="s">
        <v>15</v>
      </c>
      <c r="U33" s="12" t="s">
        <v>15</v>
      </c>
      <c r="W33" s="11">
        <v>30</v>
      </c>
      <c r="X33" s="12">
        <v>2</v>
      </c>
      <c r="Y33" s="12">
        <v>0</v>
      </c>
      <c r="Z33" s="12">
        <v>0</v>
      </c>
      <c r="AB33" s="11">
        <v>30</v>
      </c>
      <c r="AC33" s="12">
        <v>1171</v>
      </c>
      <c r="AD33" s="12">
        <v>39</v>
      </c>
      <c r="AE33" s="12">
        <v>399</v>
      </c>
      <c r="AG33" s="11">
        <v>30</v>
      </c>
      <c r="AH33" s="12">
        <v>631</v>
      </c>
      <c r="AI33" s="12">
        <v>213</v>
      </c>
      <c r="AJ33" s="12">
        <v>0</v>
      </c>
      <c r="AL33" s="11">
        <v>30</v>
      </c>
      <c r="AM33" s="12">
        <v>4</v>
      </c>
      <c r="AN33" s="12">
        <v>173</v>
      </c>
      <c r="AO33" s="12">
        <v>183</v>
      </c>
      <c r="AQ33" s="11">
        <v>30</v>
      </c>
      <c r="AR33" s="14" t="s">
        <v>5</v>
      </c>
      <c r="AT33" s="11">
        <v>30</v>
      </c>
      <c r="AU33" s="12">
        <v>6</v>
      </c>
      <c r="AW33" s="11">
        <v>30</v>
      </c>
      <c r="AX33" s="12">
        <v>149</v>
      </c>
      <c r="AY33" s="12">
        <v>17</v>
      </c>
      <c r="AZ33" s="12">
        <v>1380</v>
      </c>
      <c r="BA33" s="12">
        <v>66</v>
      </c>
      <c r="BB33" s="12">
        <v>4</v>
      </c>
      <c r="BC33" s="12">
        <v>34</v>
      </c>
      <c r="BD33" s="12">
        <v>254</v>
      </c>
      <c r="BE33" s="12">
        <v>9</v>
      </c>
      <c r="BF33" s="24">
        <v>511</v>
      </c>
      <c r="BG33" s="29">
        <v>366</v>
      </c>
      <c r="BH33" s="12">
        <v>240</v>
      </c>
      <c r="BI33" s="12">
        <v>240</v>
      </c>
      <c r="BK33" s="11">
        <v>30</v>
      </c>
      <c r="BL33" s="12">
        <v>1</v>
      </c>
      <c r="BM33" s="12" t="s">
        <v>15</v>
      </c>
      <c r="BN33" s="12" t="s">
        <v>15</v>
      </c>
      <c r="BP33" s="11">
        <v>30</v>
      </c>
      <c r="BQ33" s="12">
        <v>2</v>
      </c>
      <c r="BR33" s="12">
        <v>0</v>
      </c>
      <c r="BS33" s="12">
        <v>0</v>
      </c>
      <c r="BU33" s="11">
        <v>30</v>
      </c>
      <c r="BV33" s="12">
        <v>1102</v>
      </c>
      <c r="BW33" s="12">
        <v>28</v>
      </c>
      <c r="BX33" s="12">
        <v>5</v>
      </c>
      <c r="BZ33" s="11">
        <v>30</v>
      </c>
      <c r="CA33" s="12"/>
      <c r="CC33" s="11">
        <v>30</v>
      </c>
      <c r="CD33" s="12"/>
    </row>
    <row r="34" spans="1:82">
      <c r="A34" s="22" t="s">
        <v>39</v>
      </c>
      <c r="B34" s="22">
        <v>11</v>
      </c>
      <c r="C34" s="17" t="s">
        <v>38</v>
      </c>
      <c r="D34" s="60">
        <f t="shared" si="3"/>
        <v>0</v>
      </c>
      <c r="E34" s="39">
        <f t="shared" si="4"/>
        <v>0</v>
      </c>
      <c r="F34" s="40">
        <f t="shared" si="5"/>
        <v>0</v>
      </c>
      <c r="G34" s="121"/>
      <c r="H34" s="95" t="s">
        <v>57</v>
      </c>
      <c r="I34" s="58" t="s">
        <v>58</v>
      </c>
      <c r="R34" s="11">
        <v>31</v>
      </c>
      <c r="S34" s="12" t="s">
        <v>15</v>
      </c>
      <c r="T34" s="12">
        <v>0</v>
      </c>
      <c r="U34" s="12">
        <v>0</v>
      </c>
      <c r="W34" s="11">
        <v>31</v>
      </c>
      <c r="X34" s="12">
        <v>0</v>
      </c>
      <c r="Y34" s="12">
        <v>1</v>
      </c>
      <c r="Z34" s="12">
        <v>1</v>
      </c>
      <c r="AB34" s="11">
        <v>31</v>
      </c>
      <c r="AC34" s="12">
        <v>4</v>
      </c>
      <c r="AD34" s="12">
        <v>424</v>
      </c>
      <c r="AE34" s="12">
        <v>0</v>
      </c>
      <c r="AG34" s="11">
        <v>31</v>
      </c>
      <c r="AH34" s="12">
        <v>279</v>
      </c>
      <c r="AI34" s="12">
        <v>88</v>
      </c>
      <c r="AJ34" s="12">
        <v>648</v>
      </c>
      <c r="AL34" s="11">
        <v>31</v>
      </c>
      <c r="AM34" s="12">
        <v>546</v>
      </c>
      <c r="AN34" s="12">
        <v>1053</v>
      </c>
      <c r="AO34" s="12">
        <v>1074</v>
      </c>
      <c r="AQ34" s="11">
        <v>31</v>
      </c>
      <c r="AR34" s="12" t="s">
        <v>15</v>
      </c>
      <c r="AT34" s="11">
        <v>31</v>
      </c>
      <c r="AU34" s="12">
        <v>0</v>
      </c>
      <c r="AW34" s="11">
        <v>31</v>
      </c>
      <c r="AX34" s="12">
        <v>404</v>
      </c>
      <c r="AY34" s="12">
        <v>22</v>
      </c>
      <c r="AZ34" s="12">
        <v>20</v>
      </c>
      <c r="BA34" s="12">
        <v>278</v>
      </c>
      <c r="BB34" s="12">
        <v>389</v>
      </c>
      <c r="BC34" s="12">
        <v>455</v>
      </c>
      <c r="BD34" s="12">
        <v>315</v>
      </c>
      <c r="BE34" s="12">
        <v>461</v>
      </c>
      <c r="BF34" s="24">
        <v>311</v>
      </c>
      <c r="BG34" s="29">
        <v>195</v>
      </c>
      <c r="BH34" s="12">
        <v>303</v>
      </c>
      <c r="BI34" s="12">
        <v>303</v>
      </c>
      <c r="BK34" s="11">
        <v>31</v>
      </c>
      <c r="BL34" s="12" t="s">
        <v>15</v>
      </c>
      <c r="BM34" s="12">
        <v>0</v>
      </c>
      <c r="BN34" s="12">
        <v>0</v>
      </c>
      <c r="BP34" s="11">
        <v>31</v>
      </c>
      <c r="BQ34" s="12">
        <v>0</v>
      </c>
      <c r="BR34" s="12">
        <v>1</v>
      </c>
      <c r="BS34" s="12">
        <v>1</v>
      </c>
      <c r="BU34" s="11">
        <v>31</v>
      </c>
      <c r="BV34" s="12">
        <v>4</v>
      </c>
      <c r="BW34" s="12">
        <v>630</v>
      </c>
      <c r="BX34" s="12">
        <v>115</v>
      </c>
      <c r="BZ34" s="11">
        <v>31</v>
      </c>
      <c r="CA34" s="12"/>
      <c r="CC34" s="11">
        <v>31</v>
      </c>
      <c r="CD34" s="12"/>
    </row>
    <row r="35" spans="1:82">
      <c r="D35" s="121">
        <f>SUM(D23:D34)</f>
        <v>10000</v>
      </c>
      <c r="E35" s="121">
        <f>SUM(E23:E34)</f>
        <v>10000</v>
      </c>
      <c r="F35" s="121">
        <f>SUM(F23:F34)</f>
        <v>10000</v>
      </c>
      <c r="G35" s="121"/>
      <c r="H35" s="21">
        <v>10</v>
      </c>
      <c r="I35" s="7">
        <f>SUMIF(CA$3:CA$38,$H35,$CD$3:$CD$38)</f>
        <v>4998</v>
      </c>
      <c r="R35" s="11">
        <v>32</v>
      </c>
      <c r="S35" s="12">
        <v>5</v>
      </c>
      <c r="T35" s="12" t="s">
        <v>15</v>
      </c>
      <c r="U35" s="12" t="s">
        <v>15</v>
      </c>
      <c r="W35" s="11">
        <v>32</v>
      </c>
      <c r="X35" s="12">
        <v>3</v>
      </c>
      <c r="Y35" s="12">
        <v>0</v>
      </c>
      <c r="Z35" s="12">
        <v>0</v>
      </c>
      <c r="AB35" s="11">
        <v>32</v>
      </c>
      <c r="AC35" s="12">
        <v>401</v>
      </c>
      <c r="AD35" s="12">
        <v>39</v>
      </c>
      <c r="AE35" s="12">
        <v>399</v>
      </c>
      <c r="AG35" s="11">
        <v>32</v>
      </c>
      <c r="AH35" s="12">
        <v>180</v>
      </c>
      <c r="AI35" s="12">
        <v>213</v>
      </c>
      <c r="AJ35" s="12">
        <v>0</v>
      </c>
      <c r="AL35" s="11">
        <v>32</v>
      </c>
      <c r="AM35" s="12">
        <v>8</v>
      </c>
      <c r="AN35" s="12">
        <v>173</v>
      </c>
      <c r="AO35" s="12">
        <v>183</v>
      </c>
      <c r="AQ35" s="11">
        <v>32</v>
      </c>
      <c r="AR35" s="14" t="s">
        <v>7</v>
      </c>
      <c r="AT35" s="11">
        <v>32</v>
      </c>
      <c r="AU35" s="12">
        <v>9</v>
      </c>
      <c r="AW35" s="11">
        <v>32</v>
      </c>
      <c r="AX35" s="12">
        <v>14</v>
      </c>
      <c r="AY35" s="12">
        <v>45</v>
      </c>
      <c r="AZ35" s="12">
        <v>136</v>
      </c>
      <c r="BA35" s="12">
        <v>91</v>
      </c>
      <c r="BB35" s="12">
        <v>2</v>
      </c>
      <c r="BC35" s="12">
        <v>51</v>
      </c>
      <c r="BD35" s="12">
        <v>126</v>
      </c>
      <c r="BE35" s="12">
        <v>4</v>
      </c>
      <c r="BF35" s="24">
        <v>214</v>
      </c>
      <c r="BG35" s="29">
        <v>568</v>
      </c>
      <c r="BH35" s="12">
        <v>113</v>
      </c>
      <c r="BI35" s="12">
        <v>113</v>
      </c>
      <c r="BK35" s="11">
        <v>32</v>
      </c>
      <c r="BL35" s="12">
        <v>5</v>
      </c>
      <c r="BM35" s="12" t="s">
        <v>15</v>
      </c>
      <c r="BN35" s="12" t="s">
        <v>15</v>
      </c>
      <c r="BP35" s="11">
        <v>32</v>
      </c>
      <c r="BQ35" s="12">
        <v>3</v>
      </c>
      <c r="BR35" s="12">
        <v>0</v>
      </c>
      <c r="BS35" s="12">
        <v>0</v>
      </c>
      <c r="BU35" s="11">
        <v>32</v>
      </c>
      <c r="BV35" s="12">
        <v>275</v>
      </c>
      <c r="BW35" s="12">
        <v>28</v>
      </c>
      <c r="BX35" s="12">
        <v>5</v>
      </c>
      <c r="BZ35" s="11">
        <v>32</v>
      </c>
      <c r="CA35" s="12"/>
      <c r="CC35" s="11">
        <v>32</v>
      </c>
      <c r="CD35" s="12"/>
    </row>
    <row r="36" spans="1:82">
      <c r="G36" s="121"/>
      <c r="H36" s="21">
        <v>20</v>
      </c>
      <c r="I36" s="7">
        <f t="shared" ref="I36:I42" si="6">SUMIF(CA$3:CA$38,$H36,$CD$3:$CD$38)</f>
        <v>3335</v>
      </c>
      <c r="K36" s="121"/>
      <c r="L36" s="121"/>
      <c r="M36" s="121"/>
      <c r="N36" s="121"/>
      <c r="O36" s="121"/>
      <c r="R36" s="11">
        <v>33</v>
      </c>
      <c r="S36" s="12" t="s">
        <v>15</v>
      </c>
      <c r="T36" s="12">
        <v>1</v>
      </c>
      <c r="U36" s="12">
        <v>1</v>
      </c>
      <c r="W36" s="11">
        <v>33</v>
      </c>
      <c r="X36" s="12">
        <v>0</v>
      </c>
      <c r="Y36" s="12">
        <v>2</v>
      </c>
      <c r="Z36" s="12">
        <v>2</v>
      </c>
      <c r="AB36" s="11">
        <v>33</v>
      </c>
      <c r="AC36" s="12">
        <v>4</v>
      </c>
      <c r="AD36" s="12">
        <v>796</v>
      </c>
      <c r="AE36" s="12">
        <v>0</v>
      </c>
      <c r="AG36" s="11">
        <v>33</v>
      </c>
      <c r="AH36" s="12">
        <v>279</v>
      </c>
      <c r="AI36" s="12">
        <v>587</v>
      </c>
      <c r="AJ36" s="12">
        <v>708</v>
      </c>
      <c r="AL36" s="11">
        <v>33</v>
      </c>
      <c r="AM36" s="12">
        <v>546</v>
      </c>
      <c r="AN36" s="12">
        <v>6</v>
      </c>
      <c r="AO36" s="12">
        <v>0</v>
      </c>
      <c r="AQ36" s="11">
        <v>33</v>
      </c>
      <c r="AR36" s="12" t="s">
        <v>15</v>
      </c>
      <c r="AT36" s="11">
        <v>33</v>
      </c>
      <c r="AU36" s="12">
        <v>0</v>
      </c>
      <c r="AW36" s="11">
        <v>33</v>
      </c>
      <c r="AX36" s="12">
        <v>404</v>
      </c>
      <c r="AY36" s="12">
        <v>22</v>
      </c>
      <c r="AZ36" s="12">
        <v>20</v>
      </c>
      <c r="BA36" s="12">
        <v>278</v>
      </c>
      <c r="BB36" s="12">
        <v>389</v>
      </c>
      <c r="BC36" s="12">
        <v>455</v>
      </c>
      <c r="BD36" s="12">
        <v>315</v>
      </c>
      <c r="BE36" s="12">
        <v>461</v>
      </c>
      <c r="BF36" s="24">
        <v>311</v>
      </c>
      <c r="BG36" s="29">
        <v>195</v>
      </c>
      <c r="BH36" s="12">
        <v>303</v>
      </c>
      <c r="BI36" s="12">
        <v>303</v>
      </c>
      <c r="BK36" s="11">
        <v>33</v>
      </c>
      <c r="BL36" s="12" t="s">
        <v>15</v>
      </c>
      <c r="BM36" s="12">
        <v>1</v>
      </c>
      <c r="BN36" s="12">
        <v>1</v>
      </c>
      <c r="BP36" s="11">
        <v>33</v>
      </c>
      <c r="BQ36" s="12">
        <v>0</v>
      </c>
      <c r="BR36" s="12">
        <v>2</v>
      </c>
      <c r="BS36" s="12">
        <v>2</v>
      </c>
      <c r="BU36" s="11">
        <v>33</v>
      </c>
      <c r="BV36" s="12">
        <v>4</v>
      </c>
      <c r="BW36" s="12">
        <v>614</v>
      </c>
      <c r="BX36" s="12">
        <v>38</v>
      </c>
      <c r="BZ36" s="11">
        <v>33</v>
      </c>
      <c r="CA36" s="12"/>
      <c r="CC36" s="11">
        <v>33</v>
      </c>
      <c r="CD36" s="12"/>
    </row>
    <row r="37" spans="1:82">
      <c r="A37" s="30" t="s">
        <v>117</v>
      </c>
      <c r="D37" s="119"/>
      <c r="E37" s="127"/>
      <c r="F37" s="119"/>
      <c r="G37" s="121"/>
      <c r="H37" s="21">
        <v>30</v>
      </c>
      <c r="I37" s="7">
        <f t="shared" si="6"/>
        <v>344</v>
      </c>
      <c r="K37" s="121"/>
      <c r="L37" s="121"/>
      <c r="M37" s="121"/>
      <c r="N37" s="121"/>
      <c r="O37" s="121"/>
      <c r="R37" s="11">
        <v>34</v>
      </c>
      <c r="S37" s="12">
        <v>10</v>
      </c>
      <c r="T37" s="12" t="s">
        <v>15</v>
      </c>
      <c r="U37" s="12" t="s">
        <v>15</v>
      </c>
      <c r="W37" s="11">
        <v>34</v>
      </c>
      <c r="X37" s="12">
        <v>4</v>
      </c>
      <c r="Y37" s="12">
        <v>0</v>
      </c>
      <c r="Z37" s="12">
        <v>0</v>
      </c>
      <c r="AB37" s="11">
        <v>34</v>
      </c>
      <c r="AC37" s="12">
        <v>81</v>
      </c>
      <c r="AD37" s="12">
        <v>39</v>
      </c>
      <c r="AE37" s="12">
        <v>399</v>
      </c>
      <c r="AG37" s="11">
        <v>34</v>
      </c>
      <c r="AH37" s="12">
        <v>16</v>
      </c>
      <c r="AI37" s="12">
        <v>213</v>
      </c>
      <c r="AJ37" s="12">
        <v>0</v>
      </c>
      <c r="AL37" s="11">
        <v>34</v>
      </c>
      <c r="AM37" s="12">
        <v>13</v>
      </c>
      <c r="AN37" s="12">
        <v>173</v>
      </c>
      <c r="AO37" s="12">
        <v>183</v>
      </c>
      <c r="AQ37" s="11">
        <v>34</v>
      </c>
      <c r="AR37" s="14" t="s">
        <v>6</v>
      </c>
      <c r="AT37" s="11">
        <v>34</v>
      </c>
      <c r="AU37" s="12">
        <v>7</v>
      </c>
      <c r="AW37" s="11">
        <v>34</v>
      </c>
      <c r="AX37" s="12">
        <v>155</v>
      </c>
      <c r="AY37" s="12">
        <v>18</v>
      </c>
      <c r="AZ37" s="12">
        <v>24</v>
      </c>
      <c r="BA37" s="12">
        <v>611</v>
      </c>
      <c r="BB37" s="12">
        <v>451</v>
      </c>
      <c r="BC37" s="12">
        <v>5</v>
      </c>
      <c r="BD37" s="12">
        <v>255</v>
      </c>
      <c r="BE37" s="12">
        <v>9</v>
      </c>
      <c r="BF37" s="24">
        <v>20</v>
      </c>
      <c r="BG37" s="29">
        <v>272</v>
      </c>
      <c r="BH37" s="12">
        <v>252</v>
      </c>
      <c r="BI37" s="12">
        <v>252</v>
      </c>
      <c r="BK37" s="11">
        <v>34</v>
      </c>
      <c r="BL37" s="12">
        <v>10</v>
      </c>
      <c r="BM37" s="12" t="s">
        <v>15</v>
      </c>
      <c r="BN37" s="12" t="s">
        <v>15</v>
      </c>
      <c r="BP37" s="11">
        <v>34</v>
      </c>
      <c r="BQ37" s="12">
        <v>4</v>
      </c>
      <c r="BR37" s="12">
        <v>0</v>
      </c>
      <c r="BS37" s="12">
        <v>0</v>
      </c>
      <c r="BU37" s="11">
        <v>34</v>
      </c>
      <c r="BV37" s="12">
        <v>275</v>
      </c>
      <c r="BW37" s="12">
        <v>28</v>
      </c>
      <c r="BX37" s="12">
        <v>5</v>
      </c>
      <c r="BZ37" s="11">
        <v>34</v>
      </c>
      <c r="CA37" s="12"/>
      <c r="CC37" s="11">
        <v>34</v>
      </c>
      <c r="CD37" s="12"/>
    </row>
    <row r="38" spans="1:82">
      <c r="D38" s="119"/>
      <c r="E38" s="119"/>
      <c r="F38" s="119"/>
      <c r="G38" s="121"/>
      <c r="H38" s="21">
        <v>50</v>
      </c>
      <c r="I38" s="7">
        <f t="shared" si="6"/>
        <v>1168</v>
      </c>
      <c r="K38" s="121"/>
      <c r="L38" s="121"/>
      <c r="M38" s="121"/>
      <c r="N38" s="121"/>
      <c r="O38" s="121"/>
      <c r="R38" s="11">
        <v>35</v>
      </c>
      <c r="S38" s="12" t="s">
        <v>8</v>
      </c>
      <c r="T38" s="12">
        <v>5</v>
      </c>
      <c r="U38" s="12">
        <v>5</v>
      </c>
      <c r="W38" s="11">
        <v>35</v>
      </c>
      <c r="X38" s="12">
        <v>0</v>
      </c>
      <c r="Y38" s="12">
        <v>3</v>
      </c>
      <c r="Z38" s="12">
        <v>3</v>
      </c>
      <c r="AB38" s="11">
        <v>35</v>
      </c>
      <c r="AC38" s="12">
        <v>4</v>
      </c>
      <c r="AD38" s="12">
        <v>524</v>
      </c>
      <c r="AE38" s="12">
        <v>0</v>
      </c>
      <c r="AG38" s="11">
        <v>35</v>
      </c>
      <c r="AH38" s="12">
        <v>279</v>
      </c>
      <c r="AI38" s="12">
        <v>197</v>
      </c>
      <c r="AJ38" s="12">
        <v>640</v>
      </c>
      <c r="AL38" s="11">
        <v>35</v>
      </c>
      <c r="AM38" s="12">
        <v>546</v>
      </c>
      <c r="AN38" s="12">
        <v>10</v>
      </c>
      <c r="AO38" s="12">
        <v>7</v>
      </c>
      <c r="AQ38" s="11">
        <v>35</v>
      </c>
      <c r="AR38" s="12" t="s">
        <v>15</v>
      </c>
      <c r="AT38" s="11">
        <v>35</v>
      </c>
      <c r="AU38" s="12">
        <v>0</v>
      </c>
      <c r="AW38" s="11">
        <v>35</v>
      </c>
      <c r="AX38" s="12">
        <v>404</v>
      </c>
      <c r="AY38" s="12">
        <v>22</v>
      </c>
      <c r="AZ38" s="12">
        <v>20</v>
      </c>
      <c r="BA38" s="12">
        <v>278</v>
      </c>
      <c r="BB38" s="12">
        <v>389</v>
      </c>
      <c r="BC38" s="12">
        <v>455</v>
      </c>
      <c r="BD38" s="12">
        <v>315</v>
      </c>
      <c r="BE38" s="12">
        <v>461</v>
      </c>
      <c r="BF38" s="24">
        <v>311</v>
      </c>
      <c r="BG38" s="29">
        <v>195</v>
      </c>
      <c r="BH38" s="12">
        <v>303</v>
      </c>
      <c r="BI38" s="12">
        <v>303</v>
      </c>
      <c r="BK38" s="11">
        <v>35</v>
      </c>
      <c r="BL38" s="12" t="s">
        <v>8</v>
      </c>
      <c r="BM38" s="12">
        <v>5</v>
      </c>
      <c r="BN38" s="12">
        <v>5</v>
      </c>
      <c r="BP38" s="11">
        <v>35</v>
      </c>
      <c r="BQ38" s="12">
        <v>0</v>
      </c>
      <c r="BR38" s="12">
        <v>3</v>
      </c>
      <c r="BS38" s="12">
        <v>3</v>
      </c>
      <c r="BU38" s="11">
        <v>35</v>
      </c>
      <c r="BV38" s="12">
        <v>4</v>
      </c>
      <c r="BW38" s="12">
        <v>614</v>
      </c>
      <c r="BX38" s="12">
        <v>62</v>
      </c>
      <c r="BZ38" s="11">
        <v>35</v>
      </c>
      <c r="CA38" s="12"/>
      <c r="CC38" s="11">
        <v>35</v>
      </c>
      <c r="CD38" s="12"/>
    </row>
    <row r="39" spans="1:82">
      <c r="D39" s="119"/>
      <c r="E39" s="119"/>
      <c r="F39" s="119"/>
      <c r="G39" s="121"/>
      <c r="H39" s="21">
        <v>100</v>
      </c>
      <c r="I39" s="7">
        <f t="shared" si="6"/>
        <v>136</v>
      </c>
      <c r="K39" s="121"/>
      <c r="L39" s="121"/>
      <c r="M39" s="121"/>
      <c r="N39" s="121"/>
      <c r="O39" s="121"/>
      <c r="R39" s="11">
        <v>36</v>
      </c>
      <c r="S39" s="12"/>
      <c r="T39" s="12" t="s">
        <v>15</v>
      </c>
      <c r="U39" s="12" t="s">
        <v>15</v>
      </c>
      <c r="W39" s="11">
        <v>36</v>
      </c>
      <c r="X39" s="12"/>
      <c r="Y39" s="12">
        <v>0</v>
      </c>
      <c r="Z39" s="12">
        <v>0</v>
      </c>
      <c r="AB39" s="11">
        <v>36</v>
      </c>
      <c r="AC39" s="12"/>
      <c r="AD39" s="12">
        <v>39</v>
      </c>
      <c r="AE39" s="12">
        <v>399</v>
      </c>
      <c r="AG39" s="11">
        <v>36</v>
      </c>
      <c r="AH39" s="12"/>
      <c r="AI39" s="12">
        <v>213</v>
      </c>
      <c r="AJ39" s="12">
        <v>0</v>
      </c>
      <c r="AL39" s="11">
        <v>36</v>
      </c>
      <c r="AM39" s="12"/>
      <c r="AN39" s="12">
        <v>173</v>
      </c>
      <c r="AO39" s="12">
        <v>183</v>
      </c>
      <c r="AQ39" s="11">
        <v>36</v>
      </c>
      <c r="AR39" s="14" t="s">
        <v>40</v>
      </c>
      <c r="AS39" s="14"/>
      <c r="AT39" s="11">
        <v>36</v>
      </c>
      <c r="AU39" s="12">
        <v>11</v>
      </c>
      <c r="AW39" s="11">
        <v>36</v>
      </c>
      <c r="AX39" s="12">
        <v>11</v>
      </c>
      <c r="AY39" s="12">
        <v>196</v>
      </c>
      <c r="AZ39" s="12">
        <v>403</v>
      </c>
      <c r="BA39" s="12">
        <v>226</v>
      </c>
      <c r="BB39" s="12">
        <v>56</v>
      </c>
      <c r="BC39" s="12">
        <v>32</v>
      </c>
      <c r="BD39" s="12">
        <v>202</v>
      </c>
      <c r="BE39" s="12">
        <v>143</v>
      </c>
      <c r="BF39" s="24">
        <v>95</v>
      </c>
      <c r="BG39" s="29">
        <v>307</v>
      </c>
      <c r="BH39" s="12">
        <v>169</v>
      </c>
      <c r="BI39" s="12">
        <v>169</v>
      </c>
      <c r="BK39" s="11">
        <v>36</v>
      </c>
      <c r="BL39" s="12"/>
      <c r="BM39" s="12" t="s">
        <v>15</v>
      </c>
      <c r="BN39" s="12" t="s">
        <v>15</v>
      </c>
      <c r="BP39" s="11">
        <v>36</v>
      </c>
      <c r="BQ39" s="12"/>
      <c r="BR39" s="12">
        <v>0</v>
      </c>
      <c r="BS39" s="12">
        <v>0</v>
      </c>
      <c r="BU39" s="11">
        <v>36</v>
      </c>
      <c r="BV39" s="12"/>
      <c r="BW39" s="12">
        <v>28</v>
      </c>
      <c r="BX39" s="12">
        <v>5</v>
      </c>
      <c r="BZ39" s="11">
        <v>36</v>
      </c>
      <c r="CA39" s="12"/>
      <c r="CC39" s="11">
        <v>36</v>
      </c>
      <c r="CD39" s="12"/>
    </row>
    <row r="40" spans="1:82">
      <c r="A40" s="30" t="s">
        <v>46</v>
      </c>
      <c r="B40" s="1" t="s">
        <v>10</v>
      </c>
      <c r="C40" s="2" t="s">
        <v>11</v>
      </c>
      <c r="D40" s="3" t="s">
        <v>80</v>
      </c>
      <c r="E40" s="122" t="s">
        <v>13</v>
      </c>
      <c r="F40" s="4" t="s">
        <v>14</v>
      </c>
      <c r="G40" s="121"/>
      <c r="H40" s="21">
        <v>200</v>
      </c>
      <c r="I40" s="7">
        <f t="shared" si="6"/>
        <v>15</v>
      </c>
      <c r="K40" s="121"/>
      <c r="L40" s="121"/>
      <c r="M40" s="121"/>
      <c r="N40" s="121"/>
      <c r="O40" s="121"/>
      <c r="R40" s="11">
        <v>37</v>
      </c>
      <c r="S40" s="12"/>
      <c r="T40" s="12">
        <v>10</v>
      </c>
      <c r="U40" s="12">
        <v>10</v>
      </c>
      <c r="W40" s="11">
        <v>37</v>
      </c>
      <c r="X40" s="12"/>
      <c r="Y40" s="12">
        <v>4</v>
      </c>
      <c r="Z40" s="12">
        <v>4</v>
      </c>
      <c r="AB40" s="11">
        <v>37</v>
      </c>
      <c r="AC40" s="12"/>
      <c r="AD40" s="12">
        <v>40</v>
      </c>
      <c r="AE40" s="12">
        <v>2</v>
      </c>
      <c r="AG40" s="11">
        <v>37</v>
      </c>
      <c r="AH40" s="12"/>
      <c r="AI40" s="12">
        <v>40</v>
      </c>
      <c r="AJ40" s="12">
        <v>2</v>
      </c>
      <c r="AL40" s="11">
        <v>37</v>
      </c>
      <c r="AM40" s="12"/>
      <c r="AN40" s="12">
        <v>40</v>
      </c>
      <c r="AO40" s="12">
        <v>2</v>
      </c>
      <c r="AQ40" s="11">
        <v>37</v>
      </c>
      <c r="AR40" s="12" t="s">
        <v>15</v>
      </c>
      <c r="AS40" s="12"/>
      <c r="AT40" s="11">
        <v>37</v>
      </c>
      <c r="AU40" s="12">
        <v>0</v>
      </c>
      <c r="AW40" s="11">
        <v>37</v>
      </c>
      <c r="AX40" s="12">
        <v>404</v>
      </c>
      <c r="AY40" s="12">
        <v>22</v>
      </c>
      <c r="AZ40" s="12">
        <v>20</v>
      </c>
      <c r="BA40" s="12">
        <v>278</v>
      </c>
      <c r="BB40" s="12">
        <v>389</v>
      </c>
      <c r="BC40" s="12">
        <v>455</v>
      </c>
      <c r="BD40" s="12">
        <v>315</v>
      </c>
      <c r="BE40" s="12">
        <v>461</v>
      </c>
      <c r="BF40" s="24">
        <v>311</v>
      </c>
      <c r="BG40" s="29">
        <v>195</v>
      </c>
      <c r="BH40" s="12">
        <v>303</v>
      </c>
      <c r="BI40" s="12">
        <v>303</v>
      </c>
      <c r="BK40" s="11">
        <v>37</v>
      </c>
      <c r="BL40" s="12"/>
      <c r="BM40" s="12">
        <v>10</v>
      </c>
      <c r="BN40" s="12">
        <v>10</v>
      </c>
      <c r="BP40" s="11">
        <v>37</v>
      </c>
      <c r="BQ40" s="12"/>
      <c r="BR40" s="12">
        <v>4</v>
      </c>
      <c r="BS40" s="12">
        <v>4</v>
      </c>
      <c r="BU40" s="11">
        <v>37</v>
      </c>
      <c r="BV40" s="12"/>
      <c r="BW40" s="12">
        <v>0</v>
      </c>
      <c r="BX40" s="12">
        <v>960</v>
      </c>
      <c r="BZ40" s="11">
        <v>37</v>
      </c>
      <c r="CA40" s="12"/>
      <c r="CC40" s="11">
        <v>37</v>
      </c>
      <c r="CD40" s="12"/>
    </row>
    <row r="41" spans="1:82">
      <c r="A41" s="1" t="s">
        <v>19</v>
      </c>
      <c r="B41" s="1">
        <v>0</v>
      </c>
      <c r="C41" s="3" t="s">
        <v>25</v>
      </c>
      <c r="D41" s="3">
        <f>SUMIF(S$3:S$38,$A41,AM$3:AM$38)</f>
        <v>9839</v>
      </c>
      <c r="E41" s="122">
        <f>SUMIF(T$3:T$52,$A41,AN$3:AN$52)</f>
        <v>4336</v>
      </c>
      <c r="F41" s="4">
        <f>SUMIF(U$3:U$52,$A41,AO$3:AO$52)</f>
        <v>4578</v>
      </c>
      <c r="G41" s="121"/>
      <c r="H41" s="21">
        <v>500</v>
      </c>
      <c r="I41" s="7">
        <f t="shared" si="6"/>
        <v>2</v>
      </c>
      <c r="K41" s="121"/>
      <c r="L41" s="121"/>
      <c r="M41" s="121"/>
      <c r="N41" s="121"/>
      <c r="O41" s="121"/>
      <c r="R41" s="11">
        <v>38</v>
      </c>
      <c r="S41" s="12"/>
      <c r="T41" s="12" t="s">
        <v>15</v>
      </c>
      <c r="U41" s="12" t="s">
        <v>15</v>
      </c>
      <c r="W41" s="11">
        <v>38</v>
      </c>
      <c r="X41" s="12"/>
      <c r="Y41" s="12">
        <v>0</v>
      </c>
      <c r="Z41" s="12">
        <v>0</v>
      </c>
      <c r="AB41" s="11">
        <v>38</v>
      </c>
      <c r="AC41" s="12"/>
      <c r="AD41" s="12">
        <v>38</v>
      </c>
      <c r="AE41" s="12">
        <v>399</v>
      </c>
      <c r="AG41" s="11">
        <v>38</v>
      </c>
      <c r="AH41" s="12"/>
      <c r="AI41" s="12">
        <v>213</v>
      </c>
      <c r="AJ41" s="12">
        <v>0</v>
      </c>
      <c r="AL41" s="11">
        <v>38</v>
      </c>
      <c r="AM41" s="12"/>
      <c r="AN41" s="12">
        <v>173</v>
      </c>
      <c r="AO41" s="12">
        <v>183</v>
      </c>
      <c r="AQ41" s="11">
        <v>38</v>
      </c>
      <c r="AR41" s="14" t="s">
        <v>9</v>
      </c>
      <c r="AS41" s="14"/>
      <c r="AT41" s="11">
        <v>38</v>
      </c>
      <c r="AU41" s="12">
        <v>8</v>
      </c>
      <c r="AW41" s="11">
        <v>38</v>
      </c>
      <c r="AX41" s="12">
        <v>151</v>
      </c>
      <c r="AY41" s="12">
        <v>2109</v>
      </c>
      <c r="AZ41" s="12">
        <v>458</v>
      </c>
      <c r="BA41" s="12">
        <v>110</v>
      </c>
      <c r="BB41" s="12">
        <v>39</v>
      </c>
      <c r="BC41" s="12">
        <v>101</v>
      </c>
      <c r="BD41" s="12">
        <v>82</v>
      </c>
      <c r="BE41" s="12">
        <v>27</v>
      </c>
      <c r="BF41" s="24">
        <v>99</v>
      </c>
      <c r="BG41" s="29">
        <v>7</v>
      </c>
      <c r="BH41" s="12">
        <v>206</v>
      </c>
      <c r="BI41" s="12">
        <v>206</v>
      </c>
      <c r="BK41" s="11">
        <v>38</v>
      </c>
      <c r="BL41" s="12"/>
      <c r="BM41" s="12" t="s">
        <v>15</v>
      </c>
      <c r="BN41" s="12" t="s">
        <v>15</v>
      </c>
      <c r="BP41" s="11">
        <v>38</v>
      </c>
      <c r="BQ41" s="12"/>
      <c r="BR41" s="12">
        <v>0</v>
      </c>
      <c r="BS41" s="12">
        <v>0</v>
      </c>
      <c r="BU41" s="11">
        <v>38</v>
      </c>
      <c r="BV41" s="12"/>
      <c r="BW41" s="12">
        <v>28</v>
      </c>
      <c r="BX41" s="12">
        <v>5</v>
      </c>
      <c r="BZ41" s="11">
        <v>38</v>
      </c>
      <c r="CA41" s="12"/>
      <c r="CC41" s="11">
        <v>38</v>
      </c>
      <c r="CD41" s="12"/>
    </row>
    <row r="42" spans="1:82">
      <c r="A42" s="20">
        <v>0</v>
      </c>
      <c r="B42" s="20">
        <v>1</v>
      </c>
      <c r="C42" s="5">
        <v>0</v>
      </c>
      <c r="D42" s="37">
        <f t="shared" ref="D42:D52" si="7">SUMIF(S$3:S$38,$A42,AM$3:AM$38)</f>
        <v>0</v>
      </c>
      <c r="E42" s="121">
        <f t="shared" ref="E42:E52" si="8">SUMIF(T$3:T$52,$A42,AN$3:AN$52)</f>
        <v>5268</v>
      </c>
      <c r="F42" s="7">
        <f t="shared" ref="F42:F52" si="9">SUMIF(U$3:U$52,$A42,AO$3:AO$52)</f>
        <v>5372</v>
      </c>
      <c r="H42" s="22">
        <v>1000</v>
      </c>
      <c r="I42" s="96">
        <f t="shared" si="6"/>
        <v>2</v>
      </c>
      <c r="R42" s="11">
        <v>39</v>
      </c>
      <c r="S42" s="12"/>
      <c r="T42" s="12" t="s">
        <v>18</v>
      </c>
      <c r="U42" s="12" t="s">
        <v>18</v>
      </c>
      <c r="W42" s="11">
        <v>39</v>
      </c>
      <c r="X42" s="12"/>
      <c r="Y42" s="12">
        <v>5</v>
      </c>
      <c r="Z42" s="12">
        <v>5</v>
      </c>
      <c r="AB42" s="11">
        <v>39</v>
      </c>
      <c r="AC42" s="12"/>
      <c r="AD42" s="12">
        <v>22</v>
      </c>
      <c r="AE42" s="12">
        <v>1</v>
      </c>
      <c r="AG42" s="11">
        <v>39</v>
      </c>
      <c r="AH42" s="12"/>
      <c r="AI42" s="12">
        <v>22</v>
      </c>
      <c r="AJ42" s="12">
        <v>1</v>
      </c>
      <c r="AL42" s="11">
        <v>39</v>
      </c>
      <c r="AM42" s="12"/>
      <c r="AN42" s="12">
        <v>22</v>
      </c>
      <c r="AO42" s="12">
        <v>1</v>
      </c>
      <c r="AQ42" s="11">
        <v>39</v>
      </c>
      <c r="AR42" s="12" t="s">
        <v>15</v>
      </c>
      <c r="AS42" s="12"/>
      <c r="AT42" s="11">
        <v>39</v>
      </c>
      <c r="AU42" s="12">
        <v>0</v>
      </c>
      <c r="AW42" s="11">
        <v>39</v>
      </c>
      <c r="AX42" s="12">
        <v>404</v>
      </c>
      <c r="AY42" s="12">
        <v>22</v>
      </c>
      <c r="AZ42" s="12">
        <v>20</v>
      </c>
      <c r="BA42" s="12">
        <v>278</v>
      </c>
      <c r="BB42" s="12">
        <v>389</v>
      </c>
      <c r="BC42" s="12">
        <v>455</v>
      </c>
      <c r="BD42" s="12">
        <v>315</v>
      </c>
      <c r="BE42" s="12">
        <v>461</v>
      </c>
      <c r="BF42" s="24">
        <v>311</v>
      </c>
      <c r="BG42" s="29">
        <v>195</v>
      </c>
      <c r="BH42" s="12">
        <v>303</v>
      </c>
      <c r="BI42" s="12">
        <v>303</v>
      </c>
      <c r="BK42" s="11">
        <v>39</v>
      </c>
      <c r="BL42" s="12"/>
      <c r="BM42" s="12" t="s">
        <v>18</v>
      </c>
      <c r="BN42" s="12" t="s">
        <v>18</v>
      </c>
      <c r="BP42" s="11">
        <v>39</v>
      </c>
      <c r="BQ42" s="12"/>
      <c r="BR42" s="12">
        <v>5</v>
      </c>
      <c r="BS42" s="12">
        <v>5</v>
      </c>
      <c r="BU42" s="11">
        <v>39</v>
      </c>
      <c r="BV42" s="12"/>
      <c r="BW42" s="12">
        <v>0</v>
      </c>
      <c r="BX42" s="12">
        <v>800</v>
      </c>
      <c r="BZ42" s="11">
        <v>39</v>
      </c>
      <c r="CA42" s="12"/>
      <c r="CC42" s="11">
        <v>39</v>
      </c>
      <c r="CD42" s="12"/>
    </row>
    <row r="43" spans="1:82">
      <c r="A43" s="20">
        <v>1</v>
      </c>
      <c r="B43" s="20">
        <v>2</v>
      </c>
      <c r="C43" s="5">
        <v>1</v>
      </c>
      <c r="D43" s="6">
        <f t="shared" si="7"/>
        <v>29</v>
      </c>
      <c r="E43" s="121">
        <f t="shared" si="8"/>
        <v>33</v>
      </c>
      <c r="F43" s="7">
        <f t="shared" si="9"/>
        <v>0</v>
      </c>
      <c r="R43" s="11">
        <v>40</v>
      </c>
      <c r="S43" s="12"/>
      <c r="T43" s="12" t="s">
        <v>15</v>
      </c>
      <c r="U43" s="12" t="s">
        <v>15</v>
      </c>
      <c r="W43" s="11">
        <v>40</v>
      </c>
      <c r="X43" s="12"/>
      <c r="Y43" s="12">
        <v>0</v>
      </c>
      <c r="Z43" s="12">
        <v>0</v>
      </c>
      <c r="AB43" s="11">
        <v>40</v>
      </c>
      <c r="AC43" s="12"/>
      <c r="AD43" s="12">
        <v>38</v>
      </c>
      <c r="AE43" s="12">
        <v>399</v>
      </c>
      <c r="AG43" s="11">
        <v>40</v>
      </c>
      <c r="AH43" s="12"/>
      <c r="AI43" s="12">
        <v>213</v>
      </c>
      <c r="AJ43" s="12">
        <v>0</v>
      </c>
      <c r="AL43" s="11">
        <v>40</v>
      </c>
      <c r="AM43" s="12"/>
      <c r="AN43" s="12">
        <v>173</v>
      </c>
      <c r="AO43" s="12">
        <v>183</v>
      </c>
      <c r="AQ43" s="11">
        <v>40</v>
      </c>
      <c r="AR43" s="14"/>
      <c r="AS43" s="14"/>
      <c r="AT43" s="11">
        <v>40</v>
      </c>
      <c r="AU43" s="12"/>
      <c r="AW43" s="11">
        <v>40</v>
      </c>
      <c r="AX43" s="12"/>
      <c r="AY43" s="12"/>
      <c r="AZ43" s="12"/>
      <c r="BA43" s="12"/>
      <c r="BB43" s="12"/>
      <c r="BC43" s="12"/>
      <c r="BD43" s="12"/>
      <c r="BE43" s="12"/>
      <c r="BF43" s="24"/>
      <c r="BG43" s="29"/>
      <c r="BH43" s="12"/>
      <c r="BI43" s="12"/>
      <c r="BK43" s="11">
        <v>40</v>
      </c>
      <c r="BL43" s="12"/>
      <c r="BM43" s="12" t="s">
        <v>15</v>
      </c>
      <c r="BN43" s="12" t="s">
        <v>15</v>
      </c>
      <c r="BP43" s="11">
        <v>40</v>
      </c>
      <c r="BQ43" s="12"/>
      <c r="BR43" s="12">
        <v>0</v>
      </c>
      <c r="BS43" s="12">
        <v>0</v>
      </c>
      <c r="BU43" s="11">
        <v>40</v>
      </c>
      <c r="BV43" s="12"/>
      <c r="BW43" s="12">
        <v>28</v>
      </c>
      <c r="BX43" s="12">
        <v>5</v>
      </c>
      <c r="BZ43" s="11">
        <v>40</v>
      </c>
      <c r="CA43" s="12"/>
      <c r="CC43" s="11">
        <v>40</v>
      </c>
      <c r="CD43" s="12"/>
    </row>
    <row r="44" spans="1:82">
      <c r="A44" s="21">
        <v>5</v>
      </c>
      <c r="B44" s="21">
        <v>3</v>
      </c>
      <c r="C44" s="23">
        <v>5</v>
      </c>
      <c r="D44" s="6">
        <f t="shared" si="7"/>
        <v>51</v>
      </c>
      <c r="E44" s="121">
        <f t="shared" si="8"/>
        <v>52</v>
      </c>
      <c r="F44" s="7">
        <f t="shared" si="9"/>
        <v>34</v>
      </c>
      <c r="R44" s="11">
        <v>41</v>
      </c>
      <c r="S44" s="12"/>
      <c r="T44" s="12">
        <v>0</v>
      </c>
      <c r="U44" s="12">
        <v>0</v>
      </c>
      <c r="W44" s="11">
        <v>41</v>
      </c>
      <c r="X44" s="12"/>
      <c r="Y44" s="12">
        <v>1</v>
      </c>
      <c r="Z44" s="12">
        <v>1</v>
      </c>
      <c r="AB44" s="11">
        <v>41</v>
      </c>
      <c r="AC44" s="12"/>
      <c r="AD44" s="12">
        <v>423</v>
      </c>
      <c r="AE44" s="12">
        <v>0</v>
      </c>
      <c r="AG44" s="11">
        <v>41</v>
      </c>
      <c r="AH44" s="12"/>
      <c r="AI44" s="12">
        <v>88</v>
      </c>
      <c r="AJ44" s="12">
        <v>648</v>
      </c>
      <c r="AL44" s="11">
        <v>41</v>
      </c>
      <c r="AM44" s="12"/>
      <c r="AN44" s="12">
        <v>1053</v>
      </c>
      <c r="AO44" s="12">
        <v>1074</v>
      </c>
      <c r="AQ44" s="11">
        <v>41</v>
      </c>
      <c r="AR44" s="12"/>
      <c r="AS44" s="12"/>
      <c r="AT44" s="11">
        <v>41</v>
      </c>
      <c r="AU44" s="12"/>
      <c r="AW44" s="11">
        <v>41</v>
      </c>
      <c r="AX44" s="12"/>
      <c r="AY44" s="12"/>
      <c r="AZ44" s="12"/>
      <c r="BA44" s="12"/>
      <c r="BB44" s="12"/>
      <c r="BC44" s="12"/>
      <c r="BD44" s="12"/>
      <c r="BE44" s="12"/>
      <c r="BF44" s="24"/>
      <c r="BG44" s="29"/>
      <c r="BH44" s="12"/>
      <c r="BI44" s="12"/>
      <c r="BK44" s="11">
        <v>41</v>
      </c>
      <c r="BL44" s="12"/>
      <c r="BM44" s="12">
        <v>0</v>
      </c>
      <c r="BN44" s="12">
        <v>0</v>
      </c>
      <c r="BP44" s="11">
        <v>41</v>
      </c>
      <c r="BQ44" s="12"/>
      <c r="BR44" s="12">
        <v>1</v>
      </c>
      <c r="BS44" s="12">
        <v>1</v>
      </c>
      <c r="BU44" s="11">
        <v>41</v>
      </c>
      <c r="BV44" s="12"/>
      <c r="BW44" s="12">
        <v>630</v>
      </c>
      <c r="BX44" s="12">
        <v>115</v>
      </c>
      <c r="BZ44" s="11">
        <v>41</v>
      </c>
      <c r="CA44" s="12"/>
      <c r="CC44" s="11">
        <v>41</v>
      </c>
      <c r="CD44" s="12"/>
    </row>
    <row r="45" spans="1:82">
      <c r="A45" s="21">
        <v>10</v>
      </c>
      <c r="B45" s="21">
        <v>4</v>
      </c>
      <c r="C45" s="23">
        <v>10</v>
      </c>
      <c r="D45" s="6">
        <f t="shared" si="7"/>
        <v>81</v>
      </c>
      <c r="E45" s="101">
        <f t="shared" si="8"/>
        <v>202</v>
      </c>
      <c r="F45" s="126">
        <f t="shared" si="9"/>
        <v>12</v>
      </c>
      <c r="R45" s="11">
        <v>42</v>
      </c>
      <c r="S45" s="12"/>
      <c r="T45" s="12" t="s">
        <v>15</v>
      </c>
      <c r="U45" s="12" t="s">
        <v>15</v>
      </c>
      <c r="W45" s="11">
        <v>42</v>
      </c>
      <c r="X45" s="12"/>
      <c r="Y45" s="12">
        <v>0</v>
      </c>
      <c r="Z45" s="12">
        <v>0</v>
      </c>
      <c r="AB45" s="11">
        <v>42</v>
      </c>
      <c r="AC45" s="12"/>
      <c r="AD45" s="12">
        <v>38</v>
      </c>
      <c r="AE45" s="12">
        <v>399</v>
      </c>
      <c r="AG45" s="11">
        <v>42</v>
      </c>
      <c r="AH45" s="12"/>
      <c r="AI45" s="12">
        <v>213</v>
      </c>
      <c r="AJ45" s="12">
        <v>0</v>
      </c>
      <c r="AL45" s="11">
        <v>42</v>
      </c>
      <c r="AM45" s="12"/>
      <c r="AN45" s="12">
        <v>173</v>
      </c>
      <c r="AO45" s="12">
        <v>183</v>
      </c>
      <c r="AQ45" s="11">
        <v>42</v>
      </c>
      <c r="AR45" s="14"/>
      <c r="AS45" s="14"/>
      <c r="AT45" s="11">
        <v>42</v>
      </c>
      <c r="AU45" s="12"/>
      <c r="AW45" s="11">
        <v>42</v>
      </c>
      <c r="AX45" s="12"/>
      <c r="AY45" s="12"/>
      <c r="AZ45" s="12"/>
      <c r="BA45" s="12"/>
      <c r="BB45" s="12"/>
      <c r="BC45" s="12"/>
      <c r="BD45" s="12"/>
      <c r="BE45" s="12"/>
      <c r="BF45" s="24"/>
      <c r="BG45" s="29"/>
      <c r="BH45" s="12"/>
      <c r="BI45" s="12"/>
      <c r="BK45" s="11">
        <v>42</v>
      </c>
      <c r="BL45" s="12"/>
      <c r="BM45" s="12" t="s">
        <v>15</v>
      </c>
      <c r="BN45" s="12" t="s">
        <v>15</v>
      </c>
      <c r="BP45" s="11">
        <v>42</v>
      </c>
      <c r="BQ45" s="12"/>
      <c r="BR45" s="12">
        <v>0</v>
      </c>
      <c r="BS45" s="12">
        <v>0</v>
      </c>
      <c r="BU45" s="11">
        <v>42</v>
      </c>
      <c r="BV45" s="12"/>
      <c r="BW45" s="12">
        <v>28</v>
      </c>
      <c r="BX45" s="12">
        <v>5</v>
      </c>
      <c r="BZ45" s="11">
        <v>42</v>
      </c>
      <c r="CA45" s="12"/>
      <c r="CC45" s="11">
        <v>42</v>
      </c>
      <c r="CD45" s="12"/>
    </row>
    <row r="46" spans="1:82">
      <c r="A46" s="20" t="s">
        <v>20</v>
      </c>
      <c r="B46" s="20">
        <v>5</v>
      </c>
      <c r="C46" s="23" t="s">
        <v>29</v>
      </c>
      <c r="D46" s="37">
        <f t="shared" si="7"/>
        <v>0</v>
      </c>
      <c r="E46" s="101">
        <f t="shared" si="8"/>
        <v>109</v>
      </c>
      <c r="F46" s="126">
        <f t="shared" si="9"/>
        <v>4</v>
      </c>
      <c r="R46" s="11">
        <v>43</v>
      </c>
      <c r="S46" s="12"/>
      <c r="T46" s="12">
        <v>1</v>
      </c>
      <c r="U46" s="12">
        <v>1</v>
      </c>
      <c r="W46" s="11">
        <v>43</v>
      </c>
      <c r="X46" s="12"/>
      <c r="Y46" s="12">
        <v>2</v>
      </c>
      <c r="Z46" s="12">
        <v>2</v>
      </c>
      <c r="AB46" s="11">
        <v>43</v>
      </c>
      <c r="AC46" s="12"/>
      <c r="AD46" s="12">
        <v>795</v>
      </c>
      <c r="AE46" s="12">
        <v>0</v>
      </c>
      <c r="AG46" s="11">
        <v>43</v>
      </c>
      <c r="AH46" s="12"/>
      <c r="AI46" s="12">
        <v>587</v>
      </c>
      <c r="AJ46" s="12">
        <v>708</v>
      </c>
      <c r="AL46" s="11">
        <v>43</v>
      </c>
      <c r="AM46" s="12"/>
      <c r="AN46" s="12">
        <v>6</v>
      </c>
      <c r="AO46" s="12">
        <v>0</v>
      </c>
      <c r="AQ46" s="11">
        <v>43</v>
      </c>
      <c r="AR46" s="12"/>
      <c r="AS46" s="12"/>
      <c r="AT46" s="11">
        <v>43</v>
      </c>
      <c r="AU46" s="12"/>
      <c r="AW46" s="11">
        <v>43</v>
      </c>
      <c r="AX46" s="12"/>
      <c r="AY46" s="12"/>
      <c r="AZ46" s="12"/>
      <c r="BA46" s="12"/>
      <c r="BB46" s="12"/>
      <c r="BC46" s="12"/>
      <c r="BD46" s="12"/>
      <c r="BE46" s="12"/>
      <c r="BF46" s="24"/>
      <c r="BG46" s="29"/>
      <c r="BH46" s="12"/>
      <c r="BI46" s="12"/>
      <c r="BK46" s="11">
        <v>43</v>
      </c>
      <c r="BL46" s="12"/>
      <c r="BM46" s="12">
        <v>1</v>
      </c>
      <c r="BN46" s="12">
        <v>1</v>
      </c>
      <c r="BP46" s="11">
        <v>43</v>
      </c>
      <c r="BQ46" s="12"/>
      <c r="BR46" s="12">
        <v>2</v>
      </c>
      <c r="BS46" s="12">
        <v>2</v>
      </c>
      <c r="BU46" s="11">
        <v>43</v>
      </c>
      <c r="BV46" s="12"/>
      <c r="BW46" s="12">
        <v>614</v>
      </c>
      <c r="BX46" s="12">
        <v>37</v>
      </c>
      <c r="BZ46" s="11">
        <v>43</v>
      </c>
      <c r="CA46" s="12"/>
      <c r="CC46" s="11">
        <v>43</v>
      </c>
      <c r="CD46" s="12"/>
    </row>
    <row r="47" spans="1:82">
      <c r="A47" s="21" t="s">
        <v>21</v>
      </c>
      <c r="B47" s="21">
        <v>6</v>
      </c>
      <c r="C47" s="23" t="s">
        <v>26</v>
      </c>
      <c r="D47" s="37">
        <f t="shared" si="7"/>
        <v>0</v>
      </c>
      <c r="E47" s="59">
        <f t="shared" si="8"/>
        <v>0</v>
      </c>
      <c r="F47" s="38">
        <f t="shared" si="9"/>
        <v>0</v>
      </c>
      <c r="R47" s="11">
        <v>44</v>
      </c>
      <c r="S47" s="12"/>
      <c r="T47" s="12" t="s">
        <v>15</v>
      </c>
      <c r="U47" s="12" t="s">
        <v>15</v>
      </c>
      <c r="W47" s="11">
        <v>44</v>
      </c>
      <c r="X47" s="12"/>
      <c r="Y47" s="12">
        <v>0</v>
      </c>
      <c r="Z47" s="12">
        <v>0</v>
      </c>
      <c r="AB47" s="11">
        <v>44</v>
      </c>
      <c r="AC47" s="12"/>
      <c r="AD47" s="12">
        <v>38</v>
      </c>
      <c r="AE47" s="12">
        <v>399</v>
      </c>
      <c r="AG47" s="11">
        <v>44</v>
      </c>
      <c r="AH47" s="12"/>
      <c r="AI47" s="12">
        <v>213</v>
      </c>
      <c r="AJ47" s="12">
        <v>0</v>
      </c>
      <c r="AL47" s="11">
        <v>44</v>
      </c>
      <c r="AM47" s="12"/>
      <c r="AN47" s="12">
        <v>173</v>
      </c>
      <c r="AO47" s="12">
        <v>183</v>
      </c>
      <c r="AQ47" s="11">
        <v>44</v>
      </c>
      <c r="AR47" s="14"/>
      <c r="AS47" s="14"/>
      <c r="AT47" s="11">
        <v>44</v>
      </c>
      <c r="AU47" s="12"/>
      <c r="AW47" s="11">
        <v>44</v>
      </c>
      <c r="AX47" s="12"/>
      <c r="AY47" s="12"/>
      <c r="AZ47" s="12"/>
      <c r="BA47" s="12"/>
      <c r="BB47" s="12"/>
      <c r="BC47" s="12"/>
      <c r="BD47" s="12"/>
      <c r="BE47" s="12"/>
      <c r="BF47" s="24"/>
      <c r="BG47" s="29"/>
      <c r="BH47" s="12"/>
      <c r="BI47" s="12"/>
      <c r="BK47" s="11">
        <v>44</v>
      </c>
      <c r="BL47" s="12"/>
      <c r="BM47" s="12" t="s">
        <v>15</v>
      </c>
      <c r="BN47" s="12" t="s">
        <v>15</v>
      </c>
      <c r="BP47" s="11">
        <v>44</v>
      </c>
      <c r="BQ47" s="12"/>
      <c r="BR47" s="12">
        <v>0</v>
      </c>
      <c r="BS47" s="12">
        <v>0</v>
      </c>
      <c r="BU47" s="11">
        <v>44</v>
      </c>
      <c r="BV47" s="12"/>
      <c r="BW47" s="12">
        <v>28</v>
      </c>
      <c r="BX47" s="12">
        <v>5</v>
      </c>
      <c r="BZ47" s="11">
        <v>44</v>
      </c>
      <c r="CA47" s="12"/>
      <c r="CC47" s="11">
        <v>44</v>
      </c>
      <c r="CD47" s="12"/>
    </row>
    <row r="48" spans="1:82">
      <c r="A48" s="20" t="s">
        <v>22</v>
      </c>
      <c r="B48" s="20">
        <v>7</v>
      </c>
      <c r="C48" s="5" t="s">
        <v>27</v>
      </c>
      <c r="D48" s="37">
        <f t="shared" si="7"/>
        <v>0</v>
      </c>
      <c r="E48" s="59">
        <f t="shared" si="8"/>
        <v>0</v>
      </c>
      <c r="F48" s="38">
        <f t="shared" si="9"/>
        <v>0</v>
      </c>
      <c r="R48" s="11">
        <v>45</v>
      </c>
      <c r="S48" s="12"/>
      <c r="T48" s="12">
        <v>5</v>
      </c>
      <c r="U48" s="12">
        <v>5</v>
      </c>
      <c r="W48" s="11">
        <v>45</v>
      </c>
      <c r="X48" s="12"/>
      <c r="Y48" s="12">
        <v>3</v>
      </c>
      <c r="Z48" s="12">
        <v>3</v>
      </c>
      <c r="AB48" s="11">
        <v>45</v>
      </c>
      <c r="AC48" s="12"/>
      <c r="AD48" s="12">
        <v>524</v>
      </c>
      <c r="AE48" s="12">
        <v>0</v>
      </c>
      <c r="AG48" s="11">
        <v>45</v>
      </c>
      <c r="AH48" s="12"/>
      <c r="AI48" s="12">
        <v>197</v>
      </c>
      <c r="AJ48" s="12">
        <v>640</v>
      </c>
      <c r="AL48" s="11">
        <v>45</v>
      </c>
      <c r="AM48" s="12"/>
      <c r="AN48" s="12">
        <v>10</v>
      </c>
      <c r="AO48" s="12">
        <v>6</v>
      </c>
      <c r="AQ48" s="11">
        <v>45</v>
      </c>
      <c r="AR48" s="12"/>
      <c r="AS48" s="12"/>
      <c r="AT48" s="11">
        <v>45</v>
      </c>
      <c r="AU48" s="12"/>
      <c r="AW48" s="11">
        <v>45</v>
      </c>
      <c r="AX48" s="12"/>
      <c r="AY48" s="12"/>
      <c r="AZ48" s="12"/>
      <c r="BA48" s="12"/>
      <c r="BB48" s="12"/>
      <c r="BC48" s="12"/>
      <c r="BD48" s="12"/>
      <c r="BE48" s="12"/>
      <c r="BF48" s="24"/>
      <c r="BG48" s="29"/>
      <c r="BH48" s="12"/>
      <c r="BI48" s="12"/>
      <c r="BK48" s="11">
        <v>45</v>
      </c>
      <c r="BL48" s="12"/>
      <c r="BM48" s="12">
        <v>5</v>
      </c>
      <c r="BN48" s="12">
        <v>5</v>
      </c>
      <c r="BP48" s="11">
        <v>45</v>
      </c>
      <c r="BQ48" s="12"/>
      <c r="BR48" s="12">
        <v>3</v>
      </c>
      <c r="BS48" s="12">
        <v>3</v>
      </c>
      <c r="BU48" s="11">
        <v>45</v>
      </c>
      <c r="BV48" s="12"/>
      <c r="BW48" s="12">
        <v>614</v>
      </c>
      <c r="BX48" s="12">
        <v>62</v>
      </c>
      <c r="BZ48" s="11">
        <v>45</v>
      </c>
      <c r="CA48" s="12"/>
      <c r="CC48" s="11">
        <v>45</v>
      </c>
      <c r="CD48" s="12"/>
    </row>
    <row r="49" spans="1:82">
      <c r="A49" s="20" t="s">
        <v>23</v>
      </c>
      <c r="B49" s="20">
        <v>8</v>
      </c>
      <c r="C49" s="5" t="s">
        <v>28</v>
      </c>
      <c r="D49" s="37">
        <f t="shared" si="7"/>
        <v>0</v>
      </c>
      <c r="E49" s="59">
        <f t="shared" si="8"/>
        <v>0</v>
      </c>
      <c r="F49" s="38">
        <f t="shared" si="9"/>
        <v>0</v>
      </c>
      <c r="R49" s="11">
        <v>46</v>
      </c>
      <c r="S49" s="12"/>
      <c r="T49" s="12" t="s">
        <v>15</v>
      </c>
      <c r="U49" s="12" t="s">
        <v>15</v>
      </c>
      <c r="W49" s="11">
        <v>46</v>
      </c>
      <c r="X49" s="12"/>
      <c r="Y49" s="12">
        <v>0</v>
      </c>
      <c r="Z49" s="12">
        <v>0</v>
      </c>
      <c r="AB49" s="11">
        <v>46</v>
      </c>
      <c r="AC49" s="12"/>
      <c r="AD49" s="12">
        <v>38</v>
      </c>
      <c r="AE49" s="12">
        <v>399</v>
      </c>
      <c r="AG49" s="11">
        <v>46</v>
      </c>
      <c r="AH49" s="12"/>
      <c r="AI49" s="12">
        <v>212</v>
      </c>
      <c r="AJ49" s="12">
        <v>0</v>
      </c>
      <c r="AL49" s="11">
        <v>46</v>
      </c>
      <c r="AM49" s="12"/>
      <c r="AN49" s="12">
        <v>173</v>
      </c>
      <c r="AO49" s="12">
        <v>183</v>
      </c>
      <c r="AQ49" s="11">
        <v>46</v>
      </c>
      <c r="AR49" s="14"/>
      <c r="AS49" s="14"/>
      <c r="AT49" s="11">
        <v>46</v>
      </c>
      <c r="AU49" s="12"/>
      <c r="AW49" s="11">
        <v>46</v>
      </c>
      <c r="AX49" s="12"/>
      <c r="AY49" s="12"/>
      <c r="AZ49" s="12"/>
      <c r="BA49" s="12"/>
      <c r="BB49" s="12"/>
      <c r="BC49" s="12"/>
      <c r="BD49" s="12"/>
      <c r="BE49" s="12"/>
      <c r="BF49" s="24"/>
      <c r="BG49" s="29"/>
      <c r="BH49" s="12"/>
      <c r="BI49" s="12"/>
      <c r="BK49" s="11">
        <v>46</v>
      </c>
      <c r="BL49" s="12"/>
      <c r="BM49" s="12" t="s">
        <v>15</v>
      </c>
      <c r="BN49" s="12" t="s">
        <v>15</v>
      </c>
      <c r="BP49" s="11">
        <v>46</v>
      </c>
      <c r="BQ49" s="12"/>
      <c r="BR49" s="12">
        <v>0</v>
      </c>
      <c r="BS49" s="12">
        <v>0</v>
      </c>
      <c r="BU49" s="11">
        <v>46</v>
      </c>
      <c r="BV49" s="12"/>
      <c r="BW49" s="12">
        <v>28</v>
      </c>
      <c r="BX49" s="12">
        <v>4</v>
      </c>
      <c r="BZ49" s="11">
        <v>46</v>
      </c>
      <c r="CA49" s="12"/>
      <c r="CC49" s="11">
        <v>46</v>
      </c>
      <c r="CD49" s="12"/>
    </row>
    <row r="50" spans="1:82">
      <c r="A50" s="20" t="s">
        <v>24</v>
      </c>
      <c r="B50" s="20">
        <v>9</v>
      </c>
      <c r="C50" s="5" t="s">
        <v>16</v>
      </c>
      <c r="D50" s="37">
        <f t="shared" si="7"/>
        <v>0</v>
      </c>
      <c r="E50" s="59">
        <f t="shared" si="8"/>
        <v>0</v>
      </c>
      <c r="F50" s="38">
        <f t="shared" si="9"/>
        <v>0</v>
      </c>
      <c r="R50" s="11">
        <v>47</v>
      </c>
      <c r="S50" s="12"/>
      <c r="T50" s="12">
        <v>10</v>
      </c>
      <c r="U50" s="12">
        <v>10</v>
      </c>
      <c r="W50" s="11">
        <v>47</v>
      </c>
      <c r="X50" s="12"/>
      <c r="Y50" s="12">
        <v>4</v>
      </c>
      <c r="Z50" s="12">
        <v>4</v>
      </c>
      <c r="AB50" s="11">
        <v>47</v>
      </c>
      <c r="AC50" s="12"/>
      <c r="AD50" s="12">
        <v>40</v>
      </c>
      <c r="AE50" s="12">
        <v>2</v>
      </c>
      <c r="AG50" s="11">
        <v>47</v>
      </c>
      <c r="AH50" s="12"/>
      <c r="AI50" s="12">
        <v>40</v>
      </c>
      <c r="AJ50" s="12">
        <v>2</v>
      </c>
      <c r="AL50" s="11">
        <v>47</v>
      </c>
      <c r="AM50" s="12"/>
      <c r="AN50" s="12">
        <v>40</v>
      </c>
      <c r="AO50" s="12">
        <v>2</v>
      </c>
      <c r="AQ50" s="11">
        <v>47</v>
      </c>
      <c r="AR50" s="12"/>
      <c r="AS50" s="12"/>
      <c r="AT50" s="11">
        <v>47</v>
      </c>
      <c r="AU50" s="12"/>
      <c r="AW50" s="11">
        <v>47</v>
      </c>
      <c r="AX50" s="12"/>
      <c r="AY50" s="12"/>
      <c r="AZ50" s="12"/>
      <c r="BA50" s="12"/>
      <c r="BB50" s="12"/>
      <c r="BC50" s="12"/>
      <c r="BD50" s="12"/>
      <c r="BE50" s="12"/>
      <c r="BF50" s="24"/>
      <c r="BG50" s="29"/>
      <c r="BH50" s="12"/>
      <c r="BI50" s="12"/>
      <c r="BK50" s="11">
        <v>47</v>
      </c>
      <c r="BL50" s="12"/>
      <c r="BM50" s="12">
        <v>10</v>
      </c>
      <c r="BN50" s="12">
        <v>10</v>
      </c>
      <c r="BP50" s="11">
        <v>47</v>
      </c>
      <c r="BQ50" s="12"/>
      <c r="BR50" s="12">
        <v>4</v>
      </c>
      <c r="BS50" s="12">
        <v>4</v>
      </c>
      <c r="BU50" s="11">
        <v>47</v>
      </c>
      <c r="BV50" s="12"/>
      <c r="BW50" s="12">
        <v>0</v>
      </c>
      <c r="BX50" s="12">
        <v>960</v>
      </c>
      <c r="BZ50" s="11">
        <v>47</v>
      </c>
      <c r="CA50" s="12"/>
      <c r="CC50" s="11">
        <v>47</v>
      </c>
      <c r="CD50" s="12"/>
    </row>
    <row r="51" spans="1:82">
      <c r="A51" s="21" t="s">
        <v>35</v>
      </c>
      <c r="B51" s="21">
        <v>10</v>
      </c>
      <c r="C51" s="5" t="s">
        <v>37</v>
      </c>
      <c r="D51" s="37">
        <f t="shared" si="7"/>
        <v>0</v>
      </c>
      <c r="E51" s="59">
        <f t="shared" si="8"/>
        <v>0</v>
      </c>
      <c r="F51" s="38">
        <f t="shared" si="9"/>
        <v>0</v>
      </c>
      <c r="R51" s="11">
        <v>48</v>
      </c>
      <c r="S51" s="12"/>
      <c r="T51" s="12" t="s">
        <v>15</v>
      </c>
      <c r="U51" s="12" t="s">
        <v>15</v>
      </c>
      <c r="W51" s="11">
        <v>48</v>
      </c>
      <c r="X51" s="12"/>
      <c r="Y51" s="12">
        <v>0</v>
      </c>
      <c r="Z51" s="12">
        <v>0</v>
      </c>
      <c r="AB51" s="11">
        <v>48</v>
      </c>
      <c r="AC51" s="12"/>
      <c r="AD51" s="12">
        <v>38</v>
      </c>
      <c r="AE51" s="12">
        <v>399</v>
      </c>
      <c r="AG51" s="11">
        <v>48</v>
      </c>
      <c r="AH51" s="12"/>
      <c r="AI51" s="12">
        <v>212</v>
      </c>
      <c r="AJ51" s="12">
        <v>0</v>
      </c>
      <c r="AL51" s="11">
        <v>48</v>
      </c>
      <c r="AM51" s="12"/>
      <c r="AN51" s="12">
        <v>173</v>
      </c>
      <c r="AO51" s="12">
        <v>183</v>
      </c>
      <c r="AQ51" s="11">
        <v>48</v>
      </c>
      <c r="AR51" s="12"/>
      <c r="AS51" s="12"/>
      <c r="AT51" s="11">
        <v>48</v>
      </c>
      <c r="AU51" s="12"/>
      <c r="AW51" s="11">
        <v>48</v>
      </c>
      <c r="AX51" s="12"/>
      <c r="AY51" s="12"/>
      <c r="AZ51" s="12"/>
      <c r="BA51" s="12"/>
      <c r="BB51" s="12"/>
      <c r="BC51" s="12"/>
      <c r="BD51" s="12"/>
      <c r="BE51" s="12"/>
      <c r="BF51" s="24"/>
      <c r="BG51" s="29"/>
      <c r="BH51" s="12"/>
      <c r="BI51" s="12"/>
      <c r="BK51" s="11">
        <v>48</v>
      </c>
      <c r="BL51" s="12"/>
      <c r="BM51" s="12" t="s">
        <v>15</v>
      </c>
      <c r="BN51" s="12" t="s">
        <v>15</v>
      </c>
      <c r="BP51" s="11">
        <v>48</v>
      </c>
      <c r="BQ51" s="12"/>
      <c r="BR51" s="12">
        <v>0</v>
      </c>
      <c r="BS51" s="12">
        <v>0</v>
      </c>
      <c r="BU51" s="11">
        <v>48</v>
      </c>
      <c r="BV51" s="12"/>
      <c r="BW51" s="12">
        <v>28</v>
      </c>
      <c r="BX51" s="12">
        <v>4</v>
      </c>
      <c r="BZ51" s="11">
        <v>48</v>
      </c>
      <c r="CA51" s="12"/>
      <c r="CC51" s="11">
        <v>48</v>
      </c>
      <c r="CD51" s="12"/>
    </row>
    <row r="52" spans="1:82">
      <c r="A52" s="22" t="s">
        <v>39</v>
      </c>
      <c r="B52" s="22">
        <v>11</v>
      </c>
      <c r="C52" s="17" t="s">
        <v>38</v>
      </c>
      <c r="D52" s="60">
        <f t="shared" si="7"/>
        <v>0</v>
      </c>
      <c r="E52" s="39">
        <f t="shared" si="8"/>
        <v>0</v>
      </c>
      <c r="F52" s="40">
        <f t="shared" si="9"/>
        <v>0</v>
      </c>
      <c r="R52" s="11">
        <v>49</v>
      </c>
      <c r="S52" s="12"/>
      <c r="T52" s="12" t="s">
        <v>18</v>
      </c>
      <c r="U52" s="12" t="s">
        <v>18</v>
      </c>
      <c r="W52" s="11">
        <v>49</v>
      </c>
      <c r="X52" s="12"/>
      <c r="Y52" s="12">
        <v>5</v>
      </c>
      <c r="Z52" s="12">
        <v>5</v>
      </c>
      <c r="AB52" s="11">
        <v>49</v>
      </c>
      <c r="AC52" s="12"/>
      <c r="AD52" s="12">
        <v>21</v>
      </c>
      <c r="AE52" s="12">
        <v>0</v>
      </c>
      <c r="AG52" s="11">
        <v>49</v>
      </c>
      <c r="AH52" s="12"/>
      <c r="AI52" s="12">
        <v>21</v>
      </c>
      <c r="AJ52" s="12">
        <v>0</v>
      </c>
      <c r="AL52" s="11">
        <v>49</v>
      </c>
      <c r="AM52" s="12"/>
      <c r="AN52" s="12">
        <v>21</v>
      </c>
      <c r="AO52" s="12">
        <v>0</v>
      </c>
      <c r="AQ52" s="11">
        <v>49</v>
      </c>
      <c r="AR52" s="12"/>
      <c r="AS52" s="12"/>
      <c r="AT52" s="11">
        <v>49</v>
      </c>
      <c r="AU52" s="12"/>
      <c r="AW52" s="11">
        <v>49</v>
      </c>
      <c r="AX52" s="12"/>
      <c r="AY52" s="12"/>
      <c r="AZ52" s="12"/>
      <c r="BA52" s="12"/>
      <c r="BB52" s="12"/>
      <c r="BC52" s="12"/>
      <c r="BD52" s="12"/>
      <c r="BE52" s="12"/>
      <c r="BF52" s="24"/>
      <c r="BG52" s="29"/>
      <c r="BH52" s="12"/>
      <c r="BI52" s="12"/>
      <c r="BK52" s="11">
        <v>49</v>
      </c>
      <c r="BL52" s="12"/>
      <c r="BM52" s="12" t="s">
        <v>18</v>
      </c>
      <c r="BN52" s="12" t="s">
        <v>18</v>
      </c>
      <c r="BP52" s="11">
        <v>49</v>
      </c>
      <c r="BQ52" s="12"/>
      <c r="BR52" s="12">
        <v>5</v>
      </c>
      <c r="BS52" s="12">
        <v>5</v>
      </c>
      <c r="BU52" s="11">
        <v>49</v>
      </c>
      <c r="BV52" s="12"/>
      <c r="BW52" s="12">
        <v>0</v>
      </c>
      <c r="BX52" s="12">
        <v>800</v>
      </c>
      <c r="BZ52" s="11">
        <v>49</v>
      </c>
      <c r="CA52" s="12"/>
      <c r="CC52" s="11">
        <v>49</v>
      </c>
      <c r="CD52" s="12"/>
    </row>
    <row r="53" spans="1:82">
      <c r="D53" s="121">
        <f>SUM(D41:D52)</f>
        <v>10000</v>
      </c>
      <c r="E53" s="121">
        <f>SUM(E41:E52)</f>
        <v>10000</v>
      </c>
      <c r="F53" s="121">
        <f>SUM(F41:F52)</f>
        <v>10000</v>
      </c>
      <c r="R53" s="11">
        <v>50</v>
      </c>
      <c r="S53" s="12"/>
      <c r="T53" s="12"/>
      <c r="U53" s="12"/>
      <c r="W53" s="11">
        <v>50</v>
      </c>
      <c r="X53" s="12"/>
      <c r="Y53" s="12"/>
      <c r="Z53" s="12"/>
      <c r="AB53" s="11">
        <v>50</v>
      </c>
      <c r="AC53" s="12"/>
      <c r="AD53" s="12"/>
      <c r="AE53" s="12"/>
      <c r="AG53" s="11">
        <v>50</v>
      </c>
      <c r="AH53" s="12"/>
      <c r="AI53" s="12"/>
      <c r="AJ53" s="12"/>
      <c r="AL53" s="11">
        <v>50</v>
      </c>
      <c r="AM53" s="12"/>
      <c r="AN53" s="12"/>
      <c r="AO53" s="12"/>
      <c r="AQ53" s="11">
        <v>50</v>
      </c>
      <c r="AR53" s="12"/>
      <c r="AS53" s="12"/>
      <c r="AT53" s="11">
        <v>50</v>
      </c>
      <c r="AU53" s="12"/>
      <c r="AW53" s="11">
        <v>50</v>
      </c>
      <c r="AX53" s="12"/>
      <c r="AY53" s="12"/>
      <c r="AZ53" s="12"/>
      <c r="BA53" s="12"/>
      <c r="BB53" s="12"/>
      <c r="BC53" s="12"/>
      <c r="BD53" s="12"/>
      <c r="BE53" s="12"/>
      <c r="BF53" s="24"/>
      <c r="BG53" s="29"/>
      <c r="BH53" s="12"/>
      <c r="BI53" s="12"/>
      <c r="BK53" s="11">
        <v>50</v>
      </c>
      <c r="BL53" s="12"/>
      <c r="BM53" s="12"/>
      <c r="BN53" s="12"/>
      <c r="BP53" s="11">
        <v>50</v>
      </c>
      <c r="BQ53" s="12"/>
      <c r="BR53" s="12"/>
      <c r="BS53" s="12"/>
      <c r="BU53" s="11">
        <v>50</v>
      </c>
      <c r="BV53" s="12"/>
      <c r="BW53" s="12"/>
      <c r="BX53" s="12"/>
      <c r="BZ53" s="11">
        <v>50</v>
      </c>
      <c r="CA53" s="12"/>
      <c r="CC53" s="11">
        <v>50</v>
      </c>
      <c r="CD53" s="12"/>
    </row>
    <row r="54" spans="1:82">
      <c r="R54" s="11">
        <v>51</v>
      </c>
      <c r="S54" s="12"/>
      <c r="T54" s="12"/>
      <c r="U54" s="12"/>
      <c r="W54" s="11">
        <v>51</v>
      </c>
      <c r="X54" s="12"/>
      <c r="Y54" s="12"/>
      <c r="Z54" s="12"/>
      <c r="AB54" s="11">
        <v>51</v>
      </c>
      <c r="AC54" s="12"/>
      <c r="AD54" s="12"/>
      <c r="AE54" s="12"/>
      <c r="AG54" s="11">
        <v>51</v>
      </c>
      <c r="AH54" s="12"/>
      <c r="AI54" s="12"/>
      <c r="AJ54" s="12"/>
      <c r="AL54" s="11">
        <v>51</v>
      </c>
      <c r="AM54" s="12"/>
      <c r="AN54" s="12"/>
      <c r="AO54" s="12"/>
      <c r="AQ54" s="11">
        <v>51</v>
      </c>
      <c r="AR54" s="12"/>
      <c r="AS54" s="12"/>
      <c r="AT54" s="11">
        <v>51</v>
      </c>
      <c r="AU54" s="12"/>
      <c r="AW54" s="11">
        <v>51</v>
      </c>
      <c r="AX54" s="12"/>
      <c r="AY54" s="12"/>
      <c r="AZ54" s="12"/>
      <c r="BA54" s="12"/>
      <c r="BB54" s="12"/>
      <c r="BC54" s="12"/>
      <c r="BD54" s="12"/>
      <c r="BE54" s="12"/>
      <c r="BF54" s="24"/>
      <c r="BG54" s="29"/>
      <c r="BH54" s="12"/>
      <c r="BI54" s="12"/>
      <c r="BK54" s="11">
        <v>51</v>
      </c>
      <c r="BL54" s="12"/>
      <c r="BM54" s="12"/>
      <c r="BN54" s="12"/>
      <c r="BP54" s="11">
        <v>51</v>
      </c>
      <c r="BQ54" s="12"/>
      <c r="BR54" s="12"/>
      <c r="BS54" s="12"/>
      <c r="BU54" s="11">
        <v>51</v>
      </c>
      <c r="BV54" s="12"/>
      <c r="BW54" s="12"/>
      <c r="BX54" s="12"/>
      <c r="BZ54" s="11">
        <v>51</v>
      </c>
      <c r="CA54" s="12"/>
      <c r="CC54" s="11">
        <v>51</v>
      </c>
      <c r="CD54" s="12"/>
    </row>
    <row r="55" spans="1:82" ht="16.8" thickBot="1">
      <c r="A55" s="31" t="s">
        <v>47</v>
      </c>
      <c r="R55" s="11">
        <v>52</v>
      </c>
      <c r="S55" s="12"/>
      <c r="T55" s="12"/>
      <c r="U55" s="12"/>
      <c r="W55" s="11">
        <v>52</v>
      </c>
      <c r="X55" s="12"/>
      <c r="Y55" s="12"/>
      <c r="Z55" s="12"/>
      <c r="AB55" s="11">
        <v>52</v>
      </c>
      <c r="AC55" s="12"/>
      <c r="AD55" s="12"/>
      <c r="AE55" s="12"/>
      <c r="AG55" s="11">
        <v>52</v>
      </c>
      <c r="AH55" s="12"/>
      <c r="AI55" s="12"/>
      <c r="AJ55" s="12"/>
      <c r="AL55" s="11">
        <v>52</v>
      </c>
      <c r="AM55" s="12"/>
      <c r="AN55" s="12"/>
      <c r="AO55" s="12"/>
      <c r="AQ55" s="11">
        <v>52</v>
      </c>
      <c r="AR55" s="12"/>
      <c r="AS55" s="12"/>
      <c r="AT55" s="11">
        <v>52</v>
      </c>
      <c r="AU55" s="12"/>
      <c r="AW55" s="11">
        <v>52</v>
      </c>
      <c r="AX55" s="12"/>
      <c r="AY55" s="12"/>
      <c r="AZ55" s="12"/>
      <c r="BA55" s="12"/>
      <c r="BB55" s="12"/>
      <c r="BC55" s="12"/>
      <c r="BD55" s="12"/>
      <c r="BE55" s="12"/>
      <c r="BF55" s="24"/>
      <c r="BG55" s="29"/>
      <c r="BH55" s="12"/>
      <c r="BI55" s="12"/>
      <c r="BK55" s="11">
        <v>52</v>
      </c>
      <c r="BL55" s="12"/>
      <c r="BM55" s="12"/>
      <c r="BN55" s="12"/>
      <c r="BP55" s="11">
        <v>52</v>
      </c>
      <c r="BQ55" s="12"/>
      <c r="BR55" s="12"/>
      <c r="BS55" s="12"/>
      <c r="BU55" s="11">
        <v>52</v>
      </c>
      <c r="BV55" s="12"/>
      <c r="BW55" s="12"/>
      <c r="BX55" s="12"/>
      <c r="BZ55" s="11">
        <v>52</v>
      </c>
      <c r="CA55" s="12"/>
      <c r="CC55" s="11">
        <v>52</v>
      </c>
      <c r="CD55" s="12"/>
    </row>
    <row r="56" spans="1:82">
      <c r="A56" s="30" t="s">
        <v>42</v>
      </c>
      <c r="B56" s="1" t="s">
        <v>10</v>
      </c>
      <c r="C56" s="42" t="s">
        <v>11</v>
      </c>
      <c r="D56" s="67" t="s">
        <v>56</v>
      </c>
      <c r="E56" s="52" t="s">
        <v>48</v>
      </c>
      <c r="F56" s="43" t="s">
        <v>49</v>
      </c>
      <c r="G56" s="44" t="s">
        <v>50</v>
      </c>
      <c r="H56" s="44" t="s">
        <v>51</v>
      </c>
      <c r="I56" s="44" t="s">
        <v>52</v>
      </c>
      <c r="J56" s="44" t="s">
        <v>53</v>
      </c>
      <c r="K56" s="44" t="s">
        <v>54</v>
      </c>
      <c r="L56" s="44" t="s">
        <v>55</v>
      </c>
      <c r="M56" s="45" t="s">
        <v>74</v>
      </c>
      <c r="N56" s="35" t="s">
        <v>75</v>
      </c>
      <c r="O56" s="36" t="s">
        <v>76</v>
      </c>
      <c r="R56" s="11">
        <v>53</v>
      </c>
      <c r="S56" s="12"/>
      <c r="T56" s="12"/>
      <c r="U56" s="12"/>
      <c r="W56" s="11">
        <v>53</v>
      </c>
      <c r="X56" s="12"/>
      <c r="Y56" s="12"/>
      <c r="Z56" s="12"/>
      <c r="AB56" s="11">
        <v>53</v>
      </c>
      <c r="AC56" s="12"/>
      <c r="AD56" s="12"/>
      <c r="AE56" s="12"/>
      <c r="AG56" s="11">
        <v>53</v>
      </c>
      <c r="AH56" s="12"/>
      <c r="AI56" s="12"/>
      <c r="AJ56" s="12"/>
      <c r="AL56" s="11">
        <v>53</v>
      </c>
      <c r="AM56" s="12"/>
      <c r="AN56" s="12"/>
      <c r="AO56" s="12"/>
      <c r="AQ56" s="11">
        <v>53</v>
      </c>
      <c r="AR56" s="12"/>
      <c r="AS56" s="12"/>
      <c r="AT56" s="11">
        <v>53</v>
      </c>
      <c r="AU56" s="12"/>
      <c r="AW56" s="11">
        <v>53</v>
      </c>
      <c r="AX56" s="12"/>
      <c r="AY56" s="12"/>
      <c r="AZ56" s="12"/>
      <c r="BA56" s="12"/>
      <c r="BB56" s="12"/>
      <c r="BC56" s="12"/>
      <c r="BD56" s="12"/>
      <c r="BE56" s="12"/>
      <c r="BF56" s="24"/>
      <c r="BG56" s="29"/>
      <c r="BH56" s="12"/>
      <c r="BI56" s="12"/>
      <c r="BK56" s="11">
        <v>53</v>
      </c>
      <c r="BL56" s="12"/>
      <c r="BM56" s="12"/>
      <c r="BN56" s="12"/>
      <c r="BP56" s="11">
        <v>53</v>
      </c>
      <c r="BQ56" s="12"/>
      <c r="BR56" s="12"/>
      <c r="BS56" s="12"/>
      <c r="BU56" s="11">
        <v>53</v>
      </c>
      <c r="BV56" s="12"/>
      <c r="BW56" s="12"/>
      <c r="BX56" s="12"/>
      <c r="BZ56" s="11">
        <v>53</v>
      </c>
      <c r="CA56" s="12"/>
      <c r="CC56" s="11">
        <v>53</v>
      </c>
      <c r="CD56" s="12"/>
    </row>
    <row r="57" spans="1:82">
      <c r="A57" s="1" t="s">
        <v>19</v>
      </c>
      <c r="B57" s="1">
        <v>0</v>
      </c>
      <c r="C57" s="3" t="s">
        <v>25</v>
      </c>
      <c r="D57" s="53">
        <f t="shared" ref="D57:O68" si="10">SUMIF($AR$3:$AR$42,$A57,AX$3:AX$42)</f>
        <v>8074</v>
      </c>
      <c r="E57" s="122">
        <f t="shared" si="10"/>
        <v>450</v>
      </c>
      <c r="F57" s="122">
        <f t="shared" si="10"/>
        <v>393</v>
      </c>
      <c r="G57" s="3">
        <f t="shared" si="10"/>
        <v>5573</v>
      </c>
      <c r="H57" s="122">
        <f t="shared" si="10"/>
        <v>7787</v>
      </c>
      <c r="I57" s="122">
        <f t="shared" si="10"/>
        <v>9103</v>
      </c>
      <c r="J57" s="122">
        <f t="shared" si="10"/>
        <v>6314</v>
      </c>
      <c r="K57" s="122">
        <f t="shared" si="10"/>
        <v>9222</v>
      </c>
      <c r="L57" s="122">
        <f t="shared" si="10"/>
        <v>6235</v>
      </c>
      <c r="M57" s="46">
        <f t="shared" si="10"/>
        <v>3912</v>
      </c>
      <c r="N57" s="122">
        <f t="shared" si="10"/>
        <v>6071</v>
      </c>
      <c r="O57" s="4">
        <f t="shared" si="10"/>
        <v>6071</v>
      </c>
      <c r="R57" s="11">
        <v>54</v>
      </c>
      <c r="S57" s="12"/>
      <c r="T57" s="12"/>
      <c r="U57" s="12"/>
      <c r="W57" s="11">
        <v>54</v>
      </c>
      <c r="X57" s="12"/>
      <c r="Y57" s="12"/>
      <c r="Z57" s="12"/>
      <c r="AB57" s="11">
        <v>54</v>
      </c>
      <c r="AC57" s="12"/>
      <c r="AD57" s="12"/>
      <c r="AE57" s="12"/>
      <c r="AG57" s="11">
        <v>54</v>
      </c>
      <c r="AH57" s="12"/>
      <c r="AI57" s="12"/>
      <c r="AJ57" s="12"/>
      <c r="AL57" s="11">
        <v>54</v>
      </c>
      <c r="AM57" s="12"/>
      <c r="AN57" s="12"/>
      <c r="AO57" s="12"/>
      <c r="AQ57" s="11">
        <v>54</v>
      </c>
      <c r="AR57" s="12"/>
      <c r="AS57" s="12"/>
      <c r="AT57" s="11">
        <v>54</v>
      </c>
      <c r="AU57" s="12"/>
      <c r="AW57" s="11">
        <v>54</v>
      </c>
      <c r="AX57" s="12"/>
      <c r="AY57" s="12"/>
      <c r="AZ57" s="12"/>
      <c r="BA57" s="12"/>
      <c r="BB57" s="12"/>
      <c r="BC57" s="12"/>
      <c r="BD57" s="12"/>
      <c r="BE57" s="12"/>
      <c r="BF57" s="24"/>
      <c r="BG57" s="29"/>
      <c r="BH57" s="12"/>
      <c r="BI57" s="12"/>
      <c r="BK57" s="11">
        <v>54</v>
      </c>
      <c r="BL57" s="12"/>
      <c r="BM57" s="12"/>
      <c r="BN57" s="12"/>
      <c r="BP57" s="11">
        <v>54</v>
      </c>
      <c r="BQ57" s="12"/>
      <c r="BR57" s="12"/>
      <c r="BS57" s="12"/>
      <c r="BU57" s="11">
        <v>54</v>
      </c>
      <c r="BV57" s="12"/>
      <c r="BW57" s="12"/>
      <c r="BX57" s="12"/>
      <c r="BZ57" s="11">
        <v>54</v>
      </c>
      <c r="CA57" s="12"/>
      <c r="CC57" s="11">
        <v>54</v>
      </c>
      <c r="CD57" s="12"/>
    </row>
    <row r="58" spans="1:82">
      <c r="A58" s="20">
        <v>0</v>
      </c>
      <c r="B58" s="20">
        <v>1</v>
      </c>
      <c r="C58" s="5">
        <v>0</v>
      </c>
      <c r="D58" s="54">
        <f t="shared" si="10"/>
        <v>0</v>
      </c>
      <c r="E58" s="59">
        <f t="shared" si="10"/>
        <v>0</v>
      </c>
      <c r="F58" s="38">
        <f t="shared" si="10"/>
        <v>0</v>
      </c>
      <c r="G58" s="37">
        <f t="shared" si="10"/>
        <v>0</v>
      </c>
      <c r="H58" s="59">
        <f t="shared" si="10"/>
        <v>0</v>
      </c>
      <c r="I58" s="59">
        <f t="shared" si="10"/>
        <v>0</v>
      </c>
      <c r="J58" s="59">
        <f t="shared" si="10"/>
        <v>0</v>
      </c>
      <c r="K58" s="59">
        <f t="shared" si="10"/>
        <v>0</v>
      </c>
      <c r="L58" s="59">
        <f t="shared" si="10"/>
        <v>0</v>
      </c>
      <c r="M58" s="47">
        <f t="shared" si="10"/>
        <v>0</v>
      </c>
      <c r="N58" s="59">
        <f t="shared" si="10"/>
        <v>0</v>
      </c>
      <c r="O58" s="38">
        <f t="shared" si="10"/>
        <v>0</v>
      </c>
      <c r="R58" s="11">
        <v>55</v>
      </c>
      <c r="S58" s="12"/>
      <c r="T58" s="12"/>
      <c r="U58" s="12"/>
      <c r="W58" s="11">
        <v>55</v>
      </c>
      <c r="X58" s="12"/>
      <c r="Y58" s="12"/>
      <c r="Z58" s="12"/>
      <c r="AB58" s="11">
        <v>55</v>
      </c>
      <c r="AC58" s="12"/>
      <c r="AD58" s="12"/>
      <c r="AE58" s="12"/>
      <c r="AG58" s="11">
        <v>55</v>
      </c>
      <c r="AH58" s="12"/>
      <c r="AI58" s="12"/>
      <c r="AJ58" s="12"/>
      <c r="AL58" s="11">
        <v>55</v>
      </c>
      <c r="AM58" s="12"/>
      <c r="AN58" s="12"/>
      <c r="AO58" s="12"/>
      <c r="AQ58" s="11">
        <v>55</v>
      </c>
      <c r="AR58" s="12"/>
      <c r="AS58" s="12"/>
      <c r="AT58" s="11">
        <v>55</v>
      </c>
      <c r="AU58" s="12"/>
      <c r="AW58" s="11">
        <v>55</v>
      </c>
      <c r="AX58" s="12"/>
      <c r="AY58" s="12"/>
      <c r="AZ58" s="12"/>
      <c r="BA58" s="12"/>
      <c r="BB58" s="12"/>
      <c r="BC58" s="12"/>
      <c r="BD58" s="12"/>
      <c r="BE58" s="12"/>
      <c r="BF58" s="24"/>
      <c r="BG58" s="29"/>
      <c r="BH58" s="12"/>
      <c r="BI58" s="12"/>
      <c r="BK58" s="11">
        <v>55</v>
      </c>
      <c r="BL58" s="12"/>
      <c r="BM58" s="12"/>
      <c r="BN58" s="12"/>
      <c r="BP58" s="11">
        <v>55</v>
      </c>
      <c r="BQ58" s="12"/>
      <c r="BR58" s="12"/>
      <c r="BS58" s="12"/>
      <c r="BU58" s="11">
        <v>55</v>
      </c>
      <c r="BV58" s="12"/>
      <c r="BW58" s="12"/>
      <c r="BX58" s="12"/>
      <c r="BZ58" s="11">
        <v>55</v>
      </c>
      <c r="CA58" s="12"/>
      <c r="CC58" s="11">
        <v>55</v>
      </c>
      <c r="CD58" s="12"/>
    </row>
    <row r="59" spans="1:82">
      <c r="A59" s="20">
        <v>1</v>
      </c>
      <c r="B59" s="20">
        <v>2</v>
      </c>
      <c r="C59" s="5">
        <v>1</v>
      </c>
      <c r="D59" s="54">
        <f t="shared" si="10"/>
        <v>0</v>
      </c>
      <c r="E59" s="59">
        <f t="shared" si="10"/>
        <v>0</v>
      </c>
      <c r="F59" s="38">
        <f t="shared" si="10"/>
        <v>0</v>
      </c>
      <c r="G59" s="37">
        <f t="shared" si="10"/>
        <v>0</v>
      </c>
      <c r="H59" s="59">
        <f t="shared" si="10"/>
        <v>0</v>
      </c>
      <c r="I59" s="59">
        <f t="shared" si="10"/>
        <v>0</v>
      </c>
      <c r="J59" s="59">
        <f t="shared" si="10"/>
        <v>0</v>
      </c>
      <c r="K59" s="59">
        <f t="shared" si="10"/>
        <v>0</v>
      </c>
      <c r="L59" s="59">
        <f t="shared" si="10"/>
        <v>0</v>
      </c>
      <c r="M59" s="47">
        <f t="shared" si="10"/>
        <v>0</v>
      </c>
      <c r="N59" s="59">
        <f t="shared" si="10"/>
        <v>0</v>
      </c>
      <c r="O59" s="38">
        <f t="shared" si="10"/>
        <v>0</v>
      </c>
      <c r="R59" s="11">
        <v>56</v>
      </c>
      <c r="S59" s="12"/>
      <c r="T59" s="12"/>
      <c r="U59" s="12"/>
      <c r="W59" s="11">
        <v>56</v>
      </c>
      <c r="X59" s="12"/>
      <c r="Y59" s="12"/>
      <c r="Z59" s="12"/>
      <c r="AB59" s="11">
        <v>56</v>
      </c>
      <c r="AC59" s="12"/>
      <c r="AD59" s="12"/>
      <c r="AE59" s="12"/>
      <c r="AG59" s="11">
        <v>56</v>
      </c>
      <c r="AH59" s="12"/>
      <c r="AI59" s="12"/>
      <c r="AJ59" s="12"/>
      <c r="AL59" s="11">
        <v>56</v>
      </c>
      <c r="AM59" s="12"/>
      <c r="AN59" s="12"/>
      <c r="AO59" s="12"/>
      <c r="AQ59" s="11">
        <v>56</v>
      </c>
      <c r="AR59" s="12"/>
      <c r="AS59" s="12"/>
      <c r="AT59" s="11">
        <v>56</v>
      </c>
      <c r="AU59" s="12"/>
      <c r="AW59" s="11">
        <v>56</v>
      </c>
      <c r="AX59" s="12"/>
      <c r="AY59" s="12"/>
      <c r="AZ59" s="12"/>
      <c r="BA59" s="12"/>
      <c r="BB59" s="12"/>
      <c r="BC59" s="12"/>
      <c r="BD59" s="12"/>
      <c r="BE59" s="12"/>
      <c r="BF59" s="24"/>
      <c r="BG59" s="29"/>
      <c r="BH59" s="12"/>
      <c r="BI59" s="12"/>
      <c r="BK59" s="11">
        <v>56</v>
      </c>
      <c r="BL59" s="12"/>
      <c r="BM59" s="12"/>
      <c r="BN59" s="12"/>
      <c r="BP59" s="11">
        <v>56</v>
      </c>
      <c r="BQ59" s="12"/>
      <c r="BR59" s="12"/>
      <c r="BS59" s="12"/>
      <c r="BU59" s="11">
        <v>56</v>
      </c>
      <c r="BV59" s="12"/>
      <c r="BW59" s="12"/>
      <c r="BX59" s="12"/>
      <c r="BZ59" s="11">
        <v>56</v>
      </c>
      <c r="CA59" s="12"/>
      <c r="CC59" s="11">
        <v>56</v>
      </c>
      <c r="CD59" s="12"/>
    </row>
    <row r="60" spans="1:82">
      <c r="A60" s="21">
        <v>5</v>
      </c>
      <c r="B60" s="21">
        <v>3</v>
      </c>
      <c r="C60" s="23">
        <v>5</v>
      </c>
      <c r="D60" s="54">
        <f t="shared" si="10"/>
        <v>0</v>
      </c>
      <c r="E60" s="59">
        <f t="shared" si="10"/>
        <v>0</v>
      </c>
      <c r="F60" s="38">
        <f t="shared" si="10"/>
        <v>0</v>
      </c>
      <c r="G60" s="37">
        <f t="shared" si="10"/>
        <v>0</v>
      </c>
      <c r="H60" s="59">
        <f t="shared" si="10"/>
        <v>0</v>
      </c>
      <c r="I60" s="59">
        <f t="shared" si="10"/>
        <v>0</v>
      </c>
      <c r="J60" s="59">
        <f t="shared" si="10"/>
        <v>0</v>
      </c>
      <c r="K60" s="59">
        <f t="shared" si="10"/>
        <v>0</v>
      </c>
      <c r="L60" s="59">
        <f t="shared" si="10"/>
        <v>0</v>
      </c>
      <c r="M60" s="47">
        <f t="shared" si="10"/>
        <v>0</v>
      </c>
      <c r="N60" s="59">
        <f t="shared" si="10"/>
        <v>0</v>
      </c>
      <c r="O60" s="38">
        <f t="shared" si="10"/>
        <v>0</v>
      </c>
      <c r="R60" s="11">
        <v>57</v>
      </c>
      <c r="S60" s="12"/>
      <c r="T60" s="12"/>
      <c r="U60" s="12"/>
      <c r="W60" s="11">
        <v>57</v>
      </c>
      <c r="X60" s="12"/>
      <c r="Y60" s="12"/>
      <c r="Z60" s="12"/>
      <c r="AB60" s="11">
        <v>57</v>
      </c>
      <c r="AC60" s="12"/>
      <c r="AD60" s="12"/>
      <c r="AE60" s="12"/>
      <c r="AG60" s="11">
        <v>57</v>
      </c>
      <c r="AH60" s="12"/>
      <c r="AI60" s="12"/>
      <c r="AJ60" s="12"/>
      <c r="AL60" s="11">
        <v>57</v>
      </c>
      <c r="AM60" s="12"/>
      <c r="AN60" s="12"/>
      <c r="AO60" s="12"/>
      <c r="AQ60" s="11">
        <v>57</v>
      </c>
      <c r="AR60" s="12"/>
      <c r="AS60" s="12"/>
      <c r="AT60" s="11">
        <v>57</v>
      </c>
      <c r="AU60" s="12"/>
      <c r="AW60" s="11">
        <v>57</v>
      </c>
      <c r="AX60" s="12"/>
      <c r="AY60" s="12"/>
      <c r="AZ60" s="12"/>
      <c r="BA60" s="12"/>
      <c r="BB60" s="12"/>
      <c r="BC60" s="12"/>
      <c r="BD60" s="12"/>
      <c r="BE60" s="12"/>
      <c r="BF60" s="24"/>
      <c r="BG60" s="29"/>
      <c r="BH60" s="12"/>
      <c r="BI60" s="12"/>
      <c r="BK60" s="11">
        <v>57</v>
      </c>
      <c r="BL60" s="12"/>
      <c r="BM60" s="12"/>
      <c r="BN60" s="12"/>
      <c r="BP60" s="11">
        <v>57</v>
      </c>
      <c r="BQ60" s="12"/>
      <c r="BR60" s="12"/>
      <c r="BS60" s="12"/>
      <c r="BU60" s="11">
        <v>57</v>
      </c>
      <c r="BV60" s="12"/>
      <c r="BW60" s="12"/>
      <c r="BX60" s="12"/>
      <c r="BZ60" s="11">
        <v>57</v>
      </c>
      <c r="CA60" s="12"/>
      <c r="CC60" s="11">
        <v>57</v>
      </c>
      <c r="CD60" s="12"/>
    </row>
    <row r="61" spans="1:82">
      <c r="A61" s="21">
        <v>10</v>
      </c>
      <c r="B61" s="21">
        <v>4</v>
      </c>
      <c r="C61" s="23">
        <v>10</v>
      </c>
      <c r="D61" s="54">
        <f t="shared" si="10"/>
        <v>0</v>
      </c>
      <c r="E61" s="59">
        <f t="shared" si="10"/>
        <v>0</v>
      </c>
      <c r="F61" s="38">
        <f t="shared" si="10"/>
        <v>0</v>
      </c>
      <c r="G61" s="37">
        <f t="shared" si="10"/>
        <v>0</v>
      </c>
      <c r="H61" s="59">
        <f t="shared" si="10"/>
        <v>0</v>
      </c>
      <c r="I61" s="59">
        <f t="shared" si="10"/>
        <v>0</v>
      </c>
      <c r="J61" s="59">
        <f t="shared" si="10"/>
        <v>0</v>
      </c>
      <c r="K61" s="59">
        <f t="shared" si="10"/>
        <v>0</v>
      </c>
      <c r="L61" s="59">
        <f t="shared" si="10"/>
        <v>0</v>
      </c>
      <c r="M61" s="47">
        <f t="shared" si="10"/>
        <v>0</v>
      </c>
      <c r="N61" s="59">
        <f t="shared" si="10"/>
        <v>0</v>
      </c>
      <c r="O61" s="38">
        <f t="shared" si="10"/>
        <v>0</v>
      </c>
      <c r="R61" s="11">
        <v>58</v>
      </c>
      <c r="S61" s="12"/>
      <c r="T61" s="12"/>
      <c r="U61" s="12"/>
      <c r="W61" s="11">
        <v>58</v>
      </c>
      <c r="X61" s="12"/>
      <c r="Y61" s="12"/>
      <c r="Z61" s="12"/>
      <c r="AB61" s="11">
        <v>58</v>
      </c>
      <c r="AC61" s="12"/>
      <c r="AD61" s="12"/>
      <c r="AE61" s="12"/>
      <c r="AG61" s="11">
        <v>58</v>
      </c>
      <c r="AH61" s="12"/>
      <c r="AI61" s="12"/>
      <c r="AJ61" s="12"/>
      <c r="AL61" s="11">
        <v>58</v>
      </c>
      <c r="AM61" s="12"/>
      <c r="AN61" s="12"/>
      <c r="AO61" s="12"/>
      <c r="AQ61" s="11">
        <v>58</v>
      </c>
      <c r="AR61" s="12"/>
      <c r="AS61" s="12"/>
      <c r="AT61" s="11">
        <v>58</v>
      </c>
      <c r="AU61" s="12"/>
      <c r="AW61" s="11">
        <v>58</v>
      </c>
      <c r="AX61" s="12"/>
      <c r="AY61" s="12"/>
      <c r="AZ61" s="12"/>
      <c r="BA61" s="12"/>
      <c r="BB61" s="12"/>
      <c r="BC61" s="12"/>
      <c r="BD61" s="12"/>
      <c r="BE61" s="12"/>
      <c r="BF61" s="24"/>
      <c r="BG61" s="29"/>
      <c r="BH61" s="12"/>
      <c r="BI61" s="12"/>
      <c r="BK61" s="11">
        <v>58</v>
      </c>
      <c r="BL61" s="12"/>
      <c r="BM61" s="12"/>
      <c r="BN61" s="12"/>
      <c r="BP61" s="11">
        <v>58</v>
      </c>
      <c r="BQ61" s="12"/>
      <c r="BR61" s="12"/>
      <c r="BS61" s="12"/>
      <c r="BU61" s="11">
        <v>58</v>
      </c>
      <c r="BV61" s="12"/>
      <c r="BW61" s="12"/>
      <c r="BX61" s="12"/>
      <c r="BZ61" s="11">
        <v>58</v>
      </c>
      <c r="CA61" s="12"/>
      <c r="CC61" s="11">
        <v>58</v>
      </c>
      <c r="CD61" s="12"/>
    </row>
    <row r="62" spans="1:82">
      <c r="A62" s="20" t="s">
        <v>20</v>
      </c>
      <c r="B62" s="20">
        <v>5</v>
      </c>
      <c r="C62" s="23" t="s">
        <v>29</v>
      </c>
      <c r="D62" s="54">
        <f t="shared" si="10"/>
        <v>0</v>
      </c>
      <c r="E62" s="59">
        <f t="shared" si="10"/>
        <v>0</v>
      </c>
      <c r="F62" s="38">
        <f t="shared" si="10"/>
        <v>0</v>
      </c>
      <c r="G62" s="37">
        <f t="shared" si="10"/>
        <v>0</v>
      </c>
      <c r="H62" s="59">
        <f t="shared" si="10"/>
        <v>0</v>
      </c>
      <c r="I62" s="59">
        <f t="shared" si="10"/>
        <v>0</v>
      </c>
      <c r="J62" s="59">
        <f t="shared" si="10"/>
        <v>0</v>
      </c>
      <c r="K62" s="59">
        <f t="shared" si="10"/>
        <v>0</v>
      </c>
      <c r="L62" s="59">
        <f t="shared" si="10"/>
        <v>0</v>
      </c>
      <c r="M62" s="47">
        <f t="shared" si="10"/>
        <v>0</v>
      </c>
      <c r="N62" s="59">
        <f t="shared" si="10"/>
        <v>0</v>
      </c>
      <c r="O62" s="38">
        <f t="shared" si="10"/>
        <v>0</v>
      </c>
      <c r="R62" s="11">
        <v>59</v>
      </c>
      <c r="S62" s="12"/>
      <c r="T62" s="12"/>
      <c r="U62" s="12"/>
      <c r="W62" s="11">
        <v>59</v>
      </c>
      <c r="X62" s="12"/>
      <c r="Y62" s="12"/>
      <c r="Z62" s="12"/>
      <c r="AB62" s="11">
        <v>59</v>
      </c>
      <c r="AC62" s="12"/>
      <c r="AD62" s="12"/>
      <c r="AE62" s="12"/>
      <c r="AG62" s="11">
        <v>59</v>
      </c>
      <c r="AH62" s="12"/>
      <c r="AI62" s="12"/>
      <c r="AJ62" s="12"/>
      <c r="AL62" s="11">
        <v>59</v>
      </c>
      <c r="AM62" s="12"/>
      <c r="AN62" s="12"/>
      <c r="AO62" s="12"/>
      <c r="AQ62" s="11">
        <v>59</v>
      </c>
      <c r="AR62" s="12"/>
      <c r="AS62" s="12"/>
      <c r="AT62" s="11">
        <v>59</v>
      </c>
      <c r="AU62" s="12"/>
      <c r="AW62" s="11">
        <v>59</v>
      </c>
      <c r="AX62" s="12"/>
      <c r="AY62" s="12"/>
      <c r="AZ62" s="12"/>
      <c r="BA62" s="12"/>
      <c r="BB62" s="12"/>
      <c r="BC62" s="12"/>
      <c r="BD62" s="12"/>
      <c r="BE62" s="12"/>
      <c r="BF62" s="24"/>
      <c r="BG62" s="29"/>
      <c r="BH62" s="12"/>
      <c r="BI62" s="12"/>
      <c r="BK62" s="11">
        <v>59</v>
      </c>
      <c r="BL62" s="12"/>
      <c r="BM62" s="12"/>
      <c r="BN62" s="12"/>
      <c r="BP62" s="11">
        <v>59</v>
      </c>
      <c r="BQ62" s="12"/>
      <c r="BR62" s="12"/>
      <c r="BS62" s="12"/>
      <c r="BU62" s="11">
        <v>59</v>
      </c>
      <c r="BV62" s="12"/>
      <c r="BW62" s="12"/>
      <c r="BX62" s="12"/>
      <c r="BZ62" s="11">
        <v>59</v>
      </c>
      <c r="CA62" s="12"/>
      <c r="CC62" s="11">
        <v>59</v>
      </c>
      <c r="CD62" s="12"/>
    </row>
    <row r="63" spans="1:82">
      <c r="A63" s="21" t="s">
        <v>21</v>
      </c>
      <c r="B63" s="21">
        <v>6</v>
      </c>
      <c r="C63" s="23" t="s">
        <v>26</v>
      </c>
      <c r="D63" s="55">
        <f t="shared" si="10"/>
        <v>596</v>
      </c>
      <c r="E63" s="121">
        <f t="shared" si="10"/>
        <v>71</v>
      </c>
      <c r="F63" s="7">
        <f t="shared" si="10"/>
        <v>5521</v>
      </c>
      <c r="G63" s="6">
        <f t="shared" si="10"/>
        <v>267</v>
      </c>
      <c r="H63" s="121">
        <f t="shared" si="10"/>
        <v>17</v>
      </c>
      <c r="I63" s="121">
        <f t="shared" si="10"/>
        <v>136</v>
      </c>
      <c r="J63" s="121">
        <f t="shared" si="10"/>
        <v>1018</v>
      </c>
      <c r="K63" s="121">
        <f t="shared" si="10"/>
        <v>38</v>
      </c>
      <c r="L63" s="121">
        <f t="shared" si="10"/>
        <v>2046</v>
      </c>
      <c r="M63" s="48">
        <f t="shared" si="10"/>
        <v>1465</v>
      </c>
      <c r="N63" s="121">
        <f t="shared" si="10"/>
        <v>961</v>
      </c>
      <c r="O63" s="7">
        <f t="shared" si="10"/>
        <v>961</v>
      </c>
      <c r="R63" s="11">
        <v>60</v>
      </c>
      <c r="S63" s="12"/>
      <c r="T63" s="12"/>
      <c r="U63" s="12"/>
      <c r="W63" s="11">
        <v>60</v>
      </c>
      <c r="X63" s="12"/>
      <c r="Y63" s="12"/>
      <c r="Z63" s="12"/>
      <c r="AB63" s="11">
        <v>60</v>
      </c>
      <c r="AC63" s="12"/>
      <c r="AD63" s="12"/>
      <c r="AE63" s="12"/>
      <c r="AG63" s="11">
        <v>60</v>
      </c>
      <c r="AH63" s="12"/>
      <c r="AI63" s="12"/>
      <c r="AJ63" s="12"/>
      <c r="AL63" s="11">
        <v>60</v>
      </c>
      <c r="AM63" s="12"/>
      <c r="AN63" s="12"/>
      <c r="AO63" s="12"/>
      <c r="AQ63" s="11">
        <v>60</v>
      </c>
      <c r="AR63" s="13"/>
      <c r="AS63" s="13"/>
      <c r="AT63" s="11">
        <v>60</v>
      </c>
      <c r="AU63" s="12"/>
      <c r="AW63" s="11">
        <v>60</v>
      </c>
      <c r="AX63" s="12"/>
      <c r="AY63" s="12"/>
      <c r="AZ63" s="12"/>
      <c r="BA63" s="12"/>
      <c r="BB63" s="12"/>
      <c r="BC63" s="12"/>
      <c r="BD63" s="12"/>
      <c r="BE63" s="12"/>
      <c r="BF63" s="24"/>
      <c r="BG63" s="29"/>
      <c r="BH63" s="12"/>
      <c r="BI63" s="12"/>
      <c r="BK63" s="11">
        <v>60</v>
      </c>
      <c r="BL63" s="12"/>
      <c r="BM63" s="12"/>
      <c r="BN63" s="12"/>
      <c r="BP63" s="11">
        <v>60</v>
      </c>
      <c r="BQ63" s="12"/>
      <c r="BR63" s="12"/>
      <c r="BS63" s="12"/>
      <c r="BU63" s="11">
        <v>60</v>
      </c>
      <c r="BV63" s="12"/>
      <c r="BW63" s="12"/>
      <c r="BX63" s="12"/>
      <c r="BZ63" s="11">
        <v>60</v>
      </c>
      <c r="CA63" s="12"/>
      <c r="CC63" s="11">
        <v>60</v>
      </c>
      <c r="CD63" s="12"/>
    </row>
    <row r="64" spans="1:82">
      <c r="A64" s="20" t="s">
        <v>22</v>
      </c>
      <c r="B64" s="20">
        <v>7</v>
      </c>
      <c r="C64" s="5" t="s">
        <v>27</v>
      </c>
      <c r="D64" s="55">
        <f t="shared" si="10"/>
        <v>621</v>
      </c>
      <c r="E64" s="121">
        <f t="shared" si="10"/>
        <v>74</v>
      </c>
      <c r="F64" s="7">
        <f t="shared" si="10"/>
        <v>96</v>
      </c>
      <c r="G64" s="6">
        <f t="shared" si="10"/>
        <v>2447</v>
      </c>
      <c r="H64" s="121">
        <f t="shared" si="10"/>
        <v>1804</v>
      </c>
      <c r="I64" s="121">
        <f t="shared" si="10"/>
        <v>20</v>
      </c>
      <c r="J64" s="121">
        <f t="shared" si="10"/>
        <v>1020</v>
      </c>
      <c r="K64" s="121">
        <f t="shared" si="10"/>
        <v>39</v>
      </c>
      <c r="L64" s="121">
        <f t="shared" si="10"/>
        <v>83</v>
      </c>
      <c r="M64" s="48">
        <f t="shared" si="10"/>
        <v>1091</v>
      </c>
      <c r="N64" s="121">
        <f t="shared" si="10"/>
        <v>1011</v>
      </c>
      <c r="O64" s="7">
        <f t="shared" si="10"/>
        <v>1011</v>
      </c>
      <c r="R64" s="11">
        <v>61</v>
      </c>
      <c r="S64" s="12"/>
      <c r="T64" s="13"/>
      <c r="U64" s="12"/>
      <c r="W64" s="11">
        <v>61</v>
      </c>
      <c r="X64" s="12"/>
      <c r="Y64" s="13"/>
      <c r="Z64" s="12"/>
      <c r="AB64" s="11">
        <v>61</v>
      </c>
      <c r="AC64" s="12"/>
      <c r="AD64" s="12"/>
      <c r="AE64" s="12"/>
      <c r="AG64" s="11">
        <v>61</v>
      </c>
      <c r="AH64" s="12"/>
      <c r="AI64" s="12"/>
      <c r="AJ64" s="12"/>
      <c r="AL64" s="11">
        <v>61</v>
      </c>
      <c r="AM64" s="12"/>
      <c r="AN64" s="12"/>
      <c r="AO64" s="12"/>
      <c r="AQ64" s="11">
        <v>61</v>
      </c>
      <c r="AR64" s="13"/>
      <c r="AS64" s="13"/>
      <c r="AT64" s="11">
        <v>61</v>
      </c>
      <c r="AU64" s="12"/>
      <c r="AW64" s="11">
        <v>61</v>
      </c>
      <c r="AX64" s="12"/>
      <c r="AY64" s="12"/>
      <c r="AZ64" s="12"/>
      <c r="BA64" s="12"/>
      <c r="BB64" s="12"/>
      <c r="BC64" s="12"/>
      <c r="BD64" s="12"/>
      <c r="BE64" s="12"/>
      <c r="BF64" s="24"/>
      <c r="BG64" s="29"/>
      <c r="BH64" s="12"/>
      <c r="BI64" s="12"/>
      <c r="BK64" s="11">
        <v>61</v>
      </c>
      <c r="BL64" s="12"/>
      <c r="BM64" s="13"/>
      <c r="BN64" s="12"/>
      <c r="BP64" s="11">
        <v>61</v>
      </c>
      <c r="BQ64" s="12"/>
      <c r="BR64" s="13"/>
      <c r="BS64" s="12"/>
      <c r="BU64" s="11">
        <v>61</v>
      </c>
      <c r="BV64" s="12"/>
      <c r="BW64" s="12"/>
      <c r="BX64" s="12"/>
      <c r="BZ64" s="11">
        <v>61</v>
      </c>
      <c r="CA64" s="12"/>
      <c r="CC64" s="11">
        <v>61</v>
      </c>
      <c r="CD64" s="12"/>
    </row>
    <row r="65" spans="1:82">
      <c r="A65" s="20" t="s">
        <v>23</v>
      </c>
      <c r="B65" s="20">
        <v>8</v>
      </c>
      <c r="C65" s="5" t="s">
        <v>28</v>
      </c>
      <c r="D65" s="55">
        <f t="shared" si="10"/>
        <v>604</v>
      </c>
      <c r="E65" s="121">
        <f t="shared" si="10"/>
        <v>8439</v>
      </c>
      <c r="F65" s="7">
        <f t="shared" si="10"/>
        <v>1834</v>
      </c>
      <c r="G65" s="6">
        <f t="shared" si="10"/>
        <v>443</v>
      </c>
      <c r="H65" s="121">
        <f t="shared" si="10"/>
        <v>158</v>
      </c>
      <c r="I65" s="121">
        <f t="shared" si="10"/>
        <v>407</v>
      </c>
      <c r="J65" s="121">
        <f t="shared" si="10"/>
        <v>331</v>
      </c>
      <c r="K65" s="121">
        <f t="shared" si="10"/>
        <v>110</v>
      </c>
      <c r="L65" s="121">
        <f t="shared" si="10"/>
        <v>396</v>
      </c>
      <c r="M65" s="48">
        <f t="shared" si="10"/>
        <v>31</v>
      </c>
      <c r="N65" s="121">
        <f t="shared" si="10"/>
        <v>827</v>
      </c>
      <c r="O65" s="7">
        <f t="shared" si="10"/>
        <v>827</v>
      </c>
      <c r="R65" s="11">
        <v>62</v>
      </c>
      <c r="S65" s="12"/>
      <c r="T65" s="13"/>
      <c r="U65" s="12"/>
      <c r="W65" s="11">
        <v>62</v>
      </c>
      <c r="X65" s="12"/>
      <c r="Y65" s="13"/>
      <c r="Z65" s="12"/>
      <c r="AB65" s="11">
        <v>62</v>
      </c>
      <c r="AC65" s="12"/>
      <c r="AD65" s="12"/>
      <c r="AE65" s="12"/>
      <c r="AG65" s="11">
        <v>62</v>
      </c>
      <c r="AH65" s="12"/>
      <c r="AI65" s="12"/>
      <c r="AJ65" s="12"/>
      <c r="AL65" s="11">
        <v>62</v>
      </c>
      <c r="AM65" s="12"/>
      <c r="AN65" s="12"/>
      <c r="AO65" s="12"/>
      <c r="AQ65" s="11">
        <v>62</v>
      </c>
      <c r="AR65" s="13"/>
      <c r="AS65" s="13"/>
      <c r="AT65" s="11">
        <v>62</v>
      </c>
      <c r="AU65" s="12"/>
      <c r="AW65" s="11">
        <v>62</v>
      </c>
      <c r="AX65" s="12"/>
      <c r="AY65" s="12"/>
      <c r="AZ65" s="12"/>
      <c r="BA65" s="12"/>
      <c r="BB65" s="12"/>
      <c r="BC65" s="12"/>
      <c r="BD65" s="12"/>
      <c r="BE65" s="12"/>
      <c r="BF65" s="24"/>
      <c r="BG65" s="29"/>
      <c r="BH65" s="12"/>
      <c r="BI65" s="12"/>
      <c r="BK65" s="11">
        <v>62</v>
      </c>
      <c r="BL65" s="12"/>
      <c r="BM65" s="13"/>
      <c r="BN65" s="12"/>
      <c r="BP65" s="11">
        <v>62</v>
      </c>
      <c r="BQ65" s="12"/>
      <c r="BR65" s="13"/>
      <c r="BS65" s="12"/>
      <c r="BU65" s="11">
        <v>62</v>
      </c>
      <c r="BV65" s="12"/>
      <c r="BW65" s="12"/>
      <c r="BX65" s="12"/>
      <c r="BZ65" s="11">
        <v>62</v>
      </c>
      <c r="CA65" s="12"/>
      <c r="CC65" s="11">
        <v>62</v>
      </c>
      <c r="CD65" s="12"/>
    </row>
    <row r="66" spans="1:82">
      <c r="A66" s="20" t="s">
        <v>24</v>
      </c>
      <c r="B66" s="20">
        <v>9</v>
      </c>
      <c r="C66" s="5" t="s">
        <v>16</v>
      </c>
      <c r="D66" s="55">
        <f t="shared" si="10"/>
        <v>59</v>
      </c>
      <c r="E66" s="121">
        <f t="shared" si="10"/>
        <v>180</v>
      </c>
      <c r="F66" s="7">
        <f t="shared" si="10"/>
        <v>545</v>
      </c>
      <c r="G66" s="6">
        <f t="shared" si="10"/>
        <v>365</v>
      </c>
      <c r="H66" s="121">
        <f t="shared" si="10"/>
        <v>8</v>
      </c>
      <c r="I66" s="121">
        <f t="shared" si="10"/>
        <v>204</v>
      </c>
      <c r="J66" s="121">
        <f t="shared" si="10"/>
        <v>507</v>
      </c>
      <c r="K66" s="121">
        <f t="shared" si="10"/>
        <v>18</v>
      </c>
      <c r="L66" s="121">
        <f t="shared" si="10"/>
        <v>857</v>
      </c>
      <c r="M66" s="48">
        <f t="shared" si="10"/>
        <v>2273</v>
      </c>
      <c r="N66" s="121">
        <f t="shared" si="10"/>
        <v>452</v>
      </c>
      <c r="O66" s="7">
        <f t="shared" si="10"/>
        <v>452</v>
      </c>
      <c r="R66" s="11">
        <v>63</v>
      </c>
      <c r="S66" s="12"/>
      <c r="T66" s="13"/>
      <c r="U66" s="13"/>
      <c r="W66" s="11">
        <v>63</v>
      </c>
      <c r="X66" s="12"/>
      <c r="Y66" s="13"/>
      <c r="Z66" s="13"/>
      <c r="AB66" s="11">
        <v>63</v>
      </c>
      <c r="AC66" s="12"/>
      <c r="AD66" s="12"/>
      <c r="AE66" s="12"/>
      <c r="AG66" s="11">
        <v>63</v>
      </c>
      <c r="AH66" s="12"/>
      <c r="AI66" s="12"/>
      <c r="AJ66" s="12"/>
      <c r="AL66" s="11">
        <v>63</v>
      </c>
      <c r="AM66" s="12"/>
      <c r="AN66" s="12"/>
      <c r="AO66" s="12"/>
      <c r="AQ66" s="11">
        <v>63</v>
      </c>
      <c r="AR66" s="13"/>
      <c r="AS66" s="13"/>
      <c r="AT66" s="11">
        <v>63</v>
      </c>
      <c r="AU66" s="13"/>
      <c r="AW66" s="11">
        <v>63</v>
      </c>
      <c r="AX66" s="12"/>
      <c r="AY66" s="12"/>
      <c r="AZ66" s="12"/>
      <c r="BA66" s="12"/>
      <c r="BB66" s="12"/>
      <c r="BC66" s="12"/>
      <c r="BD66" s="12"/>
      <c r="BE66" s="12"/>
      <c r="BF66" s="24"/>
      <c r="BG66" s="29"/>
      <c r="BH66" s="12"/>
      <c r="BI66" s="12"/>
      <c r="BK66" s="11">
        <v>63</v>
      </c>
      <c r="BL66" s="12"/>
      <c r="BM66" s="13"/>
      <c r="BN66" s="13"/>
      <c r="BP66" s="11">
        <v>63</v>
      </c>
      <c r="BQ66" s="12"/>
      <c r="BR66" s="13"/>
      <c r="BS66" s="13"/>
      <c r="BU66" s="11">
        <v>63</v>
      </c>
      <c r="BV66" s="12"/>
      <c r="BW66" s="12"/>
      <c r="BX66" s="12"/>
      <c r="BZ66" s="11">
        <v>63</v>
      </c>
      <c r="CA66" s="12"/>
      <c r="CC66" s="11">
        <v>63</v>
      </c>
      <c r="CD66" s="12"/>
    </row>
    <row r="67" spans="1:82">
      <c r="A67" s="21" t="s">
        <v>35</v>
      </c>
      <c r="B67" s="21">
        <v>10</v>
      </c>
      <c r="C67" s="5" t="s">
        <v>37</v>
      </c>
      <c r="D67" s="55">
        <f t="shared" si="10"/>
        <v>0</v>
      </c>
      <c r="E67" s="121">
        <f t="shared" si="10"/>
        <v>0</v>
      </c>
      <c r="F67" s="7">
        <f t="shared" si="10"/>
        <v>0</v>
      </c>
      <c r="G67" s="6">
        <f t="shared" si="10"/>
        <v>0</v>
      </c>
      <c r="H67" s="121">
        <f t="shared" si="10"/>
        <v>0</v>
      </c>
      <c r="I67" s="121">
        <f t="shared" si="10"/>
        <v>0</v>
      </c>
      <c r="J67" s="121">
        <f t="shared" si="10"/>
        <v>0</v>
      </c>
      <c r="K67" s="121">
        <f t="shared" si="10"/>
        <v>0</v>
      </c>
      <c r="L67" s="121">
        <f t="shared" si="10"/>
        <v>0</v>
      </c>
      <c r="M67" s="48">
        <f t="shared" si="10"/>
        <v>0</v>
      </c>
      <c r="N67" s="121">
        <f t="shared" si="10"/>
        <v>0</v>
      </c>
      <c r="O67" s="7">
        <f t="shared" si="10"/>
        <v>0</v>
      </c>
      <c r="R67" s="11">
        <v>64</v>
      </c>
      <c r="S67" s="12"/>
      <c r="T67" s="13"/>
      <c r="U67" s="13"/>
      <c r="W67" s="11">
        <v>64</v>
      </c>
      <c r="X67" s="12"/>
      <c r="Y67" s="13"/>
      <c r="Z67" s="13"/>
      <c r="AB67" s="11">
        <v>64</v>
      </c>
      <c r="AC67" s="12"/>
      <c r="AD67" s="12"/>
      <c r="AE67" s="12"/>
      <c r="AG67" s="11">
        <v>64</v>
      </c>
      <c r="AH67" s="12"/>
      <c r="AI67" s="12"/>
      <c r="AJ67" s="12"/>
      <c r="AL67" s="11">
        <v>64</v>
      </c>
      <c r="AM67" s="12"/>
      <c r="AN67" s="12"/>
      <c r="AO67" s="12"/>
      <c r="AQ67" s="11">
        <v>64</v>
      </c>
      <c r="AR67" s="13"/>
      <c r="AS67" s="13"/>
      <c r="AT67" s="11">
        <v>64</v>
      </c>
      <c r="AU67" s="13"/>
      <c r="AW67" s="11">
        <v>64</v>
      </c>
      <c r="AX67" s="12"/>
      <c r="AY67" s="12"/>
      <c r="AZ67" s="12"/>
      <c r="BA67" s="12"/>
      <c r="BB67" s="12"/>
      <c r="BC67" s="12"/>
      <c r="BD67" s="12"/>
      <c r="BE67" s="12"/>
      <c r="BF67" s="24"/>
      <c r="BG67" s="29"/>
      <c r="BH67" s="12"/>
      <c r="BI67" s="12"/>
      <c r="BK67" s="11">
        <v>64</v>
      </c>
      <c r="BL67" s="12"/>
      <c r="BM67" s="13"/>
      <c r="BN67" s="13"/>
      <c r="BP67" s="11">
        <v>64</v>
      </c>
      <c r="BQ67" s="12"/>
      <c r="BR67" s="13"/>
      <c r="BS67" s="13"/>
      <c r="BU67" s="11">
        <v>64</v>
      </c>
      <c r="BV67" s="12"/>
      <c r="BW67" s="12"/>
      <c r="BX67" s="12"/>
      <c r="BZ67" s="11">
        <v>64</v>
      </c>
      <c r="CA67" s="12"/>
      <c r="CC67" s="11">
        <v>64</v>
      </c>
      <c r="CD67" s="12"/>
    </row>
    <row r="68" spans="1:82" ht="16.8" thickBot="1">
      <c r="A68" s="22" t="s">
        <v>39</v>
      </c>
      <c r="B68" s="22">
        <v>11</v>
      </c>
      <c r="C68" s="17" t="s">
        <v>38</v>
      </c>
      <c r="D68" s="56">
        <f t="shared" si="10"/>
        <v>47</v>
      </c>
      <c r="E68" s="50">
        <f t="shared" si="10"/>
        <v>785</v>
      </c>
      <c r="F68" s="57">
        <f t="shared" si="10"/>
        <v>1612</v>
      </c>
      <c r="G68" s="49">
        <f t="shared" si="10"/>
        <v>905</v>
      </c>
      <c r="H68" s="50">
        <f t="shared" si="10"/>
        <v>226</v>
      </c>
      <c r="I68" s="50">
        <f t="shared" si="10"/>
        <v>130</v>
      </c>
      <c r="J68" s="50">
        <f t="shared" si="10"/>
        <v>810</v>
      </c>
      <c r="K68" s="50">
        <f t="shared" si="10"/>
        <v>573</v>
      </c>
      <c r="L68" s="50">
        <f t="shared" si="10"/>
        <v>383</v>
      </c>
      <c r="M68" s="51">
        <f t="shared" si="10"/>
        <v>1229</v>
      </c>
      <c r="N68" s="39">
        <f t="shared" si="10"/>
        <v>678</v>
      </c>
      <c r="O68" s="40">
        <f t="shared" si="10"/>
        <v>678</v>
      </c>
      <c r="R68" s="11">
        <v>65</v>
      </c>
      <c r="S68" s="12"/>
      <c r="T68" s="13"/>
      <c r="U68" s="13"/>
      <c r="W68" s="11">
        <v>65</v>
      </c>
      <c r="X68" s="12"/>
      <c r="Y68" s="13"/>
      <c r="Z68" s="13"/>
      <c r="AB68" s="11">
        <v>65</v>
      </c>
      <c r="AC68" s="12"/>
      <c r="AD68" s="12"/>
      <c r="AE68" s="12"/>
      <c r="AG68" s="11">
        <v>65</v>
      </c>
      <c r="AH68" s="12"/>
      <c r="AI68" s="12"/>
      <c r="AJ68" s="12"/>
      <c r="AL68" s="11">
        <v>65</v>
      </c>
      <c r="AM68" s="12"/>
      <c r="AN68" s="12"/>
      <c r="AO68" s="12"/>
      <c r="AQ68" s="11">
        <v>65</v>
      </c>
      <c r="AR68" s="13"/>
      <c r="AS68" s="13"/>
      <c r="AT68" s="11">
        <v>65</v>
      </c>
      <c r="AU68" s="13"/>
      <c r="AW68" s="11">
        <v>65</v>
      </c>
      <c r="AX68" s="12"/>
      <c r="AY68" s="12"/>
      <c r="AZ68" s="12"/>
      <c r="BA68" s="12"/>
      <c r="BB68" s="12"/>
      <c r="BC68" s="12"/>
      <c r="BD68" s="12"/>
      <c r="BE68" s="12"/>
      <c r="BF68" s="24"/>
      <c r="BG68" s="29"/>
      <c r="BH68" s="12"/>
      <c r="BI68" s="12"/>
      <c r="BK68" s="11">
        <v>65</v>
      </c>
      <c r="BL68" s="12"/>
      <c r="BM68" s="13"/>
      <c r="BN68" s="13"/>
      <c r="BP68" s="11">
        <v>65</v>
      </c>
      <c r="BQ68" s="12"/>
      <c r="BR68" s="13"/>
      <c r="BS68" s="13"/>
      <c r="BU68" s="11">
        <v>65</v>
      </c>
      <c r="BV68" s="12"/>
      <c r="BW68" s="12"/>
      <c r="BX68" s="12"/>
      <c r="BZ68" s="11">
        <v>65</v>
      </c>
      <c r="CA68" s="12"/>
      <c r="CC68" s="11">
        <v>65</v>
      </c>
      <c r="CD68" s="12"/>
    </row>
    <row r="69" spans="1:82">
      <c r="D69" s="121">
        <f>SUM(D57:D68)</f>
        <v>10001</v>
      </c>
      <c r="E69" s="121">
        <f t="shared" ref="E69:O69" si="11">SUM(E57:E68)</f>
        <v>9999</v>
      </c>
      <c r="F69" s="121">
        <f t="shared" si="11"/>
        <v>10001</v>
      </c>
      <c r="G69" s="121">
        <f t="shared" si="11"/>
        <v>10000</v>
      </c>
      <c r="H69" s="121">
        <f t="shared" si="11"/>
        <v>10000</v>
      </c>
      <c r="I69" s="121">
        <f t="shared" si="11"/>
        <v>10000</v>
      </c>
      <c r="J69" s="121">
        <f t="shared" si="11"/>
        <v>10000</v>
      </c>
      <c r="K69" s="121">
        <f t="shared" si="11"/>
        <v>10000</v>
      </c>
      <c r="L69" s="121">
        <f t="shared" si="11"/>
        <v>10000</v>
      </c>
      <c r="M69" s="121">
        <f t="shared" si="11"/>
        <v>10001</v>
      </c>
      <c r="N69" s="121">
        <f t="shared" si="11"/>
        <v>10000</v>
      </c>
      <c r="O69" s="121">
        <f t="shared" si="11"/>
        <v>10000</v>
      </c>
      <c r="R69" s="11">
        <v>66</v>
      </c>
      <c r="S69" s="12"/>
      <c r="T69" s="13"/>
      <c r="U69" s="13"/>
      <c r="W69" s="11">
        <v>66</v>
      </c>
      <c r="X69" s="12"/>
      <c r="Y69" s="13"/>
      <c r="Z69" s="13"/>
      <c r="AB69" s="11">
        <v>66</v>
      </c>
      <c r="AC69" s="12"/>
      <c r="AD69" s="12"/>
      <c r="AE69" s="12"/>
      <c r="AG69" s="11">
        <v>66</v>
      </c>
      <c r="AH69" s="12"/>
      <c r="AI69" s="12"/>
      <c r="AJ69" s="12"/>
      <c r="AL69" s="11">
        <v>66</v>
      </c>
      <c r="AM69" s="12"/>
      <c r="AN69" s="12"/>
      <c r="AO69" s="12"/>
      <c r="AQ69" s="11">
        <v>66</v>
      </c>
      <c r="AR69" s="13"/>
      <c r="AS69" s="13"/>
      <c r="AT69" s="11">
        <v>66</v>
      </c>
      <c r="AU69" s="13"/>
      <c r="AW69" s="11">
        <v>66</v>
      </c>
      <c r="AX69" s="12"/>
      <c r="AY69" s="12"/>
      <c r="AZ69" s="12"/>
      <c r="BA69" s="12"/>
      <c r="BB69" s="12"/>
      <c r="BC69" s="12"/>
      <c r="BD69" s="12"/>
      <c r="BE69" s="12"/>
      <c r="BF69" s="24"/>
      <c r="BG69" s="29"/>
      <c r="BH69" s="12"/>
      <c r="BI69" s="12"/>
      <c r="BK69" s="11">
        <v>66</v>
      </c>
      <c r="BL69" s="12"/>
      <c r="BM69" s="13"/>
      <c r="BN69" s="13"/>
      <c r="BP69" s="11">
        <v>66</v>
      </c>
      <c r="BQ69" s="12"/>
      <c r="BR69" s="13"/>
      <c r="BS69" s="13"/>
      <c r="BU69" s="11">
        <v>66</v>
      </c>
      <c r="BV69" s="12"/>
      <c r="BW69" s="12"/>
      <c r="BX69" s="12"/>
      <c r="BZ69" s="11">
        <v>66</v>
      </c>
      <c r="CA69" s="12"/>
      <c r="CC69" s="11">
        <v>66</v>
      </c>
      <c r="CD69" s="12"/>
    </row>
    <row r="70" spans="1:82">
      <c r="D70" s="186">
        <f>D68/D69</f>
        <v>4.6995300469953004E-3</v>
      </c>
      <c r="E70" s="186">
        <f t="shared" ref="E70:O70" si="12">E68/E69</f>
        <v>7.8507850785078506E-2</v>
      </c>
      <c r="F70" s="186">
        <f t="shared" si="12"/>
        <v>0.1611838816118388</v>
      </c>
      <c r="G70" s="186">
        <f t="shared" si="12"/>
        <v>9.0499999999999997E-2</v>
      </c>
      <c r="H70" s="186">
        <f t="shared" si="12"/>
        <v>2.2599999999999999E-2</v>
      </c>
      <c r="I70" s="186">
        <f t="shared" si="12"/>
        <v>1.2999999999999999E-2</v>
      </c>
      <c r="J70" s="186">
        <f t="shared" si="12"/>
        <v>8.1000000000000003E-2</v>
      </c>
      <c r="K70" s="186">
        <f t="shared" si="12"/>
        <v>5.7299999999999997E-2</v>
      </c>
      <c r="L70" s="186">
        <f t="shared" si="12"/>
        <v>3.8300000000000001E-2</v>
      </c>
      <c r="M70" s="186">
        <f t="shared" si="12"/>
        <v>0.12288771122887711</v>
      </c>
      <c r="N70" s="186">
        <f t="shared" si="12"/>
        <v>6.7799999999999999E-2</v>
      </c>
      <c r="O70" s="186">
        <f t="shared" si="12"/>
        <v>6.7799999999999999E-2</v>
      </c>
      <c r="R70" s="11">
        <v>67</v>
      </c>
      <c r="S70" s="12"/>
      <c r="T70" s="13"/>
      <c r="U70" s="13"/>
      <c r="W70" s="11">
        <v>67</v>
      </c>
      <c r="X70" s="12"/>
      <c r="Y70" s="13"/>
      <c r="Z70" s="13"/>
      <c r="AB70" s="11">
        <v>67</v>
      </c>
      <c r="AC70" s="12"/>
      <c r="AD70" s="12"/>
      <c r="AE70" s="12"/>
      <c r="AG70" s="11">
        <v>67</v>
      </c>
      <c r="AH70" s="12"/>
      <c r="AI70" s="12"/>
      <c r="AJ70" s="12"/>
      <c r="AL70" s="11">
        <v>67</v>
      </c>
      <c r="AM70" s="12"/>
      <c r="AN70" s="12"/>
      <c r="AO70" s="12"/>
      <c r="AQ70" s="11">
        <v>67</v>
      </c>
      <c r="AR70" s="13"/>
      <c r="AS70" s="13"/>
      <c r="AT70" s="11">
        <v>67</v>
      </c>
      <c r="AU70" s="13"/>
      <c r="AW70" s="11">
        <v>67</v>
      </c>
      <c r="AX70" s="12"/>
      <c r="AY70" s="12"/>
      <c r="AZ70" s="12"/>
      <c r="BA70" s="12"/>
      <c r="BB70" s="12"/>
      <c r="BC70" s="12"/>
      <c r="BD70" s="12"/>
      <c r="BE70" s="12"/>
      <c r="BF70" s="24"/>
      <c r="BG70" s="29"/>
      <c r="BH70" s="12"/>
      <c r="BI70" s="12"/>
      <c r="BK70" s="11">
        <v>67</v>
      </c>
      <c r="BL70" s="12"/>
      <c r="BM70" s="13"/>
      <c r="BN70" s="13"/>
      <c r="BP70" s="11">
        <v>67</v>
      </c>
      <c r="BQ70" s="12"/>
      <c r="BR70" s="13"/>
      <c r="BS70" s="13"/>
      <c r="BU70" s="11">
        <v>67</v>
      </c>
      <c r="BV70" s="12"/>
      <c r="BW70" s="12"/>
      <c r="BX70" s="12"/>
      <c r="BZ70" s="11">
        <v>67</v>
      </c>
      <c r="CA70" s="12"/>
      <c r="CC70" s="11">
        <v>67</v>
      </c>
      <c r="CD70" s="12"/>
    </row>
    <row r="71" spans="1:82">
      <c r="A71" s="31" t="s">
        <v>42</v>
      </c>
      <c r="R71" s="11">
        <v>68</v>
      </c>
      <c r="S71" s="12"/>
      <c r="T71" s="13"/>
      <c r="U71" s="13"/>
      <c r="W71" s="11">
        <v>68</v>
      </c>
      <c r="X71" s="12"/>
      <c r="Y71" s="13"/>
      <c r="Z71" s="13"/>
      <c r="AB71" s="11">
        <v>68</v>
      </c>
      <c r="AC71" s="12"/>
      <c r="AD71" s="12"/>
      <c r="AE71" s="12"/>
      <c r="AG71" s="11">
        <v>68</v>
      </c>
      <c r="AH71" s="12"/>
      <c r="AI71" s="12"/>
      <c r="AJ71" s="12"/>
      <c r="AL71" s="11">
        <v>68</v>
      </c>
      <c r="AM71" s="12"/>
      <c r="AN71" s="12"/>
      <c r="AO71" s="12"/>
      <c r="AQ71" s="11">
        <v>68</v>
      </c>
      <c r="AR71" s="13"/>
      <c r="AS71" s="13"/>
      <c r="AT71" s="11">
        <v>68</v>
      </c>
      <c r="AU71" s="13"/>
      <c r="AW71" s="11">
        <v>68</v>
      </c>
      <c r="AX71" s="12"/>
      <c r="AY71" s="12"/>
      <c r="AZ71" s="12"/>
      <c r="BA71" s="12"/>
      <c r="BB71" s="12"/>
      <c r="BC71" s="12"/>
      <c r="BD71" s="12"/>
      <c r="BE71" s="12"/>
      <c r="BF71" s="24"/>
      <c r="BG71" s="29"/>
      <c r="BH71" s="12"/>
      <c r="BI71" s="12"/>
      <c r="BK71" s="11">
        <v>68</v>
      </c>
      <c r="BL71" s="12"/>
      <c r="BM71" s="13"/>
      <c r="BN71" s="13"/>
      <c r="BP71" s="11">
        <v>68</v>
      </c>
      <c r="BQ71" s="12"/>
      <c r="BR71" s="13"/>
      <c r="BS71" s="13"/>
      <c r="BU71" s="11">
        <v>68</v>
      </c>
      <c r="BV71" s="12"/>
      <c r="BW71" s="12"/>
      <c r="BX71" s="12"/>
      <c r="BZ71" s="11">
        <v>68</v>
      </c>
      <c r="CA71" s="12"/>
      <c r="CC71" s="11">
        <v>68</v>
      </c>
      <c r="CD71" s="12"/>
    </row>
    <row r="72" spans="1:82">
      <c r="A72" s="30" t="s">
        <v>42</v>
      </c>
      <c r="B72" s="1" t="s">
        <v>86</v>
      </c>
      <c r="C72" s="2" t="s">
        <v>114</v>
      </c>
      <c r="D72" s="3" t="s">
        <v>80</v>
      </c>
      <c r="E72" s="122" t="s">
        <v>1</v>
      </c>
      <c r="F72" s="4" t="s">
        <v>2</v>
      </c>
      <c r="R72" s="11">
        <v>69</v>
      </c>
      <c r="S72" s="12"/>
      <c r="T72" s="13"/>
      <c r="U72" s="13"/>
      <c r="W72" s="11">
        <v>69</v>
      </c>
      <c r="X72" s="12"/>
      <c r="Y72" s="13"/>
      <c r="Z72" s="13"/>
      <c r="AB72" s="11">
        <v>69</v>
      </c>
      <c r="AC72" s="12"/>
      <c r="AD72" s="12"/>
      <c r="AE72" s="12"/>
      <c r="AG72" s="11">
        <v>69</v>
      </c>
      <c r="AH72" s="12"/>
      <c r="AI72" s="12"/>
      <c r="AJ72" s="12"/>
      <c r="AL72" s="11">
        <v>69</v>
      </c>
      <c r="AM72" s="12"/>
      <c r="AN72" s="12"/>
      <c r="AO72" s="12"/>
      <c r="AQ72" s="11">
        <v>69</v>
      </c>
      <c r="AR72" s="13"/>
      <c r="AS72" s="13"/>
      <c r="AT72" s="11">
        <v>69</v>
      </c>
      <c r="AU72" s="13"/>
      <c r="AW72" s="11">
        <v>69</v>
      </c>
      <c r="AX72" s="12"/>
      <c r="AY72" s="12"/>
      <c r="AZ72" s="12"/>
      <c r="BA72" s="12"/>
      <c r="BB72" s="12"/>
      <c r="BC72" s="12"/>
      <c r="BD72" s="12"/>
      <c r="BE72" s="12"/>
      <c r="BF72" s="24"/>
      <c r="BG72" s="29"/>
      <c r="BH72" s="12"/>
      <c r="BI72" s="12"/>
      <c r="BK72" s="11">
        <v>69</v>
      </c>
      <c r="BL72" s="12"/>
      <c r="BM72" s="13"/>
      <c r="BN72" s="13"/>
      <c r="BP72" s="11">
        <v>69</v>
      </c>
      <c r="BQ72" s="12"/>
      <c r="BR72" s="13"/>
      <c r="BS72" s="13"/>
      <c r="BU72" s="11">
        <v>69</v>
      </c>
      <c r="BV72" s="12"/>
      <c r="BW72" s="12"/>
      <c r="BX72" s="12"/>
      <c r="BZ72" s="11">
        <v>69</v>
      </c>
      <c r="CA72" s="12"/>
      <c r="CC72" s="11">
        <v>69</v>
      </c>
      <c r="CD72" s="12"/>
    </row>
    <row r="73" spans="1:82">
      <c r="A73" s="1" t="s">
        <v>19</v>
      </c>
      <c r="B73" s="1">
        <v>0</v>
      </c>
      <c r="C73" s="3" t="s">
        <v>25</v>
      </c>
      <c r="D73" s="3">
        <f>SUMIF(BL$3:BL$38,$A73,BV$3:BV$38)</f>
        <v>79</v>
      </c>
      <c r="E73" s="122">
        <f>SUMIF(BM$3:BM$52,$A73,BW$3:BW$52)</f>
        <v>709</v>
      </c>
      <c r="F73" s="4">
        <f>SUMIF(BN$3:BN$52,$A73,BX$3:BX$52)</f>
        <v>123</v>
      </c>
      <c r="R73" s="11">
        <v>70</v>
      </c>
      <c r="S73" s="12"/>
      <c r="T73" s="13"/>
      <c r="U73" s="13"/>
      <c r="W73" s="11">
        <v>70</v>
      </c>
      <c r="X73" s="12"/>
      <c r="Y73" s="13"/>
      <c r="Z73" s="13"/>
      <c r="AB73" s="11">
        <v>70</v>
      </c>
      <c r="AC73" s="12"/>
      <c r="AD73" s="12"/>
      <c r="AE73" s="12"/>
      <c r="AG73" s="11">
        <v>70</v>
      </c>
      <c r="AH73" s="12"/>
      <c r="AI73" s="12"/>
      <c r="AJ73" s="12"/>
      <c r="AL73" s="11">
        <v>70</v>
      </c>
      <c r="AM73" s="12"/>
      <c r="AN73" s="12"/>
      <c r="AO73" s="12"/>
      <c r="AQ73" s="11">
        <v>70</v>
      </c>
      <c r="AR73" s="13"/>
      <c r="AS73" s="13"/>
      <c r="AT73" s="11">
        <v>70</v>
      </c>
      <c r="AU73" s="13"/>
      <c r="AW73" s="11">
        <v>70</v>
      </c>
      <c r="AX73" s="12"/>
      <c r="AY73" s="12"/>
      <c r="AZ73" s="12"/>
      <c r="BA73" s="12"/>
      <c r="BB73" s="12"/>
      <c r="BC73" s="12"/>
      <c r="BD73" s="12"/>
      <c r="BE73" s="12"/>
      <c r="BF73" s="24"/>
      <c r="BG73" s="29"/>
      <c r="BH73" s="12"/>
      <c r="BI73" s="12"/>
      <c r="BK73" s="11">
        <v>70</v>
      </c>
      <c r="BL73" s="12"/>
      <c r="BM73" s="13"/>
      <c r="BN73" s="13"/>
      <c r="BP73" s="11">
        <v>70</v>
      </c>
      <c r="BQ73" s="12"/>
      <c r="BR73" s="13"/>
      <c r="BS73" s="13"/>
      <c r="BU73" s="11">
        <v>70</v>
      </c>
      <c r="BV73" s="12"/>
      <c r="BW73" s="12"/>
      <c r="BX73" s="12"/>
      <c r="BZ73" s="11">
        <v>70</v>
      </c>
      <c r="CA73" s="12"/>
      <c r="CC73" s="11">
        <v>70</v>
      </c>
      <c r="CD73" s="12"/>
    </row>
    <row r="74" spans="1:82">
      <c r="A74" s="20">
        <v>0</v>
      </c>
      <c r="B74" s="20">
        <v>1</v>
      </c>
      <c r="C74" s="5">
        <v>0</v>
      </c>
      <c r="D74" s="37">
        <f t="shared" ref="D74:D84" si="13">SUMIF(BL$3:BL$38,$A74,BV$3:BV$38)</f>
        <v>0</v>
      </c>
      <c r="E74" s="121">
        <f t="shared" ref="E74:E84" si="14">SUMIF(BM$3:BM$52,$A74,BW$3:BW$52)</f>
        <v>3150</v>
      </c>
      <c r="F74" s="7">
        <f t="shared" ref="F74:F84" si="15">SUMIF(BN$3:BN$52,$A74,BX$3:BX$52)</f>
        <v>576</v>
      </c>
      <c r="R74" s="11">
        <v>71</v>
      </c>
      <c r="S74" s="12"/>
      <c r="T74" s="13"/>
      <c r="U74" s="13"/>
      <c r="W74" s="11">
        <v>71</v>
      </c>
      <c r="X74" s="12"/>
      <c r="Y74" s="13"/>
      <c r="Z74" s="13"/>
      <c r="AB74" s="11">
        <v>71</v>
      </c>
      <c r="AC74" s="12"/>
      <c r="AD74" s="12"/>
      <c r="AE74" s="12"/>
      <c r="AG74" s="11">
        <v>71</v>
      </c>
      <c r="AH74" s="12"/>
      <c r="AI74" s="12"/>
      <c r="AJ74" s="12"/>
      <c r="AL74" s="11">
        <v>71</v>
      </c>
      <c r="AM74" s="12"/>
      <c r="AN74" s="12"/>
      <c r="AO74" s="12"/>
      <c r="AQ74" s="11">
        <v>71</v>
      </c>
      <c r="AR74" s="13"/>
      <c r="AS74" s="13"/>
      <c r="AT74" s="11">
        <v>71</v>
      </c>
      <c r="AU74" s="13"/>
      <c r="AW74" s="11">
        <v>71</v>
      </c>
      <c r="AX74" s="12"/>
      <c r="AY74" s="12"/>
      <c r="AZ74" s="12"/>
      <c r="BA74" s="12"/>
      <c r="BB74" s="12"/>
      <c r="BC74" s="12"/>
      <c r="BD74" s="12"/>
      <c r="BE74" s="12"/>
      <c r="BF74" s="24"/>
      <c r="BG74" s="29"/>
      <c r="BH74" s="12"/>
      <c r="BI74" s="12"/>
      <c r="BK74" s="11">
        <v>71</v>
      </c>
      <c r="BL74" s="12"/>
      <c r="BM74" s="13"/>
      <c r="BN74" s="13"/>
      <c r="BP74" s="11">
        <v>71</v>
      </c>
      <c r="BQ74" s="12"/>
      <c r="BR74" s="13"/>
      <c r="BS74" s="13"/>
      <c r="BU74" s="11">
        <v>71</v>
      </c>
      <c r="BV74" s="12"/>
      <c r="BW74" s="12"/>
      <c r="BX74" s="12"/>
      <c r="BZ74" s="11">
        <v>71</v>
      </c>
      <c r="CA74" s="12"/>
      <c r="CC74" s="11">
        <v>71</v>
      </c>
      <c r="CD74" s="12"/>
    </row>
    <row r="75" spans="1:82">
      <c r="A75" s="20">
        <v>1</v>
      </c>
      <c r="B75" s="20">
        <v>2</v>
      </c>
      <c r="C75" s="5">
        <v>1</v>
      </c>
      <c r="D75" s="6">
        <f t="shared" si="13"/>
        <v>6614</v>
      </c>
      <c r="E75" s="121">
        <f t="shared" si="14"/>
        <v>3071</v>
      </c>
      <c r="F75" s="7">
        <f t="shared" si="15"/>
        <v>189</v>
      </c>
      <c r="R75" s="11">
        <v>72</v>
      </c>
      <c r="S75" s="12"/>
      <c r="T75" s="13"/>
      <c r="U75" s="13"/>
      <c r="W75" s="11">
        <v>72</v>
      </c>
      <c r="X75" s="12"/>
      <c r="Y75" s="13"/>
      <c r="Z75" s="13"/>
      <c r="AB75" s="11">
        <v>72</v>
      </c>
      <c r="AC75" s="12"/>
      <c r="AD75" s="12"/>
      <c r="AE75" s="12"/>
      <c r="AG75" s="11">
        <v>72</v>
      </c>
      <c r="AH75" s="12"/>
      <c r="AI75" s="12"/>
      <c r="AJ75" s="12"/>
      <c r="AL75" s="11">
        <v>72</v>
      </c>
      <c r="AM75" s="12"/>
      <c r="AN75" s="12"/>
      <c r="AO75" s="12"/>
      <c r="AQ75" s="11">
        <v>72</v>
      </c>
      <c r="AR75" s="13"/>
      <c r="AS75" s="13"/>
      <c r="AT75" s="11">
        <v>72</v>
      </c>
      <c r="AU75" s="13"/>
      <c r="AW75" s="11">
        <v>72</v>
      </c>
      <c r="AX75" s="12"/>
      <c r="AY75" s="12"/>
      <c r="AZ75" s="12"/>
      <c r="BA75" s="12"/>
      <c r="BB75" s="12"/>
      <c r="BC75" s="12"/>
      <c r="BD75" s="12"/>
      <c r="BE75" s="12"/>
      <c r="BF75" s="24"/>
      <c r="BG75" s="29"/>
      <c r="BH75" s="12"/>
      <c r="BI75" s="12"/>
      <c r="BK75" s="11">
        <v>72</v>
      </c>
      <c r="BL75" s="12"/>
      <c r="BM75" s="13"/>
      <c r="BN75" s="13"/>
      <c r="BP75" s="11">
        <v>72</v>
      </c>
      <c r="BQ75" s="12"/>
      <c r="BR75" s="13"/>
      <c r="BS75" s="13"/>
      <c r="BU75" s="11">
        <v>72</v>
      </c>
      <c r="BV75" s="12"/>
      <c r="BW75" s="12"/>
      <c r="BX75" s="12"/>
      <c r="BZ75" s="11">
        <v>72</v>
      </c>
      <c r="CA75" s="12"/>
      <c r="CC75" s="11">
        <v>72</v>
      </c>
      <c r="CD75" s="12"/>
    </row>
    <row r="76" spans="1:82">
      <c r="A76" s="21">
        <v>5</v>
      </c>
      <c r="B76" s="21">
        <v>3</v>
      </c>
      <c r="C76" s="23">
        <v>5</v>
      </c>
      <c r="D76" s="6">
        <f t="shared" si="13"/>
        <v>1654</v>
      </c>
      <c r="E76" s="121">
        <f t="shared" si="14"/>
        <v>3071</v>
      </c>
      <c r="F76" s="7">
        <f t="shared" si="15"/>
        <v>312</v>
      </c>
      <c r="R76" s="11">
        <v>73</v>
      </c>
      <c r="S76" s="12"/>
      <c r="T76" s="13"/>
      <c r="U76" s="13"/>
      <c r="W76" s="11">
        <v>73</v>
      </c>
      <c r="X76" s="12"/>
      <c r="Y76" s="13"/>
      <c r="Z76" s="13"/>
      <c r="AB76" s="11">
        <v>73</v>
      </c>
      <c r="AC76" s="12"/>
      <c r="AD76" s="12"/>
      <c r="AE76" s="12"/>
      <c r="AG76" s="11">
        <v>73</v>
      </c>
      <c r="AH76" s="12"/>
      <c r="AI76" s="12"/>
      <c r="AJ76" s="12"/>
      <c r="AL76" s="11">
        <v>73</v>
      </c>
      <c r="AM76" s="12"/>
      <c r="AN76" s="12"/>
      <c r="AO76" s="12"/>
      <c r="AQ76" s="11">
        <v>73</v>
      </c>
      <c r="AR76" s="13"/>
      <c r="AS76" s="13"/>
      <c r="AT76" s="11">
        <v>73</v>
      </c>
      <c r="AU76" s="13"/>
      <c r="AW76" s="11">
        <v>73</v>
      </c>
      <c r="AX76" s="12"/>
      <c r="AY76" s="12"/>
      <c r="AZ76" s="12"/>
      <c r="BA76" s="12"/>
      <c r="BB76" s="12"/>
      <c r="BC76" s="12"/>
      <c r="BD76" s="12"/>
      <c r="BE76" s="12"/>
      <c r="BF76" s="24"/>
      <c r="BG76" s="29"/>
      <c r="BH76" s="12"/>
      <c r="BI76" s="12"/>
      <c r="BK76" s="11">
        <v>73</v>
      </c>
      <c r="BL76" s="12"/>
      <c r="BM76" s="13"/>
      <c r="BN76" s="13"/>
      <c r="BP76" s="11">
        <v>73</v>
      </c>
      <c r="BQ76" s="12"/>
      <c r="BR76" s="13"/>
      <c r="BS76" s="13"/>
      <c r="BU76" s="11">
        <v>73</v>
      </c>
      <c r="BV76" s="12"/>
      <c r="BW76" s="12"/>
      <c r="BX76" s="12"/>
      <c r="BZ76" s="11">
        <v>73</v>
      </c>
      <c r="CA76" s="12"/>
      <c r="CC76" s="11">
        <v>73</v>
      </c>
      <c r="CD76" s="12"/>
    </row>
    <row r="77" spans="1:82">
      <c r="A77" s="21">
        <v>10</v>
      </c>
      <c r="B77" s="21">
        <v>4</v>
      </c>
      <c r="C77" s="23">
        <v>10</v>
      </c>
      <c r="D77" s="6">
        <f t="shared" si="13"/>
        <v>1654</v>
      </c>
      <c r="E77" s="101">
        <f t="shared" si="14"/>
        <v>0</v>
      </c>
      <c r="F77" s="38">
        <f t="shared" si="15"/>
        <v>4800</v>
      </c>
      <c r="R77" s="11">
        <v>74</v>
      </c>
      <c r="S77" s="12"/>
      <c r="T77" s="13"/>
      <c r="U77" s="13"/>
      <c r="W77" s="11">
        <v>74</v>
      </c>
      <c r="X77" s="12"/>
      <c r="Y77" s="13"/>
      <c r="Z77" s="13"/>
      <c r="AB77" s="11">
        <v>74</v>
      </c>
      <c r="AC77" s="12"/>
      <c r="AD77" s="12"/>
      <c r="AE77" s="12"/>
      <c r="AG77" s="11">
        <v>74</v>
      </c>
      <c r="AH77" s="12"/>
      <c r="AI77" s="12"/>
      <c r="AJ77" s="12"/>
      <c r="AL77" s="11">
        <v>74</v>
      </c>
      <c r="AM77" s="12"/>
      <c r="AN77" s="12"/>
      <c r="AO77" s="12"/>
      <c r="AQ77" s="11">
        <v>74</v>
      </c>
      <c r="AR77" s="13"/>
      <c r="AS77" s="13"/>
      <c r="AT77" s="11">
        <v>74</v>
      </c>
      <c r="AU77" s="13"/>
      <c r="AW77" s="11">
        <v>74</v>
      </c>
      <c r="AX77" s="12"/>
      <c r="AY77" s="12"/>
      <c r="AZ77" s="12"/>
      <c r="BA77" s="12"/>
      <c r="BB77" s="12"/>
      <c r="BC77" s="12"/>
      <c r="BD77" s="12"/>
      <c r="BE77" s="12"/>
      <c r="BF77" s="24"/>
      <c r="BG77" s="29"/>
      <c r="BH77" s="12"/>
      <c r="BI77" s="12"/>
      <c r="BK77" s="11">
        <v>74</v>
      </c>
      <c r="BL77" s="12"/>
      <c r="BM77" s="13"/>
      <c r="BN77" s="13"/>
      <c r="BP77" s="11">
        <v>74</v>
      </c>
      <c r="BQ77" s="12"/>
      <c r="BR77" s="13"/>
      <c r="BS77" s="13"/>
      <c r="BU77" s="11">
        <v>74</v>
      </c>
      <c r="BV77" s="12"/>
      <c r="BW77" s="12"/>
      <c r="BX77" s="12"/>
      <c r="BZ77" s="11">
        <v>74</v>
      </c>
      <c r="CA77" s="12"/>
      <c r="CC77" s="11">
        <v>74</v>
      </c>
      <c r="CD77" s="12"/>
    </row>
    <row r="78" spans="1:82">
      <c r="A78" s="20" t="s">
        <v>20</v>
      </c>
      <c r="B78" s="20">
        <v>5</v>
      </c>
      <c r="C78" s="23" t="s">
        <v>29</v>
      </c>
      <c r="D78" s="37">
        <f t="shared" si="13"/>
        <v>0</v>
      </c>
      <c r="E78" s="101">
        <f t="shared" si="14"/>
        <v>0</v>
      </c>
      <c r="F78" s="38">
        <f t="shared" si="15"/>
        <v>4000</v>
      </c>
      <c r="R78" s="11">
        <v>75</v>
      </c>
      <c r="S78" s="12"/>
      <c r="T78" s="13"/>
      <c r="U78" s="13"/>
      <c r="W78" s="11">
        <v>75</v>
      </c>
      <c r="X78" s="12"/>
      <c r="Y78" s="13"/>
      <c r="Z78" s="13"/>
      <c r="AB78" s="11">
        <v>75</v>
      </c>
      <c r="AC78" s="12"/>
      <c r="AD78" s="12"/>
      <c r="AE78" s="12"/>
      <c r="AG78" s="11">
        <v>75</v>
      </c>
      <c r="AH78" s="12"/>
      <c r="AI78" s="12"/>
      <c r="AJ78" s="12"/>
      <c r="AL78" s="11">
        <v>75</v>
      </c>
      <c r="AM78" s="12"/>
      <c r="AN78" s="12"/>
      <c r="AO78" s="12"/>
      <c r="AQ78" s="11">
        <v>75</v>
      </c>
      <c r="AR78" s="13"/>
      <c r="AS78" s="13"/>
      <c r="AT78" s="11">
        <v>75</v>
      </c>
      <c r="AU78" s="13"/>
      <c r="AW78" s="11">
        <v>75</v>
      </c>
      <c r="AX78" s="12"/>
      <c r="AY78" s="12"/>
      <c r="AZ78" s="12"/>
      <c r="BA78" s="12"/>
      <c r="BB78" s="12"/>
      <c r="BC78" s="12"/>
      <c r="BD78" s="12"/>
      <c r="BE78" s="12"/>
      <c r="BF78" s="24"/>
      <c r="BG78" s="29"/>
      <c r="BH78" s="12"/>
      <c r="BI78" s="12"/>
      <c r="BK78" s="11">
        <v>75</v>
      </c>
      <c r="BL78" s="12"/>
      <c r="BM78" s="13"/>
      <c r="BN78" s="13"/>
      <c r="BP78" s="11">
        <v>75</v>
      </c>
      <c r="BQ78" s="12"/>
      <c r="BR78" s="13"/>
      <c r="BS78" s="13"/>
      <c r="BU78" s="11">
        <v>75</v>
      </c>
      <c r="BV78" s="12"/>
      <c r="BW78" s="12"/>
      <c r="BX78" s="12"/>
      <c r="BZ78" s="11">
        <v>75</v>
      </c>
      <c r="CA78" s="12"/>
      <c r="CC78" s="11">
        <v>75</v>
      </c>
      <c r="CD78" s="12"/>
    </row>
    <row r="79" spans="1:82">
      <c r="A79" s="21" t="s">
        <v>21</v>
      </c>
      <c r="B79" s="21">
        <v>6</v>
      </c>
      <c r="C79" s="23" t="s">
        <v>26</v>
      </c>
      <c r="D79" s="37">
        <f t="shared" si="13"/>
        <v>0</v>
      </c>
      <c r="E79" s="59">
        <f t="shared" si="14"/>
        <v>0</v>
      </c>
      <c r="F79" s="38">
        <f t="shared" si="15"/>
        <v>0</v>
      </c>
      <c r="R79" s="11">
        <v>76</v>
      </c>
      <c r="S79" s="12"/>
      <c r="T79" s="13"/>
      <c r="U79" s="13"/>
      <c r="W79" s="11">
        <v>76</v>
      </c>
      <c r="X79" s="12"/>
      <c r="Y79" s="13"/>
      <c r="Z79" s="13"/>
      <c r="AB79" s="11">
        <v>76</v>
      </c>
      <c r="AC79" s="12"/>
      <c r="AD79" s="12"/>
      <c r="AE79" s="12"/>
      <c r="AG79" s="11">
        <v>76</v>
      </c>
      <c r="AH79" s="12"/>
      <c r="AI79" s="12"/>
      <c r="AJ79" s="12"/>
      <c r="AL79" s="11">
        <v>76</v>
      </c>
      <c r="AM79" s="12"/>
      <c r="AN79" s="12"/>
      <c r="AO79" s="12"/>
      <c r="AQ79" s="11">
        <v>76</v>
      </c>
      <c r="AR79" s="13"/>
      <c r="AS79" s="13"/>
      <c r="AT79" s="11">
        <v>76</v>
      </c>
      <c r="AU79" s="13"/>
      <c r="AW79" s="11">
        <v>76</v>
      </c>
      <c r="AX79" s="12"/>
      <c r="AY79" s="12"/>
      <c r="AZ79" s="12"/>
      <c r="BA79" s="12"/>
      <c r="BB79" s="12"/>
      <c r="BC79" s="12"/>
      <c r="BD79" s="12"/>
      <c r="BE79" s="12"/>
      <c r="BF79" s="24"/>
      <c r="BG79" s="29"/>
      <c r="BH79" s="12"/>
      <c r="BI79" s="12"/>
      <c r="BK79" s="11">
        <v>76</v>
      </c>
      <c r="BL79" s="12"/>
      <c r="BM79" s="13"/>
      <c r="BN79" s="13"/>
      <c r="BP79" s="11">
        <v>76</v>
      </c>
      <c r="BQ79" s="12"/>
      <c r="BR79" s="13"/>
      <c r="BS79" s="13"/>
      <c r="BU79" s="11">
        <v>76</v>
      </c>
      <c r="BV79" s="12"/>
      <c r="BW79" s="12"/>
      <c r="BX79" s="12"/>
      <c r="BZ79" s="11">
        <v>76</v>
      </c>
      <c r="CA79" s="12"/>
      <c r="CC79" s="11">
        <v>76</v>
      </c>
      <c r="CD79" s="12"/>
    </row>
    <row r="80" spans="1:82">
      <c r="A80" s="20" t="s">
        <v>22</v>
      </c>
      <c r="B80" s="20">
        <v>7</v>
      </c>
      <c r="C80" s="5" t="s">
        <v>27</v>
      </c>
      <c r="D80" s="37">
        <f t="shared" si="13"/>
        <v>0</v>
      </c>
      <c r="E80" s="59">
        <f t="shared" si="14"/>
        <v>0</v>
      </c>
      <c r="F80" s="38">
        <f t="shared" si="15"/>
        <v>0</v>
      </c>
      <c r="R80" s="11">
        <v>77</v>
      </c>
      <c r="S80" s="12"/>
      <c r="T80" s="13"/>
      <c r="U80" s="13"/>
      <c r="W80" s="11">
        <v>77</v>
      </c>
      <c r="X80" s="12"/>
      <c r="Y80" s="13"/>
      <c r="Z80" s="13"/>
      <c r="AB80" s="11">
        <v>77</v>
      </c>
      <c r="AC80" s="12"/>
      <c r="AD80" s="12"/>
      <c r="AE80" s="12"/>
      <c r="AG80" s="11">
        <v>77</v>
      </c>
      <c r="AH80" s="12"/>
      <c r="AI80" s="12"/>
      <c r="AJ80" s="12"/>
      <c r="AL80" s="11">
        <v>77</v>
      </c>
      <c r="AM80" s="12"/>
      <c r="AN80" s="12"/>
      <c r="AO80" s="12"/>
      <c r="AQ80" s="11">
        <v>77</v>
      </c>
      <c r="AR80" s="13"/>
      <c r="AS80" s="13"/>
      <c r="AT80" s="11">
        <v>77</v>
      </c>
      <c r="AU80" s="13"/>
      <c r="AW80" s="11">
        <v>77</v>
      </c>
      <c r="AX80" s="12"/>
      <c r="AY80" s="12"/>
      <c r="AZ80" s="12"/>
      <c r="BA80" s="12"/>
      <c r="BB80" s="12"/>
      <c r="BC80" s="12"/>
      <c r="BD80" s="12"/>
      <c r="BE80" s="12"/>
      <c r="BF80" s="24"/>
      <c r="BG80" s="29"/>
      <c r="BH80" s="12"/>
      <c r="BI80" s="12"/>
      <c r="BK80" s="11">
        <v>77</v>
      </c>
      <c r="BL80" s="12"/>
      <c r="BM80" s="13"/>
      <c r="BN80" s="13"/>
      <c r="BP80" s="11">
        <v>77</v>
      </c>
      <c r="BQ80" s="12"/>
      <c r="BR80" s="13"/>
      <c r="BS80" s="13"/>
      <c r="BU80" s="11">
        <v>77</v>
      </c>
      <c r="BV80" s="12"/>
      <c r="BW80" s="12"/>
      <c r="BX80" s="12"/>
      <c r="BZ80" s="11">
        <v>77</v>
      </c>
      <c r="CA80" s="12"/>
      <c r="CC80" s="11">
        <v>77</v>
      </c>
      <c r="CD80" s="12"/>
    </row>
    <row r="81" spans="1:82">
      <c r="A81" s="20" t="s">
        <v>23</v>
      </c>
      <c r="B81" s="20">
        <v>8</v>
      </c>
      <c r="C81" s="5" t="s">
        <v>28</v>
      </c>
      <c r="D81" s="37">
        <f t="shared" si="13"/>
        <v>0</v>
      </c>
      <c r="E81" s="59">
        <f t="shared" si="14"/>
        <v>0</v>
      </c>
      <c r="F81" s="38">
        <f t="shared" si="15"/>
        <v>0</v>
      </c>
      <c r="R81" s="11">
        <v>78</v>
      </c>
      <c r="S81" s="12"/>
      <c r="T81" s="13"/>
      <c r="U81" s="13"/>
      <c r="W81" s="11">
        <v>78</v>
      </c>
      <c r="X81" s="12"/>
      <c r="Y81" s="13"/>
      <c r="Z81" s="13"/>
      <c r="AB81" s="11">
        <v>78</v>
      </c>
      <c r="AC81" s="12"/>
      <c r="AD81" s="12"/>
      <c r="AE81" s="12"/>
      <c r="AG81" s="11">
        <v>78</v>
      </c>
      <c r="AH81" s="12"/>
      <c r="AI81" s="12"/>
      <c r="AJ81" s="12"/>
      <c r="AL81" s="11">
        <v>78</v>
      </c>
      <c r="AM81" s="12"/>
      <c r="AN81" s="12"/>
      <c r="AO81" s="12"/>
      <c r="AQ81" s="11">
        <v>78</v>
      </c>
      <c r="AR81" s="13"/>
      <c r="AS81" s="13"/>
      <c r="AT81" s="11">
        <v>78</v>
      </c>
      <c r="AU81" s="13"/>
      <c r="AW81" s="11">
        <v>78</v>
      </c>
      <c r="AX81" s="12"/>
      <c r="AY81" s="12"/>
      <c r="AZ81" s="12"/>
      <c r="BA81" s="12"/>
      <c r="BB81" s="12"/>
      <c r="BC81" s="12"/>
      <c r="BD81" s="12"/>
      <c r="BE81" s="12"/>
      <c r="BF81" s="24"/>
      <c r="BG81" s="29"/>
      <c r="BH81" s="12"/>
      <c r="BI81" s="12"/>
      <c r="BK81" s="11">
        <v>78</v>
      </c>
      <c r="BL81" s="12"/>
      <c r="BM81" s="13"/>
      <c r="BN81" s="13"/>
      <c r="BP81" s="11">
        <v>78</v>
      </c>
      <c r="BQ81" s="12"/>
      <c r="BR81" s="13"/>
      <c r="BS81" s="13"/>
      <c r="BU81" s="11">
        <v>78</v>
      </c>
      <c r="BV81" s="12"/>
      <c r="BW81" s="12"/>
      <c r="BX81" s="12"/>
      <c r="BZ81" s="11">
        <v>78</v>
      </c>
      <c r="CA81" s="12"/>
      <c r="CC81" s="11">
        <v>78</v>
      </c>
      <c r="CD81" s="12"/>
    </row>
    <row r="82" spans="1:82">
      <c r="A82" s="20" t="s">
        <v>24</v>
      </c>
      <c r="B82" s="20">
        <v>9</v>
      </c>
      <c r="C82" s="5" t="s">
        <v>16</v>
      </c>
      <c r="D82" s="37">
        <f t="shared" si="13"/>
        <v>0</v>
      </c>
      <c r="E82" s="59">
        <f t="shared" si="14"/>
        <v>0</v>
      </c>
      <c r="F82" s="38">
        <f t="shared" si="15"/>
        <v>0</v>
      </c>
      <c r="R82" s="11">
        <v>79</v>
      </c>
      <c r="S82" s="12"/>
      <c r="T82" s="13"/>
      <c r="U82" s="13"/>
      <c r="W82" s="11">
        <v>79</v>
      </c>
      <c r="X82" s="12"/>
      <c r="Y82" s="13"/>
      <c r="Z82" s="13"/>
      <c r="AB82" s="11">
        <v>79</v>
      </c>
      <c r="AC82" s="12"/>
      <c r="AD82" s="12"/>
      <c r="AE82" s="12"/>
      <c r="AG82" s="11">
        <v>79</v>
      </c>
      <c r="AH82" s="12"/>
      <c r="AI82" s="12"/>
      <c r="AJ82" s="12"/>
      <c r="AL82" s="11">
        <v>79</v>
      </c>
      <c r="AM82" s="12"/>
      <c r="AN82" s="12"/>
      <c r="AO82" s="12"/>
      <c r="AQ82" s="11">
        <v>79</v>
      </c>
      <c r="AR82" s="13"/>
      <c r="AS82" s="13"/>
      <c r="AT82" s="11">
        <v>79</v>
      </c>
      <c r="AU82" s="13"/>
      <c r="AW82" s="11">
        <v>79</v>
      </c>
      <c r="AX82" s="12"/>
      <c r="AY82" s="12"/>
      <c r="AZ82" s="12"/>
      <c r="BA82" s="12"/>
      <c r="BB82" s="12"/>
      <c r="BC82" s="12"/>
      <c r="BD82" s="12"/>
      <c r="BE82" s="12"/>
      <c r="BF82" s="24"/>
      <c r="BG82" s="29"/>
      <c r="BH82" s="12"/>
      <c r="BI82" s="12"/>
      <c r="BK82" s="11">
        <v>79</v>
      </c>
      <c r="BL82" s="12"/>
      <c r="BM82" s="13"/>
      <c r="BN82" s="13"/>
      <c r="BP82" s="11">
        <v>79</v>
      </c>
      <c r="BQ82" s="12"/>
      <c r="BR82" s="13"/>
      <c r="BS82" s="13"/>
      <c r="BU82" s="11">
        <v>79</v>
      </c>
      <c r="BV82" s="12"/>
      <c r="BW82" s="12"/>
      <c r="BX82" s="12"/>
      <c r="BZ82" s="11">
        <v>79</v>
      </c>
      <c r="CA82" s="12"/>
      <c r="CC82" s="11">
        <v>79</v>
      </c>
      <c r="CD82" s="12"/>
    </row>
    <row r="83" spans="1:82">
      <c r="A83" s="21" t="s">
        <v>35</v>
      </c>
      <c r="B83" s="21">
        <v>10</v>
      </c>
      <c r="C83" s="5" t="s">
        <v>37</v>
      </c>
      <c r="D83" s="37">
        <f t="shared" si="13"/>
        <v>0</v>
      </c>
      <c r="E83" s="59">
        <f t="shared" si="14"/>
        <v>0</v>
      </c>
      <c r="F83" s="38">
        <f t="shared" si="15"/>
        <v>0</v>
      </c>
      <c r="R83" s="11">
        <v>80</v>
      </c>
      <c r="S83" s="12"/>
      <c r="T83" s="13"/>
      <c r="U83" s="13"/>
      <c r="W83" s="11">
        <v>80</v>
      </c>
      <c r="X83" s="12"/>
      <c r="Y83" s="13"/>
      <c r="Z83" s="13"/>
      <c r="AB83" s="11">
        <v>80</v>
      </c>
      <c r="AC83" s="12"/>
      <c r="AD83" s="12"/>
      <c r="AE83" s="12"/>
      <c r="AG83" s="11">
        <v>80</v>
      </c>
      <c r="AH83" s="12"/>
      <c r="AI83" s="12"/>
      <c r="AJ83" s="12"/>
      <c r="AL83" s="11">
        <v>80</v>
      </c>
      <c r="AM83" s="12"/>
      <c r="AN83" s="12"/>
      <c r="AO83" s="12"/>
      <c r="AQ83" s="11">
        <v>80</v>
      </c>
      <c r="AR83" s="13"/>
      <c r="AS83" s="13"/>
      <c r="AT83" s="11">
        <v>80</v>
      </c>
      <c r="AU83" s="13"/>
      <c r="AW83" s="11">
        <v>80</v>
      </c>
      <c r="AX83" s="12"/>
      <c r="AY83" s="12"/>
      <c r="AZ83" s="12"/>
      <c r="BA83" s="12"/>
      <c r="BB83" s="12"/>
      <c r="BC83" s="12"/>
      <c r="BD83" s="12"/>
      <c r="BE83" s="12"/>
      <c r="BF83" s="24"/>
      <c r="BG83" s="29"/>
      <c r="BH83" s="12"/>
      <c r="BI83" s="12"/>
      <c r="BK83" s="11">
        <v>80</v>
      </c>
      <c r="BL83" s="12"/>
      <c r="BM83" s="13"/>
      <c r="BN83" s="13"/>
      <c r="BP83" s="11">
        <v>80</v>
      </c>
      <c r="BQ83" s="12"/>
      <c r="BR83" s="13"/>
      <c r="BS83" s="13"/>
      <c r="BU83" s="11">
        <v>80</v>
      </c>
      <c r="BV83" s="12"/>
      <c r="BW83" s="12"/>
      <c r="BX83" s="12"/>
      <c r="BZ83" s="11">
        <v>80</v>
      </c>
      <c r="CA83" s="12"/>
      <c r="CC83" s="11">
        <v>80</v>
      </c>
      <c r="CD83" s="12"/>
    </row>
    <row r="84" spans="1:82">
      <c r="A84" s="22" t="s">
        <v>39</v>
      </c>
      <c r="B84" s="22">
        <v>11</v>
      </c>
      <c r="C84" s="17" t="s">
        <v>38</v>
      </c>
      <c r="D84" s="60">
        <f t="shared" si="13"/>
        <v>0</v>
      </c>
      <c r="E84" s="39">
        <f t="shared" si="14"/>
        <v>0</v>
      </c>
      <c r="F84" s="40">
        <f t="shared" si="15"/>
        <v>0</v>
      </c>
      <c r="R84" s="11">
        <v>81</v>
      </c>
      <c r="S84" s="12"/>
      <c r="T84" s="13"/>
      <c r="U84" s="13"/>
      <c r="W84" s="11">
        <v>81</v>
      </c>
      <c r="X84" s="12"/>
      <c r="Y84" s="13"/>
      <c r="Z84" s="13"/>
      <c r="AB84" s="11">
        <v>81</v>
      </c>
      <c r="AC84" s="12"/>
      <c r="AD84" s="12"/>
      <c r="AE84" s="12"/>
      <c r="AG84" s="11">
        <v>81</v>
      </c>
      <c r="AH84" s="12"/>
      <c r="AI84" s="12"/>
      <c r="AJ84" s="12"/>
      <c r="AL84" s="11">
        <v>81</v>
      </c>
      <c r="AM84" s="12"/>
      <c r="AN84" s="12"/>
      <c r="AO84" s="12"/>
      <c r="AQ84" s="11">
        <v>81</v>
      </c>
      <c r="AR84" s="13"/>
      <c r="AS84" s="13"/>
      <c r="AT84" s="11">
        <v>81</v>
      </c>
      <c r="AU84" s="13"/>
      <c r="AW84" s="11">
        <v>81</v>
      </c>
      <c r="AX84" s="12"/>
      <c r="AY84" s="12"/>
      <c r="AZ84" s="12"/>
      <c r="BA84" s="12"/>
      <c r="BB84" s="12"/>
      <c r="BC84" s="12"/>
      <c r="BD84" s="12"/>
      <c r="BE84" s="12"/>
      <c r="BF84" s="24"/>
      <c r="BG84" s="29"/>
      <c r="BH84" s="12"/>
      <c r="BI84" s="12"/>
      <c r="BK84" s="11">
        <v>81</v>
      </c>
      <c r="BL84" s="12"/>
      <c r="BM84" s="13"/>
      <c r="BN84" s="13"/>
      <c r="BP84" s="11">
        <v>81</v>
      </c>
      <c r="BQ84" s="12"/>
      <c r="BR84" s="13"/>
      <c r="BS84" s="13"/>
      <c r="BU84" s="11">
        <v>81</v>
      </c>
      <c r="BV84" s="12"/>
      <c r="BW84" s="12"/>
      <c r="BX84" s="12"/>
      <c r="BZ84" s="11">
        <v>81</v>
      </c>
      <c r="CA84" s="12"/>
      <c r="CC84" s="11">
        <v>81</v>
      </c>
      <c r="CD84" s="12"/>
    </row>
    <row r="85" spans="1:82">
      <c r="R85" s="11">
        <v>82</v>
      </c>
      <c r="S85" s="12"/>
      <c r="T85" s="13"/>
      <c r="U85" s="13"/>
      <c r="W85" s="11">
        <v>82</v>
      </c>
      <c r="X85" s="12"/>
      <c r="Y85" s="13"/>
      <c r="Z85" s="13"/>
      <c r="AB85" s="11">
        <v>82</v>
      </c>
      <c r="AC85" s="12"/>
      <c r="AD85" s="12"/>
      <c r="AE85" s="12"/>
      <c r="AG85" s="11">
        <v>82</v>
      </c>
      <c r="AH85" s="12"/>
      <c r="AI85" s="12"/>
      <c r="AJ85" s="12"/>
      <c r="AL85" s="11">
        <v>82</v>
      </c>
      <c r="AM85" s="12"/>
      <c r="AN85" s="12"/>
      <c r="AO85" s="12"/>
      <c r="AQ85" s="11">
        <v>82</v>
      </c>
      <c r="AR85" s="13"/>
      <c r="AS85" s="13"/>
      <c r="AT85" s="11">
        <v>82</v>
      </c>
      <c r="AU85" s="13"/>
      <c r="AW85" s="11">
        <v>82</v>
      </c>
      <c r="AX85" s="12"/>
      <c r="AY85" s="12"/>
      <c r="AZ85" s="12"/>
      <c r="BA85" s="12"/>
      <c r="BB85" s="12"/>
      <c r="BC85" s="12"/>
      <c r="BD85" s="12"/>
      <c r="BE85" s="12"/>
      <c r="BF85" s="24"/>
      <c r="BG85" s="29"/>
      <c r="BH85" s="12"/>
      <c r="BI85" s="12"/>
      <c r="BK85" s="11">
        <v>82</v>
      </c>
      <c r="BL85" s="12"/>
      <c r="BM85" s="13"/>
      <c r="BN85" s="13"/>
      <c r="BP85" s="11">
        <v>82</v>
      </c>
      <c r="BQ85" s="12"/>
      <c r="BR85" s="13"/>
      <c r="BS85" s="13"/>
      <c r="BU85" s="11">
        <v>82</v>
      </c>
      <c r="BV85" s="12"/>
      <c r="BW85" s="12"/>
      <c r="BX85" s="12"/>
      <c r="BZ85" s="11">
        <v>82</v>
      </c>
      <c r="CA85" s="12"/>
      <c r="CC85" s="11">
        <v>82</v>
      </c>
      <c r="CD85" s="12"/>
    </row>
    <row r="86" spans="1:82">
      <c r="R86" s="11">
        <v>83</v>
      </c>
      <c r="S86" s="12"/>
      <c r="T86" s="13"/>
      <c r="U86" s="13"/>
      <c r="W86" s="11">
        <v>83</v>
      </c>
      <c r="X86" s="12"/>
      <c r="Y86" s="13"/>
      <c r="Z86" s="13"/>
      <c r="AB86" s="11">
        <v>83</v>
      </c>
      <c r="AC86" s="12"/>
      <c r="AD86" s="12"/>
      <c r="AE86" s="12"/>
      <c r="AG86" s="11">
        <v>83</v>
      </c>
      <c r="AH86" s="12"/>
      <c r="AI86" s="12"/>
      <c r="AJ86" s="12"/>
      <c r="AL86" s="11">
        <v>83</v>
      </c>
      <c r="AM86" s="12"/>
      <c r="AN86" s="12"/>
      <c r="AO86" s="12"/>
      <c r="AQ86" s="11">
        <v>83</v>
      </c>
      <c r="AR86" s="13"/>
      <c r="AS86" s="13"/>
      <c r="AT86" s="11">
        <v>83</v>
      </c>
      <c r="AU86" s="13"/>
      <c r="AW86" s="11">
        <v>83</v>
      </c>
      <c r="AX86" s="12"/>
      <c r="AY86" s="12"/>
      <c r="AZ86" s="12"/>
      <c r="BA86" s="12"/>
      <c r="BB86" s="12"/>
      <c r="BC86" s="12"/>
      <c r="BD86" s="12"/>
      <c r="BE86" s="12"/>
      <c r="BF86" s="24"/>
      <c r="BG86" s="29"/>
      <c r="BH86" s="12"/>
      <c r="BI86" s="12"/>
      <c r="BK86" s="11">
        <v>83</v>
      </c>
      <c r="BL86" s="12"/>
      <c r="BM86" s="13"/>
      <c r="BN86" s="13"/>
      <c r="BP86" s="11">
        <v>83</v>
      </c>
      <c r="BQ86" s="12"/>
      <c r="BR86" s="13"/>
      <c r="BS86" s="13"/>
      <c r="BU86" s="11">
        <v>83</v>
      </c>
      <c r="BV86" s="12"/>
      <c r="BW86" s="12"/>
      <c r="BX86" s="12"/>
      <c r="BZ86" s="11">
        <v>83</v>
      </c>
      <c r="CA86" s="12"/>
      <c r="CC86" s="11">
        <v>83</v>
      </c>
      <c r="CD86" s="12"/>
    </row>
    <row r="87" spans="1:82">
      <c r="R87" s="11">
        <v>84</v>
      </c>
      <c r="S87" s="12"/>
      <c r="T87" s="13"/>
      <c r="U87" s="13"/>
      <c r="W87" s="11">
        <v>84</v>
      </c>
      <c r="X87" s="12"/>
      <c r="Y87" s="13"/>
      <c r="Z87" s="13"/>
      <c r="AB87" s="11">
        <v>84</v>
      </c>
      <c r="AC87" s="12"/>
      <c r="AD87" s="12"/>
      <c r="AE87" s="12"/>
      <c r="AG87" s="11">
        <v>84</v>
      </c>
      <c r="AH87" s="12"/>
      <c r="AI87" s="12"/>
      <c r="AJ87" s="12"/>
      <c r="AL87" s="11">
        <v>84</v>
      </c>
      <c r="AM87" s="12"/>
      <c r="AN87" s="12"/>
      <c r="AO87" s="12"/>
      <c r="AQ87" s="11">
        <v>84</v>
      </c>
      <c r="AR87" s="13"/>
      <c r="AS87" s="13"/>
      <c r="AT87" s="11">
        <v>84</v>
      </c>
      <c r="AU87" s="13"/>
      <c r="AW87" s="11">
        <v>84</v>
      </c>
      <c r="AX87" s="12"/>
      <c r="AY87" s="12"/>
      <c r="AZ87" s="12"/>
      <c r="BA87" s="12"/>
      <c r="BB87" s="12"/>
      <c r="BC87" s="12"/>
      <c r="BD87" s="12"/>
      <c r="BE87" s="12"/>
      <c r="BF87" s="24"/>
      <c r="BG87" s="29"/>
      <c r="BH87" s="12"/>
      <c r="BI87" s="12"/>
      <c r="BK87" s="11">
        <v>84</v>
      </c>
      <c r="BL87" s="12"/>
      <c r="BM87" s="13"/>
      <c r="BN87" s="13"/>
      <c r="BP87" s="11">
        <v>84</v>
      </c>
      <c r="BQ87" s="12"/>
      <c r="BR87" s="13"/>
      <c r="BS87" s="13"/>
      <c r="BU87" s="11">
        <v>84</v>
      </c>
      <c r="BV87" s="12"/>
      <c r="BW87" s="12"/>
      <c r="BX87" s="12"/>
      <c r="BZ87" s="11">
        <v>84</v>
      </c>
      <c r="CA87" s="12"/>
      <c r="CC87" s="11">
        <v>84</v>
      </c>
      <c r="CD87" s="12"/>
    </row>
    <row r="88" spans="1:82">
      <c r="R88" s="11">
        <v>85</v>
      </c>
      <c r="S88" s="12"/>
      <c r="T88" s="13"/>
      <c r="U88" s="13"/>
      <c r="W88" s="11">
        <v>85</v>
      </c>
      <c r="X88" s="12"/>
      <c r="Y88" s="13"/>
      <c r="Z88" s="13"/>
      <c r="AB88" s="11">
        <v>85</v>
      </c>
      <c r="AC88" s="12"/>
      <c r="AD88" s="12"/>
      <c r="AE88" s="12"/>
      <c r="AG88" s="11">
        <v>85</v>
      </c>
      <c r="AH88" s="12"/>
      <c r="AI88" s="12"/>
      <c r="AJ88" s="12"/>
      <c r="AL88" s="11">
        <v>85</v>
      </c>
      <c r="AM88" s="12"/>
      <c r="AN88" s="12"/>
      <c r="AO88" s="12"/>
      <c r="AQ88" s="11">
        <v>85</v>
      </c>
      <c r="AR88" s="13"/>
      <c r="AS88" s="13"/>
      <c r="AT88" s="11">
        <v>85</v>
      </c>
      <c r="AU88" s="13"/>
      <c r="AW88" s="11">
        <v>85</v>
      </c>
      <c r="AX88" s="12"/>
      <c r="AY88" s="12"/>
      <c r="AZ88" s="12"/>
      <c r="BA88" s="12"/>
      <c r="BB88" s="12"/>
      <c r="BC88" s="12"/>
      <c r="BD88" s="12"/>
      <c r="BE88" s="12"/>
      <c r="BF88" s="24"/>
      <c r="BG88" s="29"/>
      <c r="BH88" s="12"/>
      <c r="BI88" s="12"/>
      <c r="BK88" s="11">
        <v>85</v>
      </c>
      <c r="BL88" s="12"/>
      <c r="BM88" s="13"/>
      <c r="BN88" s="13"/>
      <c r="BP88" s="11">
        <v>85</v>
      </c>
      <c r="BQ88" s="12"/>
      <c r="BR88" s="13"/>
      <c r="BS88" s="13"/>
      <c r="BU88" s="11">
        <v>85</v>
      </c>
      <c r="BV88" s="12"/>
      <c r="BW88" s="12"/>
      <c r="BX88" s="12"/>
      <c r="BZ88" s="11">
        <v>85</v>
      </c>
      <c r="CA88" s="12"/>
      <c r="CC88" s="11">
        <v>85</v>
      </c>
      <c r="CD88" s="12"/>
    </row>
    <row r="89" spans="1:82">
      <c r="R89" s="11">
        <v>86</v>
      </c>
      <c r="S89" s="12"/>
      <c r="T89" s="13"/>
      <c r="U89" s="13"/>
      <c r="W89" s="11">
        <v>86</v>
      </c>
      <c r="X89" s="12"/>
      <c r="Y89" s="13"/>
      <c r="Z89" s="13"/>
      <c r="AB89" s="11">
        <v>86</v>
      </c>
      <c r="AC89" s="12"/>
      <c r="AD89" s="12"/>
      <c r="AE89" s="12"/>
      <c r="AG89" s="11">
        <v>86</v>
      </c>
      <c r="AH89" s="12"/>
      <c r="AI89" s="12"/>
      <c r="AJ89" s="12"/>
      <c r="AL89" s="11">
        <v>86</v>
      </c>
      <c r="AM89" s="12"/>
      <c r="AN89" s="12"/>
      <c r="AO89" s="12"/>
      <c r="AQ89" s="11">
        <v>86</v>
      </c>
      <c r="AR89" s="13"/>
      <c r="AS89" s="13"/>
      <c r="AT89" s="11">
        <v>86</v>
      </c>
      <c r="AU89" s="13"/>
      <c r="AW89" s="11">
        <v>86</v>
      </c>
      <c r="AX89" s="12"/>
      <c r="AY89" s="12"/>
      <c r="AZ89" s="12"/>
      <c r="BA89" s="12"/>
      <c r="BB89" s="12"/>
      <c r="BC89" s="12"/>
      <c r="BD89" s="12"/>
      <c r="BE89" s="12"/>
      <c r="BF89" s="24"/>
      <c r="BG89" s="29"/>
      <c r="BH89" s="12"/>
      <c r="BI89" s="12"/>
      <c r="BK89" s="11">
        <v>86</v>
      </c>
      <c r="BL89" s="12"/>
      <c r="BM89" s="13"/>
      <c r="BN89" s="13"/>
      <c r="BP89" s="11">
        <v>86</v>
      </c>
      <c r="BQ89" s="12"/>
      <c r="BR89" s="13"/>
      <c r="BS89" s="13"/>
      <c r="BU89" s="11">
        <v>86</v>
      </c>
      <c r="BV89" s="12"/>
      <c r="BW89" s="12"/>
      <c r="BX89" s="12"/>
      <c r="BZ89" s="11">
        <v>86</v>
      </c>
      <c r="CA89" s="12"/>
      <c r="CC89" s="11">
        <v>86</v>
      </c>
      <c r="CD89" s="12"/>
    </row>
    <row r="90" spans="1:82">
      <c r="R90" s="11">
        <v>87</v>
      </c>
      <c r="S90" s="12"/>
      <c r="T90" s="13"/>
      <c r="U90" s="13"/>
      <c r="W90" s="11">
        <v>87</v>
      </c>
      <c r="X90" s="12"/>
      <c r="Y90" s="13"/>
      <c r="Z90" s="13"/>
      <c r="AB90" s="11">
        <v>87</v>
      </c>
      <c r="AC90" s="12"/>
      <c r="AD90" s="12"/>
      <c r="AE90" s="12"/>
      <c r="AG90" s="11">
        <v>87</v>
      </c>
      <c r="AH90" s="12"/>
      <c r="AI90" s="12"/>
      <c r="AJ90" s="12"/>
      <c r="AL90" s="11">
        <v>87</v>
      </c>
      <c r="AM90" s="12"/>
      <c r="AN90" s="12"/>
      <c r="AO90" s="12"/>
      <c r="AQ90" s="11">
        <v>87</v>
      </c>
      <c r="AR90" s="13"/>
      <c r="AS90" s="13"/>
      <c r="AT90" s="11">
        <v>87</v>
      </c>
      <c r="AU90" s="13"/>
      <c r="AW90" s="11">
        <v>87</v>
      </c>
      <c r="AX90" s="12"/>
      <c r="AY90" s="12"/>
      <c r="AZ90" s="12"/>
      <c r="BA90" s="12"/>
      <c r="BB90" s="12"/>
      <c r="BC90" s="12"/>
      <c r="BD90" s="12"/>
      <c r="BE90" s="12"/>
      <c r="BF90" s="24"/>
      <c r="BG90" s="29"/>
      <c r="BH90" s="12"/>
      <c r="BI90" s="12"/>
      <c r="BK90" s="11">
        <v>87</v>
      </c>
      <c r="BL90" s="12"/>
      <c r="BM90" s="13"/>
      <c r="BN90" s="13"/>
      <c r="BP90" s="11">
        <v>87</v>
      </c>
      <c r="BQ90" s="12"/>
      <c r="BR90" s="13"/>
      <c r="BS90" s="13"/>
      <c r="BU90" s="11">
        <v>87</v>
      </c>
      <c r="BV90" s="12"/>
      <c r="BW90" s="12"/>
      <c r="BX90" s="12"/>
      <c r="BZ90" s="11">
        <v>87</v>
      </c>
      <c r="CA90" s="12"/>
      <c r="CC90" s="11">
        <v>87</v>
      </c>
      <c r="CD90" s="12"/>
    </row>
    <row r="91" spans="1:82">
      <c r="R91" s="11">
        <v>88</v>
      </c>
      <c r="S91" s="12"/>
      <c r="T91" s="13"/>
      <c r="U91" s="13"/>
      <c r="W91" s="11">
        <v>88</v>
      </c>
      <c r="X91" s="12"/>
      <c r="Y91" s="13"/>
      <c r="Z91" s="13"/>
      <c r="AB91" s="11">
        <v>88</v>
      </c>
      <c r="AC91" s="12"/>
      <c r="AD91" s="12"/>
      <c r="AE91" s="12"/>
      <c r="AG91" s="11">
        <v>88</v>
      </c>
      <c r="AH91" s="12"/>
      <c r="AI91" s="12"/>
      <c r="AJ91" s="12"/>
      <c r="AL91" s="11">
        <v>88</v>
      </c>
      <c r="AM91" s="12"/>
      <c r="AN91" s="12"/>
      <c r="AO91" s="12"/>
      <c r="AQ91" s="11">
        <v>88</v>
      </c>
      <c r="AR91" s="13"/>
      <c r="AS91" s="13"/>
      <c r="AT91" s="11">
        <v>88</v>
      </c>
      <c r="AU91" s="13"/>
      <c r="AW91" s="11">
        <v>88</v>
      </c>
      <c r="AX91" s="12"/>
      <c r="AY91" s="12"/>
      <c r="AZ91" s="12"/>
      <c r="BA91" s="12"/>
      <c r="BB91" s="12"/>
      <c r="BC91" s="12"/>
      <c r="BD91" s="12"/>
      <c r="BE91" s="12"/>
      <c r="BF91" s="24"/>
      <c r="BG91" s="29"/>
      <c r="BH91" s="12"/>
      <c r="BI91" s="12"/>
      <c r="BK91" s="11">
        <v>88</v>
      </c>
      <c r="BL91" s="12"/>
      <c r="BM91" s="13"/>
      <c r="BN91" s="13"/>
      <c r="BP91" s="11">
        <v>88</v>
      </c>
      <c r="BQ91" s="12"/>
      <c r="BR91" s="13"/>
      <c r="BS91" s="13"/>
      <c r="BU91" s="11">
        <v>88</v>
      </c>
      <c r="BV91" s="12"/>
      <c r="BW91" s="12"/>
      <c r="BX91" s="12"/>
      <c r="BZ91" s="11">
        <v>88</v>
      </c>
      <c r="CA91" s="12"/>
      <c r="CC91" s="11">
        <v>88</v>
      </c>
      <c r="CD91" s="12"/>
    </row>
    <row r="92" spans="1:82">
      <c r="R92" s="11">
        <v>89</v>
      </c>
      <c r="S92" s="12"/>
      <c r="T92" s="13"/>
      <c r="U92" s="13"/>
      <c r="W92" s="11">
        <v>89</v>
      </c>
      <c r="X92" s="12"/>
      <c r="Y92" s="13"/>
      <c r="Z92" s="13"/>
      <c r="AB92" s="11">
        <v>89</v>
      </c>
      <c r="AC92" s="12"/>
      <c r="AD92" s="12"/>
      <c r="AE92" s="12"/>
      <c r="AG92" s="11">
        <v>89</v>
      </c>
      <c r="AH92" s="12"/>
      <c r="AI92" s="12"/>
      <c r="AJ92" s="12"/>
      <c r="AL92" s="11">
        <v>89</v>
      </c>
      <c r="AM92" s="12"/>
      <c r="AN92" s="12"/>
      <c r="AO92" s="12"/>
      <c r="AQ92" s="11">
        <v>89</v>
      </c>
      <c r="AR92" s="13"/>
      <c r="AS92" s="13"/>
      <c r="AT92" s="11">
        <v>89</v>
      </c>
      <c r="AU92" s="13"/>
      <c r="AW92" s="11">
        <v>89</v>
      </c>
      <c r="AX92" s="12"/>
      <c r="AY92" s="12"/>
      <c r="AZ92" s="12"/>
      <c r="BA92" s="12"/>
      <c r="BB92" s="12"/>
      <c r="BC92" s="12"/>
      <c r="BD92" s="12"/>
      <c r="BE92" s="12"/>
      <c r="BF92" s="24"/>
      <c r="BG92" s="29"/>
      <c r="BH92" s="12"/>
      <c r="BI92" s="12"/>
      <c r="BK92" s="11">
        <v>89</v>
      </c>
      <c r="BL92" s="12"/>
      <c r="BM92" s="13"/>
      <c r="BN92" s="13"/>
      <c r="BP92" s="11">
        <v>89</v>
      </c>
      <c r="BQ92" s="12"/>
      <c r="BR92" s="13"/>
      <c r="BS92" s="13"/>
      <c r="BU92" s="11">
        <v>89</v>
      </c>
      <c r="BV92" s="12"/>
      <c r="BW92" s="12"/>
      <c r="BX92" s="12"/>
      <c r="BZ92" s="11">
        <v>89</v>
      </c>
      <c r="CA92" s="12"/>
      <c r="CC92" s="11">
        <v>89</v>
      </c>
      <c r="CD92" s="12"/>
    </row>
    <row r="93" spans="1:82">
      <c r="R93" s="11">
        <v>90</v>
      </c>
      <c r="S93" s="12"/>
      <c r="T93" s="13"/>
      <c r="U93" s="13"/>
      <c r="W93" s="11">
        <v>90</v>
      </c>
      <c r="X93" s="12"/>
      <c r="Y93" s="13"/>
      <c r="Z93" s="13"/>
      <c r="AB93" s="11">
        <v>90</v>
      </c>
      <c r="AC93" s="12"/>
      <c r="AD93" s="12"/>
      <c r="AE93" s="12"/>
      <c r="AG93" s="11">
        <v>90</v>
      </c>
      <c r="AH93" s="12"/>
      <c r="AI93" s="12"/>
      <c r="AJ93" s="12"/>
      <c r="AL93" s="11">
        <v>90</v>
      </c>
      <c r="AM93" s="12"/>
      <c r="AN93" s="12"/>
      <c r="AO93" s="12"/>
      <c r="AQ93" s="11">
        <v>90</v>
      </c>
      <c r="AR93" s="13"/>
      <c r="AS93" s="13"/>
      <c r="AT93" s="11">
        <v>90</v>
      </c>
      <c r="AU93" s="13"/>
      <c r="AW93" s="11">
        <v>90</v>
      </c>
      <c r="AX93" s="12"/>
      <c r="AY93" s="12"/>
      <c r="AZ93" s="12"/>
      <c r="BA93" s="12"/>
      <c r="BB93" s="12"/>
      <c r="BC93" s="12"/>
      <c r="BD93" s="12"/>
      <c r="BE93" s="12"/>
      <c r="BF93" s="24"/>
      <c r="BG93" s="29"/>
      <c r="BH93" s="12"/>
      <c r="BI93" s="12"/>
      <c r="BK93" s="11">
        <v>90</v>
      </c>
      <c r="BL93" s="12"/>
      <c r="BM93" s="13"/>
      <c r="BN93" s="13"/>
      <c r="BP93" s="11">
        <v>90</v>
      </c>
      <c r="BQ93" s="12"/>
      <c r="BR93" s="13"/>
      <c r="BS93" s="13"/>
      <c r="BU93" s="11">
        <v>90</v>
      </c>
      <c r="BV93" s="12"/>
      <c r="BW93" s="12"/>
      <c r="BX93" s="12"/>
      <c r="BZ93" s="11">
        <v>90</v>
      </c>
      <c r="CA93" s="12"/>
      <c r="CC93" s="11">
        <v>90</v>
      </c>
      <c r="CD93" s="12"/>
    </row>
    <row r="94" spans="1:82">
      <c r="R94" s="11">
        <v>91</v>
      </c>
      <c r="S94" s="12"/>
      <c r="T94" s="13"/>
      <c r="U94" s="13"/>
      <c r="W94" s="11">
        <v>91</v>
      </c>
      <c r="X94" s="12"/>
      <c r="Y94" s="13"/>
      <c r="Z94" s="13"/>
      <c r="AB94" s="11">
        <v>91</v>
      </c>
      <c r="AC94" s="12"/>
      <c r="AD94" s="12"/>
      <c r="AE94" s="12"/>
      <c r="AG94" s="11">
        <v>91</v>
      </c>
      <c r="AH94" s="12"/>
      <c r="AI94" s="12"/>
      <c r="AJ94" s="12"/>
      <c r="AL94" s="11">
        <v>91</v>
      </c>
      <c r="AM94" s="12"/>
      <c r="AN94" s="12"/>
      <c r="AO94" s="12"/>
      <c r="AQ94" s="11">
        <v>91</v>
      </c>
      <c r="AR94" s="13"/>
      <c r="AS94" s="13"/>
      <c r="AT94" s="11">
        <v>91</v>
      </c>
      <c r="AU94" s="13"/>
      <c r="AW94" s="11">
        <v>91</v>
      </c>
      <c r="AX94" s="12"/>
      <c r="AY94" s="12"/>
      <c r="AZ94" s="12"/>
      <c r="BA94" s="12"/>
      <c r="BB94" s="12"/>
      <c r="BC94" s="12"/>
      <c r="BD94" s="12"/>
      <c r="BE94" s="12"/>
      <c r="BF94" s="24"/>
      <c r="BG94" s="29"/>
      <c r="BH94" s="12"/>
      <c r="BI94" s="12"/>
      <c r="BK94" s="11">
        <v>91</v>
      </c>
      <c r="BL94" s="12"/>
      <c r="BM94" s="13"/>
      <c r="BN94" s="13"/>
      <c r="BP94" s="11">
        <v>91</v>
      </c>
      <c r="BQ94" s="12"/>
      <c r="BR94" s="13"/>
      <c r="BS94" s="13"/>
      <c r="BU94" s="11">
        <v>91</v>
      </c>
      <c r="BV94" s="12"/>
      <c r="BW94" s="12"/>
      <c r="BX94" s="12"/>
      <c r="BZ94" s="11">
        <v>91</v>
      </c>
      <c r="CA94" s="12"/>
      <c r="CC94" s="11">
        <v>91</v>
      </c>
      <c r="CD94" s="12"/>
    </row>
    <row r="95" spans="1:82">
      <c r="R95" s="11">
        <v>92</v>
      </c>
      <c r="S95" s="12"/>
      <c r="T95" s="13"/>
      <c r="U95" s="13"/>
      <c r="W95" s="11">
        <v>92</v>
      </c>
      <c r="X95" s="12"/>
      <c r="Y95" s="13"/>
      <c r="Z95" s="13"/>
      <c r="AB95" s="11">
        <v>92</v>
      </c>
      <c r="AC95" s="12"/>
      <c r="AD95" s="12"/>
      <c r="AE95" s="12"/>
      <c r="AG95" s="11">
        <v>92</v>
      </c>
      <c r="AH95" s="12"/>
      <c r="AI95" s="12"/>
      <c r="AJ95" s="12"/>
      <c r="AL95" s="11">
        <v>92</v>
      </c>
      <c r="AM95" s="12"/>
      <c r="AN95" s="12"/>
      <c r="AO95" s="12"/>
      <c r="AQ95" s="11">
        <v>92</v>
      </c>
      <c r="AR95" s="13"/>
      <c r="AS95" s="13"/>
      <c r="AT95" s="11">
        <v>92</v>
      </c>
      <c r="AU95" s="13"/>
      <c r="AW95" s="11">
        <v>92</v>
      </c>
      <c r="AX95" s="12"/>
      <c r="AY95" s="12"/>
      <c r="AZ95" s="12"/>
      <c r="BA95" s="12"/>
      <c r="BB95" s="12"/>
      <c r="BC95" s="12"/>
      <c r="BD95" s="12"/>
      <c r="BE95" s="12"/>
      <c r="BF95" s="24"/>
      <c r="BG95" s="29"/>
      <c r="BH95" s="12"/>
      <c r="BI95" s="12"/>
      <c r="BK95" s="11">
        <v>92</v>
      </c>
      <c r="BL95" s="12"/>
      <c r="BM95" s="13"/>
      <c r="BN95" s="13"/>
      <c r="BP95" s="11">
        <v>92</v>
      </c>
      <c r="BQ95" s="12"/>
      <c r="BR95" s="13"/>
      <c r="BS95" s="13"/>
      <c r="BU95" s="11">
        <v>92</v>
      </c>
      <c r="BV95" s="12"/>
      <c r="BW95" s="12"/>
      <c r="BX95" s="12"/>
      <c r="BZ95" s="11">
        <v>92</v>
      </c>
      <c r="CA95" s="12"/>
      <c r="CC95" s="11">
        <v>92</v>
      </c>
      <c r="CD95" s="12"/>
    </row>
    <row r="96" spans="1:82">
      <c r="R96" s="11">
        <v>93</v>
      </c>
      <c r="S96" s="12"/>
      <c r="T96" s="13"/>
      <c r="U96" s="13"/>
      <c r="W96" s="11">
        <v>93</v>
      </c>
      <c r="X96" s="12"/>
      <c r="Y96" s="13"/>
      <c r="Z96" s="13"/>
      <c r="AB96" s="11">
        <v>93</v>
      </c>
      <c r="AC96" s="12"/>
      <c r="AD96" s="12"/>
      <c r="AE96" s="12"/>
      <c r="AG96" s="11">
        <v>93</v>
      </c>
      <c r="AH96" s="12"/>
      <c r="AI96" s="12"/>
      <c r="AJ96" s="12"/>
      <c r="AL96" s="11">
        <v>93</v>
      </c>
      <c r="AM96" s="12"/>
      <c r="AN96" s="12"/>
      <c r="AO96" s="12"/>
      <c r="AQ96" s="11">
        <v>93</v>
      </c>
      <c r="AR96" s="13"/>
      <c r="AS96" s="13"/>
      <c r="AT96" s="11">
        <v>93</v>
      </c>
      <c r="AU96" s="13"/>
      <c r="AW96" s="11">
        <v>93</v>
      </c>
      <c r="AX96" s="12"/>
      <c r="AY96" s="12"/>
      <c r="AZ96" s="12"/>
      <c r="BA96" s="12"/>
      <c r="BB96" s="12"/>
      <c r="BC96" s="12"/>
      <c r="BD96" s="12"/>
      <c r="BE96" s="12"/>
      <c r="BF96" s="24"/>
      <c r="BG96" s="29"/>
      <c r="BH96" s="12"/>
      <c r="BI96" s="12"/>
      <c r="BK96" s="11">
        <v>93</v>
      </c>
      <c r="BL96" s="12"/>
      <c r="BM96" s="13"/>
      <c r="BN96" s="13"/>
      <c r="BP96" s="11">
        <v>93</v>
      </c>
      <c r="BQ96" s="12"/>
      <c r="BR96" s="13"/>
      <c r="BS96" s="13"/>
      <c r="BU96" s="11">
        <v>93</v>
      </c>
      <c r="BV96" s="12"/>
      <c r="BW96" s="12"/>
      <c r="BX96" s="12"/>
      <c r="BZ96" s="11">
        <v>93</v>
      </c>
      <c r="CA96" s="12"/>
      <c r="CC96" s="11">
        <v>93</v>
      </c>
      <c r="CD96" s="12"/>
    </row>
    <row r="97" spans="18:83">
      <c r="R97" s="11">
        <v>94</v>
      </c>
      <c r="S97" s="12"/>
      <c r="T97" s="13"/>
      <c r="U97" s="13"/>
      <c r="W97" s="11">
        <v>94</v>
      </c>
      <c r="X97" s="12"/>
      <c r="Y97" s="13"/>
      <c r="Z97" s="13"/>
      <c r="AB97" s="11">
        <v>94</v>
      </c>
      <c r="AC97" s="12"/>
      <c r="AD97" s="12"/>
      <c r="AE97" s="12"/>
      <c r="AG97" s="11">
        <v>94</v>
      </c>
      <c r="AH97" s="12"/>
      <c r="AI97" s="12"/>
      <c r="AJ97" s="12"/>
      <c r="AL97" s="11">
        <v>94</v>
      </c>
      <c r="AM97" s="12"/>
      <c r="AN97" s="12"/>
      <c r="AO97" s="12"/>
      <c r="AQ97" s="11">
        <v>94</v>
      </c>
      <c r="AR97" s="13"/>
      <c r="AS97" s="13"/>
      <c r="AT97" s="11">
        <v>94</v>
      </c>
      <c r="AU97" s="13"/>
      <c r="AW97" s="11">
        <v>94</v>
      </c>
      <c r="AX97" s="12"/>
      <c r="AY97" s="12"/>
      <c r="AZ97" s="12"/>
      <c r="BA97" s="12"/>
      <c r="BB97" s="12"/>
      <c r="BC97" s="12"/>
      <c r="BD97" s="12"/>
      <c r="BE97" s="12"/>
      <c r="BF97" s="24"/>
      <c r="BG97" s="29"/>
      <c r="BH97" s="12"/>
      <c r="BI97" s="12"/>
      <c r="BK97" s="11">
        <v>94</v>
      </c>
      <c r="BL97" s="12"/>
      <c r="BM97" s="13"/>
      <c r="BN97" s="13"/>
      <c r="BP97" s="11">
        <v>94</v>
      </c>
      <c r="BQ97" s="12"/>
      <c r="BR97" s="13"/>
      <c r="BS97" s="13"/>
      <c r="BU97" s="11">
        <v>94</v>
      </c>
      <c r="BV97" s="12"/>
      <c r="BW97" s="12"/>
      <c r="BX97" s="12"/>
      <c r="BZ97" s="11">
        <v>94</v>
      </c>
      <c r="CA97" s="12"/>
      <c r="CC97" s="11">
        <v>94</v>
      </c>
      <c r="CD97" s="12"/>
    </row>
    <row r="98" spans="18:83">
      <c r="R98" s="11">
        <v>95</v>
      </c>
      <c r="S98" s="12"/>
      <c r="T98" s="13"/>
      <c r="U98" s="13"/>
      <c r="W98" s="11">
        <v>95</v>
      </c>
      <c r="X98" s="12"/>
      <c r="Y98" s="13"/>
      <c r="Z98" s="13"/>
      <c r="AB98" s="11">
        <v>95</v>
      </c>
      <c r="AC98" s="12"/>
      <c r="AD98" s="12"/>
      <c r="AE98" s="12"/>
      <c r="AG98" s="11">
        <v>95</v>
      </c>
      <c r="AH98" s="12"/>
      <c r="AI98" s="12"/>
      <c r="AJ98" s="12"/>
      <c r="AL98" s="11">
        <v>95</v>
      </c>
      <c r="AM98" s="12"/>
      <c r="AN98" s="12"/>
      <c r="AO98" s="12"/>
      <c r="AQ98" s="11">
        <v>95</v>
      </c>
      <c r="AR98" s="13"/>
      <c r="AS98" s="13"/>
      <c r="AT98" s="11">
        <v>95</v>
      </c>
      <c r="AU98" s="13"/>
      <c r="AW98" s="11">
        <v>95</v>
      </c>
      <c r="AX98" s="12"/>
      <c r="AY98" s="12"/>
      <c r="AZ98" s="12"/>
      <c r="BA98" s="12"/>
      <c r="BB98" s="12"/>
      <c r="BC98" s="12"/>
      <c r="BD98" s="12"/>
      <c r="BE98" s="12"/>
      <c r="BF98" s="24"/>
      <c r="BG98" s="29"/>
      <c r="BH98" s="12"/>
      <c r="BI98" s="12"/>
      <c r="BK98" s="11">
        <v>95</v>
      </c>
      <c r="BL98" s="12"/>
      <c r="BM98" s="13"/>
      <c r="BN98" s="13"/>
      <c r="BP98" s="11">
        <v>95</v>
      </c>
      <c r="BQ98" s="12"/>
      <c r="BR98" s="13"/>
      <c r="BS98" s="13"/>
      <c r="BU98" s="11">
        <v>95</v>
      </c>
      <c r="BV98" s="12"/>
      <c r="BW98" s="12"/>
      <c r="BX98" s="12"/>
      <c r="BZ98" s="11">
        <v>95</v>
      </c>
      <c r="CA98" s="12"/>
      <c r="CC98" s="11">
        <v>95</v>
      </c>
      <c r="CD98" s="12"/>
    </row>
    <row r="99" spans="18:83">
      <c r="R99" s="11">
        <v>96</v>
      </c>
      <c r="S99" s="12"/>
      <c r="T99" s="13"/>
      <c r="U99" s="13"/>
      <c r="W99" s="11">
        <v>96</v>
      </c>
      <c r="X99" s="12"/>
      <c r="Y99" s="13"/>
      <c r="Z99" s="13"/>
      <c r="AB99" s="11">
        <v>96</v>
      </c>
      <c r="AC99" s="12"/>
      <c r="AD99" s="12"/>
      <c r="AE99" s="12"/>
      <c r="AG99" s="11">
        <v>96</v>
      </c>
      <c r="AH99" s="12"/>
      <c r="AI99" s="12"/>
      <c r="AJ99" s="12"/>
      <c r="AL99" s="11">
        <v>96</v>
      </c>
      <c r="AM99" s="12"/>
      <c r="AN99" s="12"/>
      <c r="AO99" s="12"/>
      <c r="AQ99" s="11">
        <v>96</v>
      </c>
      <c r="AR99" s="13"/>
      <c r="AS99" s="13"/>
      <c r="AT99" s="11">
        <v>96</v>
      </c>
      <c r="AU99" s="13"/>
      <c r="AW99" s="11">
        <v>96</v>
      </c>
      <c r="AX99" s="12"/>
      <c r="AY99" s="12"/>
      <c r="AZ99" s="12"/>
      <c r="BA99" s="12"/>
      <c r="BB99" s="12"/>
      <c r="BC99" s="12"/>
      <c r="BD99" s="12"/>
      <c r="BE99" s="12"/>
      <c r="BF99" s="24"/>
      <c r="BG99" s="29"/>
      <c r="BH99" s="12"/>
      <c r="BI99" s="12"/>
      <c r="BK99" s="11">
        <v>96</v>
      </c>
      <c r="BL99" s="12"/>
      <c r="BM99" s="13"/>
      <c r="BN99" s="13"/>
      <c r="BP99" s="11">
        <v>96</v>
      </c>
      <c r="BQ99" s="12"/>
      <c r="BR99" s="13"/>
      <c r="BS99" s="13"/>
      <c r="BU99" s="11">
        <v>96</v>
      </c>
      <c r="BV99" s="12"/>
      <c r="BW99" s="12"/>
      <c r="BX99" s="12"/>
      <c r="BZ99" s="11">
        <v>96</v>
      </c>
      <c r="CA99" s="12"/>
      <c r="CC99" s="11">
        <v>96</v>
      </c>
      <c r="CD99" s="12"/>
    </row>
    <row r="100" spans="18:83">
      <c r="R100" s="11">
        <v>97</v>
      </c>
      <c r="S100" s="12"/>
      <c r="T100" s="13"/>
      <c r="U100" s="13"/>
      <c r="W100" s="11">
        <v>97</v>
      </c>
      <c r="X100" s="12"/>
      <c r="Y100" s="13"/>
      <c r="Z100" s="13"/>
      <c r="AB100" s="11">
        <v>97</v>
      </c>
      <c r="AC100" s="12"/>
      <c r="AD100" s="12"/>
      <c r="AE100" s="12"/>
      <c r="AG100" s="11">
        <v>97</v>
      </c>
      <c r="AH100" s="12"/>
      <c r="AI100" s="12"/>
      <c r="AJ100" s="12"/>
      <c r="AL100" s="11">
        <v>97</v>
      </c>
      <c r="AM100" s="12"/>
      <c r="AN100" s="12"/>
      <c r="AO100" s="12"/>
      <c r="AQ100" s="11">
        <v>97</v>
      </c>
      <c r="AR100" s="13"/>
      <c r="AS100" s="13"/>
      <c r="AT100" s="11">
        <v>97</v>
      </c>
      <c r="AU100" s="13"/>
      <c r="AW100" s="11">
        <v>97</v>
      </c>
      <c r="AX100" s="12"/>
      <c r="AY100" s="12"/>
      <c r="AZ100" s="12"/>
      <c r="BA100" s="12"/>
      <c r="BB100" s="12"/>
      <c r="BC100" s="12"/>
      <c r="BD100" s="12"/>
      <c r="BE100" s="12"/>
      <c r="BF100" s="24"/>
      <c r="BG100" s="29"/>
      <c r="BH100" s="12"/>
      <c r="BI100" s="12"/>
      <c r="BK100" s="11">
        <v>97</v>
      </c>
      <c r="BL100" s="12"/>
      <c r="BM100" s="13"/>
      <c r="BN100" s="13"/>
      <c r="BP100" s="11">
        <v>97</v>
      </c>
      <c r="BQ100" s="12"/>
      <c r="BR100" s="13"/>
      <c r="BS100" s="13"/>
      <c r="BU100" s="11">
        <v>97</v>
      </c>
      <c r="BV100" s="12"/>
      <c r="BW100" s="12"/>
      <c r="BX100" s="12"/>
      <c r="BZ100" s="11">
        <v>97</v>
      </c>
      <c r="CA100" s="12"/>
      <c r="CC100" s="11">
        <v>97</v>
      </c>
      <c r="CD100" s="12"/>
    </row>
    <row r="101" spans="18:83">
      <c r="R101" s="11">
        <v>98</v>
      </c>
      <c r="S101" s="12"/>
      <c r="T101" s="13"/>
      <c r="U101" s="13"/>
      <c r="W101" s="11">
        <v>98</v>
      </c>
      <c r="X101" s="12"/>
      <c r="Y101" s="13"/>
      <c r="Z101" s="13"/>
      <c r="AB101" s="11">
        <v>98</v>
      </c>
      <c r="AC101" s="12"/>
      <c r="AD101" s="12"/>
      <c r="AE101" s="12"/>
      <c r="AG101" s="11">
        <v>98</v>
      </c>
      <c r="AH101" s="12"/>
      <c r="AI101" s="12"/>
      <c r="AJ101" s="12"/>
      <c r="AL101" s="11">
        <v>98</v>
      </c>
      <c r="AM101" s="12"/>
      <c r="AN101" s="12"/>
      <c r="AO101" s="12"/>
      <c r="AQ101" s="11">
        <v>98</v>
      </c>
      <c r="AR101" s="13"/>
      <c r="AS101" s="13"/>
      <c r="AT101" s="11">
        <v>98</v>
      </c>
      <c r="AU101" s="13"/>
      <c r="AW101" s="11">
        <v>98</v>
      </c>
      <c r="AX101" s="12"/>
      <c r="AY101" s="12"/>
      <c r="AZ101" s="12"/>
      <c r="BA101" s="12"/>
      <c r="BB101" s="12"/>
      <c r="BC101" s="12"/>
      <c r="BD101" s="12"/>
      <c r="BE101" s="12"/>
      <c r="BF101" s="24"/>
      <c r="BG101" s="29"/>
      <c r="BH101" s="12"/>
      <c r="BI101" s="12"/>
      <c r="BK101" s="11">
        <v>98</v>
      </c>
      <c r="BL101" s="12"/>
      <c r="BM101" s="13"/>
      <c r="BN101" s="13"/>
      <c r="BP101" s="11">
        <v>98</v>
      </c>
      <c r="BQ101" s="12"/>
      <c r="BR101" s="13"/>
      <c r="BS101" s="13"/>
      <c r="BU101" s="11">
        <v>98</v>
      </c>
      <c r="BV101" s="12"/>
      <c r="BW101" s="12"/>
      <c r="BX101" s="12"/>
      <c r="BZ101" s="11">
        <v>98</v>
      </c>
      <c r="CA101" s="12"/>
      <c r="CC101" s="11">
        <v>98</v>
      </c>
      <c r="CD101" s="12"/>
    </row>
    <row r="102" spans="18:83">
      <c r="R102" s="11">
        <v>99</v>
      </c>
      <c r="S102" s="12"/>
      <c r="T102" s="13"/>
      <c r="U102" s="13"/>
      <c r="W102" s="11">
        <v>99</v>
      </c>
      <c r="X102" s="12"/>
      <c r="Y102" s="13"/>
      <c r="Z102" s="13"/>
      <c r="AB102" s="11">
        <v>99</v>
      </c>
      <c r="AC102" s="12"/>
      <c r="AD102" s="12"/>
      <c r="AE102" s="12"/>
      <c r="AG102" s="11">
        <v>99</v>
      </c>
      <c r="AH102" s="12"/>
      <c r="AI102" s="12"/>
      <c r="AJ102" s="12"/>
      <c r="AL102" s="11">
        <v>99</v>
      </c>
      <c r="AM102" s="12"/>
      <c r="AN102" s="12"/>
      <c r="AO102" s="12"/>
      <c r="AQ102" s="11">
        <v>99</v>
      </c>
      <c r="AR102" s="13"/>
      <c r="AS102" s="13"/>
      <c r="AT102" s="11">
        <v>99</v>
      </c>
      <c r="AU102" s="13"/>
      <c r="AW102" s="11">
        <v>99</v>
      </c>
      <c r="AX102" s="12"/>
      <c r="AY102" s="12"/>
      <c r="AZ102" s="12"/>
      <c r="BA102" s="12"/>
      <c r="BB102" s="12"/>
      <c r="BC102" s="12"/>
      <c r="BD102" s="12"/>
      <c r="BE102" s="12"/>
      <c r="BF102" s="24"/>
      <c r="BG102" s="29"/>
      <c r="BH102" s="12"/>
      <c r="BI102" s="12"/>
      <c r="BK102" s="11">
        <v>99</v>
      </c>
      <c r="BL102" s="12"/>
      <c r="BM102" s="13"/>
      <c r="BN102" s="13"/>
      <c r="BP102" s="11">
        <v>99</v>
      </c>
      <c r="BQ102" s="12"/>
      <c r="BR102" s="13"/>
      <c r="BS102" s="13"/>
      <c r="BU102" s="11">
        <v>99</v>
      </c>
      <c r="BV102" s="12"/>
      <c r="BW102" s="12"/>
      <c r="BX102" s="12"/>
      <c r="BZ102" s="11">
        <v>99</v>
      </c>
      <c r="CA102" s="12"/>
      <c r="CC102" s="11">
        <v>99</v>
      </c>
      <c r="CD102" s="12"/>
    </row>
    <row r="103" spans="18:83">
      <c r="R103" s="11">
        <v>100</v>
      </c>
      <c r="S103" s="12"/>
      <c r="T103" s="13"/>
      <c r="U103" s="13"/>
      <c r="W103" s="11">
        <v>100</v>
      </c>
      <c r="X103" s="12"/>
      <c r="Y103" s="13"/>
      <c r="Z103" s="13"/>
      <c r="AB103" s="11">
        <v>100</v>
      </c>
      <c r="AC103" s="12"/>
      <c r="AD103" s="12"/>
      <c r="AE103" s="12"/>
      <c r="AG103" s="11">
        <v>100</v>
      </c>
      <c r="AH103" s="12"/>
      <c r="AI103" s="12"/>
      <c r="AJ103" s="12"/>
      <c r="AL103" s="11">
        <v>100</v>
      </c>
      <c r="AM103" s="12"/>
      <c r="AN103" s="12"/>
      <c r="AO103" s="12"/>
      <c r="AQ103" s="11">
        <v>100</v>
      </c>
      <c r="AR103" s="13"/>
      <c r="AS103" s="13"/>
      <c r="AT103" s="11">
        <v>100</v>
      </c>
      <c r="AU103" s="13"/>
      <c r="AW103" s="11">
        <v>100</v>
      </c>
      <c r="AX103" s="12"/>
      <c r="AY103" s="12"/>
      <c r="AZ103" s="12"/>
      <c r="BA103" s="12"/>
      <c r="BB103" s="12"/>
      <c r="BC103" s="12"/>
      <c r="BD103" s="12"/>
      <c r="BE103" s="12"/>
      <c r="BF103" s="24"/>
      <c r="BG103" s="29"/>
      <c r="BH103" s="12"/>
      <c r="BI103" s="12"/>
      <c r="BK103" s="11">
        <v>100</v>
      </c>
      <c r="BL103" s="12"/>
      <c r="BM103" s="13"/>
      <c r="BN103" s="13"/>
      <c r="BP103" s="11">
        <v>100</v>
      </c>
      <c r="BQ103" s="12"/>
      <c r="BR103" s="13"/>
      <c r="BS103" s="13"/>
      <c r="BU103" s="11">
        <v>100</v>
      </c>
      <c r="BV103" s="12"/>
      <c r="BW103" s="12"/>
      <c r="BX103" s="12"/>
      <c r="BZ103" s="11">
        <v>100</v>
      </c>
      <c r="CA103" s="12"/>
      <c r="CC103" s="11">
        <v>100</v>
      </c>
      <c r="CD103" s="12"/>
    </row>
    <row r="104" spans="18:83">
      <c r="BZ104"/>
      <c r="CA104"/>
      <c r="CD104"/>
      <c r="CE104"/>
    </row>
    <row r="111" spans="18:83">
      <c r="U111"/>
      <c r="AC111"/>
      <c r="AD111"/>
      <c r="AE111"/>
    </row>
    <row r="112" spans="18:83">
      <c r="U112" s="15"/>
      <c r="V112" s="15"/>
      <c r="W112" s="15"/>
      <c r="X112" s="15"/>
      <c r="Y112" s="15"/>
      <c r="Z112" s="15"/>
      <c r="AA112" s="15"/>
      <c r="AB112" s="15"/>
      <c r="AC112" s="15"/>
      <c r="AD112" s="15"/>
      <c r="AE112" s="15"/>
      <c r="AF112" s="15"/>
      <c r="AP112" s="15"/>
    </row>
    <row r="113" spans="9:42">
      <c r="V113" s="16"/>
      <c r="W113" s="16"/>
      <c r="X113" s="16"/>
      <c r="Y113" s="16"/>
      <c r="Z113" s="16"/>
      <c r="AA113" s="16"/>
      <c r="AB113" s="16"/>
      <c r="AF113" s="16"/>
      <c r="AP113" s="16"/>
    </row>
    <row r="126" spans="9:42">
      <c r="I126" s="34"/>
    </row>
  </sheetData>
  <mergeCells count="2">
    <mergeCell ref="J2:N2"/>
    <mergeCell ref="L5:N5"/>
  </mergeCells>
  <phoneticPr fontId="1" type="noConversion"/>
  <conditionalFormatting sqref="AP113">
    <cfRule type="cellIs" dxfId="546" priority="474" operator="equal">
      <formula>"E"</formula>
    </cfRule>
  </conditionalFormatting>
  <conditionalFormatting sqref="J13">
    <cfRule type="dataBar" priority="47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{974145E2-E2F1-4432-9AA8-2E27247DCB08}</x14:id>
        </ext>
      </extLst>
    </cfRule>
  </conditionalFormatting>
  <conditionalFormatting sqref="S1:U110 X2:Z2 S114:U1048576 S111:T113 X53:Z103 X39:X52">
    <cfRule type="cellIs" dxfId="545" priority="177" operator="equal">
      <formula>"E"</formula>
    </cfRule>
  </conditionalFormatting>
  <conditionalFormatting sqref="X3:Z38 Y39:Z52">
    <cfRule type="cellIs" dxfId="544" priority="176" operator="equal">
      <formula>"E"</formula>
    </cfRule>
  </conditionalFormatting>
  <conditionalFormatting sqref="R1:R70">
    <cfRule type="cellIs" dxfId="543" priority="178" stopIfTrue="1" operator="equal">
      <formula>"WW"</formula>
    </cfRule>
  </conditionalFormatting>
  <conditionalFormatting sqref="S3:U103">
    <cfRule type="cellIs" dxfId="542" priority="179" operator="equal">
      <formula>"M4"</formula>
    </cfRule>
  </conditionalFormatting>
  <conditionalFormatting sqref="W2:W70">
    <cfRule type="cellIs" dxfId="541" priority="180" stopIfTrue="1" operator="equal">
      <formula>"WW"</formula>
    </cfRule>
  </conditionalFormatting>
  <conditionalFormatting sqref="X53:Z103 X39:X52">
    <cfRule type="cellIs" dxfId="540" priority="181" operator="equal">
      <formula>"M4"</formula>
    </cfRule>
  </conditionalFormatting>
  <conditionalFormatting sqref="U113:AA113">
    <cfRule type="cellIs" dxfId="539" priority="175" operator="equal">
      <formula>"E"</formula>
    </cfRule>
  </conditionalFormatting>
  <conditionalFormatting sqref="X3:Z38 Y39:Z52">
    <cfRule type="cellIs" dxfId="538" priority="174" operator="equal">
      <formula>"M4"</formula>
    </cfRule>
  </conditionalFormatting>
  <conditionalFormatting sqref="AD1:AE1 AB1">
    <cfRule type="cellIs" dxfId="537" priority="173" operator="equal">
      <formula>"E"</formula>
    </cfRule>
  </conditionalFormatting>
  <conditionalFormatting sqref="AM3:AM38">
    <cfRule type="cellIs" dxfId="536" priority="172" operator="equal">
      <formula>"E"</formula>
    </cfRule>
  </conditionalFormatting>
  <conditionalFormatting sqref="AN3:AN32">
    <cfRule type="cellIs" dxfId="535" priority="171" operator="equal">
      <formula>"E"</formula>
    </cfRule>
  </conditionalFormatting>
  <conditionalFormatting sqref="AN1:AO1 AL1">
    <cfRule type="cellIs" dxfId="534" priority="170" operator="equal">
      <formula>"E"</formula>
    </cfRule>
  </conditionalFormatting>
  <conditionalFormatting sqref="AM53:AO103 AM39:AM52">
    <cfRule type="cellIs" dxfId="533" priority="169" operator="equal">
      <formula>"E"</formula>
    </cfRule>
  </conditionalFormatting>
  <conditionalFormatting sqref="AM2:AO2">
    <cfRule type="cellIs" dxfId="532" priority="168" operator="equal">
      <formula>"E"</formula>
    </cfRule>
  </conditionalFormatting>
  <conditionalFormatting sqref="AF113">
    <cfRule type="cellIs" dxfId="531" priority="167" operator="equal">
      <formula>"E"</formula>
    </cfRule>
  </conditionalFormatting>
  <conditionalFormatting sqref="AH3:AJ103">
    <cfRule type="cellIs" dxfId="530" priority="166" operator="equal">
      <formula>"E"</formula>
    </cfRule>
  </conditionalFormatting>
  <conditionalFormatting sqref="AH2:AJ2">
    <cfRule type="cellIs" dxfId="529" priority="165" operator="equal">
      <formula>"E"</formula>
    </cfRule>
  </conditionalFormatting>
  <conditionalFormatting sqref="AB113:AE113">
    <cfRule type="cellIs" dxfId="528" priority="182" operator="equal">
      <formula>"E"</formula>
    </cfRule>
  </conditionalFormatting>
  <conditionalFormatting sqref="AI1:AJ1 AG1">
    <cfRule type="cellIs" dxfId="527" priority="183" operator="equal">
      <formula>"E"</formula>
    </cfRule>
  </conditionalFormatting>
  <conditionalFormatting sqref="AC114:AE1048576 AC3:AE110">
    <cfRule type="cellIs" dxfId="526" priority="184" operator="equal">
      <formula>"E"</formula>
    </cfRule>
  </conditionalFormatting>
  <conditionalFormatting sqref="AC2:AE2">
    <cfRule type="cellIs" dxfId="525" priority="185" operator="equal">
      <formula>"E"</formula>
    </cfRule>
  </conditionalFormatting>
  <conditionalFormatting sqref="AB2:AB70">
    <cfRule type="cellIs" dxfId="524" priority="186" stopIfTrue="1" operator="equal">
      <formula>"WW"</formula>
    </cfRule>
  </conditionalFormatting>
  <conditionalFormatting sqref="AG2:AG70">
    <cfRule type="cellIs" dxfId="523" priority="163" stopIfTrue="1" operator="equal">
      <formula>"WW"</formula>
    </cfRule>
    <cfRule type="cellIs" dxfId="522" priority="164" stopIfTrue="1" operator="equal">
      <formula>"C2"</formula>
    </cfRule>
  </conditionalFormatting>
  <conditionalFormatting sqref="AL2:AL70">
    <cfRule type="cellIs" dxfId="521" priority="161" stopIfTrue="1" operator="equal">
      <formula>"WW"</formula>
    </cfRule>
    <cfRule type="cellIs" dxfId="520" priority="162" stopIfTrue="1" operator="equal">
      <formula>"C2"</formula>
    </cfRule>
  </conditionalFormatting>
  <conditionalFormatting sqref="AN33:AN42">
    <cfRule type="cellIs" dxfId="519" priority="160" operator="equal">
      <formula>"E"</formula>
    </cfRule>
  </conditionalFormatting>
  <conditionalFormatting sqref="AN43:AN52">
    <cfRule type="cellIs" dxfId="518" priority="159" operator="equal">
      <formula>"E"</formula>
    </cfRule>
  </conditionalFormatting>
  <conditionalFormatting sqref="AO3:AO52">
    <cfRule type="cellIs" dxfId="517" priority="158" operator="equal">
      <formula>"E"</formula>
    </cfRule>
  </conditionalFormatting>
  <conditionalFormatting sqref="AS39:AS103 AU2 AR1:AR1048576">
    <cfRule type="cellIs" dxfId="516" priority="148" operator="equal">
      <formula>"E"</formula>
    </cfRule>
  </conditionalFormatting>
  <conditionalFormatting sqref="AQ1">
    <cfRule type="cellIs" dxfId="515" priority="147" operator="equal">
      <formula>"E"</formula>
    </cfRule>
  </conditionalFormatting>
  <conditionalFormatting sqref="AT1">
    <cfRule type="cellIs" dxfId="514" priority="146" operator="equal">
      <formula>"E"</formula>
    </cfRule>
  </conditionalFormatting>
  <conditionalFormatting sqref="AS39:AS103 AR3:AR103">
    <cfRule type="cellIs" dxfId="513" priority="134" operator="equal">
      <formula>"RE"</formula>
    </cfRule>
    <cfRule type="cellIs" dxfId="512" priority="135" operator="equal">
      <formula>"3000"</formula>
    </cfRule>
    <cfRule type="cellIs" dxfId="511" priority="136" operator="equal">
      <formula>"300"</formula>
    </cfRule>
    <cfRule type="cellIs" dxfId="510" priority="137" operator="equal">
      <formula>"100"</formula>
    </cfRule>
    <cfRule type="cellIs" dxfId="509" priority="138" operator="equal">
      <formula>"50"</formula>
    </cfRule>
    <cfRule type="cellIs" dxfId="508" priority="139" operator="equal">
      <formula>"40"</formula>
    </cfRule>
    <cfRule type="cellIs" dxfId="507" priority="140" operator="equal">
      <formula>"20"</formula>
    </cfRule>
  </conditionalFormatting>
  <conditionalFormatting sqref="AR1 AR104:AR1048576">
    <cfRule type="cellIs" dxfId="506" priority="141" operator="equal">
      <formula>"M4"</formula>
    </cfRule>
    <cfRule type="cellIs" dxfId="505" priority="142" operator="equal">
      <formula>"M3"</formula>
    </cfRule>
    <cfRule type="cellIs" dxfId="504" priority="143" operator="equal">
      <formula>"M1"</formula>
    </cfRule>
    <cfRule type="cellIs" dxfId="503" priority="144" operator="equal">
      <formula>"M2"</formula>
    </cfRule>
    <cfRule type="cellIs" dxfId="502" priority="145" stopIfTrue="1" operator="between">
      <formula>"C1"</formula>
      <formula>"C2"</formula>
    </cfRule>
  </conditionalFormatting>
  <conditionalFormatting sqref="AQ2:AQ70">
    <cfRule type="cellIs" dxfId="501" priority="132" stopIfTrue="1" operator="equal">
      <formula>"WW"</formula>
    </cfRule>
    <cfRule type="cellIs" dxfId="500" priority="133" stopIfTrue="1" operator="equal">
      <formula>"C2"</formula>
    </cfRule>
  </conditionalFormatting>
  <conditionalFormatting sqref="AT2:AT70">
    <cfRule type="cellIs" dxfId="499" priority="130" stopIfTrue="1" operator="equal">
      <formula>"WW"</formula>
    </cfRule>
    <cfRule type="cellIs" dxfId="498" priority="131" stopIfTrue="1" operator="equal">
      <formula>"C2"</formula>
    </cfRule>
  </conditionalFormatting>
  <conditionalFormatting sqref="AU43:AU103">
    <cfRule type="cellIs" dxfId="497" priority="129" operator="equal">
      <formula>"E"</formula>
    </cfRule>
  </conditionalFormatting>
  <conditionalFormatting sqref="AU43:AU103">
    <cfRule type="cellIs" dxfId="496" priority="126" operator="equal">
      <formula>"M3"</formula>
    </cfRule>
    <cfRule type="cellIs" dxfId="495" priority="127" operator="equal">
      <formula>"M2"</formula>
    </cfRule>
    <cfRule type="cellIs" dxfId="494" priority="128" operator="equal">
      <formula>"M1"</formula>
    </cfRule>
    <cfRule type="cellIs" dxfId="493" priority="149" operator="equal">
      <formula>"M4"</formula>
    </cfRule>
  </conditionalFormatting>
  <conditionalFormatting sqref="AU3:AU42">
    <cfRule type="cellIs" dxfId="492" priority="125" operator="equal">
      <formula>"E"</formula>
    </cfRule>
  </conditionalFormatting>
  <conditionalFormatting sqref="AU3:AU42">
    <cfRule type="cellIs" dxfId="491" priority="124" operator="equal">
      <formula>"M4"</formula>
    </cfRule>
  </conditionalFormatting>
  <conditionalFormatting sqref="AU3:AU42">
    <cfRule type="cellIs" dxfId="490" priority="122" operator="equal">
      <formula>"RE"</formula>
    </cfRule>
    <cfRule type="cellIs" dxfId="489" priority="123" operator="equal">
      <formula>"20"</formula>
    </cfRule>
  </conditionalFormatting>
  <conditionalFormatting sqref="CE105:CE1048576">
    <cfRule type="cellIs" dxfId="488" priority="102" operator="equal">
      <formula>"E"</formula>
    </cfRule>
  </conditionalFormatting>
  <conditionalFormatting sqref="BL1:BN103 BV53:BX103">
    <cfRule type="cellIs" dxfId="487" priority="101" operator="equal">
      <formula>"E"</formula>
    </cfRule>
  </conditionalFormatting>
  <conditionalFormatting sqref="BW1:BX1 BU1 BQ2:BS2 BQ53:BS103 BQ39:BQ52">
    <cfRule type="cellIs" dxfId="486" priority="100" operator="equal">
      <formula>"E"</formula>
    </cfRule>
  </conditionalFormatting>
  <conditionalFormatting sqref="BV2:BX2">
    <cfRule type="cellIs" dxfId="485" priority="99" operator="equal">
      <formula>"E"</formula>
    </cfRule>
  </conditionalFormatting>
  <conditionalFormatting sqref="BB2">
    <cfRule type="cellIs" dxfId="484" priority="98" operator="equal">
      <formula>"E"</formula>
    </cfRule>
  </conditionalFormatting>
  <conditionalFormatting sqref="BE43:BE103">
    <cfRule type="cellIs" dxfId="483" priority="97" operator="equal">
      <formula>"E"</formula>
    </cfRule>
  </conditionalFormatting>
  <conditionalFormatting sqref="BE2">
    <cfRule type="cellIs" dxfId="482" priority="96" operator="equal">
      <formula>"E"</formula>
    </cfRule>
  </conditionalFormatting>
  <conditionalFormatting sqref="BF43:BF103">
    <cfRule type="cellIs" dxfId="481" priority="95" operator="equal">
      <formula>"E"</formula>
    </cfRule>
  </conditionalFormatting>
  <conditionalFormatting sqref="BF2">
    <cfRule type="cellIs" dxfId="480" priority="94" operator="equal">
      <formula>"E"</formula>
    </cfRule>
  </conditionalFormatting>
  <conditionalFormatting sqref="BC43:BC103">
    <cfRule type="cellIs" dxfId="479" priority="93" operator="equal">
      <formula>"E"</formula>
    </cfRule>
  </conditionalFormatting>
  <conditionalFormatting sqref="BC2">
    <cfRule type="cellIs" dxfId="478" priority="92" operator="equal">
      <formula>"E"</formula>
    </cfRule>
  </conditionalFormatting>
  <conditionalFormatting sqref="BD43:BD103">
    <cfRule type="cellIs" dxfId="477" priority="91" operator="equal">
      <formula>"E"</formula>
    </cfRule>
  </conditionalFormatting>
  <conditionalFormatting sqref="BH2">
    <cfRule type="cellIs" dxfId="476" priority="90" operator="equal">
      <formula>"E"</formula>
    </cfRule>
  </conditionalFormatting>
  <conditionalFormatting sqref="BD2">
    <cfRule type="cellIs" dxfId="475" priority="89" operator="equal">
      <formula>"E"</formula>
    </cfRule>
  </conditionalFormatting>
  <conditionalFormatting sqref="BG43:BG103">
    <cfRule type="cellIs" dxfId="474" priority="88" operator="equal">
      <formula>"E"</formula>
    </cfRule>
  </conditionalFormatting>
  <conditionalFormatting sqref="BG2">
    <cfRule type="cellIs" dxfId="473" priority="87" operator="equal">
      <formula>"E"</formula>
    </cfRule>
  </conditionalFormatting>
  <conditionalFormatting sqref="BH43:BH103">
    <cfRule type="cellIs" dxfId="472" priority="86" operator="equal">
      <formula>"E"</formula>
    </cfRule>
  </conditionalFormatting>
  <conditionalFormatting sqref="AX43:AX103">
    <cfRule type="cellIs" dxfId="471" priority="85" operator="equal">
      <formula>"E"</formula>
    </cfRule>
  </conditionalFormatting>
  <conditionalFormatting sqref="AX2">
    <cfRule type="cellIs" dxfId="470" priority="84" operator="equal">
      <formula>"E"</formula>
    </cfRule>
  </conditionalFormatting>
  <conditionalFormatting sqref="BI43:BI103">
    <cfRule type="cellIs" dxfId="469" priority="83" operator="equal">
      <formula>"E"</formula>
    </cfRule>
  </conditionalFormatting>
  <conditionalFormatting sqref="BI2">
    <cfRule type="cellIs" dxfId="468" priority="82" operator="equal">
      <formula>"E"</formula>
    </cfRule>
  </conditionalFormatting>
  <conditionalFormatting sqref="CD2">
    <cfRule type="cellIs" dxfId="467" priority="72" operator="equal">
      <formula>"E"</formula>
    </cfRule>
  </conditionalFormatting>
  <conditionalFormatting sqref="CD3:CD103 CD105:CD1048576">
    <cfRule type="cellIs" dxfId="466" priority="71" operator="equal">
      <formula>"E"</formula>
    </cfRule>
  </conditionalFormatting>
  <conditionalFormatting sqref="AY2">
    <cfRule type="cellIs" dxfId="465" priority="70" operator="equal">
      <formula>"E"</formula>
    </cfRule>
  </conditionalFormatting>
  <conditionalFormatting sqref="AZ2">
    <cfRule type="cellIs" dxfId="464" priority="69" operator="equal">
      <formula>"E"</formula>
    </cfRule>
  </conditionalFormatting>
  <conditionalFormatting sqref="BA43:BA103">
    <cfRule type="cellIs" dxfId="463" priority="68" operator="equal">
      <formula>"E"</formula>
    </cfRule>
  </conditionalFormatting>
  <conditionalFormatting sqref="BA2">
    <cfRule type="cellIs" dxfId="462" priority="67" operator="equal">
      <formula>"E"</formula>
    </cfRule>
  </conditionalFormatting>
  <conditionalFormatting sqref="BB43:BB103">
    <cfRule type="cellIs" dxfId="461" priority="66" operator="equal">
      <formula>"E"</formula>
    </cfRule>
  </conditionalFormatting>
  <conditionalFormatting sqref="BK1:BK70">
    <cfRule type="cellIs" dxfId="460" priority="103" stopIfTrue="1" operator="equal">
      <formula>"WW"</formula>
    </cfRule>
  </conditionalFormatting>
  <conditionalFormatting sqref="BL3:BN103">
    <cfRule type="cellIs" dxfId="459" priority="104" operator="equal">
      <formula>"M4"</formula>
    </cfRule>
  </conditionalFormatting>
  <conditionalFormatting sqref="BU2:BU70">
    <cfRule type="cellIs" dxfId="458" priority="80" stopIfTrue="1" operator="equal">
      <formula>"WW"</formula>
    </cfRule>
    <cfRule type="cellIs" dxfId="457" priority="81" stopIfTrue="1" operator="equal">
      <formula>"C2"</formula>
    </cfRule>
  </conditionalFormatting>
  <conditionalFormatting sqref="BP2:BP70">
    <cfRule type="cellIs" dxfId="456" priority="78" stopIfTrue="1" operator="equal">
      <formula>"WW"</formula>
    </cfRule>
    <cfRule type="cellIs" dxfId="455" priority="79" stopIfTrue="1" operator="equal">
      <formula>"C2"</formula>
    </cfRule>
  </conditionalFormatting>
  <conditionalFormatting sqref="BQ53:BS103 BQ39:BQ52">
    <cfRule type="cellIs" dxfId="454" priority="74" operator="equal">
      <formula>"M4"</formula>
    </cfRule>
    <cfRule type="cellIs" dxfId="453" priority="75" operator="equal">
      <formula>"M3"</formula>
    </cfRule>
    <cfRule type="cellIs" dxfId="452" priority="76" operator="equal">
      <formula>"M2"</formula>
    </cfRule>
    <cfRule type="cellIs" dxfId="451" priority="77" operator="equal">
      <formula>"M1"</formula>
    </cfRule>
  </conditionalFormatting>
  <conditionalFormatting sqref="BZ1:BZ70">
    <cfRule type="cellIs" dxfId="450" priority="73" stopIfTrue="1" operator="equal">
      <formula>"C2"</formula>
    </cfRule>
    <cfRule type="cellIs" dxfId="449" priority="105" stopIfTrue="1" operator="equal">
      <formula>"WW"</formula>
    </cfRule>
  </conditionalFormatting>
  <conditionalFormatting sqref="CA3:CA103">
    <cfRule type="cellIs" dxfId="448" priority="106" operator="equal">
      <formula>"M4"</formula>
    </cfRule>
  </conditionalFormatting>
  <conditionalFormatting sqref="CA1:CA103 CA105:CA1048576">
    <cfRule type="cellIs" dxfId="447" priority="107" operator="equal">
      <formula>"E"</formula>
    </cfRule>
  </conditionalFormatting>
  <conditionalFormatting sqref="CC1">
    <cfRule type="cellIs" dxfId="446" priority="108" operator="equal">
      <formula>"E"</formula>
    </cfRule>
  </conditionalFormatting>
  <conditionalFormatting sqref="CC2:CC70">
    <cfRule type="cellIs" dxfId="445" priority="64" stopIfTrue="1" operator="equal">
      <formula>"WW"</formula>
    </cfRule>
    <cfRule type="cellIs" dxfId="444" priority="65" stopIfTrue="1" operator="equal">
      <formula>"C2"</formula>
    </cfRule>
  </conditionalFormatting>
  <conditionalFormatting sqref="AW1">
    <cfRule type="cellIs" dxfId="443" priority="63" operator="equal">
      <formula>"E"</formula>
    </cfRule>
  </conditionalFormatting>
  <conditionalFormatting sqref="AY43:AY103">
    <cfRule type="cellIs" dxfId="442" priority="62" operator="equal">
      <formula>"E"</formula>
    </cfRule>
  </conditionalFormatting>
  <conditionalFormatting sqref="AW2:AW70">
    <cfRule type="cellIs" dxfId="441" priority="60" stopIfTrue="1" operator="equal">
      <formula>"WW"</formula>
    </cfRule>
    <cfRule type="cellIs" dxfId="440" priority="61" stopIfTrue="1" operator="equal">
      <formula>"C2"</formula>
    </cfRule>
  </conditionalFormatting>
  <conditionalFormatting sqref="AZ43:AZ103">
    <cfRule type="cellIs" dxfId="439" priority="59" operator="equal">
      <formula>"E"</formula>
    </cfRule>
  </conditionalFormatting>
  <conditionalFormatting sqref="AY3:AY12">
    <cfRule type="cellIs" dxfId="438" priority="58" operator="equal">
      <formula>"E"</formula>
    </cfRule>
  </conditionalFormatting>
  <conditionalFormatting sqref="BD3:BD12 BD23:BD42">
    <cfRule type="cellIs" dxfId="437" priority="57" operator="equal">
      <formula>"E"</formula>
    </cfRule>
  </conditionalFormatting>
  <conditionalFormatting sqref="BF3:BF12 BF23:BF42">
    <cfRule type="cellIs" dxfId="436" priority="56" operator="equal">
      <formula>"E"</formula>
    </cfRule>
  </conditionalFormatting>
  <conditionalFormatting sqref="BG3:BG12">
    <cfRule type="cellIs" dxfId="435" priority="55" operator="equal">
      <formula>"E"</formula>
    </cfRule>
  </conditionalFormatting>
  <conditionalFormatting sqref="AZ10:AZ12">
    <cfRule type="cellIs" dxfId="434" priority="54" operator="equal">
      <formula>"E"</formula>
    </cfRule>
  </conditionalFormatting>
  <conditionalFormatting sqref="BH3:BH12">
    <cfRule type="cellIs" dxfId="433" priority="53" operator="equal">
      <formula>"E"</formula>
    </cfRule>
  </conditionalFormatting>
  <conditionalFormatting sqref="BB3:BB4 BB12">
    <cfRule type="cellIs" dxfId="432" priority="52" operator="equal">
      <formula>"E"</formula>
    </cfRule>
  </conditionalFormatting>
  <conditionalFormatting sqref="AX3:AX12">
    <cfRule type="cellIs" dxfId="431" priority="51" operator="equal">
      <formula>"E"</formula>
    </cfRule>
  </conditionalFormatting>
  <conditionalFormatting sqref="BA3:BA12">
    <cfRule type="cellIs" dxfId="430" priority="50" operator="equal">
      <formula>"E"</formula>
    </cfRule>
  </conditionalFormatting>
  <conditionalFormatting sqref="BC3:BC4 BC12">
    <cfRule type="cellIs" dxfId="429" priority="49" operator="equal">
      <formula>"E"</formula>
    </cfRule>
  </conditionalFormatting>
  <conditionalFormatting sqref="BE3:BE12 BE23:BE42">
    <cfRule type="cellIs" dxfId="428" priority="48" operator="equal">
      <formula>"E"</formula>
    </cfRule>
  </conditionalFormatting>
  <conditionalFormatting sqref="BI3:BI12">
    <cfRule type="cellIs" dxfId="427" priority="47" operator="equal">
      <formula>"E"</formula>
    </cfRule>
  </conditionalFormatting>
  <conditionalFormatting sqref="BQ3:BS38 BR39:BS52">
    <cfRule type="cellIs" dxfId="426" priority="46" operator="equal">
      <formula>"E"</formula>
    </cfRule>
  </conditionalFormatting>
  <conditionalFormatting sqref="BR3:BS52">
    <cfRule type="cellIs" dxfId="425" priority="45" operator="equal">
      <formula>"M4"</formula>
    </cfRule>
  </conditionalFormatting>
  <conditionalFormatting sqref="BQ3:BS38 BR39:BS52">
    <cfRule type="cellIs" dxfId="424" priority="44" operator="equal">
      <formula>"M4"</formula>
    </cfRule>
  </conditionalFormatting>
  <conditionalFormatting sqref="BV3:BX52">
    <cfRule type="cellIs" dxfId="423" priority="43" operator="equal">
      <formula>"E"</formula>
    </cfRule>
  </conditionalFormatting>
  <conditionalFormatting sqref="AZ3:AZ9">
    <cfRule type="cellIs" dxfId="422" priority="42" operator="equal">
      <formula>"E"</formula>
    </cfRule>
  </conditionalFormatting>
  <conditionalFormatting sqref="BB5:BB11">
    <cfRule type="cellIs" dxfId="421" priority="41" operator="equal">
      <formula>"E"</formula>
    </cfRule>
  </conditionalFormatting>
  <conditionalFormatting sqref="BC5:BC11">
    <cfRule type="cellIs" dxfId="420" priority="40" operator="equal">
      <formula>"E"</formula>
    </cfRule>
  </conditionalFormatting>
  <conditionalFormatting sqref="AY13:AY22">
    <cfRule type="cellIs" dxfId="419" priority="39" operator="equal">
      <formula>"E"</formula>
    </cfRule>
  </conditionalFormatting>
  <conditionalFormatting sqref="AZ20:AZ22">
    <cfRule type="cellIs" dxfId="418" priority="38" operator="equal">
      <formula>"E"</formula>
    </cfRule>
  </conditionalFormatting>
  <conditionalFormatting sqref="AX13:AX22">
    <cfRule type="cellIs" dxfId="417" priority="37" operator="equal">
      <formula>"E"</formula>
    </cfRule>
  </conditionalFormatting>
  <conditionalFormatting sqref="BA13:BA22">
    <cfRule type="cellIs" dxfId="416" priority="36" operator="equal">
      <formula>"E"</formula>
    </cfRule>
  </conditionalFormatting>
  <conditionalFormatting sqref="AZ13:AZ19">
    <cfRule type="cellIs" dxfId="415" priority="35" operator="equal">
      <formula>"E"</formula>
    </cfRule>
  </conditionalFormatting>
  <conditionalFormatting sqref="AY23:AY32">
    <cfRule type="cellIs" dxfId="414" priority="34" operator="equal">
      <formula>"E"</formula>
    </cfRule>
  </conditionalFormatting>
  <conditionalFormatting sqref="AZ30:AZ32">
    <cfRule type="cellIs" dxfId="413" priority="33" operator="equal">
      <formula>"E"</formula>
    </cfRule>
  </conditionalFormatting>
  <conditionalFormatting sqref="AX23:AX32">
    <cfRule type="cellIs" dxfId="412" priority="32" operator="equal">
      <formula>"E"</formula>
    </cfRule>
  </conditionalFormatting>
  <conditionalFormatting sqref="BA23:BA32">
    <cfRule type="cellIs" dxfId="411" priority="31" operator="equal">
      <formula>"E"</formula>
    </cfRule>
  </conditionalFormatting>
  <conditionalFormatting sqref="AZ23:AZ29">
    <cfRule type="cellIs" dxfId="410" priority="30" operator="equal">
      <formula>"E"</formula>
    </cfRule>
  </conditionalFormatting>
  <conditionalFormatting sqref="AY33:AY42">
    <cfRule type="cellIs" dxfId="409" priority="29" operator="equal">
      <formula>"E"</formula>
    </cfRule>
  </conditionalFormatting>
  <conditionalFormatting sqref="AZ40:AZ42">
    <cfRule type="cellIs" dxfId="408" priority="28" operator="equal">
      <formula>"E"</formula>
    </cfRule>
  </conditionalFormatting>
  <conditionalFormatting sqref="AX33:AX42">
    <cfRule type="cellIs" dxfId="407" priority="27" operator="equal">
      <formula>"E"</formula>
    </cfRule>
  </conditionalFormatting>
  <conditionalFormatting sqref="BA33:BA42">
    <cfRule type="cellIs" dxfId="406" priority="26" operator="equal">
      <formula>"E"</formula>
    </cfRule>
  </conditionalFormatting>
  <conditionalFormatting sqref="AZ33:AZ39">
    <cfRule type="cellIs" dxfId="405" priority="25" operator="equal">
      <formula>"E"</formula>
    </cfRule>
  </conditionalFormatting>
  <conditionalFormatting sqref="BG13:BG22">
    <cfRule type="cellIs" dxfId="404" priority="24" operator="equal">
      <formula>"E"</formula>
    </cfRule>
  </conditionalFormatting>
  <conditionalFormatting sqref="BH13:BH22">
    <cfRule type="cellIs" dxfId="403" priority="23" operator="equal">
      <formula>"E"</formula>
    </cfRule>
  </conditionalFormatting>
  <conditionalFormatting sqref="BI13:BI22">
    <cfRule type="cellIs" dxfId="402" priority="22" operator="equal">
      <formula>"E"</formula>
    </cfRule>
  </conditionalFormatting>
  <conditionalFormatting sqref="BG23:BG32">
    <cfRule type="cellIs" dxfId="401" priority="21" operator="equal">
      <formula>"E"</formula>
    </cfRule>
  </conditionalFormatting>
  <conditionalFormatting sqref="BH23:BH32">
    <cfRule type="cellIs" dxfId="400" priority="20" operator="equal">
      <formula>"E"</formula>
    </cfRule>
  </conditionalFormatting>
  <conditionalFormatting sqref="BI23:BI32">
    <cfRule type="cellIs" dxfId="399" priority="19" operator="equal">
      <formula>"E"</formula>
    </cfRule>
  </conditionalFormatting>
  <conditionalFormatting sqref="BG33:BG42">
    <cfRule type="cellIs" dxfId="398" priority="18" operator="equal">
      <formula>"E"</formula>
    </cfRule>
  </conditionalFormatting>
  <conditionalFormatting sqref="BH33:BH42">
    <cfRule type="cellIs" dxfId="397" priority="17" operator="equal">
      <formula>"E"</formula>
    </cfRule>
  </conditionalFormatting>
  <conditionalFormatting sqref="BI33:BI42">
    <cfRule type="cellIs" dxfId="396" priority="16" operator="equal">
      <formula>"E"</formula>
    </cfRule>
  </conditionalFormatting>
  <conditionalFormatting sqref="BF13:BF22">
    <cfRule type="cellIs" dxfId="395" priority="15" operator="equal">
      <formula>"E"</formula>
    </cfRule>
  </conditionalFormatting>
  <conditionalFormatting sqref="BE13:BE22">
    <cfRule type="cellIs" dxfId="394" priority="14" operator="equal">
      <formula>"E"</formula>
    </cfRule>
  </conditionalFormatting>
  <conditionalFormatting sqref="BD13:BD22">
    <cfRule type="cellIs" dxfId="393" priority="13" operator="equal">
      <formula>"E"</formula>
    </cfRule>
  </conditionalFormatting>
  <conditionalFormatting sqref="BB13:BB14 BB22">
    <cfRule type="cellIs" dxfId="392" priority="12" operator="equal">
      <formula>"E"</formula>
    </cfRule>
  </conditionalFormatting>
  <conditionalFormatting sqref="BB15:BB21">
    <cfRule type="cellIs" dxfId="391" priority="11" operator="equal">
      <formula>"E"</formula>
    </cfRule>
  </conditionalFormatting>
  <conditionalFormatting sqref="BB23:BB24 BB32">
    <cfRule type="cellIs" dxfId="390" priority="10" operator="equal">
      <formula>"E"</formula>
    </cfRule>
  </conditionalFormatting>
  <conditionalFormatting sqref="BB25:BB31">
    <cfRule type="cellIs" dxfId="389" priority="9" operator="equal">
      <formula>"E"</formula>
    </cfRule>
  </conditionalFormatting>
  <conditionalFormatting sqref="BB33:BB34 BB42">
    <cfRule type="cellIs" dxfId="388" priority="8" operator="equal">
      <formula>"E"</formula>
    </cfRule>
  </conditionalFormatting>
  <conditionalFormatting sqref="BB35:BB41">
    <cfRule type="cellIs" dxfId="387" priority="7" operator="equal">
      <formula>"E"</formula>
    </cfRule>
  </conditionalFormatting>
  <conditionalFormatting sqref="BC13:BC14 BC22">
    <cfRule type="cellIs" dxfId="386" priority="6" operator="equal">
      <formula>"E"</formula>
    </cfRule>
  </conditionalFormatting>
  <conditionalFormatting sqref="BC15:BC21">
    <cfRule type="cellIs" dxfId="385" priority="5" operator="equal">
      <formula>"E"</formula>
    </cfRule>
  </conditionalFormatting>
  <conditionalFormatting sqref="BC23:BC24 BC32">
    <cfRule type="cellIs" dxfId="384" priority="4" operator="equal">
      <formula>"E"</formula>
    </cfRule>
  </conditionalFormatting>
  <conditionalFormatting sqref="BC25:BC31">
    <cfRule type="cellIs" dxfId="383" priority="3" operator="equal">
      <formula>"E"</formula>
    </cfRule>
  </conditionalFormatting>
  <conditionalFormatting sqref="BC33:BC34 BC42">
    <cfRule type="cellIs" dxfId="382" priority="2" operator="equal">
      <formula>"E"</formula>
    </cfRule>
  </conditionalFormatting>
  <conditionalFormatting sqref="BC35:BC41">
    <cfRule type="cellIs" dxfId="381" priority="1" operator="equal">
      <formula>"E"</formula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74145E2-E2F1-4432-9AA8-2E27247DCB0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J13</xm:sqref>
        </x14:conditionalFormatting>
      </x14:conditionalFormatting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96A035-918E-4B9D-8DD0-F88E6D40FE55}">
  <dimension ref="A1:CD126"/>
  <sheetViews>
    <sheetView topLeftCell="A67" workbookViewId="0">
      <selection sqref="A1:C1"/>
    </sheetView>
  </sheetViews>
  <sheetFormatPr defaultRowHeight="16.2"/>
  <cols>
    <col min="1" max="1" width="14.44140625" customWidth="1"/>
    <col min="2" max="2" width="5.77734375" customWidth="1"/>
    <col min="3" max="3" width="20.109375" customWidth="1"/>
    <col min="4" max="4" width="8.77734375" customWidth="1"/>
    <col min="5" max="5" width="7.21875" customWidth="1"/>
    <col min="6" max="6" width="7.77734375" customWidth="1"/>
    <col min="10" max="10" width="12.88671875" customWidth="1"/>
    <col min="13" max="15" width="8.6640625" customWidth="1"/>
    <col min="16" max="16" width="10.44140625" bestFit="1" customWidth="1"/>
    <col min="18" max="18" width="10.6640625" style="15" customWidth="1"/>
    <col min="19" max="21" width="9.77734375" style="16" customWidth="1"/>
    <col min="22" max="22" width="3.77734375" customWidth="1"/>
    <col min="24" max="26" width="4.44140625" customWidth="1"/>
    <col min="27" max="27" width="3.77734375" customWidth="1"/>
    <col min="28" max="28" width="9.88671875" customWidth="1"/>
    <col min="29" max="31" width="5.44140625" style="16" customWidth="1"/>
    <col min="32" max="32" width="3.6640625" customWidth="1"/>
    <col min="34" max="36" width="5.33203125" customWidth="1"/>
    <col min="37" max="37" width="3.44140625" customWidth="1"/>
    <col min="39" max="41" width="5.33203125" customWidth="1"/>
    <col min="42" max="42" width="13.44140625" customWidth="1"/>
    <col min="44" max="44" width="13.44140625" style="16" customWidth="1"/>
    <col min="45" max="45" width="3.77734375" customWidth="1"/>
    <col min="48" max="48" width="3.77734375" customWidth="1"/>
    <col min="49" max="49" width="12.44140625" customWidth="1"/>
    <col min="59" max="59" width="9.44140625" style="26" customWidth="1"/>
    <col min="60" max="60" width="8.88671875" customWidth="1"/>
    <col min="61" max="61" width="15.33203125" customWidth="1"/>
    <col min="72" max="72" width="3.77734375" customWidth="1"/>
    <col min="73" max="73" width="9.88671875" customWidth="1"/>
    <col min="74" max="76" width="5.44140625" style="16" customWidth="1"/>
    <col min="78" max="78" width="10.6640625" style="15" bestFit="1" customWidth="1"/>
    <col min="79" max="79" width="9.77734375" style="16" customWidth="1"/>
    <col min="80" max="80" width="6.44140625" customWidth="1"/>
    <col min="81" max="81" width="9.88671875" customWidth="1"/>
    <col min="82" max="82" width="12.21875" style="16" customWidth="1"/>
  </cols>
  <sheetData>
    <row r="1" spans="1:82">
      <c r="A1" s="30" t="s">
        <v>115</v>
      </c>
      <c r="D1" s="119">
        <v>5</v>
      </c>
      <c r="E1" s="119">
        <v>0</v>
      </c>
      <c r="F1" s="119">
        <v>0</v>
      </c>
      <c r="R1" s="9" t="s">
        <v>41</v>
      </c>
      <c r="S1" s="10"/>
      <c r="T1" s="10"/>
      <c r="U1" s="10"/>
      <c r="W1" s="18" t="s">
        <v>30</v>
      </c>
      <c r="AB1" s="10" t="s">
        <v>93</v>
      </c>
      <c r="AD1" s="10"/>
      <c r="AE1" s="10"/>
      <c r="AG1" s="10" t="s">
        <v>94</v>
      </c>
      <c r="AH1" s="16"/>
      <c r="AI1" s="10"/>
      <c r="AJ1" s="10"/>
      <c r="AL1" s="10" t="s">
        <v>95</v>
      </c>
      <c r="AM1" s="16"/>
      <c r="AN1" s="10"/>
      <c r="AO1" s="10"/>
      <c r="AQ1" s="19" t="s">
        <v>31</v>
      </c>
      <c r="AR1" s="10"/>
      <c r="AT1" s="19" t="s">
        <v>32</v>
      </c>
      <c r="AW1" s="19" t="s">
        <v>33</v>
      </c>
      <c r="AX1" s="16" t="s">
        <v>60</v>
      </c>
      <c r="AY1" s="16" t="s">
        <v>48</v>
      </c>
      <c r="AZ1" s="16" t="s">
        <v>49</v>
      </c>
      <c r="BA1" s="16" t="s">
        <v>50</v>
      </c>
      <c r="BB1" s="16" t="s">
        <v>51</v>
      </c>
      <c r="BC1" s="16" t="s">
        <v>52</v>
      </c>
      <c r="BD1" s="16" t="s">
        <v>53</v>
      </c>
      <c r="BE1" s="16" t="s">
        <v>54</v>
      </c>
      <c r="BF1" s="16" t="s">
        <v>55</v>
      </c>
      <c r="BG1" s="25" t="s">
        <v>87</v>
      </c>
      <c r="BH1" s="16" t="s">
        <v>88</v>
      </c>
      <c r="BI1" s="41" t="s">
        <v>89</v>
      </c>
      <c r="BK1" s="9" t="s">
        <v>43</v>
      </c>
      <c r="BL1" s="10"/>
      <c r="BM1" s="10"/>
      <c r="BN1" s="10"/>
      <c r="BP1" s="18" t="s">
        <v>143</v>
      </c>
      <c r="BU1" s="19" t="s">
        <v>142</v>
      </c>
      <c r="BW1" s="10"/>
      <c r="BX1" s="10"/>
      <c r="BZ1" s="9" t="s">
        <v>70</v>
      </c>
      <c r="CA1" s="10"/>
      <c r="CC1" s="19" t="s">
        <v>71</v>
      </c>
    </row>
    <row r="2" spans="1:82" ht="18" customHeight="1">
      <c r="D2" s="119"/>
      <c r="E2" s="119"/>
      <c r="F2" s="119"/>
      <c r="J2" s="301" t="s">
        <v>112</v>
      </c>
      <c r="K2" s="318"/>
      <c r="L2" s="318"/>
      <c r="M2" s="318"/>
      <c r="N2" s="319"/>
      <c r="R2" s="11" t="s">
        <v>17</v>
      </c>
      <c r="S2" s="12" t="s">
        <v>0</v>
      </c>
      <c r="T2" s="13" t="s">
        <v>1</v>
      </c>
      <c r="U2" s="12" t="s">
        <v>2</v>
      </c>
      <c r="W2" s="11" t="s">
        <v>17</v>
      </c>
      <c r="X2" s="12" t="s">
        <v>0</v>
      </c>
      <c r="Y2" s="13" t="s">
        <v>1</v>
      </c>
      <c r="Z2" s="12" t="s">
        <v>2</v>
      </c>
      <c r="AB2" s="11" t="s">
        <v>17</v>
      </c>
      <c r="AC2" s="12" t="s">
        <v>0</v>
      </c>
      <c r="AD2" s="13" t="s">
        <v>1</v>
      </c>
      <c r="AE2" s="12" t="s">
        <v>2</v>
      </c>
      <c r="AG2" s="11" t="s">
        <v>17</v>
      </c>
      <c r="AH2" s="12" t="s">
        <v>0</v>
      </c>
      <c r="AI2" s="13" t="s">
        <v>1</v>
      </c>
      <c r="AJ2" s="12" t="s">
        <v>2</v>
      </c>
      <c r="AL2" s="11" t="s">
        <v>17</v>
      </c>
      <c r="AM2" s="12" t="s">
        <v>0</v>
      </c>
      <c r="AN2" s="13" t="s">
        <v>1</v>
      </c>
      <c r="AO2" s="12" t="s">
        <v>2</v>
      </c>
      <c r="AQ2" s="11" t="s">
        <v>17</v>
      </c>
      <c r="AR2" s="13" t="s">
        <v>3</v>
      </c>
      <c r="AT2" s="11" t="s">
        <v>17</v>
      </c>
      <c r="AU2" s="13" t="s">
        <v>4</v>
      </c>
      <c r="AW2" s="11" t="s">
        <v>17</v>
      </c>
      <c r="AX2" s="12" t="s">
        <v>4</v>
      </c>
      <c r="AY2" s="12" t="s">
        <v>4</v>
      </c>
      <c r="AZ2" s="12" t="s">
        <v>4</v>
      </c>
      <c r="BA2" s="12" t="s">
        <v>4</v>
      </c>
      <c r="BB2" s="12" t="s">
        <v>4</v>
      </c>
      <c r="BC2" s="12" t="s">
        <v>4</v>
      </c>
      <c r="BD2" s="12" t="s">
        <v>4</v>
      </c>
      <c r="BE2" s="12" t="s">
        <v>4</v>
      </c>
      <c r="BF2" s="24" t="s">
        <v>4</v>
      </c>
      <c r="BG2" s="29" t="s">
        <v>4</v>
      </c>
      <c r="BH2" s="12" t="s">
        <v>4</v>
      </c>
      <c r="BI2" s="12" t="s">
        <v>4</v>
      </c>
      <c r="BK2" s="11" t="s">
        <v>17</v>
      </c>
      <c r="BL2" s="12" t="s">
        <v>0</v>
      </c>
      <c r="BM2" s="13" t="s">
        <v>1</v>
      </c>
      <c r="BN2" s="12" t="s">
        <v>2</v>
      </c>
      <c r="BP2" s="11" t="s">
        <v>17</v>
      </c>
      <c r="BQ2" s="12" t="s">
        <v>0</v>
      </c>
      <c r="BR2" s="13" t="s">
        <v>1</v>
      </c>
      <c r="BS2" s="12" t="s">
        <v>2</v>
      </c>
      <c r="BU2" s="11" t="s">
        <v>17</v>
      </c>
      <c r="BV2" s="12" t="s">
        <v>0</v>
      </c>
      <c r="BW2" s="13" t="s">
        <v>1</v>
      </c>
      <c r="BX2" s="12" t="s">
        <v>2</v>
      </c>
      <c r="BZ2" s="11" t="s">
        <v>17</v>
      </c>
      <c r="CA2" s="12" t="s">
        <v>69</v>
      </c>
      <c r="CC2" s="11" t="s">
        <v>17</v>
      </c>
      <c r="CD2" s="12" t="s">
        <v>58</v>
      </c>
    </row>
    <row r="3" spans="1:82" ht="16.8">
      <c r="D3" s="119"/>
      <c r="E3" s="119"/>
      <c r="F3" s="119"/>
      <c r="H3" s="27"/>
      <c r="I3" s="27"/>
      <c r="J3" s="64" t="s">
        <v>79</v>
      </c>
      <c r="K3" s="64" t="s">
        <v>78</v>
      </c>
      <c r="L3" s="2" t="s">
        <v>80</v>
      </c>
      <c r="M3" s="2" t="s">
        <v>72</v>
      </c>
      <c r="N3" s="2" t="s">
        <v>73</v>
      </c>
      <c r="R3" s="11">
        <v>0</v>
      </c>
      <c r="S3" s="12">
        <v>1</v>
      </c>
      <c r="T3" s="12" t="s">
        <v>15</v>
      </c>
      <c r="U3" s="12" t="s">
        <v>15</v>
      </c>
      <c r="W3" s="11">
        <v>0</v>
      </c>
      <c r="X3" s="12">
        <v>2</v>
      </c>
      <c r="Y3" s="12">
        <v>0</v>
      </c>
      <c r="Z3" s="12">
        <v>0</v>
      </c>
      <c r="AB3" s="11">
        <v>0</v>
      </c>
      <c r="AC3" s="12">
        <v>1</v>
      </c>
      <c r="AD3" s="69">
        <v>1</v>
      </c>
      <c r="AE3" s="69">
        <v>1</v>
      </c>
      <c r="AG3" s="11">
        <v>0</v>
      </c>
      <c r="AH3" s="12">
        <v>1</v>
      </c>
      <c r="AI3" s="69">
        <v>1</v>
      </c>
      <c r="AJ3" s="69">
        <v>1</v>
      </c>
      <c r="AL3" s="11">
        <v>0</v>
      </c>
      <c r="AM3" s="12">
        <v>1</v>
      </c>
      <c r="AN3" s="69">
        <v>1</v>
      </c>
      <c r="AO3" s="69">
        <v>1</v>
      </c>
      <c r="AQ3" s="11">
        <v>0</v>
      </c>
      <c r="AR3" s="14" t="s">
        <v>5</v>
      </c>
      <c r="AT3" s="11">
        <v>0</v>
      </c>
      <c r="AU3" s="12">
        <v>6</v>
      </c>
      <c r="AW3" s="11">
        <v>0</v>
      </c>
      <c r="AX3" s="12">
        <v>1</v>
      </c>
      <c r="AY3" s="12">
        <v>1</v>
      </c>
      <c r="AZ3" s="12">
        <v>1</v>
      </c>
      <c r="BA3" s="12">
        <v>1</v>
      </c>
      <c r="BB3" s="12">
        <v>1</v>
      </c>
      <c r="BC3" s="12">
        <v>1</v>
      </c>
      <c r="BD3" s="12">
        <v>1</v>
      </c>
      <c r="BE3" s="12">
        <v>1</v>
      </c>
      <c r="BF3" s="24">
        <v>1</v>
      </c>
      <c r="BG3" s="29">
        <v>1</v>
      </c>
      <c r="BH3" s="12">
        <v>1</v>
      </c>
      <c r="BI3" s="12">
        <v>1</v>
      </c>
      <c r="BK3" s="11">
        <v>0</v>
      </c>
      <c r="BL3" s="12">
        <v>1</v>
      </c>
      <c r="BM3" s="12" t="s">
        <v>15</v>
      </c>
      <c r="BN3" s="12" t="s">
        <v>15</v>
      </c>
      <c r="BP3" s="11">
        <v>0</v>
      </c>
      <c r="BQ3" s="12">
        <v>2</v>
      </c>
      <c r="BR3" s="12">
        <v>0</v>
      </c>
      <c r="BS3" s="12">
        <v>0</v>
      </c>
      <c r="BU3" s="11">
        <v>0</v>
      </c>
      <c r="BV3" s="12">
        <v>1</v>
      </c>
      <c r="BW3" s="12">
        <v>1</v>
      </c>
      <c r="BX3" s="12">
        <v>1</v>
      </c>
      <c r="BZ3" s="11">
        <v>0</v>
      </c>
      <c r="CA3" s="12">
        <v>100</v>
      </c>
      <c r="CC3" s="11">
        <v>0</v>
      </c>
      <c r="CD3" s="12">
        <v>1</v>
      </c>
    </row>
    <row r="4" spans="1:82" ht="16.8">
      <c r="A4" s="30" t="s">
        <v>46</v>
      </c>
      <c r="B4" s="1" t="s">
        <v>86</v>
      </c>
      <c r="C4" s="2" t="s">
        <v>114</v>
      </c>
      <c r="D4" s="3" t="s">
        <v>80</v>
      </c>
      <c r="E4" s="122" t="s">
        <v>1</v>
      </c>
      <c r="F4" s="4" t="s">
        <v>2</v>
      </c>
      <c r="H4" s="27"/>
      <c r="J4" s="61" t="s">
        <v>77</v>
      </c>
      <c r="K4" s="61" t="s">
        <v>7</v>
      </c>
      <c r="L4" s="2">
        <v>8</v>
      </c>
      <c r="M4" s="2">
        <v>1</v>
      </c>
      <c r="N4" s="2">
        <v>1</v>
      </c>
      <c r="O4" s="6"/>
      <c r="R4" s="11">
        <v>1</v>
      </c>
      <c r="S4" s="12" t="s">
        <v>15</v>
      </c>
      <c r="T4" s="12">
        <v>0</v>
      </c>
      <c r="U4" s="12">
        <v>0</v>
      </c>
      <c r="W4" s="11">
        <v>1</v>
      </c>
      <c r="X4" s="12">
        <v>0</v>
      </c>
      <c r="Y4" s="12">
        <v>1</v>
      </c>
      <c r="Z4" s="12">
        <v>1</v>
      </c>
      <c r="AB4" s="11">
        <v>1</v>
      </c>
      <c r="AC4" s="12">
        <v>1</v>
      </c>
      <c r="AD4" s="69">
        <v>1</v>
      </c>
      <c r="AE4" s="69">
        <v>1</v>
      </c>
      <c r="AG4" s="11">
        <v>1</v>
      </c>
      <c r="AH4" s="12">
        <v>1</v>
      </c>
      <c r="AI4" s="69">
        <v>1</v>
      </c>
      <c r="AJ4" s="69">
        <v>1</v>
      </c>
      <c r="AL4" s="11">
        <v>1</v>
      </c>
      <c r="AM4" s="12">
        <v>1</v>
      </c>
      <c r="AN4" s="69">
        <v>1</v>
      </c>
      <c r="AO4" s="69">
        <v>1</v>
      </c>
      <c r="AQ4" s="11">
        <v>1</v>
      </c>
      <c r="AR4" s="12" t="s">
        <v>15</v>
      </c>
      <c r="AT4" s="11">
        <v>1</v>
      </c>
      <c r="AU4" s="12">
        <v>0</v>
      </c>
      <c r="AW4" s="11">
        <v>1</v>
      </c>
      <c r="AX4" s="12">
        <v>1</v>
      </c>
      <c r="AY4" s="12">
        <v>1</v>
      </c>
      <c r="AZ4" s="12">
        <v>1</v>
      </c>
      <c r="BA4" s="12">
        <v>1</v>
      </c>
      <c r="BB4" s="12">
        <v>1</v>
      </c>
      <c r="BC4" s="12">
        <v>1</v>
      </c>
      <c r="BD4" s="12">
        <v>1</v>
      </c>
      <c r="BE4" s="12">
        <v>1</v>
      </c>
      <c r="BF4" s="24">
        <v>1</v>
      </c>
      <c r="BG4" s="29">
        <v>1</v>
      </c>
      <c r="BH4" s="12">
        <v>1</v>
      </c>
      <c r="BI4" s="12">
        <v>1</v>
      </c>
      <c r="BK4" s="11">
        <v>1</v>
      </c>
      <c r="BL4" s="12" t="s">
        <v>15</v>
      </c>
      <c r="BM4" s="12">
        <v>0</v>
      </c>
      <c r="BN4" s="12">
        <v>0</v>
      </c>
      <c r="BP4" s="11">
        <v>1</v>
      </c>
      <c r="BQ4" s="12">
        <v>0</v>
      </c>
      <c r="BR4" s="12">
        <v>1</v>
      </c>
      <c r="BS4" s="12">
        <v>1</v>
      </c>
      <c r="BU4" s="11">
        <v>1</v>
      </c>
      <c r="BV4" s="12">
        <v>1</v>
      </c>
      <c r="BW4" s="12">
        <v>1</v>
      </c>
      <c r="BX4" s="12">
        <v>1</v>
      </c>
      <c r="BZ4" s="11">
        <v>1</v>
      </c>
      <c r="CA4" s="12">
        <v>30</v>
      </c>
      <c r="CC4" s="11">
        <v>1</v>
      </c>
      <c r="CD4" s="12">
        <v>1</v>
      </c>
    </row>
    <row r="5" spans="1:82" ht="16.8">
      <c r="A5" s="1" t="s">
        <v>19</v>
      </c>
      <c r="B5" s="1">
        <v>0</v>
      </c>
      <c r="C5" s="3" t="s">
        <v>25</v>
      </c>
      <c r="D5" s="3">
        <f>SUMIF(S$3:S$38,$A5,AC$3:AC$38)</f>
        <v>18</v>
      </c>
      <c r="E5" s="122">
        <f>SUMIF(T$3:T$52,$A5,AD$3:AD$52)</f>
        <v>25</v>
      </c>
      <c r="F5" s="4">
        <f>SUMIF(U$3:U$52,$A5,AE$3:AE$52)</f>
        <v>25</v>
      </c>
      <c r="H5" s="27"/>
      <c r="I5" s="27"/>
      <c r="J5" s="91"/>
      <c r="K5" s="91"/>
      <c r="L5" s="320" t="s">
        <v>84</v>
      </c>
      <c r="M5" s="320"/>
      <c r="N5" s="320"/>
      <c r="R5" s="11">
        <v>2</v>
      </c>
      <c r="S5" s="12">
        <v>5</v>
      </c>
      <c r="T5" s="12" t="s">
        <v>15</v>
      </c>
      <c r="U5" s="12" t="s">
        <v>15</v>
      </c>
      <c r="W5" s="11">
        <v>2</v>
      </c>
      <c r="X5" s="12">
        <v>3</v>
      </c>
      <c r="Y5" s="12">
        <v>0</v>
      </c>
      <c r="Z5" s="12">
        <v>0</v>
      </c>
      <c r="AB5" s="11">
        <v>2</v>
      </c>
      <c r="AC5" s="12">
        <v>1</v>
      </c>
      <c r="AD5" s="69">
        <v>1</v>
      </c>
      <c r="AE5" s="69">
        <v>1</v>
      </c>
      <c r="AG5" s="11">
        <v>2</v>
      </c>
      <c r="AH5" s="12">
        <v>1</v>
      </c>
      <c r="AI5" s="69">
        <v>1</v>
      </c>
      <c r="AJ5" s="69">
        <v>1</v>
      </c>
      <c r="AL5" s="11">
        <v>2</v>
      </c>
      <c r="AM5" s="12">
        <v>1</v>
      </c>
      <c r="AN5" s="69">
        <v>1</v>
      </c>
      <c r="AO5" s="69">
        <v>1</v>
      </c>
      <c r="AQ5" s="11">
        <v>2</v>
      </c>
      <c r="AR5" s="14" t="s">
        <v>7</v>
      </c>
      <c r="AT5" s="11">
        <v>2</v>
      </c>
      <c r="AU5" s="12">
        <v>9</v>
      </c>
      <c r="AW5" s="11">
        <v>2</v>
      </c>
      <c r="AX5" s="12">
        <v>1</v>
      </c>
      <c r="AY5" s="12">
        <v>1</v>
      </c>
      <c r="AZ5" s="12">
        <v>1</v>
      </c>
      <c r="BA5" s="12">
        <v>1</v>
      </c>
      <c r="BB5" s="12">
        <v>1</v>
      </c>
      <c r="BC5" s="12">
        <v>1</v>
      </c>
      <c r="BD5" s="12">
        <v>1</v>
      </c>
      <c r="BE5" s="12">
        <v>1</v>
      </c>
      <c r="BF5" s="24">
        <v>1</v>
      </c>
      <c r="BG5" s="29">
        <v>1</v>
      </c>
      <c r="BH5" s="12">
        <v>1</v>
      </c>
      <c r="BI5" s="12">
        <v>1</v>
      </c>
      <c r="BK5" s="11">
        <v>2</v>
      </c>
      <c r="BL5" s="12">
        <v>5</v>
      </c>
      <c r="BM5" s="12" t="s">
        <v>15</v>
      </c>
      <c r="BN5" s="12" t="s">
        <v>15</v>
      </c>
      <c r="BP5" s="11">
        <v>2</v>
      </c>
      <c r="BQ5" s="12">
        <v>3</v>
      </c>
      <c r="BR5" s="12">
        <v>0</v>
      </c>
      <c r="BS5" s="12">
        <v>0</v>
      </c>
      <c r="BU5" s="11">
        <v>2</v>
      </c>
      <c r="BV5" s="12">
        <v>1</v>
      </c>
      <c r="BW5" s="12">
        <v>1</v>
      </c>
      <c r="BX5" s="12">
        <v>1</v>
      </c>
      <c r="BZ5" s="11">
        <v>2</v>
      </c>
      <c r="CA5" s="12">
        <v>500</v>
      </c>
      <c r="CC5" s="11">
        <v>2</v>
      </c>
      <c r="CD5" s="12">
        <v>1</v>
      </c>
    </row>
    <row r="6" spans="1:82">
      <c r="A6" s="20">
        <v>0</v>
      </c>
      <c r="B6" s="20">
        <v>1</v>
      </c>
      <c r="C6" s="5">
        <v>0</v>
      </c>
      <c r="D6" s="37">
        <f t="shared" ref="D6:D16" si="0">SUMIF(S$3:S$38,$A6,AC$3:AC$38)</f>
        <v>0</v>
      </c>
      <c r="E6" s="121">
        <f t="shared" ref="E6:F16" si="1">SUMIF(T$3:T$52,$A6,AD$3:AD$52)</f>
        <v>5</v>
      </c>
      <c r="F6" s="7">
        <f t="shared" si="1"/>
        <v>5</v>
      </c>
      <c r="H6" s="27"/>
      <c r="I6" s="27"/>
      <c r="J6" s="27"/>
      <c r="R6" s="11">
        <v>3</v>
      </c>
      <c r="S6" s="12" t="s">
        <v>15</v>
      </c>
      <c r="T6" s="12">
        <v>1</v>
      </c>
      <c r="U6" s="12">
        <v>1</v>
      </c>
      <c r="W6" s="11">
        <v>3</v>
      </c>
      <c r="X6" s="12">
        <v>0</v>
      </c>
      <c r="Y6" s="12">
        <v>2</v>
      </c>
      <c r="Z6" s="12">
        <v>2</v>
      </c>
      <c r="AB6" s="11">
        <v>3</v>
      </c>
      <c r="AC6" s="12">
        <v>1</v>
      </c>
      <c r="AD6" s="69">
        <v>1</v>
      </c>
      <c r="AE6" s="69">
        <v>1</v>
      </c>
      <c r="AG6" s="11">
        <v>3</v>
      </c>
      <c r="AH6" s="12">
        <v>1</v>
      </c>
      <c r="AI6" s="69">
        <v>1</v>
      </c>
      <c r="AJ6" s="69">
        <v>1</v>
      </c>
      <c r="AL6" s="11">
        <v>3</v>
      </c>
      <c r="AM6" s="12">
        <v>1</v>
      </c>
      <c r="AN6" s="69">
        <v>1</v>
      </c>
      <c r="AO6" s="69">
        <v>1</v>
      </c>
      <c r="AQ6" s="11">
        <v>3</v>
      </c>
      <c r="AR6" s="12" t="s">
        <v>15</v>
      </c>
      <c r="AT6" s="11">
        <v>3</v>
      </c>
      <c r="AU6" s="12">
        <v>0</v>
      </c>
      <c r="AW6" s="11">
        <v>3</v>
      </c>
      <c r="AX6" s="12">
        <v>1</v>
      </c>
      <c r="AY6" s="12">
        <v>1</v>
      </c>
      <c r="AZ6" s="12">
        <v>1</v>
      </c>
      <c r="BA6" s="12">
        <v>1</v>
      </c>
      <c r="BB6" s="12">
        <v>1</v>
      </c>
      <c r="BC6" s="12">
        <v>1</v>
      </c>
      <c r="BD6" s="12">
        <v>1</v>
      </c>
      <c r="BE6" s="12">
        <v>1</v>
      </c>
      <c r="BF6" s="24">
        <v>1</v>
      </c>
      <c r="BG6" s="29">
        <v>1</v>
      </c>
      <c r="BH6" s="12">
        <v>1</v>
      </c>
      <c r="BI6" s="12">
        <v>1</v>
      </c>
      <c r="BK6" s="11">
        <v>3</v>
      </c>
      <c r="BL6" s="12" t="s">
        <v>15</v>
      </c>
      <c r="BM6" s="12">
        <v>1</v>
      </c>
      <c r="BN6" s="12">
        <v>1</v>
      </c>
      <c r="BP6" s="11">
        <v>3</v>
      </c>
      <c r="BQ6" s="12">
        <v>0</v>
      </c>
      <c r="BR6" s="12">
        <v>2</v>
      </c>
      <c r="BS6" s="12">
        <v>2</v>
      </c>
      <c r="BU6" s="11">
        <v>3</v>
      </c>
      <c r="BV6" s="12">
        <v>1</v>
      </c>
      <c r="BW6" s="12">
        <v>1</v>
      </c>
      <c r="BX6" s="12">
        <v>1</v>
      </c>
      <c r="BZ6" s="11">
        <v>3</v>
      </c>
      <c r="CA6" s="12">
        <v>10</v>
      </c>
      <c r="CC6" s="11">
        <v>3</v>
      </c>
      <c r="CD6" s="12">
        <v>1</v>
      </c>
    </row>
    <row r="7" spans="1:82" ht="16.8">
      <c r="A7" s="20">
        <v>1</v>
      </c>
      <c r="B7" s="20">
        <v>2</v>
      </c>
      <c r="C7" s="5">
        <v>1</v>
      </c>
      <c r="D7" s="6">
        <f t="shared" si="0"/>
        <v>6</v>
      </c>
      <c r="E7" s="121">
        <f t="shared" si="1"/>
        <v>5</v>
      </c>
      <c r="F7" s="7">
        <f t="shared" si="1"/>
        <v>5</v>
      </c>
      <c r="H7" s="27"/>
      <c r="J7" s="64" t="s">
        <v>81</v>
      </c>
      <c r="K7" s="64" t="s">
        <v>82</v>
      </c>
      <c r="L7" s="64" t="s">
        <v>83</v>
      </c>
      <c r="M7" s="64" t="s">
        <v>113</v>
      </c>
      <c r="R7" s="11">
        <v>4</v>
      </c>
      <c r="S7" s="12">
        <v>10</v>
      </c>
      <c r="T7" s="12" t="s">
        <v>15</v>
      </c>
      <c r="U7" s="12" t="s">
        <v>15</v>
      </c>
      <c r="W7" s="11">
        <v>4</v>
      </c>
      <c r="X7" s="12">
        <v>4</v>
      </c>
      <c r="Y7" s="12">
        <v>0</v>
      </c>
      <c r="Z7" s="12">
        <v>0</v>
      </c>
      <c r="AB7" s="11">
        <v>4</v>
      </c>
      <c r="AC7" s="12">
        <v>1</v>
      </c>
      <c r="AD7" s="69">
        <v>1</v>
      </c>
      <c r="AE7" s="69">
        <v>1</v>
      </c>
      <c r="AG7" s="11">
        <v>4</v>
      </c>
      <c r="AH7" s="12">
        <v>1</v>
      </c>
      <c r="AI7" s="69">
        <v>1</v>
      </c>
      <c r="AJ7" s="69">
        <v>1</v>
      </c>
      <c r="AL7" s="11">
        <v>4</v>
      </c>
      <c r="AM7" s="12">
        <v>1</v>
      </c>
      <c r="AN7" s="69">
        <v>1</v>
      </c>
      <c r="AO7" s="69">
        <v>1</v>
      </c>
      <c r="AQ7" s="11">
        <v>4</v>
      </c>
      <c r="AR7" s="14" t="s">
        <v>6</v>
      </c>
      <c r="AT7" s="11">
        <v>4</v>
      </c>
      <c r="AU7" s="12">
        <v>7</v>
      </c>
      <c r="AW7" s="11">
        <v>4</v>
      </c>
      <c r="AX7" s="12">
        <v>1</v>
      </c>
      <c r="AY7" s="12">
        <v>1</v>
      </c>
      <c r="AZ7" s="12">
        <v>1</v>
      </c>
      <c r="BA7" s="12">
        <v>1</v>
      </c>
      <c r="BB7" s="12">
        <v>1</v>
      </c>
      <c r="BC7" s="12">
        <v>1</v>
      </c>
      <c r="BD7" s="12">
        <v>1</v>
      </c>
      <c r="BE7" s="12">
        <v>1</v>
      </c>
      <c r="BF7" s="24">
        <v>1</v>
      </c>
      <c r="BG7" s="29">
        <v>1</v>
      </c>
      <c r="BH7" s="12">
        <v>1</v>
      </c>
      <c r="BI7" s="12">
        <v>1</v>
      </c>
      <c r="BK7" s="11">
        <v>4</v>
      </c>
      <c r="BL7" s="12">
        <v>10</v>
      </c>
      <c r="BM7" s="12" t="s">
        <v>15</v>
      </c>
      <c r="BN7" s="12" t="s">
        <v>15</v>
      </c>
      <c r="BP7" s="11">
        <v>4</v>
      </c>
      <c r="BQ7" s="12">
        <v>4</v>
      </c>
      <c r="BR7" s="12">
        <v>0</v>
      </c>
      <c r="BS7" s="12">
        <v>0</v>
      </c>
      <c r="BU7" s="11">
        <v>4</v>
      </c>
      <c r="BV7" s="12">
        <v>1</v>
      </c>
      <c r="BW7" s="12">
        <v>1</v>
      </c>
      <c r="BX7" s="12">
        <v>1</v>
      </c>
      <c r="BZ7" s="11">
        <v>4</v>
      </c>
      <c r="CA7" s="12">
        <v>50</v>
      </c>
      <c r="CC7" s="11">
        <v>4</v>
      </c>
      <c r="CD7" s="12">
        <v>1</v>
      </c>
    </row>
    <row r="8" spans="1:82" ht="16.8">
      <c r="A8" s="21">
        <v>5</v>
      </c>
      <c r="B8" s="21">
        <v>3</v>
      </c>
      <c r="C8" s="23">
        <v>5</v>
      </c>
      <c r="D8" s="6">
        <f t="shared" si="0"/>
        <v>6</v>
      </c>
      <c r="E8" s="121">
        <f t="shared" si="1"/>
        <v>5</v>
      </c>
      <c r="F8" s="7">
        <f t="shared" si="1"/>
        <v>5</v>
      </c>
      <c r="H8" s="27"/>
      <c r="J8" s="64" t="s">
        <v>80</v>
      </c>
      <c r="K8" s="64">
        <v>3</v>
      </c>
      <c r="L8" s="64">
        <v>3</v>
      </c>
      <c r="M8" s="64">
        <v>94</v>
      </c>
      <c r="R8" s="11">
        <v>5</v>
      </c>
      <c r="S8" s="12" t="s">
        <v>15</v>
      </c>
      <c r="T8" s="12">
        <v>5</v>
      </c>
      <c r="U8" s="12">
        <v>5</v>
      </c>
      <c r="W8" s="11">
        <v>5</v>
      </c>
      <c r="X8" s="12">
        <v>0</v>
      </c>
      <c r="Y8" s="12">
        <v>3</v>
      </c>
      <c r="Z8" s="12">
        <v>3</v>
      </c>
      <c r="AB8" s="11">
        <v>5</v>
      </c>
      <c r="AC8" s="12">
        <v>1</v>
      </c>
      <c r="AD8" s="69">
        <v>1</v>
      </c>
      <c r="AE8" s="69">
        <v>1</v>
      </c>
      <c r="AG8" s="11">
        <v>5</v>
      </c>
      <c r="AH8" s="12">
        <v>1</v>
      </c>
      <c r="AI8" s="69">
        <v>1</v>
      </c>
      <c r="AJ8" s="69">
        <v>1</v>
      </c>
      <c r="AL8" s="11">
        <v>5</v>
      </c>
      <c r="AM8" s="12">
        <v>1</v>
      </c>
      <c r="AN8" s="69">
        <v>1</v>
      </c>
      <c r="AO8" s="69">
        <v>1</v>
      </c>
      <c r="AQ8" s="11">
        <v>5</v>
      </c>
      <c r="AR8" s="12" t="s">
        <v>15</v>
      </c>
      <c r="AT8" s="11">
        <v>5</v>
      </c>
      <c r="AU8" s="12">
        <v>0</v>
      </c>
      <c r="AW8" s="11">
        <v>5</v>
      </c>
      <c r="AX8" s="12">
        <v>1</v>
      </c>
      <c r="AY8" s="12">
        <v>1</v>
      </c>
      <c r="AZ8" s="12">
        <v>1</v>
      </c>
      <c r="BA8" s="12">
        <v>1</v>
      </c>
      <c r="BB8" s="12">
        <v>1</v>
      </c>
      <c r="BC8" s="12">
        <v>1</v>
      </c>
      <c r="BD8" s="12">
        <v>1</v>
      </c>
      <c r="BE8" s="12">
        <v>1</v>
      </c>
      <c r="BF8" s="24">
        <v>1</v>
      </c>
      <c r="BG8" s="29">
        <v>1</v>
      </c>
      <c r="BH8" s="12">
        <v>1</v>
      </c>
      <c r="BI8" s="12">
        <v>1</v>
      </c>
      <c r="BK8" s="11">
        <v>5</v>
      </c>
      <c r="BL8" s="12" t="s">
        <v>15</v>
      </c>
      <c r="BM8" s="12">
        <v>5</v>
      </c>
      <c r="BN8" s="12">
        <v>5</v>
      </c>
      <c r="BP8" s="11">
        <v>5</v>
      </c>
      <c r="BQ8" s="12">
        <v>0</v>
      </c>
      <c r="BR8" s="12">
        <v>3</v>
      </c>
      <c r="BS8" s="12">
        <v>3</v>
      </c>
      <c r="BU8" s="11">
        <v>5</v>
      </c>
      <c r="BV8" s="12">
        <v>1</v>
      </c>
      <c r="BW8" s="12">
        <v>1</v>
      </c>
      <c r="BX8" s="12">
        <v>1</v>
      </c>
      <c r="BZ8" s="11">
        <v>5</v>
      </c>
      <c r="CA8" s="12">
        <v>1000</v>
      </c>
      <c r="CC8" s="11">
        <v>5</v>
      </c>
      <c r="CD8" s="12">
        <v>1</v>
      </c>
    </row>
    <row r="9" spans="1:82" ht="15.6" customHeight="1">
      <c r="A9" s="21">
        <v>10</v>
      </c>
      <c r="B9" s="21">
        <v>4</v>
      </c>
      <c r="C9" s="23">
        <v>10</v>
      </c>
      <c r="D9" s="6">
        <f t="shared" si="0"/>
        <v>6</v>
      </c>
      <c r="E9" s="101">
        <f t="shared" si="1"/>
        <v>5</v>
      </c>
      <c r="F9" s="126">
        <f t="shared" si="1"/>
        <v>5</v>
      </c>
      <c r="H9" s="27"/>
      <c r="J9" s="64" t="s">
        <v>72</v>
      </c>
      <c r="K9" s="64">
        <v>0</v>
      </c>
      <c r="L9" s="64">
        <v>0</v>
      </c>
      <c r="M9" s="64">
        <v>0</v>
      </c>
      <c r="N9" s="92"/>
      <c r="O9" s="92"/>
      <c r="R9" s="11">
        <v>6</v>
      </c>
      <c r="S9" s="12">
        <v>1</v>
      </c>
      <c r="T9" s="12" t="s">
        <v>15</v>
      </c>
      <c r="U9" s="12" t="s">
        <v>15</v>
      </c>
      <c r="W9" s="11">
        <v>6</v>
      </c>
      <c r="X9" s="12">
        <v>2</v>
      </c>
      <c r="Y9" s="12">
        <v>0</v>
      </c>
      <c r="Z9" s="12">
        <v>0</v>
      </c>
      <c r="AB9" s="11">
        <v>6</v>
      </c>
      <c r="AC9" s="12">
        <v>1</v>
      </c>
      <c r="AD9" s="69">
        <v>1</v>
      </c>
      <c r="AE9" s="69">
        <v>1</v>
      </c>
      <c r="AG9" s="11">
        <v>6</v>
      </c>
      <c r="AH9" s="12">
        <v>1</v>
      </c>
      <c r="AI9" s="69">
        <v>1</v>
      </c>
      <c r="AJ9" s="69">
        <v>1</v>
      </c>
      <c r="AL9" s="11">
        <v>6</v>
      </c>
      <c r="AM9" s="12">
        <v>1</v>
      </c>
      <c r="AN9" s="69">
        <v>1</v>
      </c>
      <c r="AO9" s="69">
        <v>1</v>
      </c>
      <c r="AQ9" s="11">
        <v>6</v>
      </c>
      <c r="AR9" s="14" t="s">
        <v>40</v>
      </c>
      <c r="AT9" s="11">
        <v>6</v>
      </c>
      <c r="AU9" s="12">
        <v>11</v>
      </c>
      <c r="AW9" s="11">
        <v>6</v>
      </c>
      <c r="AX9" s="12">
        <v>1</v>
      </c>
      <c r="AY9" s="12">
        <v>1</v>
      </c>
      <c r="AZ9" s="12">
        <v>1</v>
      </c>
      <c r="BA9" s="12">
        <v>1</v>
      </c>
      <c r="BB9" s="12">
        <v>1</v>
      </c>
      <c r="BC9" s="12">
        <v>1</v>
      </c>
      <c r="BD9" s="12">
        <v>1</v>
      </c>
      <c r="BE9" s="12">
        <v>1</v>
      </c>
      <c r="BF9" s="24">
        <v>1</v>
      </c>
      <c r="BG9" s="29">
        <v>1</v>
      </c>
      <c r="BH9" s="12">
        <v>1</v>
      </c>
      <c r="BI9" s="12">
        <v>1</v>
      </c>
      <c r="BK9" s="11">
        <v>6</v>
      </c>
      <c r="BL9" s="12">
        <v>1</v>
      </c>
      <c r="BM9" s="12" t="s">
        <v>15</v>
      </c>
      <c r="BN9" s="12" t="s">
        <v>15</v>
      </c>
      <c r="BP9" s="11">
        <v>6</v>
      </c>
      <c r="BQ9" s="12">
        <v>2</v>
      </c>
      <c r="BR9" s="12">
        <v>0</v>
      </c>
      <c r="BS9" s="12">
        <v>0</v>
      </c>
      <c r="BU9" s="11">
        <v>6</v>
      </c>
      <c r="BV9" s="12">
        <v>1</v>
      </c>
      <c r="BW9" s="12">
        <v>1</v>
      </c>
      <c r="BX9" s="12">
        <v>1</v>
      </c>
      <c r="BZ9" s="11">
        <v>6</v>
      </c>
      <c r="CA9" s="12">
        <v>200</v>
      </c>
      <c r="CC9" s="11">
        <v>6</v>
      </c>
      <c r="CD9" s="12">
        <v>1</v>
      </c>
    </row>
    <row r="10" spans="1:82" ht="16.8">
      <c r="A10" s="20" t="s">
        <v>20</v>
      </c>
      <c r="B10" s="20">
        <v>5</v>
      </c>
      <c r="C10" s="23" t="s">
        <v>29</v>
      </c>
      <c r="D10" s="37">
        <f t="shared" si="0"/>
        <v>0</v>
      </c>
      <c r="E10" s="101">
        <f t="shared" si="1"/>
        <v>5</v>
      </c>
      <c r="F10" s="126">
        <f t="shared" si="1"/>
        <v>5</v>
      </c>
      <c r="H10" s="27"/>
      <c r="J10" s="64" t="s">
        <v>73</v>
      </c>
      <c r="K10" s="64">
        <v>0</v>
      </c>
      <c r="L10" s="64">
        <v>0</v>
      </c>
      <c r="M10" s="64">
        <v>0</v>
      </c>
      <c r="N10" s="93"/>
      <c r="O10" s="93"/>
      <c r="R10" s="11">
        <v>7</v>
      </c>
      <c r="S10" s="12" t="s">
        <v>15</v>
      </c>
      <c r="T10" s="12">
        <v>10</v>
      </c>
      <c r="U10" s="12">
        <v>10</v>
      </c>
      <c r="W10" s="11">
        <v>7</v>
      </c>
      <c r="X10" s="12">
        <v>0</v>
      </c>
      <c r="Y10" s="12">
        <v>4</v>
      </c>
      <c r="Z10" s="12">
        <v>4</v>
      </c>
      <c r="AB10" s="11">
        <v>7</v>
      </c>
      <c r="AC10" s="12">
        <v>1</v>
      </c>
      <c r="AD10" s="69">
        <v>1</v>
      </c>
      <c r="AE10" s="69">
        <v>1</v>
      </c>
      <c r="AG10" s="11">
        <v>7</v>
      </c>
      <c r="AH10" s="12">
        <v>1</v>
      </c>
      <c r="AI10" s="69">
        <v>1</v>
      </c>
      <c r="AJ10" s="69">
        <v>1</v>
      </c>
      <c r="AL10" s="11">
        <v>7</v>
      </c>
      <c r="AM10" s="12">
        <v>1</v>
      </c>
      <c r="AN10" s="69">
        <v>1</v>
      </c>
      <c r="AO10" s="69">
        <v>1</v>
      </c>
      <c r="AQ10" s="11">
        <v>7</v>
      </c>
      <c r="AR10" s="12" t="s">
        <v>15</v>
      </c>
      <c r="AT10" s="11">
        <v>7</v>
      </c>
      <c r="AU10" s="12">
        <v>0</v>
      </c>
      <c r="AW10" s="11">
        <v>7</v>
      </c>
      <c r="AX10" s="12">
        <v>1</v>
      </c>
      <c r="AY10" s="12">
        <v>1</v>
      </c>
      <c r="AZ10" s="12">
        <v>1</v>
      </c>
      <c r="BA10" s="12">
        <v>1</v>
      </c>
      <c r="BB10" s="12">
        <v>1</v>
      </c>
      <c r="BC10" s="12">
        <v>1</v>
      </c>
      <c r="BD10" s="12">
        <v>1</v>
      </c>
      <c r="BE10" s="12">
        <v>1</v>
      </c>
      <c r="BF10" s="24">
        <v>1</v>
      </c>
      <c r="BG10" s="29">
        <v>1</v>
      </c>
      <c r="BH10" s="12">
        <v>1</v>
      </c>
      <c r="BI10" s="12">
        <v>1</v>
      </c>
      <c r="BK10" s="11">
        <v>7</v>
      </c>
      <c r="BL10" s="12" t="s">
        <v>15</v>
      </c>
      <c r="BM10" s="12">
        <v>10</v>
      </c>
      <c r="BN10" s="12">
        <v>10</v>
      </c>
      <c r="BP10" s="11">
        <v>7</v>
      </c>
      <c r="BQ10" s="12">
        <v>0</v>
      </c>
      <c r="BR10" s="12">
        <v>4</v>
      </c>
      <c r="BS10" s="12">
        <v>4</v>
      </c>
      <c r="BU10" s="11">
        <v>7</v>
      </c>
      <c r="BV10" s="12">
        <v>1</v>
      </c>
      <c r="BW10" s="12">
        <v>1</v>
      </c>
      <c r="BX10" s="12">
        <v>1</v>
      </c>
      <c r="BZ10" s="11">
        <v>7</v>
      </c>
      <c r="CA10" s="12">
        <v>20</v>
      </c>
      <c r="CC10" s="11">
        <v>7</v>
      </c>
      <c r="CD10" s="12">
        <v>1</v>
      </c>
    </row>
    <row r="11" spans="1:82" ht="16.8">
      <c r="A11" s="21" t="s">
        <v>21</v>
      </c>
      <c r="B11" s="21">
        <v>6</v>
      </c>
      <c r="C11" s="23" t="s">
        <v>26</v>
      </c>
      <c r="D11" s="37">
        <f t="shared" si="0"/>
        <v>0</v>
      </c>
      <c r="E11" s="59">
        <f t="shared" si="1"/>
        <v>0</v>
      </c>
      <c r="F11" s="38">
        <f t="shared" si="1"/>
        <v>0</v>
      </c>
      <c r="H11" s="27"/>
      <c r="J11" s="64" t="s">
        <v>4</v>
      </c>
      <c r="K11" s="64">
        <v>7</v>
      </c>
      <c r="L11" s="64">
        <v>7</v>
      </c>
      <c r="M11" s="64">
        <v>86</v>
      </c>
      <c r="N11" s="93"/>
      <c r="O11" s="93"/>
      <c r="R11" s="11">
        <v>8</v>
      </c>
      <c r="S11" s="12">
        <v>5</v>
      </c>
      <c r="T11" s="12" t="s">
        <v>15</v>
      </c>
      <c r="U11" s="12" t="s">
        <v>15</v>
      </c>
      <c r="W11" s="11">
        <v>8</v>
      </c>
      <c r="X11" s="12">
        <v>3</v>
      </c>
      <c r="Y11" s="12">
        <v>0</v>
      </c>
      <c r="Z11" s="12">
        <v>0</v>
      </c>
      <c r="AB11" s="11">
        <v>8</v>
      </c>
      <c r="AC11" s="12">
        <v>1</v>
      </c>
      <c r="AD11" s="69">
        <v>1</v>
      </c>
      <c r="AE11" s="69">
        <v>1</v>
      </c>
      <c r="AG11" s="11">
        <v>8</v>
      </c>
      <c r="AH11" s="12">
        <v>1</v>
      </c>
      <c r="AI11" s="69">
        <v>1</v>
      </c>
      <c r="AJ11" s="69">
        <v>1</v>
      </c>
      <c r="AL11" s="11">
        <v>8</v>
      </c>
      <c r="AM11" s="12">
        <v>1</v>
      </c>
      <c r="AN11" s="69">
        <v>1</v>
      </c>
      <c r="AO11" s="69">
        <v>1</v>
      </c>
      <c r="AQ11" s="11">
        <v>8</v>
      </c>
      <c r="AR11" s="14" t="s">
        <v>9</v>
      </c>
      <c r="AT11" s="11">
        <v>8</v>
      </c>
      <c r="AU11" s="12">
        <v>8</v>
      </c>
      <c r="AW11" s="11">
        <v>8</v>
      </c>
      <c r="AX11" s="12">
        <v>1</v>
      </c>
      <c r="AY11" s="12">
        <v>1</v>
      </c>
      <c r="AZ11" s="12">
        <v>1</v>
      </c>
      <c r="BA11" s="12">
        <v>1</v>
      </c>
      <c r="BB11" s="12">
        <v>1</v>
      </c>
      <c r="BC11" s="12">
        <v>1</v>
      </c>
      <c r="BD11" s="12">
        <v>1</v>
      </c>
      <c r="BE11" s="12">
        <v>1</v>
      </c>
      <c r="BF11" s="24">
        <v>1</v>
      </c>
      <c r="BG11" s="29">
        <v>1</v>
      </c>
      <c r="BH11" s="12">
        <v>1</v>
      </c>
      <c r="BI11" s="12">
        <v>1</v>
      </c>
      <c r="BK11" s="11">
        <v>8</v>
      </c>
      <c r="BL11" s="12">
        <v>5</v>
      </c>
      <c r="BM11" s="12" t="s">
        <v>15</v>
      </c>
      <c r="BN11" s="12" t="s">
        <v>15</v>
      </c>
      <c r="BP11" s="11">
        <v>8</v>
      </c>
      <c r="BQ11" s="12">
        <v>3</v>
      </c>
      <c r="BR11" s="12">
        <v>0</v>
      </c>
      <c r="BS11" s="12">
        <v>0</v>
      </c>
      <c r="BU11" s="11">
        <v>8</v>
      </c>
      <c r="BV11" s="12">
        <v>1</v>
      </c>
      <c r="BW11" s="12">
        <v>1</v>
      </c>
      <c r="BX11" s="12">
        <v>1</v>
      </c>
      <c r="BZ11" s="11">
        <v>8</v>
      </c>
      <c r="CA11" s="12"/>
      <c r="CC11" s="11">
        <v>8</v>
      </c>
      <c r="CD11" s="12"/>
    </row>
    <row r="12" spans="1:82">
      <c r="A12" s="20" t="s">
        <v>22</v>
      </c>
      <c r="B12" s="20">
        <v>7</v>
      </c>
      <c r="C12" s="5" t="s">
        <v>27</v>
      </c>
      <c r="D12" s="37">
        <f t="shared" si="0"/>
        <v>0</v>
      </c>
      <c r="E12" s="59">
        <f t="shared" si="1"/>
        <v>0</v>
      </c>
      <c r="F12" s="38">
        <f t="shared" si="1"/>
        <v>0</v>
      </c>
      <c r="H12" s="27"/>
      <c r="J12" s="27"/>
      <c r="K12" s="27"/>
      <c r="R12" s="11">
        <v>9</v>
      </c>
      <c r="S12" s="12" t="s">
        <v>15</v>
      </c>
      <c r="T12" s="12" t="s">
        <v>18</v>
      </c>
      <c r="U12" s="12" t="s">
        <v>18</v>
      </c>
      <c r="W12" s="11">
        <v>9</v>
      </c>
      <c r="X12" s="12">
        <v>0</v>
      </c>
      <c r="Y12" s="12">
        <v>5</v>
      </c>
      <c r="Z12" s="12">
        <v>5</v>
      </c>
      <c r="AB12" s="11">
        <v>9</v>
      </c>
      <c r="AC12" s="12">
        <v>1</v>
      </c>
      <c r="AD12" s="69">
        <v>1</v>
      </c>
      <c r="AE12" s="69">
        <v>1</v>
      </c>
      <c r="AG12" s="11">
        <v>9</v>
      </c>
      <c r="AH12" s="12">
        <v>1</v>
      </c>
      <c r="AI12" s="69">
        <v>1</v>
      </c>
      <c r="AJ12" s="69">
        <v>1</v>
      </c>
      <c r="AL12" s="11">
        <v>9</v>
      </c>
      <c r="AM12" s="12">
        <v>1</v>
      </c>
      <c r="AN12" s="69">
        <v>1</v>
      </c>
      <c r="AO12" s="69">
        <v>1</v>
      </c>
      <c r="AQ12" s="11">
        <v>9</v>
      </c>
      <c r="AR12" s="12" t="s">
        <v>15</v>
      </c>
      <c r="AT12" s="11">
        <v>9</v>
      </c>
      <c r="AU12" s="12">
        <v>0</v>
      </c>
      <c r="AW12" s="11">
        <v>9</v>
      </c>
      <c r="AX12" s="12">
        <v>1</v>
      </c>
      <c r="AY12" s="12">
        <v>1</v>
      </c>
      <c r="AZ12" s="12">
        <v>1</v>
      </c>
      <c r="BA12" s="12">
        <v>1</v>
      </c>
      <c r="BB12" s="12">
        <v>1</v>
      </c>
      <c r="BC12" s="12">
        <v>1</v>
      </c>
      <c r="BD12" s="12">
        <v>1</v>
      </c>
      <c r="BE12" s="12">
        <v>1</v>
      </c>
      <c r="BF12" s="24">
        <v>1</v>
      </c>
      <c r="BG12" s="29">
        <v>1</v>
      </c>
      <c r="BH12" s="12">
        <v>1</v>
      </c>
      <c r="BI12" s="12">
        <v>1</v>
      </c>
      <c r="BK12" s="11">
        <v>9</v>
      </c>
      <c r="BL12" s="12" t="s">
        <v>15</v>
      </c>
      <c r="BM12" s="12" t="s">
        <v>18</v>
      </c>
      <c r="BN12" s="12" t="s">
        <v>18</v>
      </c>
      <c r="BP12" s="11">
        <v>9</v>
      </c>
      <c r="BQ12" s="12">
        <v>0</v>
      </c>
      <c r="BR12" s="12">
        <v>5</v>
      </c>
      <c r="BS12" s="12">
        <v>5</v>
      </c>
      <c r="BU12" s="11">
        <v>9</v>
      </c>
      <c r="BV12" s="12">
        <v>1</v>
      </c>
      <c r="BW12" s="12">
        <v>1</v>
      </c>
      <c r="BX12" s="12">
        <v>1</v>
      </c>
      <c r="BZ12" s="11">
        <v>9</v>
      </c>
      <c r="CA12" s="12"/>
      <c r="CC12" s="11">
        <v>9</v>
      </c>
      <c r="CD12" s="12"/>
    </row>
    <row r="13" spans="1:82" ht="18" customHeight="1">
      <c r="A13" s="20" t="s">
        <v>23</v>
      </c>
      <c r="B13" s="20">
        <v>8</v>
      </c>
      <c r="C13" s="5" t="s">
        <v>28</v>
      </c>
      <c r="D13" s="37">
        <f t="shared" si="0"/>
        <v>0</v>
      </c>
      <c r="E13" s="59">
        <f t="shared" si="1"/>
        <v>0</v>
      </c>
      <c r="F13" s="38">
        <f t="shared" si="1"/>
        <v>0</v>
      </c>
      <c r="H13" s="27"/>
      <c r="J13" s="66"/>
      <c r="K13" s="64" t="s">
        <v>90</v>
      </c>
      <c r="L13" s="64" t="s">
        <v>91</v>
      </c>
      <c r="M13" s="64" t="s">
        <v>92</v>
      </c>
      <c r="R13" s="11">
        <v>10</v>
      </c>
      <c r="S13" s="12">
        <v>10</v>
      </c>
      <c r="T13" s="12" t="s">
        <v>15</v>
      </c>
      <c r="U13" s="12" t="s">
        <v>15</v>
      </c>
      <c r="W13" s="11">
        <v>10</v>
      </c>
      <c r="X13" s="12">
        <v>4</v>
      </c>
      <c r="Y13" s="12">
        <v>0</v>
      </c>
      <c r="Z13" s="12">
        <v>0</v>
      </c>
      <c r="AB13" s="11">
        <v>10</v>
      </c>
      <c r="AC13" s="12">
        <v>1</v>
      </c>
      <c r="AD13" s="69">
        <v>1</v>
      </c>
      <c r="AE13" s="69">
        <v>1</v>
      </c>
      <c r="AG13" s="11">
        <v>10</v>
      </c>
      <c r="AH13" s="12">
        <v>1</v>
      </c>
      <c r="AI13" s="69">
        <v>1</v>
      </c>
      <c r="AJ13" s="69">
        <v>1</v>
      </c>
      <c r="AL13" s="11">
        <v>10</v>
      </c>
      <c r="AM13" s="12">
        <v>1</v>
      </c>
      <c r="AN13" s="69">
        <v>1</v>
      </c>
      <c r="AO13" s="69">
        <v>1</v>
      </c>
      <c r="AQ13" s="11">
        <v>10</v>
      </c>
      <c r="AR13" s="14" t="s">
        <v>5</v>
      </c>
      <c r="AT13" s="11">
        <v>10</v>
      </c>
      <c r="AU13" s="12">
        <v>6</v>
      </c>
      <c r="AW13" s="11">
        <v>10</v>
      </c>
      <c r="AX13" s="12">
        <v>1</v>
      </c>
      <c r="AY13" s="12">
        <v>1</v>
      </c>
      <c r="AZ13" s="12">
        <v>1</v>
      </c>
      <c r="BA13" s="12">
        <v>1</v>
      </c>
      <c r="BB13" s="12">
        <v>1</v>
      </c>
      <c r="BC13" s="12">
        <v>1</v>
      </c>
      <c r="BD13" s="12">
        <v>1</v>
      </c>
      <c r="BE13" s="12">
        <v>1</v>
      </c>
      <c r="BF13" s="24">
        <v>1</v>
      </c>
      <c r="BG13" s="29">
        <v>1</v>
      </c>
      <c r="BH13" s="12">
        <v>1</v>
      </c>
      <c r="BI13" s="12">
        <v>1</v>
      </c>
      <c r="BK13" s="11">
        <v>10</v>
      </c>
      <c r="BL13" s="12">
        <v>10</v>
      </c>
      <c r="BM13" s="12" t="s">
        <v>15</v>
      </c>
      <c r="BN13" s="12" t="s">
        <v>15</v>
      </c>
      <c r="BP13" s="11">
        <v>10</v>
      </c>
      <c r="BQ13" s="12">
        <v>4</v>
      </c>
      <c r="BR13" s="12">
        <v>0</v>
      </c>
      <c r="BS13" s="12">
        <v>0</v>
      </c>
      <c r="BU13" s="11">
        <v>10</v>
      </c>
      <c r="BV13" s="12">
        <v>1</v>
      </c>
      <c r="BW13" s="12">
        <v>1</v>
      </c>
      <c r="BX13" s="12">
        <v>1</v>
      </c>
      <c r="BZ13" s="11">
        <v>10</v>
      </c>
      <c r="CA13" s="12"/>
      <c r="CC13" s="11">
        <v>10</v>
      </c>
      <c r="CD13" s="12"/>
    </row>
    <row r="14" spans="1:82" ht="16.8">
      <c r="A14" s="20" t="s">
        <v>24</v>
      </c>
      <c r="B14" s="20">
        <v>9</v>
      </c>
      <c r="C14" s="5" t="s">
        <v>16</v>
      </c>
      <c r="D14" s="37">
        <f t="shared" si="0"/>
        <v>0</v>
      </c>
      <c r="E14" s="59">
        <f t="shared" si="1"/>
        <v>0</v>
      </c>
      <c r="F14" s="38">
        <f t="shared" si="1"/>
        <v>0</v>
      </c>
      <c r="H14" s="27"/>
      <c r="J14" s="64" t="s">
        <v>96</v>
      </c>
      <c r="K14" s="64">
        <v>1</v>
      </c>
      <c r="L14" s="64">
        <v>1</v>
      </c>
      <c r="M14" s="64">
        <v>1</v>
      </c>
      <c r="R14" s="11">
        <v>11</v>
      </c>
      <c r="S14" s="12" t="s">
        <v>15</v>
      </c>
      <c r="T14" s="12">
        <v>0</v>
      </c>
      <c r="U14" s="12">
        <v>0</v>
      </c>
      <c r="W14" s="11">
        <v>11</v>
      </c>
      <c r="X14" s="12">
        <v>0</v>
      </c>
      <c r="Y14" s="12">
        <v>1</v>
      </c>
      <c r="Z14" s="12">
        <v>1</v>
      </c>
      <c r="AB14" s="11">
        <v>11</v>
      </c>
      <c r="AC14" s="12">
        <v>1</v>
      </c>
      <c r="AD14" s="69">
        <v>1</v>
      </c>
      <c r="AE14" s="69">
        <v>1</v>
      </c>
      <c r="AG14" s="11">
        <v>11</v>
      </c>
      <c r="AH14" s="12">
        <v>1</v>
      </c>
      <c r="AI14" s="69">
        <v>1</v>
      </c>
      <c r="AJ14" s="69">
        <v>1</v>
      </c>
      <c r="AL14" s="11">
        <v>11</v>
      </c>
      <c r="AM14" s="12">
        <v>1</v>
      </c>
      <c r="AN14" s="69">
        <v>1</v>
      </c>
      <c r="AO14" s="69">
        <v>1</v>
      </c>
      <c r="AQ14" s="11">
        <v>11</v>
      </c>
      <c r="AR14" s="12" t="s">
        <v>15</v>
      </c>
      <c r="AT14" s="11">
        <v>11</v>
      </c>
      <c r="AU14" s="12">
        <v>0</v>
      </c>
      <c r="AW14" s="11">
        <v>11</v>
      </c>
      <c r="AX14" s="12">
        <v>1</v>
      </c>
      <c r="AY14" s="12">
        <v>1</v>
      </c>
      <c r="AZ14" s="12">
        <v>1</v>
      </c>
      <c r="BA14" s="12">
        <v>1</v>
      </c>
      <c r="BB14" s="12">
        <v>1</v>
      </c>
      <c r="BC14" s="12">
        <v>1</v>
      </c>
      <c r="BD14" s="12">
        <v>1</v>
      </c>
      <c r="BE14" s="12">
        <v>1</v>
      </c>
      <c r="BF14" s="24">
        <v>1</v>
      </c>
      <c r="BG14" s="29">
        <v>1</v>
      </c>
      <c r="BH14" s="12">
        <v>1</v>
      </c>
      <c r="BI14" s="12">
        <v>1</v>
      </c>
      <c r="BK14" s="11">
        <v>11</v>
      </c>
      <c r="BL14" s="12" t="s">
        <v>15</v>
      </c>
      <c r="BM14" s="12">
        <v>0</v>
      </c>
      <c r="BN14" s="12">
        <v>0</v>
      </c>
      <c r="BP14" s="11">
        <v>11</v>
      </c>
      <c r="BQ14" s="12">
        <v>0</v>
      </c>
      <c r="BR14" s="12">
        <v>1</v>
      </c>
      <c r="BS14" s="12">
        <v>1</v>
      </c>
      <c r="BU14" s="11">
        <v>11</v>
      </c>
      <c r="BV14" s="12">
        <v>1</v>
      </c>
      <c r="BW14" s="12">
        <v>1</v>
      </c>
      <c r="BX14" s="12">
        <v>1</v>
      </c>
      <c r="BZ14" s="11">
        <v>11</v>
      </c>
      <c r="CA14" s="12"/>
      <c r="CC14" s="11">
        <v>11</v>
      </c>
      <c r="CD14" s="12"/>
    </row>
    <row r="15" spans="1:82">
      <c r="A15" s="21" t="s">
        <v>35</v>
      </c>
      <c r="B15" s="21">
        <v>10</v>
      </c>
      <c r="C15" s="5" t="s">
        <v>37</v>
      </c>
      <c r="D15" s="37">
        <f t="shared" si="0"/>
        <v>0</v>
      </c>
      <c r="E15" s="59">
        <f t="shared" si="1"/>
        <v>0</v>
      </c>
      <c r="F15" s="38">
        <f t="shared" si="1"/>
        <v>0</v>
      </c>
      <c r="R15" s="11">
        <v>12</v>
      </c>
      <c r="S15" s="12">
        <v>1</v>
      </c>
      <c r="T15" s="12" t="s">
        <v>15</v>
      </c>
      <c r="U15" s="12" t="s">
        <v>15</v>
      </c>
      <c r="W15" s="11">
        <v>12</v>
      </c>
      <c r="X15" s="12">
        <v>2</v>
      </c>
      <c r="Y15" s="12">
        <v>0</v>
      </c>
      <c r="Z15" s="12">
        <v>0</v>
      </c>
      <c r="AB15" s="11">
        <v>12</v>
      </c>
      <c r="AC15" s="12">
        <v>1</v>
      </c>
      <c r="AD15" s="69">
        <v>1</v>
      </c>
      <c r="AE15" s="69">
        <v>1</v>
      </c>
      <c r="AG15" s="11">
        <v>12</v>
      </c>
      <c r="AH15" s="12">
        <v>1</v>
      </c>
      <c r="AI15" s="69">
        <v>1</v>
      </c>
      <c r="AJ15" s="69">
        <v>1</v>
      </c>
      <c r="AL15" s="11">
        <v>12</v>
      </c>
      <c r="AM15" s="12">
        <v>1</v>
      </c>
      <c r="AN15" s="69">
        <v>1</v>
      </c>
      <c r="AO15" s="69">
        <v>1</v>
      </c>
      <c r="AQ15" s="11">
        <v>12</v>
      </c>
      <c r="AR15" s="14" t="s">
        <v>7</v>
      </c>
      <c r="AT15" s="11">
        <v>12</v>
      </c>
      <c r="AU15" s="12">
        <v>9</v>
      </c>
      <c r="AW15" s="11">
        <v>12</v>
      </c>
      <c r="AX15" s="12">
        <v>1</v>
      </c>
      <c r="AY15" s="12">
        <v>1</v>
      </c>
      <c r="AZ15" s="12">
        <v>1</v>
      </c>
      <c r="BA15" s="12">
        <v>1</v>
      </c>
      <c r="BB15" s="12">
        <v>1</v>
      </c>
      <c r="BC15" s="12">
        <v>1</v>
      </c>
      <c r="BD15" s="12">
        <v>1</v>
      </c>
      <c r="BE15" s="12">
        <v>1</v>
      </c>
      <c r="BF15" s="24">
        <v>1</v>
      </c>
      <c r="BG15" s="29">
        <v>1</v>
      </c>
      <c r="BH15" s="12">
        <v>1</v>
      </c>
      <c r="BI15" s="12">
        <v>1</v>
      </c>
      <c r="BK15" s="11">
        <v>12</v>
      </c>
      <c r="BL15" s="12">
        <v>1</v>
      </c>
      <c r="BM15" s="12" t="s">
        <v>15</v>
      </c>
      <c r="BN15" s="12" t="s">
        <v>15</v>
      </c>
      <c r="BP15" s="11">
        <v>12</v>
      </c>
      <c r="BQ15" s="12">
        <v>2</v>
      </c>
      <c r="BR15" s="12">
        <v>0</v>
      </c>
      <c r="BS15" s="12">
        <v>0</v>
      </c>
      <c r="BU15" s="11">
        <v>12</v>
      </c>
      <c r="BV15" s="12">
        <v>1</v>
      </c>
      <c r="BW15" s="12">
        <v>1</v>
      </c>
      <c r="BX15" s="12">
        <v>1</v>
      </c>
      <c r="BZ15" s="11">
        <v>12</v>
      </c>
      <c r="CA15" s="12"/>
      <c r="CC15" s="11">
        <v>12</v>
      </c>
      <c r="CD15" s="12"/>
    </row>
    <row r="16" spans="1:82" ht="16.8">
      <c r="A16" s="22" t="s">
        <v>39</v>
      </c>
      <c r="B16" s="22">
        <v>11</v>
      </c>
      <c r="C16" s="17" t="s">
        <v>38</v>
      </c>
      <c r="D16" s="60">
        <f t="shared" si="0"/>
        <v>0</v>
      </c>
      <c r="E16" s="39">
        <f t="shared" si="1"/>
        <v>0</v>
      </c>
      <c r="F16" s="40">
        <f t="shared" si="1"/>
        <v>0</v>
      </c>
      <c r="J16" s="2"/>
      <c r="K16" s="2" t="s">
        <v>119</v>
      </c>
      <c r="L16" s="2" t="s">
        <v>120</v>
      </c>
      <c r="R16" s="11">
        <v>13</v>
      </c>
      <c r="S16" s="12" t="s">
        <v>15</v>
      </c>
      <c r="T16" s="12">
        <v>1</v>
      </c>
      <c r="U16" s="12">
        <v>1</v>
      </c>
      <c r="W16" s="11">
        <v>13</v>
      </c>
      <c r="X16" s="12">
        <v>0</v>
      </c>
      <c r="Y16" s="12">
        <v>2</v>
      </c>
      <c r="Z16" s="12">
        <v>2</v>
      </c>
      <c r="AB16" s="11">
        <v>13</v>
      </c>
      <c r="AC16" s="12">
        <v>1</v>
      </c>
      <c r="AD16" s="69">
        <v>1</v>
      </c>
      <c r="AE16" s="69">
        <v>1</v>
      </c>
      <c r="AG16" s="11">
        <v>13</v>
      </c>
      <c r="AH16" s="12">
        <v>1</v>
      </c>
      <c r="AI16" s="69">
        <v>1</v>
      </c>
      <c r="AJ16" s="69">
        <v>1</v>
      </c>
      <c r="AL16" s="11">
        <v>13</v>
      </c>
      <c r="AM16" s="12">
        <v>1</v>
      </c>
      <c r="AN16" s="69">
        <v>1</v>
      </c>
      <c r="AO16" s="69">
        <v>1</v>
      </c>
      <c r="AQ16" s="11">
        <v>13</v>
      </c>
      <c r="AR16" s="12" t="s">
        <v>15</v>
      </c>
      <c r="AT16" s="11">
        <v>13</v>
      </c>
      <c r="AU16" s="12">
        <v>0</v>
      </c>
      <c r="AW16" s="11">
        <v>13</v>
      </c>
      <c r="AX16" s="12">
        <v>1</v>
      </c>
      <c r="AY16" s="12">
        <v>1</v>
      </c>
      <c r="AZ16" s="12">
        <v>1</v>
      </c>
      <c r="BA16" s="12">
        <v>1</v>
      </c>
      <c r="BB16" s="12">
        <v>1</v>
      </c>
      <c r="BC16" s="12">
        <v>1</v>
      </c>
      <c r="BD16" s="12">
        <v>1</v>
      </c>
      <c r="BE16" s="12">
        <v>1</v>
      </c>
      <c r="BF16" s="24">
        <v>1</v>
      </c>
      <c r="BG16" s="29">
        <v>1</v>
      </c>
      <c r="BH16" s="12">
        <v>1</v>
      </c>
      <c r="BI16" s="12">
        <v>1</v>
      </c>
      <c r="BK16" s="11">
        <v>13</v>
      </c>
      <c r="BL16" s="12" t="s">
        <v>15</v>
      </c>
      <c r="BM16" s="12">
        <v>1</v>
      </c>
      <c r="BN16" s="12">
        <v>1</v>
      </c>
      <c r="BP16" s="11">
        <v>13</v>
      </c>
      <c r="BQ16" s="12">
        <v>0</v>
      </c>
      <c r="BR16" s="12">
        <v>2</v>
      </c>
      <c r="BS16" s="12">
        <v>2</v>
      </c>
      <c r="BU16" s="11">
        <v>13</v>
      </c>
      <c r="BV16" s="12">
        <v>1</v>
      </c>
      <c r="BW16" s="12">
        <v>1</v>
      </c>
      <c r="BX16" s="12">
        <v>1</v>
      </c>
      <c r="BZ16" s="11">
        <v>13</v>
      </c>
      <c r="CA16" s="12"/>
      <c r="CC16" s="11">
        <v>13</v>
      </c>
      <c r="CD16" s="12"/>
    </row>
    <row r="17" spans="1:82" ht="16.8">
      <c r="D17" s="121">
        <f>SUM(D5:D16)</f>
        <v>36</v>
      </c>
      <c r="E17" s="121">
        <f>SUM(E5:E16)</f>
        <v>50</v>
      </c>
      <c r="F17" s="121">
        <f>SUM(F5:F16)</f>
        <v>50</v>
      </c>
      <c r="J17" s="2" t="s">
        <v>118</v>
      </c>
      <c r="K17" s="33">
        <v>100</v>
      </c>
      <c r="L17" s="33">
        <v>0</v>
      </c>
      <c r="R17" s="11">
        <v>14</v>
      </c>
      <c r="S17" s="12">
        <v>5</v>
      </c>
      <c r="T17" s="12" t="s">
        <v>15</v>
      </c>
      <c r="U17" s="12" t="s">
        <v>15</v>
      </c>
      <c r="W17" s="11">
        <v>14</v>
      </c>
      <c r="X17" s="12">
        <v>3</v>
      </c>
      <c r="Y17" s="12">
        <v>0</v>
      </c>
      <c r="Z17" s="12">
        <v>0</v>
      </c>
      <c r="AB17" s="11">
        <v>14</v>
      </c>
      <c r="AC17" s="12">
        <v>1</v>
      </c>
      <c r="AD17" s="69">
        <v>1</v>
      </c>
      <c r="AE17" s="69">
        <v>1</v>
      </c>
      <c r="AG17" s="11">
        <v>14</v>
      </c>
      <c r="AH17" s="12">
        <v>1</v>
      </c>
      <c r="AI17" s="69">
        <v>1</v>
      </c>
      <c r="AJ17" s="69">
        <v>1</v>
      </c>
      <c r="AL17" s="11">
        <v>14</v>
      </c>
      <c r="AM17" s="12">
        <v>1</v>
      </c>
      <c r="AN17" s="69">
        <v>1</v>
      </c>
      <c r="AO17" s="69">
        <v>1</v>
      </c>
      <c r="AQ17" s="11">
        <v>14</v>
      </c>
      <c r="AR17" s="14" t="s">
        <v>6</v>
      </c>
      <c r="AT17" s="11">
        <v>14</v>
      </c>
      <c r="AU17" s="12">
        <v>7</v>
      </c>
      <c r="AW17" s="11">
        <v>14</v>
      </c>
      <c r="AX17" s="12">
        <v>1</v>
      </c>
      <c r="AY17" s="12">
        <v>1</v>
      </c>
      <c r="AZ17" s="12">
        <v>1</v>
      </c>
      <c r="BA17" s="12">
        <v>1</v>
      </c>
      <c r="BB17" s="12">
        <v>1</v>
      </c>
      <c r="BC17" s="12">
        <v>1</v>
      </c>
      <c r="BD17" s="12">
        <v>1</v>
      </c>
      <c r="BE17" s="12">
        <v>1</v>
      </c>
      <c r="BF17" s="24">
        <v>1</v>
      </c>
      <c r="BG17" s="29">
        <v>1</v>
      </c>
      <c r="BH17" s="12">
        <v>1</v>
      </c>
      <c r="BI17" s="12">
        <v>1</v>
      </c>
      <c r="BK17" s="11">
        <v>14</v>
      </c>
      <c r="BL17" s="12">
        <v>5</v>
      </c>
      <c r="BM17" s="12" t="s">
        <v>15</v>
      </c>
      <c r="BN17" s="12" t="s">
        <v>15</v>
      </c>
      <c r="BP17" s="11">
        <v>14</v>
      </c>
      <c r="BQ17" s="12">
        <v>3</v>
      </c>
      <c r="BR17" s="12">
        <v>0</v>
      </c>
      <c r="BS17" s="12">
        <v>0</v>
      </c>
      <c r="BU17" s="11">
        <v>14</v>
      </c>
      <c r="BV17" s="12">
        <v>1</v>
      </c>
      <c r="BW17" s="12">
        <v>1</v>
      </c>
      <c r="BX17" s="12">
        <v>1</v>
      </c>
      <c r="BZ17" s="11">
        <v>14</v>
      </c>
      <c r="CA17" s="12"/>
      <c r="CC17" s="11">
        <v>14</v>
      </c>
      <c r="CD17" s="12"/>
    </row>
    <row r="18" spans="1:82">
      <c r="C18" s="8"/>
      <c r="R18" s="11">
        <v>15</v>
      </c>
      <c r="S18" s="12" t="s">
        <v>15</v>
      </c>
      <c r="T18" s="12">
        <v>5</v>
      </c>
      <c r="U18" s="12">
        <v>5</v>
      </c>
      <c r="W18" s="11">
        <v>15</v>
      </c>
      <c r="X18" s="12">
        <v>0</v>
      </c>
      <c r="Y18" s="12">
        <v>3</v>
      </c>
      <c r="Z18" s="12">
        <v>3</v>
      </c>
      <c r="AB18" s="11">
        <v>15</v>
      </c>
      <c r="AC18" s="12">
        <v>1</v>
      </c>
      <c r="AD18" s="69">
        <v>1</v>
      </c>
      <c r="AE18" s="69">
        <v>1</v>
      </c>
      <c r="AG18" s="11">
        <v>15</v>
      </c>
      <c r="AH18" s="12">
        <v>1</v>
      </c>
      <c r="AI18" s="69">
        <v>1</v>
      </c>
      <c r="AJ18" s="69">
        <v>1</v>
      </c>
      <c r="AL18" s="11">
        <v>15</v>
      </c>
      <c r="AM18" s="12">
        <v>1</v>
      </c>
      <c r="AN18" s="69">
        <v>1</v>
      </c>
      <c r="AO18" s="69">
        <v>1</v>
      </c>
      <c r="AQ18" s="11">
        <v>15</v>
      </c>
      <c r="AR18" s="12" t="s">
        <v>15</v>
      </c>
      <c r="AT18" s="11">
        <v>15</v>
      </c>
      <c r="AU18" s="12">
        <v>0</v>
      </c>
      <c r="AW18" s="11">
        <v>15</v>
      </c>
      <c r="AX18" s="12">
        <v>1</v>
      </c>
      <c r="AY18" s="12">
        <v>1</v>
      </c>
      <c r="AZ18" s="12">
        <v>1</v>
      </c>
      <c r="BA18" s="12">
        <v>1</v>
      </c>
      <c r="BB18" s="12">
        <v>1</v>
      </c>
      <c r="BC18" s="12">
        <v>1</v>
      </c>
      <c r="BD18" s="12">
        <v>1</v>
      </c>
      <c r="BE18" s="12">
        <v>1</v>
      </c>
      <c r="BF18" s="24">
        <v>1</v>
      </c>
      <c r="BG18" s="29">
        <v>1</v>
      </c>
      <c r="BH18" s="12">
        <v>1</v>
      </c>
      <c r="BI18" s="12">
        <v>1</v>
      </c>
      <c r="BK18" s="11">
        <v>15</v>
      </c>
      <c r="BL18" s="12" t="s">
        <v>15</v>
      </c>
      <c r="BM18" s="12">
        <v>5</v>
      </c>
      <c r="BN18" s="12">
        <v>5</v>
      </c>
      <c r="BP18" s="11">
        <v>15</v>
      </c>
      <c r="BQ18" s="12">
        <v>0</v>
      </c>
      <c r="BR18" s="12">
        <v>3</v>
      </c>
      <c r="BS18" s="12">
        <v>3</v>
      </c>
      <c r="BU18" s="11">
        <v>15</v>
      </c>
      <c r="BV18" s="12">
        <v>1</v>
      </c>
      <c r="BW18" s="12">
        <v>1</v>
      </c>
      <c r="BX18" s="12">
        <v>1</v>
      </c>
      <c r="BZ18" s="11">
        <v>15</v>
      </c>
      <c r="CA18" s="12"/>
      <c r="CC18" s="11">
        <v>15</v>
      </c>
      <c r="CD18" s="12"/>
    </row>
    <row r="19" spans="1:82">
      <c r="A19" s="30" t="s">
        <v>116</v>
      </c>
      <c r="D19" s="119">
        <v>5</v>
      </c>
      <c r="E19" s="119" t="s">
        <v>8</v>
      </c>
      <c r="F19" s="127" t="s">
        <v>18</v>
      </c>
      <c r="J19" s="94" t="s">
        <v>125</v>
      </c>
      <c r="K19" s="121"/>
      <c r="R19" s="11">
        <v>16</v>
      </c>
      <c r="S19" s="12">
        <v>10</v>
      </c>
      <c r="T19" s="12" t="s">
        <v>15</v>
      </c>
      <c r="U19" s="12" t="s">
        <v>15</v>
      </c>
      <c r="W19" s="11">
        <v>16</v>
      </c>
      <c r="X19" s="12">
        <v>4</v>
      </c>
      <c r="Y19" s="12">
        <v>0</v>
      </c>
      <c r="Z19" s="12">
        <v>0</v>
      </c>
      <c r="AB19" s="11">
        <v>16</v>
      </c>
      <c r="AC19" s="12">
        <v>1</v>
      </c>
      <c r="AD19" s="69">
        <v>1</v>
      </c>
      <c r="AE19" s="69">
        <v>1</v>
      </c>
      <c r="AG19" s="11">
        <v>16</v>
      </c>
      <c r="AH19" s="12">
        <v>1</v>
      </c>
      <c r="AI19" s="69">
        <v>1</v>
      </c>
      <c r="AJ19" s="69">
        <v>1</v>
      </c>
      <c r="AL19" s="11">
        <v>16</v>
      </c>
      <c r="AM19" s="12">
        <v>1</v>
      </c>
      <c r="AN19" s="69">
        <v>1</v>
      </c>
      <c r="AO19" s="69">
        <v>1</v>
      </c>
      <c r="AQ19" s="11">
        <v>16</v>
      </c>
      <c r="AR19" s="14" t="s">
        <v>40</v>
      </c>
      <c r="AT19" s="11">
        <v>16</v>
      </c>
      <c r="AU19" s="12">
        <v>11</v>
      </c>
      <c r="AW19" s="11">
        <v>16</v>
      </c>
      <c r="AX19" s="12">
        <v>1</v>
      </c>
      <c r="AY19" s="12">
        <v>1</v>
      </c>
      <c r="AZ19" s="12">
        <v>1</v>
      </c>
      <c r="BA19" s="12">
        <v>1</v>
      </c>
      <c r="BB19" s="12">
        <v>1</v>
      </c>
      <c r="BC19" s="12">
        <v>1</v>
      </c>
      <c r="BD19" s="12">
        <v>1</v>
      </c>
      <c r="BE19" s="12">
        <v>1</v>
      </c>
      <c r="BF19" s="24">
        <v>1</v>
      </c>
      <c r="BG19" s="29">
        <v>1</v>
      </c>
      <c r="BH19" s="12">
        <v>1</v>
      </c>
      <c r="BI19" s="12">
        <v>1</v>
      </c>
      <c r="BK19" s="11">
        <v>16</v>
      </c>
      <c r="BL19" s="12">
        <v>10</v>
      </c>
      <c r="BM19" s="12" t="s">
        <v>15</v>
      </c>
      <c r="BN19" s="12" t="s">
        <v>15</v>
      </c>
      <c r="BP19" s="11">
        <v>16</v>
      </c>
      <c r="BQ19" s="12">
        <v>4</v>
      </c>
      <c r="BR19" s="12">
        <v>0</v>
      </c>
      <c r="BS19" s="12">
        <v>0</v>
      </c>
      <c r="BU19" s="11">
        <v>16</v>
      </c>
      <c r="BV19" s="12">
        <v>1</v>
      </c>
      <c r="BW19" s="12">
        <v>1</v>
      </c>
      <c r="BX19" s="12">
        <v>1</v>
      </c>
      <c r="BZ19" s="11">
        <v>16</v>
      </c>
      <c r="CA19" s="12"/>
      <c r="CC19" s="11">
        <v>16</v>
      </c>
      <c r="CD19" s="12"/>
    </row>
    <row r="20" spans="1:82">
      <c r="D20" s="119"/>
      <c r="E20" s="119"/>
      <c r="F20" s="119"/>
      <c r="J20" s="2" t="s">
        <v>66</v>
      </c>
      <c r="K20" s="2" t="s">
        <v>67</v>
      </c>
      <c r="R20" s="11">
        <v>17</v>
      </c>
      <c r="S20" s="12" t="s">
        <v>15</v>
      </c>
      <c r="T20" s="12">
        <v>10</v>
      </c>
      <c r="U20" s="12">
        <v>10</v>
      </c>
      <c r="W20" s="11">
        <v>17</v>
      </c>
      <c r="X20" s="12">
        <v>0</v>
      </c>
      <c r="Y20" s="12">
        <v>4</v>
      </c>
      <c r="Z20" s="12">
        <v>4</v>
      </c>
      <c r="AB20" s="11">
        <v>17</v>
      </c>
      <c r="AC20" s="12">
        <v>1</v>
      </c>
      <c r="AD20" s="69">
        <v>1</v>
      </c>
      <c r="AE20" s="69">
        <v>1</v>
      </c>
      <c r="AG20" s="11">
        <v>17</v>
      </c>
      <c r="AH20" s="12">
        <v>1</v>
      </c>
      <c r="AI20" s="69">
        <v>1</v>
      </c>
      <c r="AJ20" s="69">
        <v>1</v>
      </c>
      <c r="AL20" s="11">
        <v>17</v>
      </c>
      <c r="AM20" s="12">
        <v>1</v>
      </c>
      <c r="AN20" s="69">
        <v>1</v>
      </c>
      <c r="AO20" s="69">
        <v>1</v>
      </c>
      <c r="AQ20" s="11">
        <v>17</v>
      </c>
      <c r="AR20" s="12" t="s">
        <v>15</v>
      </c>
      <c r="AT20" s="11">
        <v>17</v>
      </c>
      <c r="AU20" s="12">
        <v>0</v>
      </c>
      <c r="AW20" s="11">
        <v>17</v>
      </c>
      <c r="AX20" s="12">
        <v>1</v>
      </c>
      <c r="AY20" s="12">
        <v>1</v>
      </c>
      <c r="AZ20" s="12">
        <v>1</v>
      </c>
      <c r="BA20" s="12">
        <v>1</v>
      </c>
      <c r="BB20" s="12">
        <v>1</v>
      </c>
      <c r="BC20" s="12">
        <v>1</v>
      </c>
      <c r="BD20" s="12">
        <v>1</v>
      </c>
      <c r="BE20" s="12">
        <v>1</v>
      </c>
      <c r="BF20" s="24">
        <v>1</v>
      </c>
      <c r="BG20" s="29">
        <v>1</v>
      </c>
      <c r="BH20" s="12">
        <v>1</v>
      </c>
      <c r="BI20" s="12">
        <v>1</v>
      </c>
      <c r="BK20" s="11">
        <v>17</v>
      </c>
      <c r="BL20" s="12" t="s">
        <v>15</v>
      </c>
      <c r="BM20" s="12">
        <v>10</v>
      </c>
      <c r="BN20" s="12">
        <v>10</v>
      </c>
      <c r="BP20" s="11">
        <v>17</v>
      </c>
      <c r="BQ20" s="12">
        <v>0</v>
      </c>
      <c r="BR20" s="12">
        <v>4</v>
      </c>
      <c r="BS20" s="12">
        <v>4</v>
      </c>
      <c r="BU20" s="11">
        <v>17</v>
      </c>
      <c r="BV20" s="12">
        <v>1</v>
      </c>
      <c r="BW20" s="12">
        <v>1</v>
      </c>
      <c r="BX20" s="12">
        <v>1</v>
      </c>
      <c r="BZ20" s="11">
        <v>17</v>
      </c>
      <c r="CA20" s="12"/>
      <c r="CC20" s="11">
        <v>17</v>
      </c>
      <c r="CD20" s="12"/>
    </row>
    <row r="21" spans="1:82">
      <c r="D21" s="119"/>
      <c r="E21" s="119"/>
      <c r="F21" s="119"/>
      <c r="J21" s="2">
        <v>0</v>
      </c>
      <c r="K21" s="2">
        <v>1</v>
      </c>
      <c r="R21" s="11">
        <v>18</v>
      </c>
      <c r="S21" s="12">
        <v>1</v>
      </c>
      <c r="T21" s="12" t="s">
        <v>15</v>
      </c>
      <c r="U21" s="12" t="s">
        <v>15</v>
      </c>
      <c r="W21" s="11">
        <v>18</v>
      </c>
      <c r="X21" s="12">
        <v>2</v>
      </c>
      <c r="Y21" s="12">
        <v>0</v>
      </c>
      <c r="Z21" s="12">
        <v>0</v>
      </c>
      <c r="AB21" s="11">
        <v>18</v>
      </c>
      <c r="AC21" s="12">
        <v>1</v>
      </c>
      <c r="AD21" s="69">
        <v>1</v>
      </c>
      <c r="AE21" s="69">
        <v>1</v>
      </c>
      <c r="AG21" s="11">
        <v>18</v>
      </c>
      <c r="AH21" s="12">
        <v>1</v>
      </c>
      <c r="AI21" s="69">
        <v>1</v>
      </c>
      <c r="AJ21" s="69">
        <v>1</v>
      </c>
      <c r="AL21" s="11">
        <v>18</v>
      </c>
      <c r="AM21" s="12">
        <v>1</v>
      </c>
      <c r="AN21" s="69">
        <v>1</v>
      </c>
      <c r="AO21" s="69">
        <v>1</v>
      </c>
      <c r="AQ21" s="11">
        <v>18</v>
      </c>
      <c r="AR21" s="14" t="s">
        <v>9</v>
      </c>
      <c r="AT21" s="11">
        <v>18</v>
      </c>
      <c r="AU21" s="12">
        <v>8</v>
      </c>
      <c r="AW21" s="11">
        <v>18</v>
      </c>
      <c r="AX21" s="12">
        <v>1</v>
      </c>
      <c r="AY21" s="12">
        <v>1</v>
      </c>
      <c r="AZ21" s="12">
        <v>1</v>
      </c>
      <c r="BA21" s="12">
        <v>1</v>
      </c>
      <c r="BB21" s="12">
        <v>1</v>
      </c>
      <c r="BC21" s="12">
        <v>1</v>
      </c>
      <c r="BD21" s="12">
        <v>1</v>
      </c>
      <c r="BE21" s="12">
        <v>1</v>
      </c>
      <c r="BF21" s="24">
        <v>1</v>
      </c>
      <c r="BG21" s="29">
        <v>1</v>
      </c>
      <c r="BH21" s="12">
        <v>1</v>
      </c>
      <c r="BI21" s="12">
        <v>1</v>
      </c>
      <c r="BK21" s="11">
        <v>18</v>
      </c>
      <c r="BL21" s="12">
        <v>1</v>
      </c>
      <c r="BM21" s="12" t="s">
        <v>15</v>
      </c>
      <c r="BN21" s="12" t="s">
        <v>15</v>
      </c>
      <c r="BP21" s="11">
        <v>18</v>
      </c>
      <c r="BQ21" s="12">
        <v>2</v>
      </c>
      <c r="BR21" s="12">
        <v>0</v>
      </c>
      <c r="BS21" s="12">
        <v>0</v>
      </c>
      <c r="BU21" s="11">
        <v>18</v>
      </c>
      <c r="BV21" s="12">
        <v>1</v>
      </c>
      <c r="BW21" s="12">
        <v>1</v>
      </c>
      <c r="BX21" s="12">
        <v>1</v>
      </c>
      <c r="BZ21" s="11">
        <v>18</v>
      </c>
      <c r="CA21" s="12"/>
      <c r="CC21" s="11">
        <v>18</v>
      </c>
      <c r="CD21" s="12"/>
    </row>
    <row r="22" spans="1:82">
      <c r="A22" s="30" t="s">
        <v>46</v>
      </c>
      <c r="B22" s="1" t="s">
        <v>10</v>
      </c>
      <c r="C22" s="2" t="s">
        <v>11</v>
      </c>
      <c r="D22" s="3" t="s">
        <v>80</v>
      </c>
      <c r="E22" s="122" t="s">
        <v>1</v>
      </c>
      <c r="F22" s="4" t="s">
        <v>2</v>
      </c>
      <c r="R22" s="11">
        <v>19</v>
      </c>
      <c r="S22" s="12" t="s">
        <v>15</v>
      </c>
      <c r="T22" s="12" t="s">
        <v>18</v>
      </c>
      <c r="U22" s="12" t="s">
        <v>18</v>
      </c>
      <c r="W22" s="11">
        <v>19</v>
      </c>
      <c r="X22" s="12">
        <v>0</v>
      </c>
      <c r="Y22" s="12">
        <v>5</v>
      </c>
      <c r="Z22" s="12">
        <v>5</v>
      </c>
      <c r="AB22" s="11">
        <v>19</v>
      </c>
      <c r="AC22" s="12">
        <v>1</v>
      </c>
      <c r="AD22" s="69">
        <v>1</v>
      </c>
      <c r="AE22" s="69">
        <v>1</v>
      </c>
      <c r="AG22" s="11">
        <v>19</v>
      </c>
      <c r="AH22" s="12">
        <v>1</v>
      </c>
      <c r="AI22" s="69">
        <v>1</v>
      </c>
      <c r="AJ22" s="69">
        <v>1</v>
      </c>
      <c r="AL22" s="11">
        <v>19</v>
      </c>
      <c r="AM22" s="12">
        <v>1</v>
      </c>
      <c r="AN22" s="69">
        <v>1</v>
      </c>
      <c r="AO22" s="69">
        <v>1</v>
      </c>
      <c r="AQ22" s="11">
        <v>19</v>
      </c>
      <c r="AR22" s="12" t="s">
        <v>15</v>
      </c>
      <c r="AT22" s="11">
        <v>19</v>
      </c>
      <c r="AU22" s="12">
        <v>0</v>
      </c>
      <c r="AW22" s="11">
        <v>19</v>
      </c>
      <c r="AX22" s="12">
        <v>1</v>
      </c>
      <c r="AY22" s="12">
        <v>1</v>
      </c>
      <c r="AZ22" s="12">
        <v>1</v>
      </c>
      <c r="BA22" s="12">
        <v>1</v>
      </c>
      <c r="BB22" s="12">
        <v>1</v>
      </c>
      <c r="BC22" s="12">
        <v>1</v>
      </c>
      <c r="BD22" s="12">
        <v>1</v>
      </c>
      <c r="BE22" s="12">
        <v>1</v>
      </c>
      <c r="BF22" s="24">
        <v>1</v>
      </c>
      <c r="BG22" s="29">
        <v>1</v>
      </c>
      <c r="BH22" s="12">
        <v>1</v>
      </c>
      <c r="BI22" s="12">
        <v>1</v>
      </c>
      <c r="BK22" s="11">
        <v>19</v>
      </c>
      <c r="BL22" s="12" t="s">
        <v>15</v>
      </c>
      <c r="BM22" s="12" t="s">
        <v>18</v>
      </c>
      <c r="BN22" s="12" t="s">
        <v>18</v>
      </c>
      <c r="BP22" s="11">
        <v>19</v>
      </c>
      <c r="BQ22" s="12">
        <v>0</v>
      </c>
      <c r="BR22" s="12">
        <v>5</v>
      </c>
      <c r="BS22" s="12">
        <v>5</v>
      </c>
      <c r="BU22" s="11">
        <v>19</v>
      </c>
      <c r="BV22" s="12">
        <v>1</v>
      </c>
      <c r="BW22" s="12">
        <v>1</v>
      </c>
      <c r="BX22" s="12">
        <v>1</v>
      </c>
      <c r="BZ22" s="11">
        <v>19</v>
      </c>
      <c r="CA22" s="12"/>
      <c r="CC22" s="11">
        <v>19</v>
      </c>
      <c r="CD22" s="12"/>
    </row>
    <row r="23" spans="1:82">
      <c r="A23" s="1" t="s">
        <v>19</v>
      </c>
      <c r="B23" s="1">
        <v>0</v>
      </c>
      <c r="C23" s="3" t="s">
        <v>25</v>
      </c>
      <c r="D23" s="3">
        <f>SUMIF(S$3:S$38,$A23,AH$3:AH$38)</f>
        <v>18</v>
      </c>
      <c r="E23" s="122">
        <f>SUMIF(T$3:T$52,$A23,AI$3:AI$52)</f>
        <v>25</v>
      </c>
      <c r="F23" s="4">
        <f>SUMIF(U$3:U$52,$A23,AJ$3:AJ$52)</f>
        <v>25</v>
      </c>
      <c r="R23" s="11">
        <v>20</v>
      </c>
      <c r="S23" s="12">
        <v>5</v>
      </c>
      <c r="T23" s="12" t="s">
        <v>15</v>
      </c>
      <c r="U23" s="12" t="s">
        <v>15</v>
      </c>
      <c r="W23" s="11">
        <v>20</v>
      </c>
      <c r="X23" s="12">
        <v>3</v>
      </c>
      <c r="Y23" s="12">
        <v>0</v>
      </c>
      <c r="Z23" s="12">
        <v>0</v>
      </c>
      <c r="AB23" s="11">
        <v>20</v>
      </c>
      <c r="AC23" s="12">
        <v>1</v>
      </c>
      <c r="AD23" s="69">
        <v>1</v>
      </c>
      <c r="AE23" s="69">
        <v>1</v>
      </c>
      <c r="AG23" s="11">
        <v>20</v>
      </c>
      <c r="AH23" s="12">
        <v>1</v>
      </c>
      <c r="AI23" s="69">
        <v>1</v>
      </c>
      <c r="AJ23" s="69">
        <v>1</v>
      </c>
      <c r="AL23" s="11">
        <v>20</v>
      </c>
      <c r="AM23" s="12">
        <v>1</v>
      </c>
      <c r="AN23" s="69">
        <v>1</v>
      </c>
      <c r="AO23" s="69">
        <v>1</v>
      </c>
      <c r="AQ23" s="11">
        <v>20</v>
      </c>
      <c r="AR23" s="14" t="s">
        <v>5</v>
      </c>
      <c r="AT23" s="11">
        <v>20</v>
      </c>
      <c r="AU23" s="12">
        <v>6</v>
      </c>
      <c r="AW23" s="11">
        <v>20</v>
      </c>
      <c r="AX23" s="12">
        <v>1</v>
      </c>
      <c r="AY23" s="12">
        <v>1</v>
      </c>
      <c r="AZ23" s="12">
        <v>1</v>
      </c>
      <c r="BA23" s="12">
        <v>1</v>
      </c>
      <c r="BB23" s="12">
        <v>1</v>
      </c>
      <c r="BC23" s="12">
        <v>1</v>
      </c>
      <c r="BD23" s="12">
        <v>1</v>
      </c>
      <c r="BE23" s="12">
        <v>1</v>
      </c>
      <c r="BF23" s="24">
        <v>1</v>
      </c>
      <c r="BG23" s="29">
        <v>1</v>
      </c>
      <c r="BH23" s="12">
        <v>1</v>
      </c>
      <c r="BI23" s="12">
        <v>1</v>
      </c>
      <c r="BK23" s="11">
        <v>20</v>
      </c>
      <c r="BL23" s="12">
        <v>5</v>
      </c>
      <c r="BM23" s="12" t="s">
        <v>15</v>
      </c>
      <c r="BN23" s="12" t="s">
        <v>15</v>
      </c>
      <c r="BP23" s="11">
        <v>20</v>
      </c>
      <c r="BQ23" s="12">
        <v>3</v>
      </c>
      <c r="BR23" s="12">
        <v>0</v>
      </c>
      <c r="BS23" s="12">
        <v>0</v>
      </c>
      <c r="BU23" s="11">
        <v>20</v>
      </c>
      <c r="BV23" s="12">
        <v>1</v>
      </c>
      <c r="BW23" s="12">
        <v>1</v>
      </c>
      <c r="BX23" s="12">
        <v>1</v>
      </c>
      <c r="BZ23" s="11">
        <v>20</v>
      </c>
      <c r="CA23" s="12"/>
      <c r="CC23" s="11">
        <v>20</v>
      </c>
      <c r="CD23" s="12"/>
    </row>
    <row r="24" spans="1:82">
      <c r="A24" s="20">
        <v>0</v>
      </c>
      <c r="B24" s="20">
        <v>1</v>
      </c>
      <c r="C24" s="5">
        <v>0</v>
      </c>
      <c r="D24" s="37">
        <f t="shared" ref="D24:D34" si="2">SUMIF(S$3:S$38,$A24,AH$3:AH$38)</f>
        <v>0</v>
      </c>
      <c r="E24" s="121">
        <f t="shared" ref="E24:F34" si="3">SUMIF(T$3:T$52,$A24,AI$3:AI$52)</f>
        <v>5</v>
      </c>
      <c r="F24" s="7">
        <f>SUMIF(U$3:U$52,$A24,AJ$3:AJ$52)</f>
        <v>5</v>
      </c>
      <c r="R24" s="11">
        <v>21</v>
      </c>
      <c r="S24" s="12" t="s">
        <v>15</v>
      </c>
      <c r="T24" s="12">
        <v>0</v>
      </c>
      <c r="U24" s="12">
        <v>0</v>
      </c>
      <c r="W24" s="11">
        <v>21</v>
      </c>
      <c r="X24" s="12">
        <v>0</v>
      </c>
      <c r="Y24" s="12">
        <v>1</v>
      </c>
      <c r="Z24" s="12">
        <v>1</v>
      </c>
      <c r="AB24" s="11">
        <v>21</v>
      </c>
      <c r="AC24" s="12">
        <v>1</v>
      </c>
      <c r="AD24" s="69">
        <v>1</v>
      </c>
      <c r="AE24" s="69">
        <v>1</v>
      </c>
      <c r="AG24" s="11">
        <v>21</v>
      </c>
      <c r="AH24" s="12">
        <v>1</v>
      </c>
      <c r="AI24" s="69">
        <v>1</v>
      </c>
      <c r="AJ24" s="69">
        <v>1</v>
      </c>
      <c r="AL24" s="11">
        <v>21</v>
      </c>
      <c r="AM24" s="12">
        <v>1</v>
      </c>
      <c r="AN24" s="69">
        <v>1</v>
      </c>
      <c r="AO24" s="69">
        <v>1</v>
      </c>
      <c r="AQ24" s="11">
        <v>21</v>
      </c>
      <c r="AR24" s="12" t="s">
        <v>15</v>
      </c>
      <c r="AT24" s="11">
        <v>21</v>
      </c>
      <c r="AU24" s="12">
        <v>0</v>
      </c>
      <c r="AW24" s="11">
        <v>21</v>
      </c>
      <c r="AX24" s="12">
        <v>1</v>
      </c>
      <c r="AY24" s="12">
        <v>1</v>
      </c>
      <c r="AZ24" s="12">
        <v>1</v>
      </c>
      <c r="BA24" s="12">
        <v>1</v>
      </c>
      <c r="BB24" s="12">
        <v>1</v>
      </c>
      <c r="BC24" s="12">
        <v>1</v>
      </c>
      <c r="BD24" s="12">
        <v>1</v>
      </c>
      <c r="BE24" s="12">
        <v>1</v>
      </c>
      <c r="BF24" s="24">
        <v>1</v>
      </c>
      <c r="BG24" s="29">
        <v>1</v>
      </c>
      <c r="BH24" s="12">
        <v>1</v>
      </c>
      <c r="BI24" s="12">
        <v>1</v>
      </c>
      <c r="BK24" s="11">
        <v>21</v>
      </c>
      <c r="BL24" s="12" t="s">
        <v>15</v>
      </c>
      <c r="BM24" s="12">
        <v>0</v>
      </c>
      <c r="BN24" s="12">
        <v>0</v>
      </c>
      <c r="BP24" s="11">
        <v>21</v>
      </c>
      <c r="BQ24" s="12">
        <v>0</v>
      </c>
      <c r="BR24" s="12">
        <v>1</v>
      </c>
      <c r="BS24" s="12">
        <v>1</v>
      </c>
      <c r="BU24" s="11">
        <v>21</v>
      </c>
      <c r="BV24" s="12">
        <v>1</v>
      </c>
      <c r="BW24" s="12">
        <v>1</v>
      </c>
      <c r="BX24" s="12">
        <v>1</v>
      </c>
      <c r="BZ24" s="11">
        <v>21</v>
      </c>
      <c r="CA24" s="12"/>
      <c r="CC24" s="11">
        <v>21</v>
      </c>
      <c r="CD24" s="12"/>
    </row>
    <row r="25" spans="1:82">
      <c r="A25" s="20">
        <v>1</v>
      </c>
      <c r="B25" s="20">
        <v>2</v>
      </c>
      <c r="C25" s="5">
        <v>1</v>
      </c>
      <c r="D25" s="6">
        <f t="shared" si="2"/>
        <v>6</v>
      </c>
      <c r="E25" s="121">
        <f t="shared" si="3"/>
        <v>5</v>
      </c>
      <c r="F25" s="7">
        <f t="shared" si="3"/>
        <v>5</v>
      </c>
      <c r="R25" s="11">
        <v>22</v>
      </c>
      <c r="S25" s="12">
        <v>10</v>
      </c>
      <c r="T25" s="12" t="s">
        <v>15</v>
      </c>
      <c r="U25" s="12" t="s">
        <v>15</v>
      </c>
      <c r="W25" s="11">
        <v>22</v>
      </c>
      <c r="X25" s="12">
        <v>4</v>
      </c>
      <c r="Y25" s="12">
        <v>0</v>
      </c>
      <c r="Z25" s="12">
        <v>0</v>
      </c>
      <c r="AB25" s="11">
        <v>22</v>
      </c>
      <c r="AC25" s="12">
        <v>1</v>
      </c>
      <c r="AD25" s="69">
        <v>1</v>
      </c>
      <c r="AE25" s="69">
        <v>1</v>
      </c>
      <c r="AG25" s="11">
        <v>22</v>
      </c>
      <c r="AH25" s="12">
        <v>1</v>
      </c>
      <c r="AI25" s="69">
        <v>1</v>
      </c>
      <c r="AJ25" s="69">
        <v>1</v>
      </c>
      <c r="AL25" s="11">
        <v>22</v>
      </c>
      <c r="AM25" s="12">
        <v>1</v>
      </c>
      <c r="AN25" s="69">
        <v>1</v>
      </c>
      <c r="AO25" s="69">
        <v>1</v>
      </c>
      <c r="AQ25" s="11">
        <v>22</v>
      </c>
      <c r="AR25" s="14" t="s">
        <v>7</v>
      </c>
      <c r="AT25" s="11">
        <v>22</v>
      </c>
      <c r="AU25" s="12">
        <v>9</v>
      </c>
      <c r="AW25" s="11">
        <v>22</v>
      </c>
      <c r="AX25" s="12">
        <v>1</v>
      </c>
      <c r="AY25" s="12">
        <v>1</v>
      </c>
      <c r="AZ25" s="12">
        <v>1</v>
      </c>
      <c r="BA25" s="12">
        <v>1</v>
      </c>
      <c r="BB25" s="12">
        <v>1</v>
      </c>
      <c r="BC25" s="12">
        <v>1</v>
      </c>
      <c r="BD25" s="12">
        <v>1</v>
      </c>
      <c r="BE25" s="12">
        <v>1</v>
      </c>
      <c r="BF25" s="24">
        <v>1</v>
      </c>
      <c r="BG25" s="29">
        <v>1</v>
      </c>
      <c r="BH25" s="12">
        <v>1</v>
      </c>
      <c r="BI25" s="12">
        <v>1</v>
      </c>
      <c r="BK25" s="11">
        <v>22</v>
      </c>
      <c r="BL25" s="12">
        <v>10</v>
      </c>
      <c r="BM25" s="12" t="s">
        <v>15</v>
      </c>
      <c r="BN25" s="12" t="s">
        <v>15</v>
      </c>
      <c r="BP25" s="11">
        <v>22</v>
      </c>
      <c r="BQ25" s="12">
        <v>4</v>
      </c>
      <c r="BR25" s="12">
        <v>0</v>
      </c>
      <c r="BS25" s="12">
        <v>0</v>
      </c>
      <c r="BU25" s="11">
        <v>22</v>
      </c>
      <c r="BV25" s="12">
        <v>1</v>
      </c>
      <c r="BW25" s="12">
        <v>1</v>
      </c>
      <c r="BX25" s="12">
        <v>1</v>
      </c>
      <c r="BZ25" s="11">
        <v>22</v>
      </c>
      <c r="CA25" s="12"/>
      <c r="CC25" s="11">
        <v>22</v>
      </c>
      <c r="CD25" s="12"/>
    </row>
    <row r="26" spans="1:82">
      <c r="A26" s="21">
        <v>5</v>
      </c>
      <c r="B26" s="21">
        <v>3</v>
      </c>
      <c r="C26" s="23">
        <v>5</v>
      </c>
      <c r="D26" s="6">
        <f t="shared" si="2"/>
        <v>6</v>
      </c>
      <c r="E26" s="121">
        <f t="shared" si="3"/>
        <v>5</v>
      </c>
      <c r="F26" s="7">
        <f t="shared" si="3"/>
        <v>5</v>
      </c>
      <c r="R26" s="11">
        <v>23</v>
      </c>
      <c r="S26" s="12" t="s">
        <v>15</v>
      </c>
      <c r="T26" s="12">
        <v>1</v>
      </c>
      <c r="U26" s="12">
        <v>1</v>
      </c>
      <c r="W26" s="11">
        <v>23</v>
      </c>
      <c r="X26" s="12">
        <v>0</v>
      </c>
      <c r="Y26" s="12">
        <v>2</v>
      </c>
      <c r="Z26" s="12">
        <v>2</v>
      </c>
      <c r="AB26" s="11">
        <v>23</v>
      </c>
      <c r="AC26" s="12">
        <v>1</v>
      </c>
      <c r="AD26" s="69">
        <v>1</v>
      </c>
      <c r="AE26" s="69">
        <v>1</v>
      </c>
      <c r="AG26" s="11">
        <v>23</v>
      </c>
      <c r="AH26" s="12">
        <v>1</v>
      </c>
      <c r="AI26" s="69">
        <v>1</v>
      </c>
      <c r="AJ26" s="69">
        <v>1</v>
      </c>
      <c r="AL26" s="11">
        <v>23</v>
      </c>
      <c r="AM26" s="12">
        <v>1</v>
      </c>
      <c r="AN26" s="69">
        <v>1</v>
      </c>
      <c r="AO26" s="69">
        <v>1</v>
      </c>
      <c r="AQ26" s="11">
        <v>23</v>
      </c>
      <c r="AR26" s="12" t="s">
        <v>15</v>
      </c>
      <c r="AT26" s="11">
        <v>23</v>
      </c>
      <c r="AU26" s="12">
        <v>0</v>
      </c>
      <c r="AW26" s="11">
        <v>23</v>
      </c>
      <c r="AX26" s="12">
        <v>1</v>
      </c>
      <c r="AY26" s="12">
        <v>1</v>
      </c>
      <c r="AZ26" s="12">
        <v>1</v>
      </c>
      <c r="BA26" s="12">
        <v>1</v>
      </c>
      <c r="BB26" s="12">
        <v>1</v>
      </c>
      <c r="BC26" s="12">
        <v>1</v>
      </c>
      <c r="BD26" s="12">
        <v>1</v>
      </c>
      <c r="BE26" s="12">
        <v>1</v>
      </c>
      <c r="BF26" s="24">
        <v>1</v>
      </c>
      <c r="BG26" s="29">
        <v>1</v>
      </c>
      <c r="BH26" s="12">
        <v>1</v>
      </c>
      <c r="BI26" s="12">
        <v>1</v>
      </c>
      <c r="BK26" s="11">
        <v>23</v>
      </c>
      <c r="BL26" s="12" t="s">
        <v>15</v>
      </c>
      <c r="BM26" s="12">
        <v>1</v>
      </c>
      <c r="BN26" s="12">
        <v>1</v>
      </c>
      <c r="BP26" s="11">
        <v>23</v>
      </c>
      <c r="BQ26" s="12">
        <v>0</v>
      </c>
      <c r="BR26" s="12">
        <v>2</v>
      </c>
      <c r="BS26" s="12">
        <v>2</v>
      </c>
      <c r="BU26" s="11">
        <v>23</v>
      </c>
      <c r="BV26" s="12">
        <v>1</v>
      </c>
      <c r="BW26" s="12">
        <v>1</v>
      </c>
      <c r="BX26" s="12">
        <v>1</v>
      </c>
      <c r="BZ26" s="11">
        <v>23</v>
      </c>
      <c r="CA26" s="12"/>
      <c r="CC26" s="11">
        <v>23</v>
      </c>
      <c r="CD26" s="12"/>
    </row>
    <row r="27" spans="1:82">
      <c r="A27" s="21">
        <v>10</v>
      </c>
      <c r="B27" s="21">
        <v>4</v>
      </c>
      <c r="C27" s="23">
        <v>10</v>
      </c>
      <c r="D27" s="6">
        <f t="shared" si="2"/>
        <v>6</v>
      </c>
      <c r="E27" s="101">
        <f t="shared" si="3"/>
        <v>5</v>
      </c>
      <c r="F27" s="126">
        <f t="shared" si="3"/>
        <v>5</v>
      </c>
      <c r="R27" s="11">
        <v>24</v>
      </c>
      <c r="S27" s="12">
        <v>1</v>
      </c>
      <c r="T27" s="12" t="s">
        <v>15</v>
      </c>
      <c r="U27" s="12" t="s">
        <v>15</v>
      </c>
      <c r="W27" s="11">
        <v>24</v>
      </c>
      <c r="X27" s="12">
        <v>2</v>
      </c>
      <c r="Y27" s="12">
        <v>0</v>
      </c>
      <c r="Z27" s="12">
        <v>0</v>
      </c>
      <c r="AB27" s="11">
        <v>24</v>
      </c>
      <c r="AC27" s="12">
        <v>1</v>
      </c>
      <c r="AD27" s="69">
        <v>1</v>
      </c>
      <c r="AE27" s="69">
        <v>1</v>
      </c>
      <c r="AG27" s="11">
        <v>24</v>
      </c>
      <c r="AH27" s="12">
        <v>1</v>
      </c>
      <c r="AI27" s="69">
        <v>1</v>
      </c>
      <c r="AJ27" s="69">
        <v>1</v>
      </c>
      <c r="AL27" s="11">
        <v>24</v>
      </c>
      <c r="AM27" s="12">
        <v>1</v>
      </c>
      <c r="AN27" s="69">
        <v>1</v>
      </c>
      <c r="AO27" s="69">
        <v>1</v>
      </c>
      <c r="AQ27" s="11">
        <v>24</v>
      </c>
      <c r="AR27" s="14" t="s">
        <v>6</v>
      </c>
      <c r="AT27" s="11">
        <v>24</v>
      </c>
      <c r="AU27" s="12">
        <v>7</v>
      </c>
      <c r="AW27" s="11">
        <v>24</v>
      </c>
      <c r="AX27" s="12">
        <v>1</v>
      </c>
      <c r="AY27" s="12">
        <v>1</v>
      </c>
      <c r="AZ27" s="12">
        <v>1</v>
      </c>
      <c r="BA27" s="12">
        <v>1</v>
      </c>
      <c r="BB27" s="12">
        <v>1</v>
      </c>
      <c r="BC27" s="12">
        <v>1</v>
      </c>
      <c r="BD27" s="12">
        <v>1</v>
      </c>
      <c r="BE27" s="12">
        <v>1</v>
      </c>
      <c r="BF27" s="24">
        <v>1</v>
      </c>
      <c r="BG27" s="29">
        <v>1</v>
      </c>
      <c r="BH27" s="12">
        <v>1</v>
      </c>
      <c r="BI27" s="12">
        <v>1</v>
      </c>
      <c r="BK27" s="11">
        <v>24</v>
      </c>
      <c r="BL27" s="12">
        <v>1</v>
      </c>
      <c r="BM27" s="12" t="s">
        <v>15</v>
      </c>
      <c r="BN27" s="12" t="s">
        <v>15</v>
      </c>
      <c r="BP27" s="11">
        <v>24</v>
      </c>
      <c r="BQ27" s="12">
        <v>2</v>
      </c>
      <c r="BR27" s="12">
        <v>0</v>
      </c>
      <c r="BS27" s="12">
        <v>0</v>
      </c>
      <c r="BU27" s="11">
        <v>24</v>
      </c>
      <c r="BV27" s="12">
        <v>1</v>
      </c>
      <c r="BW27" s="12">
        <v>1</v>
      </c>
      <c r="BX27" s="12">
        <v>1</v>
      </c>
      <c r="BZ27" s="11">
        <v>24</v>
      </c>
      <c r="CA27" s="12"/>
      <c r="CC27" s="11">
        <v>24</v>
      </c>
      <c r="CD27" s="12"/>
    </row>
    <row r="28" spans="1:82">
      <c r="A28" s="20" t="s">
        <v>20</v>
      </c>
      <c r="B28" s="20">
        <v>5</v>
      </c>
      <c r="C28" s="23" t="s">
        <v>29</v>
      </c>
      <c r="D28" s="37">
        <f t="shared" si="2"/>
        <v>0</v>
      </c>
      <c r="E28" s="101">
        <f t="shared" si="3"/>
        <v>5</v>
      </c>
      <c r="F28" s="126">
        <f t="shared" si="3"/>
        <v>5</v>
      </c>
      <c r="R28" s="11">
        <v>25</v>
      </c>
      <c r="S28" s="12" t="s">
        <v>15</v>
      </c>
      <c r="T28" s="12">
        <v>5</v>
      </c>
      <c r="U28" s="12">
        <v>5</v>
      </c>
      <c r="W28" s="11">
        <v>25</v>
      </c>
      <c r="X28" s="12">
        <v>0</v>
      </c>
      <c r="Y28" s="12">
        <v>3</v>
      </c>
      <c r="Z28" s="12">
        <v>3</v>
      </c>
      <c r="AB28" s="11">
        <v>25</v>
      </c>
      <c r="AC28" s="12">
        <v>1</v>
      </c>
      <c r="AD28" s="69">
        <v>1</v>
      </c>
      <c r="AE28" s="69">
        <v>1</v>
      </c>
      <c r="AG28" s="11">
        <v>25</v>
      </c>
      <c r="AH28" s="12">
        <v>1</v>
      </c>
      <c r="AI28" s="69">
        <v>1</v>
      </c>
      <c r="AJ28" s="69">
        <v>1</v>
      </c>
      <c r="AL28" s="11">
        <v>25</v>
      </c>
      <c r="AM28" s="12">
        <v>1</v>
      </c>
      <c r="AN28" s="69">
        <v>1</v>
      </c>
      <c r="AO28" s="69">
        <v>1</v>
      </c>
      <c r="AQ28" s="11">
        <v>25</v>
      </c>
      <c r="AR28" s="12" t="s">
        <v>15</v>
      </c>
      <c r="AT28" s="11">
        <v>25</v>
      </c>
      <c r="AU28" s="12">
        <v>0</v>
      </c>
      <c r="AW28" s="11">
        <v>25</v>
      </c>
      <c r="AX28" s="12">
        <v>1</v>
      </c>
      <c r="AY28" s="12">
        <v>1</v>
      </c>
      <c r="AZ28" s="12">
        <v>1</v>
      </c>
      <c r="BA28" s="12">
        <v>1</v>
      </c>
      <c r="BB28" s="12">
        <v>1</v>
      </c>
      <c r="BC28" s="12">
        <v>1</v>
      </c>
      <c r="BD28" s="12">
        <v>1</v>
      </c>
      <c r="BE28" s="12">
        <v>1</v>
      </c>
      <c r="BF28" s="24">
        <v>1</v>
      </c>
      <c r="BG28" s="29">
        <v>1</v>
      </c>
      <c r="BH28" s="12">
        <v>1</v>
      </c>
      <c r="BI28" s="12">
        <v>1</v>
      </c>
      <c r="BK28" s="11">
        <v>25</v>
      </c>
      <c r="BL28" s="12" t="s">
        <v>15</v>
      </c>
      <c r="BM28" s="12">
        <v>5</v>
      </c>
      <c r="BN28" s="12">
        <v>5</v>
      </c>
      <c r="BP28" s="11">
        <v>25</v>
      </c>
      <c r="BQ28" s="12">
        <v>0</v>
      </c>
      <c r="BR28" s="12">
        <v>3</v>
      </c>
      <c r="BS28" s="12">
        <v>3</v>
      </c>
      <c r="BU28" s="11">
        <v>25</v>
      </c>
      <c r="BV28" s="12">
        <v>1</v>
      </c>
      <c r="BW28" s="12">
        <v>1</v>
      </c>
      <c r="BX28" s="12">
        <v>1</v>
      </c>
      <c r="BZ28" s="11">
        <v>25</v>
      </c>
      <c r="CA28" s="12"/>
      <c r="CC28" s="11">
        <v>25</v>
      </c>
      <c r="CD28" s="12"/>
    </row>
    <row r="29" spans="1:82">
      <c r="A29" s="21" t="s">
        <v>21</v>
      </c>
      <c r="B29" s="21">
        <v>6</v>
      </c>
      <c r="C29" s="23" t="s">
        <v>26</v>
      </c>
      <c r="D29" s="37">
        <f t="shared" si="2"/>
        <v>0</v>
      </c>
      <c r="E29" s="59">
        <f t="shared" si="3"/>
        <v>0</v>
      </c>
      <c r="F29" s="38">
        <f t="shared" si="3"/>
        <v>0</v>
      </c>
      <c r="R29" s="11">
        <v>26</v>
      </c>
      <c r="S29" s="12">
        <v>5</v>
      </c>
      <c r="T29" s="12" t="s">
        <v>15</v>
      </c>
      <c r="U29" s="12" t="s">
        <v>15</v>
      </c>
      <c r="W29" s="11">
        <v>26</v>
      </c>
      <c r="X29" s="12">
        <v>3</v>
      </c>
      <c r="Y29" s="12">
        <v>0</v>
      </c>
      <c r="Z29" s="12">
        <v>0</v>
      </c>
      <c r="AB29" s="11">
        <v>26</v>
      </c>
      <c r="AC29" s="12">
        <v>1</v>
      </c>
      <c r="AD29" s="69">
        <v>1</v>
      </c>
      <c r="AE29" s="69">
        <v>1</v>
      </c>
      <c r="AG29" s="11">
        <v>26</v>
      </c>
      <c r="AH29" s="12">
        <v>1</v>
      </c>
      <c r="AI29" s="69">
        <v>1</v>
      </c>
      <c r="AJ29" s="69">
        <v>1</v>
      </c>
      <c r="AL29" s="11">
        <v>26</v>
      </c>
      <c r="AM29" s="12">
        <v>1</v>
      </c>
      <c r="AN29" s="69">
        <v>1</v>
      </c>
      <c r="AO29" s="69">
        <v>1</v>
      </c>
      <c r="AQ29" s="11">
        <v>26</v>
      </c>
      <c r="AR29" s="14" t="s">
        <v>40</v>
      </c>
      <c r="AT29" s="11">
        <v>26</v>
      </c>
      <c r="AU29" s="12">
        <v>11</v>
      </c>
      <c r="AW29" s="11">
        <v>26</v>
      </c>
      <c r="AX29" s="12">
        <v>1</v>
      </c>
      <c r="AY29" s="12">
        <v>1</v>
      </c>
      <c r="AZ29" s="12">
        <v>1</v>
      </c>
      <c r="BA29" s="12">
        <v>1</v>
      </c>
      <c r="BB29" s="12">
        <v>1</v>
      </c>
      <c r="BC29" s="12">
        <v>1</v>
      </c>
      <c r="BD29" s="12">
        <v>1</v>
      </c>
      <c r="BE29" s="12">
        <v>1</v>
      </c>
      <c r="BF29" s="24">
        <v>1</v>
      </c>
      <c r="BG29" s="29">
        <v>1</v>
      </c>
      <c r="BH29" s="12">
        <v>1</v>
      </c>
      <c r="BI29" s="12">
        <v>1</v>
      </c>
      <c r="BK29" s="11">
        <v>26</v>
      </c>
      <c r="BL29" s="12">
        <v>5</v>
      </c>
      <c r="BM29" s="12" t="s">
        <v>15</v>
      </c>
      <c r="BN29" s="12" t="s">
        <v>15</v>
      </c>
      <c r="BP29" s="11">
        <v>26</v>
      </c>
      <c r="BQ29" s="12">
        <v>3</v>
      </c>
      <c r="BR29" s="12">
        <v>0</v>
      </c>
      <c r="BS29" s="12">
        <v>0</v>
      </c>
      <c r="BU29" s="11">
        <v>26</v>
      </c>
      <c r="BV29" s="12">
        <v>1</v>
      </c>
      <c r="BW29" s="12">
        <v>1</v>
      </c>
      <c r="BX29" s="12">
        <v>1</v>
      </c>
      <c r="BZ29" s="11">
        <v>26</v>
      </c>
      <c r="CA29" s="12"/>
      <c r="CC29" s="11">
        <v>26</v>
      </c>
      <c r="CD29" s="12"/>
    </row>
    <row r="30" spans="1:82">
      <c r="A30" s="20" t="s">
        <v>22</v>
      </c>
      <c r="B30" s="20">
        <v>7</v>
      </c>
      <c r="C30" s="5" t="s">
        <v>27</v>
      </c>
      <c r="D30" s="37">
        <f t="shared" si="2"/>
        <v>0</v>
      </c>
      <c r="E30" s="59">
        <f t="shared" si="3"/>
        <v>0</v>
      </c>
      <c r="F30" s="38">
        <f t="shared" si="3"/>
        <v>0</v>
      </c>
      <c r="R30" s="11">
        <v>27</v>
      </c>
      <c r="S30" s="12" t="s">
        <v>15</v>
      </c>
      <c r="T30" s="12">
        <v>10</v>
      </c>
      <c r="U30" s="12">
        <v>10</v>
      </c>
      <c r="W30" s="11">
        <v>27</v>
      </c>
      <c r="X30" s="12">
        <v>0</v>
      </c>
      <c r="Y30" s="12">
        <v>4</v>
      </c>
      <c r="Z30" s="12">
        <v>4</v>
      </c>
      <c r="AB30" s="11">
        <v>27</v>
      </c>
      <c r="AC30" s="12">
        <v>1</v>
      </c>
      <c r="AD30" s="69">
        <v>1</v>
      </c>
      <c r="AE30" s="69">
        <v>1</v>
      </c>
      <c r="AG30" s="11">
        <v>27</v>
      </c>
      <c r="AH30" s="12">
        <v>1</v>
      </c>
      <c r="AI30" s="69">
        <v>1</v>
      </c>
      <c r="AJ30" s="69">
        <v>1</v>
      </c>
      <c r="AL30" s="11">
        <v>27</v>
      </c>
      <c r="AM30" s="12">
        <v>1</v>
      </c>
      <c r="AN30" s="69">
        <v>1</v>
      </c>
      <c r="AO30" s="69">
        <v>1</v>
      </c>
      <c r="AQ30" s="11">
        <v>27</v>
      </c>
      <c r="AR30" s="12" t="s">
        <v>15</v>
      </c>
      <c r="AT30" s="11">
        <v>27</v>
      </c>
      <c r="AU30" s="12">
        <v>0</v>
      </c>
      <c r="AW30" s="11">
        <v>27</v>
      </c>
      <c r="AX30" s="12">
        <v>1</v>
      </c>
      <c r="AY30" s="12">
        <v>1</v>
      </c>
      <c r="AZ30" s="12">
        <v>1</v>
      </c>
      <c r="BA30" s="12">
        <v>1</v>
      </c>
      <c r="BB30" s="12">
        <v>1</v>
      </c>
      <c r="BC30" s="12">
        <v>1</v>
      </c>
      <c r="BD30" s="12">
        <v>1</v>
      </c>
      <c r="BE30" s="12">
        <v>1</v>
      </c>
      <c r="BF30" s="24">
        <v>1</v>
      </c>
      <c r="BG30" s="29">
        <v>1</v>
      </c>
      <c r="BH30" s="12">
        <v>1</v>
      </c>
      <c r="BI30" s="12">
        <v>1</v>
      </c>
      <c r="BK30" s="11">
        <v>27</v>
      </c>
      <c r="BL30" s="12" t="s">
        <v>15</v>
      </c>
      <c r="BM30" s="12">
        <v>10</v>
      </c>
      <c r="BN30" s="12">
        <v>10</v>
      </c>
      <c r="BP30" s="11">
        <v>27</v>
      </c>
      <c r="BQ30" s="12">
        <v>0</v>
      </c>
      <c r="BR30" s="12">
        <v>4</v>
      </c>
      <c r="BS30" s="12">
        <v>4</v>
      </c>
      <c r="BU30" s="11">
        <v>27</v>
      </c>
      <c r="BV30" s="12">
        <v>1</v>
      </c>
      <c r="BW30" s="12">
        <v>1</v>
      </c>
      <c r="BX30" s="12">
        <v>1</v>
      </c>
      <c r="BZ30" s="11">
        <v>27</v>
      </c>
      <c r="CA30" s="12"/>
      <c r="CC30" s="11">
        <v>27</v>
      </c>
      <c r="CD30" s="12"/>
    </row>
    <row r="31" spans="1:82">
      <c r="A31" s="20" t="s">
        <v>23</v>
      </c>
      <c r="B31" s="20">
        <v>8</v>
      </c>
      <c r="C31" s="5" t="s">
        <v>28</v>
      </c>
      <c r="D31" s="37">
        <f t="shared" si="2"/>
        <v>0</v>
      </c>
      <c r="E31" s="59">
        <f t="shared" si="3"/>
        <v>0</v>
      </c>
      <c r="F31" s="38">
        <f t="shared" si="3"/>
        <v>0</v>
      </c>
      <c r="R31" s="11">
        <v>28</v>
      </c>
      <c r="S31" s="12">
        <v>10</v>
      </c>
      <c r="T31" s="12" t="s">
        <v>15</v>
      </c>
      <c r="U31" s="12" t="s">
        <v>15</v>
      </c>
      <c r="W31" s="11">
        <v>28</v>
      </c>
      <c r="X31" s="12">
        <v>4</v>
      </c>
      <c r="Y31" s="12">
        <v>0</v>
      </c>
      <c r="Z31" s="12">
        <v>0</v>
      </c>
      <c r="AB31" s="11">
        <v>28</v>
      </c>
      <c r="AC31" s="12">
        <v>1</v>
      </c>
      <c r="AD31" s="69">
        <v>1</v>
      </c>
      <c r="AE31" s="69">
        <v>1</v>
      </c>
      <c r="AG31" s="11">
        <v>28</v>
      </c>
      <c r="AH31" s="12">
        <v>1</v>
      </c>
      <c r="AI31" s="69">
        <v>1</v>
      </c>
      <c r="AJ31" s="69">
        <v>1</v>
      </c>
      <c r="AL31" s="11">
        <v>28</v>
      </c>
      <c r="AM31" s="12">
        <v>1</v>
      </c>
      <c r="AN31" s="69">
        <v>1</v>
      </c>
      <c r="AO31" s="69">
        <v>1</v>
      </c>
      <c r="AQ31" s="11">
        <v>28</v>
      </c>
      <c r="AR31" s="14" t="s">
        <v>9</v>
      </c>
      <c r="AT31" s="11">
        <v>28</v>
      </c>
      <c r="AU31" s="12">
        <v>8</v>
      </c>
      <c r="AW31" s="11">
        <v>28</v>
      </c>
      <c r="AX31" s="12">
        <v>1</v>
      </c>
      <c r="AY31" s="12">
        <v>1</v>
      </c>
      <c r="AZ31" s="12">
        <v>1</v>
      </c>
      <c r="BA31" s="12">
        <v>1</v>
      </c>
      <c r="BB31" s="12">
        <v>1</v>
      </c>
      <c r="BC31" s="12">
        <v>1</v>
      </c>
      <c r="BD31" s="12">
        <v>1</v>
      </c>
      <c r="BE31" s="12">
        <v>1</v>
      </c>
      <c r="BF31" s="24">
        <v>1</v>
      </c>
      <c r="BG31" s="29">
        <v>1</v>
      </c>
      <c r="BH31" s="12">
        <v>1</v>
      </c>
      <c r="BI31" s="12">
        <v>1</v>
      </c>
      <c r="BK31" s="11">
        <v>28</v>
      </c>
      <c r="BL31" s="12">
        <v>10</v>
      </c>
      <c r="BM31" s="12" t="s">
        <v>15</v>
      </c>
      <c r="BN31" s="12" t="s">
        <v>15</v>
      </c>
      <c r="BP31" s="11">
        <v>28</v>
      </c>
      <c r="BQ31" s="12">
        <v>4</v>
      </c>
      <c r="BR31" s="12">
        <v>0</v>
      </c>
      <c r="BS31" s="12">
        <v>0</v>
      </c>
      <c r="BU31" s="11">
        <v>28</v>
      </c>
      <c r="BV31" s="12">
        <v>1</v>
      </c>
      <c r="BW31" s="12">
        <v>1</v>
      </c>
      <c r="BX31" s="12">
        <v>1</v>
      </c>
      <c r="BZ31" s="11">
        <v>28</v>
      </c>
      <c r="CA31" s="12"/>
      <c r="CC31" s="11">
        <v>28</v>
      </c>
      <c r="CD31" s="12"/>
    </row>
    <row r="32" spans="1:82">
      <c r="A32" s="20" t="s">
        <v>24</v>
      </c>
      <c r="B32" s="20">
        <v>9</v>
      </c>
      <c r="C32" s="5" t="s">
        <v>16</v>
      </c>
      <c r="D32" s="37">
        <f t="shared" si="2"/>
        <v>0</v>
      </c>
      <c r="E32" s="59">
        <f t="shared" si="3"/>
        <v>0</v>
      </c>
      <c r="F32" s="38">
        <f t="shared" si="3"/>
        <v>0</v>
      </c>
      <c r="R32" s="11">
        <v>29</v>
      </c>
      <c r="S32" s="12" t="s">
        <v>15</v>
      </c>
      <c r="T32" s="12" t="s">
        <v>18</v>
      </c>
      <c r="U32" s="12" t="s">
        <v>18</v>
      </c>
      <c r="W32" s="11">
        <v>29</v>
      </c>
      <c r="X32" s="12">
        <v>0</v>
      </c>
      <c r="Y32" s="12">
        <v>5</v>
      </c>
      <c r="Z32" s="12">
        <v>5</v>
      </c>
      <c r="AB32" s="11">
        <v>29</v>
      </c>
      <c r="AC32" s="12">
        <v>1</v>
      </c>
      <c r="AD32" s="69">
        <v>1</v>
      </c>
      <c r="AE32" s="69">
        <v>1</v>
      </c>
      <c r="AG32" s="11">
        <v>29</v>
      </c>
      <c r="AH32" s="12">
        <v>1</v>
      </c>
      <c r="AI32" s="69">
        <v>1</v>
      </c>
      <c r="AJ32" s="69">
        <v>1</v>
      </c>
      <c r="AL32" s="11">
        <v>29</v>
      </c>
      <c r="AM32" s="12">
        <v>1</v>
      </c>
      <c r="AN32" s="69">
        <v>1</v>
      </c>
      <c r="AO32" s="69">
        <v>1</v>
      </c>
      <c r="AQ32" s="11">
        <v>29</v>
      </c>
      <c r="AR32" s="12" t="s">
        <v>15</v>
      </c>
      <c r="AT32" s="11">
        <v>29</v>
      </c>
      <c r="AU32" s="12">
        <v>0</v>
      </c>
      <c r="AW32" s="11">
        <v>29</v>
      </c>
      <c r="AX32" s="12">
        <v>1</v>
      </c>
      <c r="AY32" s="12">
        <v>1</v>
      </c>
      <c r="AZ32" s="12">
        <v>1</v>
      </c>
      <c r="BA32" s="12">
        <v>1</v>
      </c>
      <c r="BB32" s="12">
        <v>1</v>
      </c>
      <c r="BC32" s="12">
        <v>1</v>
      </c>
      <c r="BD32" s="12">
        <v>1</v>
      </c>
      <c r="BE32" s="12">
        <v>1</v>
      </c>
      <c r="BF32" s="24">
        <v>1</v>
      </c>
      <c r="BG32" s="29">
        <v>1</v>
      </c>
      <c r="BH32" s="12">
        <v>1</v>
      </c>
      <c r="BI32" s="12">
        <v>1</v>
      </c>
      <c r="BK32" s="11">
        <v>29</v>
      </c>
      <c r="BL32" s="12" t="s">
        <v>15</v>
      </c>
      <c r="BM32" s="12" t="s">
        <v>18</v>
      </c>
      <c r="BN32" s="12" t="s">
        <v>18</v>
      </c>
      <c r="BP32" s="11">
        <v>29</v>
      </c>
      <c r="BQ32" s="12">
        <v>0</v>
      </c>
      <c r="BR32" s="12">
        <v>5</v>
      </c>
      <c r="BS32" s="12">
        <v>5</v>
      </c>
      <c r="BU32" s="11">
        <v>29</v>
      </c>
      <c r="BV32" s="12">
        <v>1</v>
      </c>
      <c r="BW32" s="12">
        <v>1</v>
      </c>
      <c r="BX32" s="12">
        <v>1</v>
      </c>
      <c r="BZ32" s="11">
        <v>29</v>
      </c>
      <c r="CA32" s="12"/>
      <c r="CC32" s="11">
        <v>29</v>
      </c>
      <c r="CD32" s="12"/>
    </row>
    <row r="33" spans="1:82">
      <c r="A33" s="21" t="s">
        <v>35</v>
      </c>
      <c r="B33" s="21">
        <v>10</v>
      </c>
      <c r="C33" s="5" t="s">
        <v>37</v>
      </c>
      <c r="D33" s="37">
        <f t="shared" si="2"/>
        <v>0</v>
      </c>
      <c r="E33" s="59">
        <f t="shared" si="3"/>
        <v>0</v>
      </c>
      <c r="F33" s="38">
        <f t="shared" si="3"/>
        <v>0</v>
      </c>
      <c r="G33" s="121"/>
      <c r="H33" s="94" t="s">
        <v>34</v>
      </c>
      <c r="J33" s="121"/>
      <c r="R33" s="11">
        <v>30</v>
      </c>
      <c r="S33" s="12">
        <v>1</v>
      </c>
      <c r="T33" s="12" t="s">
        <v>15</v>
      </c>
      <c r="U33" s="12" t="s">
        <v>15</v>
      </c>
      <c r="W33" s="11">
        <v>30</v>
      </c>
      <c r="X33" s="12">
        <v>2</v>
      </c>
      <c r="Y33" s="12">
        <v>0</v>
      </c>
      <c r="Z33" s="12">
        <v>0</v>
      </c>
      <c r="AB33" s="11">
        <v>30</v>
      </c>
      <c r="AC33" s="12">
        <v>1</v>
      </c>
      <c r="AD33" s="69">
        <v>1</v>
      </c>
      <c r="AE33" s="69">
        <v>1</v>
      </c>
      <c r="AG33" s="11">
        <v>30</v>
      </c>
      <c r="AH33" s="12">
        <v>1</v>
      </c>
      <c r="AI33" s="69">
        <v>1</v>
      </c>
      <c r="AJ33" s="69">
        <v>1</v>
      </c>
      <c r="AL33" s="11">
        <v>30</v>
      </c>
      <c r="AM33" s="12">
        <v>1</v>
      </c>
      <c r="AN33" s="69">
        <v>1</v>
      </c>
      <c r="AO33" s="69">
        <v>1</v>
      </c>
      <c r="AQ33" s="11">
        <v>30</v>
      </c>
      <c r="AR33" s="14" t="s">
        <v>5</v>
      </c>
      <c r="AT33" s="11">
        <v>30</v>
      </c>
      <c r="AU33" s="12">
        <v>6</v>
      </c>
      <c r="AW33" s="11">
        <v>30</v>
      </c>
      <c r="AX33" s="12">
        <v>1</v>
      </c>
      <c r="AY33" s="12">
        <v>1</v>
      </c>
      <c r="AZ33" s="12">
        <v>1</v>
      </c>
      <c r="BA33" s="12">
        <v>1</v>
      </c>
      <c r="BB33" s="12">
        <v>1</v>
      </c>
      <c r="BC33" s="12">
        <v>1</v>
      </c>
      <c r="BD33" s="12">
        <v>1</v>
      </c>
      <c r="BE33" s="12">
        <v>1</v>
      </c>
      <c r="BF33" s="24">
        <v>1</v>
      </c>
      <c r="BG33" s="29">
        <v>1</v>
      </c>
      <c r="BH33" s="12">
        <v>1</v>
      </c>
      <c r="BI33" s="12">
        <v>1</v>
      </c>
      <c r="BK33" s="11">
        <v>30</v>
      </c>
      <c r="BL33" s="12">
        <v>1</v>
      </c>
      <c r="BM33" s="12" t="s">
        <v>15</v>
      </c>
      <c r="BN33" s="12" t="s">
        <v>15</v>
      </c>
      <c r="BP33" s="11">
        <v>30</v>
      </c>
      <c r="BQ33" s="12">
        <v>2</v>
      </c>
      <c r="BR33" s="12">
        <v>0</v>
      </c>
      <c r="BS33" s="12">
        <v>0</v>
      </c>
      <c r="BU33" s="11">
        <v>30</v>
      </c>
      <c r="BV33" s="12">
        <v>1</v>
      </c>
      <c r="BW33" s="12">
        <v>1</v>
      </c>
      <c r="BX33" s="12">
        <v>1</v>
      </c>
      <c r="BZ33" s="11">
        <v>30</v>
      </c>
      <c r="CA33" s="12"/>
      <c r="CC33" s="11">
        <v>30</v>
      </c>
      <c r="CD33" s="12"/>
    </row>
    <row r="34" spans="1:82">
      <c r="A34" s="22" t="s">
        <v>39</v>
      </c>
      <c r="B34" s="22">
        <v>11</v>
      </c>
      <c r="C34" s="17" t="s">
        <v>38</v>
      </c>
      <c r="D34" s="60">
        <f t="shared" si="2"/>
        <v>0</v>
      </c>
      <c r="E34" s="39">
        <f t="shared" si="3"/>
        <v>0</v>
      </c>
      <c r="F34" s="40">
        <f t="shared" si="3"/>
        <v>0</v>
      </c>
      <c r="G34" s="121"/>
      <c r="H34" s="95" t="s">
        <v>57</v>
      </c>
      <c r="I34" s="58" t="s">
        <v>58</v>
      </c>
      <c r="R34" s="11">
        <v>31</v>
      </c>
      <c r="S34" s="12" t="s">
        <v>15</v>
      </c>
      <c r="T34" s="12">
        <v>0</v>
      </c>
      <c r="U34" s="12">
        <v>0</v>
      </c>
      <c r="W34" s="11">
        <v>31</v>
      </c>
      <c r="X34" s="12">
        <v>0</v>
      </c>
      <c r="Y34" s="12">
        <v>1</v>
      </c>
      <c r="Z34" s="12">
        <v>1</v>
      </c>
      <c r="AB34" s="11">
        <v>31</v>
      </c>
      <c r="AC34" s="12">
        <v>1</v>
      </c>
      <c r="AD34" s="69">
        <v>1</v>
      </c>
      <c r="AE34" s="69">
        <v>1</v>
      </c>
      <c r="AG34" s="11">
        <v>31</v>
      </c>
      <c r="AH34" s="12">
        <v>1</v>
      </c>
      <c r="AI34" s="69">
        <v>1</v>
      </c>
      <c r="AJ34" s="69">
        <v>1</v>
      </c>
      <c r="AL34" s="11">
        <v>31</v>
      </c>
      <c r="AM34" s="12">
        <v>1</v>
      </c>
      <c r="AN34" s="69">
        <v>1</v>
      </c>
      <c r="AO34" s="69">
        <v>1</v>
      </c>
      <c r="AQ34" s="11">
        <v>31</v>
      </c>
      <c r="AR34" s="12" t="s">
        <v>15</v>
      </c>
      <c r="AT34" s="11">
        <v>31</v>
      </c>
      <c r="AU34" s="12">
        <v>0</v>
      </c>
      <c r="AW34" s="11">
        <v>31</v>
      </c>
      <c r="AX34" s="12">
        <v>1</v>
      </c>
      <c r="AY34" s="12">
        <v>1</v>
      </c>
      <c r="AZ34" s="12">
        <v>1</v>
      </c>
      <c r="BA34" s="12">
        <v>1</v>
      </c>
      <c r="BB34" s="12">
        <v>1</v>
      </c>
      <c r="BC34" s="12">
        <v>1</v>
      </c>
      <c r="BD34" s="12">
        <v>1</v>
      </c>
      <c r="BE34" s="12">
        <v>1</v>
      </c>
      <c r="BF34" s="24">
        <v>1</v>
      </c>
      <c r="BG34" s="29">
        <v>1</v>
      </c>
      <c r="BH34" s="12">
        <v>1</v>
      </c>
      <c r="BI34" s="12">
        <v>1</v>
      </c>
      <c r="BK34" s="11">
        <v>31</v>
      </c>
      <c r="BL34" s="12" t="s">
        <v>15</v>
      </c>
      <c r="BM34" s="12">
        <v>0</v>
      </c>
      <c r="BN34" s="12">
        <v>0</v>
      </c>
      <c r="BP34" s="11">
        <v>31</v>
      </c>
      <c r="BQ34" s="12">
        <v>0</v>
      </c>
      <c r="BR34" s="12">
        <v>1</v>
      </c>
      <c r="BS34" s="12">
        <v>1</v>
      </c>
      <c r="BU34" s="11">
        <v>31</v>
      </c>
      <c r="BV34" s="12">
        <v>1</v>
      </c>
      <c r="BW34" s="12">
        <v>1</v>
      </c>
      <c r="BX34" s="12">
        <v>1</v>
      </c>
      <c r="BZ34" s="11">
        <v>31</v>
      </c>
      <c r="CA34" s="12"/>
      <c r="CC34" s="11">
        <v>31</v>
      </c>
      <c r="CD34" s="12"/>
    </row>
    <row r="35" spans="1:82">
      <c r="D35" s="121">
        <f>SUM(D23:D34)</f>
        <v>36</v>
      </c>
      <c r="E35" s="121">
        <f>SUM(E23:E34)</f>
        <v>50</v>
      </c>
      <c r="F35" s="121">
        <f>SUM(F23:F34)</f>
        <v>50</v>
      </c>
      <c r="G35" s="121"/>
      <c r="H35" s="21">
        <v>10</v>
      </c>
      <c r="I35" s="7">
        <f>SUMIF(CA$3:CA$38,$H35,$CD$3:$CD$38)</f>
        <v>1</v>
      </c>
      <c r="R35" s="11">
        <v>32</v>
      </c>
      <c r="S35" s="12">
        <v>5</v>
      </c>
      <c r="T35" s="12" t="s">
        <v>15</v>
      </c>
      <c r="U35" s="12" t="s">
        <v>15</v>
      </c>
      <c r="W35" s="11">
        <v>32</v>
      </c>
      <c r="X35" s="12">
        <v>3</v>
      </c>
      <c r="Y35" s="12">
        <v>0</v>
      </c>
      <c r="Z35" s="12">
        <v>0</v>
      </c>
      <c r="AB35" s="11">
        <v>32</v>
      </c>
      <c r="AC35" s="12">
        <v>1</v>
      </c>
      <c r="AD35" s="69">
        <v>1</v>
      </c>
      <c r="AE35" s="69">
        <v>1</v>
      </c>
      <c r="AG35" s="11">
        <v>32</v>
      </c>
      <c r="AH35" s="12">
        <v>1</v>
      </c>
      <c r="AI35" s="69">
        <v>1</v>
      </c>
      <c r="AJ35" s="69">
        <v>1</v>
      </c>
      <c r="AL35" s="11">
        <v>32</v>
      </c>
      <c r="AM35" s="12">
        <v>1</v>
      </c>
      <c r="AN35" s="69">
        <v>1</v>
      </c>
      <c r="AO35" s="69">
        <v>1</v>
      </c>
      <c r="AQ35" s="11">
        <v>32</v>
      </c>
      <c r="AR35" s="14" t="s">
        <v>7</v>
      </c>
      <c r="AT35" s="11">
        <v>32</v>
      </c>
      <c r="AU35" s="12">
        <v>9</v>
      </c>
      <c r="AW35" s="11">
        <v>32</v>
      </c>
      <c r="AX35" s="12">
        <v>1</v>
      </c>
      <c r="AY35" s="12">
        <v>1</v>
      </c>
      <c r="AZ35" s="12">
        <v>1</v>
      </c>
      <c r="BA35" s="12">
        <v>1</v>
      </c>
      <c r="BB35" s="12">
        <v>1</v>
      </c>
      <c r="BC35" s="12">
        <v>1</v>
      </c>
      <c r="BD35" s="12">
        <v>1</v>
      </c>
      <c r="BE35" s="12">
        <v>1</v>
      </c>
      <c r="BF35" s="24">
        <v>1</v>
      </c>
      <c r="BG35" s="29">
        <v>1</v>
      </c>
      <c r="BH35" s="12">
        <v>1</v>
      </c>
      <c r="BI35" s="12">
        <v>1</v>
      </c>
      <c r="BK35" s="11">
        <v>32</v>
      </c>
      <c r="BL35" s="12">
        <v>5</v>
      </c>
      <c r="BM35" s="12" t="s">
        <v>15</v>
      </c>
      <c r="BN35" s="12" t="s">
        <v>15</v>
      </c>
      <c r="BP35" s="11">
        <v>32</v>
      </c>
      <c r="BQ35" s="12">
        <v>3</v>
      </c>
      <c r="BR35" s="12">
        <v>0</v>
      </c>
      <c r="BS35" s="12">
        <v>0</v>
      </c>
      <c r="BU35" s="11">
        <v>32</v>
      </c>
      <c r="BV35" s="12">
        <v>1</v>
      </c>
      <c r="BW35" s="12">
        <v>1</v>
      </c>
      <c r="BX35" s="12">
        <v>1</v>
      </c>
      <c r="BZ35" s="11">
        <v>32</v>
      </c>
      <c r="CA35" s="12"/>
      <c r="CC35" s="11">
        <v>32</v>
      </c>
      <c r="CD35" s="12"/>
    </row>
    <row r="36" spans="1:82">
      <c r="G36" s="121"/>
      <c r="H36" s="21">
        <v>20</v>
      </c>
      <c r="I36" s="7">
        <f t="shared" ref="I36:I42" si="4">SUMIF(CA$3:CA$38,$H36,$CD$3:$CD$38)</f>
        <v>1</v>
      </c>
      <c r="K36" s="121"/>
      <c r="L36" s="121"/>
      <c r="M36" s="121"/>
      <c r="N36" s="121"/>
      <c r="O36" s="121"/>
      <c r="R36" s="11">
        <v>33</v>
      </c>
      <c r="S36" s="12" t="s">
        <v>15</v>
      </c>
      <c r="T36" s="12">
        <v>1</v>
      </c>
      <c r="U36" s="12">
        <v>1</v>
      </c>
      <c r="W36" s="11">
        <v>33</v>
      </c>
      <c r="X36" s="12">
        <v>0</v>
      </c>
      <c r="Y36" s="12">
        <v>2</v>
      </c>
      <c r="Z36" s="12">
        <v>2</v>
      </c>
      <c r="AB36" s="11">
        <v>33</v>
      </c>
      <c r="AC36" s="12">
        <v>1</v>
      </c>
      <c r="AD36" s="69">
        <v>1</v>
      </c>
      <c r="AE36" s="69">
        <v>1</v>
      </c>
      <c r="AG36" s="11">
        <v>33</v>
      </c>
      <c r="AH36" s="12">
        <v>1</v>
      </c>
      <c r="AI36" s="69">
        <v>1</v>
      </c>
      <c r="AJ36" s="69">
        <v>1</v>
      </c>
      <c r="AL36" s="11">
        <v>33</v>
      </c>
      <c r="AM36" s="12">
        <v>1</v>
      </c>
      <c r="AN36" s="69">
        <v>1</v>
      </c>
      <c r="AO36" s="69">
        <v>1</v>
      </c>
      <c r="AQ36" s="11">
        <v>33</v>
      </c>
      <c r="AR36" s="12" t="s">
        <v>15</v>
      </c>
      <c r="AT36" s="11">
        <v>33</v>
      </c>
      <c r="AU36" s="12">
        <v>0</v>
      </c>
      <c r="AW36" s="11">
        <v>33</v>
      </c>
      <c r="AX36" s="12">
        <v>1</v>
      </c>
      <c r="AY36" s="12">
        <v>1</v>
      </c>
      <c r="AZ36" s="12">
        <v>1</v>
      </c>
      <c r="BA36" s="12">
        <v>1</v>
      </c>
      <c r="BB36" s="12">
        <v>1</v>
      </c>
      <c r="BC36" s="12">
        <v>1</v>
      </c>
      <c r="BD36" s="12">
        <v>1</v>
      </c>
      <c r="BE36" s="12">
        <v>1</v>
      </c>
      <c r="BF36" s="24">
        <v>1</v>
      </c>
      <c r="BG36" s="29">
        <v>1</v>
      </c>
      <c r="BH36" s="12">
        <v>1</v>
      </c>
      <c r="BI36" s="12">
        <v>1</v>
      </c>
      <c r="BK36" s="11">
        <v>33</v>
      </c>
      <c r="BL36" s="12" t="s">
        <v>15</v>
      </c>
      <c r="BM36" s="12">
        <v>1</v>
      </c>
      <c r="BN36" s="12">
        <v>1</v>
      </c>
      <c r="BP36" s="11">
        <v>33</v>
      </c>
      <c r="BQ36" s="12">
        <v>0</v>
      </c>
      <c r="BR36" s="12">
        <v>2</v>
      </c>
      <c r="BS36" s="12">
        <v>2</v>
      </c>
      <c r="BU36" s="11">
        <v>33</v>
      </c>
      <c r="BV36" s="12">
        <v>1</v>
      </c>
      <c r="BW36" s="12">
        <v>1</v>
      </c>
      <c r="BX36" s="12">
        <v>1</v>
      </c>
      <c r="BZ36" s="11">
        <v>33</v>
      </c>
      <c r="CA36" s="12"/>
      <c r="CC36" s="11">
        <v>33</v>
      </c>
      <c r="CD36" s="12"/>
    </row>
    <row r="37" spans="1:82">
      <c r="A37" s="30" t="s">
        <v>117</v>
      </c>
      <c r="D37" s="119">
        <v>5</v>
      </c>
      <c r="E37" s="127" t="s">
        <v>18</v>
      </c>
      <c r="F37" s="119" t="s">
        <v>8</v>
      </c>
      <c r="G37" s="121"/>
      <c r="H37" s="21">
        <v>30</v>
      </c>
      <c r="I37" s="7">
        <f t="shared" si="4"/>
        <v>1</v>
      </c>
      <c r="K37" s="121"/>
      <c r="L37" s="121"/>
      <c r="M37" s="121"/>
      <c r="N37" s="121"/>
      <c r="O37" s="121"/>
      <c r="R37" s="11">
        <v>34</v>
      </c>
      <c r="S37" s="12">
        <v>10</v>
      </c>
      <c r="T37" s="12" t="s">
        <v>15</v>
      </c>
      <c r="U37" s="12" t="s">
        <v>15</v>
      </c>
      <c r="W37" s="11">
        <v>34</v>
      </c>
      <c r="X37" s="12">
        <v>4</v>
      </c>
      <c r="Y37" s="12">
        <v>0</v>
      </c>
      <c r="Z37" s="12">
        <v>0</v>
      </c>
      <c r="AB37" s="11">
        <v>34</v>
      </c>
      <c r="AC37" s="12">
        <v>1</v>
      </c>
      <c r="AD37" s="69">
        <v>1</v>
      </c>
      <c r="AE37" s="69">
        <v>1</v>
      </c>
      <c r="AG37" s="11">
        <v>34</v>
      </c>
      <c r="AH37" s="12">
        <v>1</v>
      </c>
      <c r="AI37" s="69">
        <v>1</v>
      </c>
      <c r="AJ37" s="69">
        <v>1</v>
      </c>
      <c r="AL37" s="11">
        <v>34</v>
      </c>
      <c r="AM37" s="12">
        <v>1</v>
      </c>
      <c r="AN37" s="69">
        <v>1</v>
      </c>
      <c r="AO37" s="69">
        <v>1</v>
      </c>
      <c r="AQ37" s="11">
        <v>34</v>
      </c>
      <c r="AR37" s="14" t="s">
        <v>6</v>
      </c>
      <c r="AT37" s="11">
        <v>34</v>
      </c>
      <c r="AU37" s="12">
        <v>7</v>
      </c>
      <c r="AW37" s="11">
        <v>34</v>
      </c>
      <c r="AX37" s="12">
        <v>1</v>
      </c>
      <c r="AY37" s="12">
        <v>1</v>
      </c>
      <c r="AZ37" s="12">
        <v>1</v>
      </c>
      <c r="BA37" s="12">
        <v>1</v>
      </c>
      <c r="BB37" s="12">
        <v>1</v>
      </c>
      <c r="BC37" s="12">
        <v>1</v>
      </c>
      <c r="BD37" s="12">
        <v>1</v>
      </c>
      <c r="BE37" s="12">
        <v>1</v>
      </c>
      <c r="BF37" s="24">
        <v>1</v>
      </c>
      <c r="BG37" s="29">
        <v>1</v>
      </c>
      <c r="BH37" s="12">
        <v>1</v>
      </c>
      <c r="BI37" s="12">
        <v>1</v>
      </c>
      <c r="BK37" s="11">
        <v>34</v>
      </c>
      <c r="BL37" s="12">
        <v>10</v>
      </c>
      <c r="BM37" s="12" t="s">
        <v>15</v>
      </c>
      <c r="BN37" s="12" t="s">
        <v>15</v>
      </c>
      <c r="BP37" s="11">
        <v>34</v>
      </c>
      <c r="BQ37" s="12">
        <v>4</v>
      </c>
      <c r="BR37" s="12">
        <v>0</v>
      </c>
      <c r="BS37" s="12">
        <v>0</v>
      </c>
      <c r="BU37" s="11">
        <v>34</v>
      </c>
      <c r="BV37" s="12">
        <v>1</v>
      </c>
      <c r="BW37" s="12">
        <v>1</v>
      </c>
      <c r="BX37" s="12">
        <v>1</v>
      </c>
      <c r="BZ37" s="11">
        <v>34</v>
      </c>
      <c r="CA37" s="12"/>
      <c r="CC37" s="11">
        <v>34</v>
      </c>
      <c r="CD37" s="12"/>
    </row>
    <row r="38" spans="1:82">
      <c r="D38" s="119"/>
      <c r="E38" s="119"/>
      <c r="F38" s="119"/>
      <c r="G38" s="121"/>
      <c r="H38" s="21">
        <v>50</v>
      </c>
      <c r="I38" s="7">
        <f t="shared" si="4"/>
        <v>1</v>
      </c>
      <c r="K38" s="121"/>
      <c r="L38" s="121"/>
      <c r="M38" s="121"/>
      <c r="N38" s="121"/>
      <c r="O38" s="121"/>
      <c r="R38" s="11">
        <v>35</v>
      </c>
      <c r="S38" s="12" t="s">
        <v>8</v>
      </c>
      <c r="T38" s="12">
        <v>5</v>
      </c>
      <c r="U38" s="12">
        <v>5</v>
      </c>
      <c r="W38" s="11">
        <v>35</v>
      </c>
      <c r="X38" s="12">
        <v>0</v>
      </c>
      <c r="Y38" s="12">
        <v>3</v>
      </c>
      <c r="Z38" s="12">
        <v>3</v>
      </c>
      <c r="AB38" s="11">
        <v>35</v>
      </c>
      <c r="AC38" s="12">
        <v>1</v>
      </c>
      <c r="AD38" s="69">
        <v>1</v>
      </c>
      <c r="AE38" s="69">
        <v>1</v>
      </c>
      <c r="AG38" s="11">
        <v>35</v>
      </c>
      <c r="AH38" s="12">
        <v>1</v>
      </c>
      <c r="AI38" s="69">
        <v>1</v>
      </c>
      <c r="AJ38" s="69">
        <v>1</v>
      </c>
      <c r="AL38" s="11">
        <v>35</v>
      </c>
      <c r="AM38" s="12">
        <v>1</v>
      </c>
      <c r="AN38" s="69">
        <v>1</v>
      </c>
      <c r="AO38" s="69">
        <v>1</v>
      </c>
      <c r="AQ38" s="11">
        <v>35</v>
      </c>
      <c r="AR38" s="12" t="s">
        <v>15</v>
      </c>
      <c r="AT38" s="11">
        <v>35</v>
      </c>
      <c r="AU38" s="12">
        <v>0</v>
      </c>
      <c r="AW38" s="11">
        <v>35</v>
      </c>
      <c r="AX38" s="12">
        <v>1</v>
      </c>
      <c r="AY38" s="12">
        <v>1</v>
      </c>
      <c r="AZ38" s="12">
        <v>1</v>
      </c>
      <c r="BA38" s="12">
        <v>1</v>
      </c>
      <c r="BB38" s="12">
        <v>1</v>
      </c>
      <c r="BC38" s="12">
        <v>1</v>
      </c>
      <c r="BD38" s="12">
        <v>1</v>
      </c>
      <c r="BE38" s="12">
        <v>1</v>
      </c>
      <c r="BF38" s="24">
        <v>1</v>
      </c>
      <c r="BG38" s="29">
        <v>1</v>
      </c>
      <c r="BH38" s="12">
        <v>1</v>
      </c>
      <c r="BI38" s="12">
        <v>1</v>
      </c>
      <c r="BK38" s="11">
        <v>35</v>
      </c>
      <c r="BL38" s="12" t="s">
        <v>8</v>
      </c>
      <c r="BM38" s="12">
        <v>5</v>
      </c>
      <c r="BN38" s="12">
        <v>5</v>
      </c>
      <c r="BP38" s="11">
        <v>35</v>
      </c>
      <c r="BQ38" s="12">
        <v>0</v>
      </c>
      <c r="BR38" s="12">
        <v>3</v>
      </c>
      <c r="BS38" s="12">
        <v>3</v>
      </c>
      <c r="BU38" s="11">
        <v>35</v>
      </c>
      <c r="BV38" s="12">
        <v>1</v>
      </c>
      <c r="BW38" s="12">
        <v>1</v>
      </c>
      <c r="BX38" s="12">
        <v>1</v>
      </c>
      <c r="BZ38" s="11">
        <v>35</v>
      </c>
      <c r="CA38" s="12"/>
      <c r="CC38" s="11">
        <v>35</v>
      </c>
      <c r="CD38" s="12"/>
    </row>
    <row r="39" spans="1:82">
      <c r="D39" s="119"/>
      <c r="E39" s="119"/>
      <c r="F39" s="119"/>
      <c r="G39" s="121"/>
      <c r="H39" s="21">
        <v>100</v>
      </c>
      <c r="I39" s="7">
        <f t="shared" si="4"/>
        <v>1</v>
      </c>
      <c r="K39" s="121"/>
      <c r="L39" s="121"/>
      <c r="M39" s="121"/>
      <c r="N39" s="121"/>
      <c r="O39" s="121"/>
      <c r="R39" s="11">
        <v>36</v>
      </c>
      <c r="S39" s="12"/>
      <c r="T39" s="12" t="s">
        <v>15</v>
      </c>
      <c r="U39" s="12" t="s">
        <v>15</v>
      </c>
      <c r="W39" s="11">
        <v>36</v>
      </c>
      <c r="X39" s="12"/>
      <c r="Y39" s="12">
        <v>0</v>
      </c>
      <c r="Z39" s="12">
        <v>0</v>
      </c>
      <c r="AB39" s="11">
        <v>36</v>
      </c>
      <c r="AC39" s="12"/>
      <c r="AD39" s="12">
        <v>1</v>
      </c>
      <c r="AE39" s="12">
        <v>1</v>
      </c>
      <c r="AG39" s="11">
        <v>36</v>
      </c>
      <c r="AH39" s="12"/>
      <c r="AI39" s="12">
        <v>1</v>
      </c>
      <c r="AJ39" s="12">
        <v>1</v>
      </c>
      <c r="AL39" s="11">
        <v>36</v>
      </c>
      <c r="AM39" s="12"/>
      <c r="AN39" s="12">
        <v>1</v>
      </c>
      <c r="AO39" s="12">
        <v>1</v>
      </c>
      <c r="AQ39" s="11">
        <v>36</v>
      </c>
      <c r="AR39" s="14" t="s">
        <v>40</v>
      </c>
      <c r="AS39" s="14"/>
      <c r="AT39" s="11">
        <v>36</v>
      </c>
      <c r="AU39" s="12">
        <v>11</v>
      </c>
      <c r="AW39" s="11">
        <v>36</v>
      </c>
      <c r="AX39" s="12">
        <v>1</v>
      </c>
      <c r="AY39" s="12">
        <v>1</v>
      </c>
      <c r="AZ39" s="12">
        <v>1</v>
      </c>
      <c r="BA39" s="12">
        <v>1</v>
      </c>
      <c r="BB39" s="12">
        <v>1</v>
      </c>
      <c r="BC39" s="12">
        <v>1</v>
      </c>
      <c r="BD39" s="12">
        <v>1</v>
      </c>
      <c r="BE39" s="12">
        <v>1</v>
      </c>
      <c r="BF39" s="24">
        <v>1</v>
      </c>
      <c r="BG39" s="29">
        <v>1</v>
      </c>
      <c r="BH39" s="12">
        <v>1</v>
      </c>
      <c r="BI39" s="12">
        <v>1</v>
      </c>
      <c r="BK39" s="11">
        <v>36</v>
      </c>
      <c r="BL39" s="12"/>
      <c r="BM39" s="12" t="s">
        <v>15</v>
      </c>
      <c r="BN39" s="12" t="s">
        <v>15</v>
      </c>
      <c r="BP39" s="11">
        <v>36</v>
      </c>
      <c r="BQ39" s="12"/>
      <c r="BR39" s="12">
        <v>0</v>
      </c>
      <c r="BS39" s="12">
        <v>0</v>
      </c>
      <c r="BU39" s="11">
        <v>36</v>
      </c>
      <c r="BV39" s="12"/>
      <c r="BW39" s="12">
        <v>1</v>
      </c>
      <c r="BX39" s="12">
        <v>1</v>
      </c>
      <c r="BZ39" s="11">
        <v>36</v>
      </c>
      <c r="CA39" s="12"/>
      <c r="CC39" s="11">
        <v>36</v>
      </c>
      <c r="CD39" s="12"/>
    </row>
    <row r="40" spans="1:82">
      <c r="A40" s="30" t="s">
        <v>46</v>
      </c>
      <c r="B40" s="1" t="s">
        <v>10</v>
      </c>
      <c r="C40" s="2" t="s">
        <v>11</v>
      </c>
      <c r="D40" s="3" t="s">
        <v>80</v>
      </c>
      <c r="E40" s="122" t="s">
        <v>13</v>
      </c>
      <c r="F40" s="4" t="s">
        <v>14</v>
      </c>
      <c r="G40" s="121"/>
      <c r="H40" s="21">
        <v>200</v>
      </c>
      <c r="I40" s="7">
        <f t="shared" si="4"/>
        <v>1</v>
      </c>
      <c r="K40" s="121"/>
      <c r="L40" s="121"/>
      <c r="M40" s="121"/>
      <c r="N40" s="121"/>
      <c r="O40" s="121"/>
      <c r="R40" s="11">
        <v>37</v>
      </c>
      <c r="S40" s="12"/>
      <c r="T40" s="12">
        <v>10</v>
      </c>
      <c r="U40" s="12">
        <v>10</v>
      </c>
      <c r="W40" s="11">
        <v>37</v>
      </c>
      <c r="X40" s="12"/>
      <c r="Y40" s="12">
        <v>4</v>
      </c>
      <c r="Z40" s="12">
        <v>4</v>
      </c>
      <c r="AB40" s="11">
        <v>37</v>
      </c>
      <c r="AC40" s="12"/>
      <c r="AD40" s="12">
        <v>1</v>
      </c>
      <c r="AE40" s="12">
        <v>1</v>
      </c>
      <c r="AG40" s="11">
        <v>37</v>
      </c>
      <c r="AH40" s="12"/>
      <c r="AI40" s="12">
        <v>1</v>
      </c>
      <c r="AJ40" s="12">
        <v>1</v>
      </c>
      <c r="AL40" s="11">
        <v>37</v>
      </c>
      <c r="AM40" s="12"/>
      <c r="AN40" s="12">
        <v>1</v>
      </c>
      <c r="AO40" s="12">
        <v>1</v>
      </c>
      <c r="AQ40" s="11">
        <v>37</v>
      </c>
      <c r="AR40" s="12" t="s">
        <v>15</v>
      </c>
      <c r="AS40" s="12"/>
      <c r="AT40" s="11">
        <v>37</v>
      </c>
      <c r="AU40" s="12">
        <v>0</v>
      </c>
      <c r="AW40" s="11">
        <v>37</v>
      </c>
      <c r="AX40" s="12">
        <v>1</v>
      </c>
      <c r="AY40" s="12">
        <v>1</v>
      </c>
      <c r="AZ40" s="12">
        <v>1</v>
      </c>
      <c r="BA40" s="12">
        <v>1</v>
      </c>
      <c r="BB40" s="12">
        <v>1</v>
      </c>
      <c r="BC40" s="12">
        <v>1</v>
      </c>
      <c r="BD40" s="12">
        <v>1</v>
      </c>
      <c r="BE40" s="12">
        <v>1</v>
      </c>
      <c r="BF40" s="24">
        <v>1</v>
      </c>
      <c r="BG40" s="29">
        <v>1</v>
      </c>
      <c r="BH40" s="12">
        <v>1</v>
      </c>
      <c r="BI40" s="12">
        <v>1</v>
      </c>
      <c r="BK40" s="11">
        <v>37</v>
      </c>
      <c r="BL40" s="12"/>
      <c r="BM40" s="12">
        <v>10</v>
      </c>
      <c r="BN40" s="12">
        <v>10</v>
      </c>
      <c r="BP40" s="11">
        <v>37</v>
      </c>
      <c r="BQ40" s="12"/>
      <c r="BR40" s="12">
        <v>4</v>
      </c>
      <c r="BS40" s="12">
        <v>4</v>
      </c>
      <c r="BU40" s="11">
        <v>37</v>
      </c>
      <c r="BV40" s="12"/>
      <c r="BW40" s="12">
        <v>1</v>
      </c>
      <c r="BX40" s="12">
        <v>1</v>
      </c>
      <c r="BZ40" s="11">
        <v>37</v>
      </c>
      <c r="CA40" s="12"/>
      <c r="CC40" s="11">
        <v>37</v>
      </c>
      <c r="CD40" s="12"/>
    </row>
    <row r="41" spans="1:82">
      <c r="A41" s="1" t="s">
        <v>19</v>
      </c>
      <c r="B41" s="1">
        <v>0</v>
      </c>
      <c r="C41" s="3" t="s">
        <v>25</v>
      </c>
      <c r="D41" s="3">
        <f>SUMIF(S$3:S$38,$A41,AM$3:AM$38)</f>
        <v>18</v>
      </c>
      <c r="E41" s="122">
        <f>SUMIF(T$3:T$52,$A41,AN$3:AN$52)</f>
        <v>25</v>
      </c>
      <c r="F41" s="4">
        <f>SUMIF(U$3:U$52,$A41,AO$3:AO$52)</f>
        <v>25</v>
      </c>
      <c r="G41" s="121"/>
      <c r="H41" s="21">
        <v>500</v>
      </c>
      <c r="I41" s="7">
        <f t="shared" si="4"/>
        <v>1</v>
      </c>
      <c r="K41" s="121"/>
      <c r="L41" s="121"/>
      <c r="M41" s="121"/>
      <c r="N41" s="121"/>
      <c r="O41" s="121"/>
      <c r="R41" s="11">
        <v>38</v>
      </c>
      <c r="S41" s="12"/>
      <c r="T41" s="12" t="s">
        <v>15</v>
      </c>
      <c r="U41" s="12" t="s">
        <v>15</v>
      </c>
      <c r="W41" s="11">
        <v>38</v>
      </c>
      <c r="X41" s="12"/>
      <c r="Y41" s="12">
        <v>0</v>
      </c>
      <c r="Z41" s="12">
        <v>0</v>
      </c>
      <c r="AB41" s="11">
        <v>38</v>
      </c>
      <c r="AC41" s="12"/>
      <c r="AD41" s="12">
        <v>1</v>
      </c>
      <c r="AE41" s="12">
        <v>1</v>
      </c>
      <c r="AG41" s="11">
        <v>38</v>
      </c>
      <c r="AH41" s="12"/>
      <c r="AI41" s="12">
        <v>1</v>
      </c>
      <c r="AJ41" s="12">
        <v>1</v>
      </c>
      <c r="AL41" s="11">
        <v>38</v>
      </c>
      <c r="AM41" s="12"/>
      <c r="AN41" s="12">
        <v>1</v>
      </c>
      <c r="AO41" s="12">
        <v>1</v>
      </c>
      <c r="AQ41" s="11">
        <v>38</v>
      </c>
      <c r="AR41" s="14" t="s">
        <v>9</v>
      </c>
      <c r="AS41" s="14"/>
      <c r="AT41" s="11">
        <v>38</v>
      </c>
      <c r="AU41" s="12">
        <v>8</v>
      </c>
      <c r="AW41" s="11">
        <v>38</v>
      </c>
      <c r="AX41" s="12">
        <v>1</v>
      </c>
      <c r="AY41" s="12">
        <v>1</v>
      </c>
      <c r="AZ41" s="12">
        <v>1</v>
      </c>
      <c r="BA41" s="12">
        <v>1</v>
      </c>
      <c r="BB41" s="12">
        <v>1</v>
      </c>
      <c r="BC41" s="12">
        <v>1</v>
      </c>
      <c r="BD41" s="12">
        <v>1</v>
      </c>
      <c r="BE41" s="12">
        <v>1</v>
      </c>
      <c r="BF41" s="24">
        <v>1</v>
      </c>
      <c r="BG41" s="29">
        <v>1</v>
      </c>
      <c r="BH41" s="12">
        <v>1</v>
      </c>
      <c r="BI41" s="12">
        <v>1</v>
      </c>
      <c r="BK41" s="11">
        <v>38</v>
      </c>
      <c r="BL41" s="12"/>
      <c r="BM41" s="12" t="s">
        <v>15</v>
      </c>
      <c r="BN41" s="12" t="s">
        <v>15</v>
      </c>
      <c r="BP41" s="11">
        <v>38</v>
      </c>
      <c r="BQ41" s="12"/>
      <c r="BR41" s="12">
        <v>0</v>
      </c>
      <c r="BS41" s="12">
        <v>0</v>
      </c>
      <c r="BU41" s="11">
        <v>38</v>
      </c>
      <c r="BV41" s="12"/>
      <c r="BW41" s="12">
        <v>1</v>
      </c>
      <c r="BX41" s="12">
        <v>1</v>
      </c>
      <c r="BZ41" s="11">
        <v>38</v>
      </c>
      <c r="CA41" s="12"/>
      <c r="CC41" s="11">
        <v>38</v>
      </c>
      <c r="CD41" s="12"/>
    </row>
    <row r="42" spans="1:82">
      <c r="A42" s="20">
        <v>0</v>
      </c>
      <c r="B42" s="20">
        <v>1</v>
      </c>
      <c r="C42" s="5">
        <v>0</v>
      </c>
      <c r="D42" s="37">
        <f t="shared" ref="D42:D52" si="5">SUMIF(S$3:S$38,$A42,AM$3:AM$38)</f>
        <v>0</v>
      </c>
      <c r="E42" s="121">
        <f t="shared" ref="E42:F52" si="6">SUMIF(T$3:T$52,$A42,AN$3:AN$52)</f>
        <v>5</v>
      </c>
      <c r="F42" s="7">
        <f t="shared" si="6"/>
        <v>5</v>
      </c>
      <c r="H42" s="22">
        <v>1000</v>
      </c>
      <c r="I42" s="96">
        <f t="shared" si="4"/>
        <v>1</v>
      </c>
      <c r="R42" s="11">
        <v>39</v>
      </c>
      <c r="S42" s="12"/>
      <c r="T42" s="12" t="s">
        <v>18</v>
      </c>
      <c r="U42" s="12" t="s">
        <v>18</v>
      </c>
      <c r="W42" s="11">
        <v>39</v>
      </c>
      <c r="X42" s="12"/>
      <c r="Y42" s="12">
        <v>5</v>
      </c>
      <c r="Z42" s="12">
        <v>5</v>
      </c>
      <c r="AB42" s="11">
        <v>39</v>
      </c>
      <c r="AC42" s="12"/>
      <c r="AD42" s="12">
        <v>1</v>
      </c>
      <c r="AE42" s="12">
        <v>1</v>
      </c>
      <c r="AG42" s="11">
        <v>39</v>
      </c>
      <c r="AH42" s="12"/>
      <c r="AI42" s="12">
        <v>1</v>
      </c>
      <c r="AJ42" s="12">
        <v>1</v>
      </c>
      <c r="AL42" s="11">
        <v>39</v>
      </c>
      <c r="AM42" s="12"/>
      <c r="AN42" s="12">
        <v>1</v>
      </c>
      <c r="AO42" s="12">
        <v>1</v>
      </c>
      <c r="AQ42" s="11">
        <v>39</v>
      </c>
      <c r="AR42" s="12" t="s">
        <v>15</v>
      </c>
      <c r="AS42" s="12"/>
      <c r="AT42" s="11">
        <v>39</v>
      </c>
      <c r="AU42" s="12">
        <v>0</v>
      </c>
      <c r="AW42" s="11">
        <v>39</v>
      </c>
      <c r="AX42" s="12">
        <v>1</v>
      </c>
      <c r="AY42" s="12">
        <v>1</v>
      </c>
      <c r="AZ42" s="12">
        <v>1</v>
      </c>
      <c r="BA42" s="12">
        <v>1</v>
      </c>
      <c r="BB42" s="12">
        <v>1</v>
      </c>
      <c r="BC42" s="12">
        <v>1</v>
      </c>
      <c r="BD42" s="12">
        <v>1</v>
      </c>
      <c r="BE42" s="12">
        <v>1</v>
      </c>
      <c r="BF42" s="24">
        <v>1</v>
      </c>
      <c r="BG42" s="29">
        <v>1</v>
      </c>
      <c r="BH42" s="12">
        <v>1</v>
      </c>
      <c r="BI42" s="12">
        <v>1</v>
      </c>
      <c r="BK42" s="11">
        <v>39</v>
      </c>
      <c r="BL42" s="12"/>
      <c r="BM42" s="12" t="s">
        <v>18</v>
      </c>
      <c r="BN42" s="12" t="s">
        <v>18</v>
      </c>
      <c r="BP42" s="11">
        <v>39</v>
      </c>
      <c r="BQ42" s="12"/>
      <c r="BR42" s="12">
        <v>5</v>
      </c>
      <c r="BS42" s="12">
        <v>5</v>
      </c>
      <c r="BU42" s="11">
        <v>39</v>
      </c>
      <c r="BV42" s="12"/>
      <c r="BW42" s="12">
        <v>1</v>
      </c>
      <c r="BX42" s="12">
        <v>1</v>
      </c>
      <c r="BZ42" s="11">
        <v>39</v>
      </c>
      <c r="CA42" s="12"/>
      <c r="CC42" s="11">
        <v>39</v>
      </c>
      <c r="CD42" s="12"/>
    </row>
    <row r="43" spans="1:82">
      <c r="A43" s="20">
        <v>1</v>
      </c>
      <c r="B43" s="20">
        <v>2</v>
      </c>
      <c r="C43" s="5">
        <v>1</v>
      </c>
      <c r="D43" s="6">
        <f t="shared" si="5"/>
        <v>6</v>
      </c>
      <c r="E43" s="121">
        <f t="shared" si="6"/>
        <v>5</v>
      </c>
      <c r="F43" s="7">
        <f t="shared" si="6"/>
        <v>5</v>
      </c>
      <c r="R43" s="11">
        <v>40</v>
      </c>
      <c r="S43" s="12"/>
      <c r="T43" s="12" t="s">
        <v>15</v>
      </c>
      <c r="U43" s="12" t="s">
        <v>15</v>
      </c>
      <c r="W43" s="11">
        <v>40</v>
      </c>
      <c r="X43" s="12"/>
      <c r="Y43" s="12">
        <v>0</v>
      </c>
      <c r="Z43" s="12">
        <v>0</v>
      </c>
      <c r="AB43" s="11">
        <v>40</v>
      </c>
      <c r="AC43" s="12"/>
      <c r="AD43" s="12">
        <v>1</v>
      </c>
      <c r="AE43" s="12">
        <v>1</v>
      </c>
      <c r="AG43" s="11">
        <v>40</v>
      </c>
      <c r="AH43" s="12"/>
      <c r="AI43" s="12">
        <v>1</v>
      </c>
      <c r="AJ43" s="12">
        <v>1</v>
      </c>
      <c r="AL43" s="11">
        <v>40</v>
      </c>
      <c r="AM43" s="12"/>
      <c r="AN43" s="12">
        <v>1</v>
      </c>
      <c r="AO43" s="12">
        <v>1</v>
      </c>
      <c r="AQ43" s="11">
        <v>40</v>
      </c>
      <c r="AR43" s="14"/>
      <c r="AS43" s="14"/>
      <c r="AT43" s="11">
        <v>40</v>
      </c>
      <c r="AU43" s="12"/>
      <c r="AW43" s="11">
        <v>40</v>
      </c>
      <c r="AX43" s="12"/>
      <c r="AY43" s="12"/>
      <c r="AZ43" s="12"/>
      <c r="BA43" s="12"/>
      <c r="BB43" s="12"/>
      <c r="BC43" s="12"/>
      <c r="BD43" s="12"/>
      <c r="BE43" s="12"/>
      <c r="BF43" s="24"/>
      <c r="BG43" s="29"/>
      <c r="BH43" s="12"/>
      <c r="BI43" s="12"/>
      <c r="BK43" s="11">
        <v>40</v>
      </c>
      <c r="BL43" s="12"/>
      <c r="BM43" s="12" t="s">
        <v>15</v>
      </c>
      <c r="BN43" s="12" t="s">
        <v>15</v>
      </c>
      <c r="BP43" s="11">
        <v>40</v>
      </c>
      <c r="BQ43" s="12"/>
      <c r="BR43" s="12">
        <v>0</v>
      </c>
      <c r="BS43" s="12">
        <v>0</v>
      </c>
      <c r="BU43" s="11">
        <v>40</v>
      </c>
      <c r="BV43" s="12"/>
      <c r="BW43" s="12">
        <v>1</v>
      </c>
      <c r="BX43" s="12">
        <v>1</v>
      </c>
      <c r="BZ43" s="11">
        <v>40</v>
      </c>
      <c r="CA43" s="12"/>
      <c r="CC43" s="11">
        <v>40</v>
      </c>
      <c r="CD43" s="12"/>
    </row>
    <row r="44" spans="1:82">
      <c r="A44" s="21">
        <v>5</v>
      </c>
      <c r="B44" s="21">
        <v>3</v>
      </c>
      <c r="C44" s="23">
        <v>5</v>
      </c>
      <c r="D44" s="6">
        <f t="shared" si="5"/>
        <v>6</v>
      </c>
      <c r="E44" s="121">
        <f t="shared" si="6"/>
        <v>5</v>
      </c>
      <c r="F44" s="7">
        <f t="shared" si="6"/>
        <v>5</v>
      </c>
      <c r="J44">
        <f>10510+100000</f>
        <v>110510</v>
      </c>
      <c r="R44" s="11">
        <v>41</v>
      </c>
      <c r="S44" s="12"/>
      <c r="T44" s="12">
        <v>0</v>
      </c>
      <c r="U44" s="12">
        <v>0</v>
      </c>
      <c r="W44" s="11">
        <v>41</v>
      </c>
      <c r="X44" s="12"/>
      <c r="Y44" s="12">
        <v>1</v>
      </c>
      <c r="Z44" s="12">
        <v>1</v>
      </c>
      <c r="AB44" s="11">
        <v>41</v>
      </c>
      <c r="AC44" s="12"/>
      <c r="AD44" s="12">
        <v>1</v>
      </c>
      <c r="AE44" s="12">
        <v>1</v>
      </c>
      <c r="AG44" s="11">
        <v>41</v>
      </c>
      <c r="AH44" s="12"/>
      <c r="AI44" s="12">
        <v>1</v>
      </c>
      <c r="AJ44" s="12">
        <v>1</v>
      </c>
      <c r="AL44" s="11">
        <v>41</v>
      </c>
      <c r="AM44" s="12"/>
      <c r="AN44" s="12">
        <v>1</v>
      </c>
      <c r="AO44" s="12">
        <v>1</v>
      </c>
      <c r="AQ44" s="11">
        <v>41</v>
      </c>
      <c r="AR44" s="12"/>
      <c r="AS44" s="12"/>
      <c r="AT44" s="11">
        <v>41</v>
      </c>
      <c r="AU44" s="12"/>
      <c r="AW44" s="11">
        <v>41</v>
      </c>
      <c r="AX44" s="12"/>
      <c r="AY44" s="12"/>
      <c r="AZ44" s="12"/>
      <c r="BA44" s="12"/>
      <c r="BB44" s="12"/>
      <c r="BC44" s="12"/>
      <c r="BD44" s="12"/>
      <c r="BE44" s="12"/>
      <c r="BF44" s="24"/>
      <c r="BG44" s="29"/>
      <c r="BH44" s="12"/>
      <c r="BI44" s="12"/>
      <c r="BK44" s="11">
        <v>41</v>
      </c>
      <c r="BL44" s="12"/>
      <c r="BM44" s="12">
        <v>0</v>
      </c>
      <c r="BN44" s="12">
        <v>0</v>
      </c>
      <c r="BP44" s="11">
        <v>41</v>
      </c>
      <c r="BQ44" s="12"/>
      <c r="BR44" s="12">
        <v>1</v>
      </c>
      <c r="BS44" s="12">
        <v>1</v>
      </c>
      <c r="BU44" s="11">
        <v>41</v>
      </c>
      <c r="BV44" s="12"/>
      <c r="BW44" s="12">
        <v>1</v>
      </c>
      <c r="BX44" s="12">
        <v>1</v>
      </c>
      <c r="BZ44" s="11">
        <v>41</v>
      </c>
      <c r="CA44" s="12"/>
      <c r="CC44" s="11">
        <v>41</v>
      </c>
      <c r="CD44" s="12"/>
    </row>
    <row r="45" spans="1:82">
      <c r="A45" s="21">
        <v>10</v>
      </c>
      <c r="B45" s="21">
        <v>4</v>
      </c>
      <c r="C45" s="23">
        <v>10</v>
      </c>
      <c r="D45" s="6">
        <f t="shared" si="5"/>
        <v>6</v>
      </c>
      <c r="E45" s="101">
        <f t="shared" si="6"/>
        <v>5</v>
      </c>
      <c r="F45" s="126">
        <f t="shared" si="6"/>
        <v>5</v>
      </c>
      <c r="R45" s="11">
        <v>42</v>
      </c>
      <c r="S45" s="12"/>
      <c r="T45" s="12" t="s">
        <v>15</v>
      </c>
      <c r="U45" s="12" t="s">
        <v>15</v>
      </c>
      <c r="W45" s="11">
        <v>42</v>
      </c>
      <c r="X45" s="12"/>
      <c r="Y45" s="12">
        <v>0</v>
      </c>
      <c r="Z45" s="12">
        <v>0</v>
      </c>
      <c r="AB45" s="11">
        <v>42</v>
      </c>
      <c r="AC45" s="12"/>
      <c r="AD45" s="12">
        <v>1</v>
      </c>
      <c r="AE45" s="12">
        <v>1</v>
      </c>
      <c r="AG45" s="11">
        <v>42</v>
      </c>
      <c r="AH45" s="12"/>
      <c r="AI45" s="12">
        <v>1</v>
      </c>
      <c r="AJ45" s="12">
        <v>1</v>
      </c>
      <c r="AL45" s="11">
        <v>42</v>
      </c>
      <c r="AM45" s="12"/>
      <c r="AN45" s="12">
        <v>1</v>
      </c>
      <c r="AO45" s="12">
        <v>1</v>
      </c>
      <c r="AQ45" s="11">
        <v>42</v>
      </c>
      <c r="AR45" s="14"/>
      <c r="AS45" s="14"/>
      <c r="AT45" s="11">
        <v>42</v>
      </c>
      <c r="AU45" s="12"/>
      <c r="AW45" s="11">
        <v>42</v>
      </c>
      <c r="AX45" s="12"/>
      <c r="AY45" s="12"/>
      <c r="AZ45" s="12"/>
      <c r="BA45" s="12"/>
      <c r="BB45" s="12"/>
      <c r="BC45" s="12"/>
      <c r="BD45" s="12"/>
      <c r="BE45" s="12"/>
      <c r="BF45" s="24"/>
      <c r="BG45" s="29"/>
      <c r="BH45" s="12"/>
      <c r="BI45" s="12"/>
      <c r="BK45" s="11">
        <v>42</v>
      </c>
      <c r="BL45" s="12"/>
      <c r="BM45" s="12" t="s">
        <v>15</v>
      </c>
      <c r="BN45" s="12" t="s">
        <v>15</v>
      </c>
      <c r="BP45" s="11">
        <v>42</v>
      </c>
      <c r="BQ45" s="12"/>
      <c r="BR45" s="12">
        <v>0</v>
      </c>
      <c r="BS45" s="12">
        <v>0</v>
      </c>
      <c r="BU45" s="11">
        <v>42</v>
      </c>
      <c r="BV45" s="12"/>
      <c r="BW45" s="12">
        <v>1</v>
      </c>
      <c r="BX45" s="12">
        <v>1</v>
      </c>
      <c r="BZ45" s="11">
        <v>42</v>
      </c>
      <c r="CA45" s="12"/>
      <c r="CC45" s="11">
        <v>42</v>
      </c>
      <c r="CD45" s="12"/>
    </row>
    <row r="46" spans="1:82">
      <c r="A46" s="20" t="s">
        <v>20</v>
      </c>
      <c r="B46" s="20">
        <v>5</v>
      </c>
      <c r="C46" s="23" t="s">
        <v>29</v>
      </c>
      <c r="D46" s="37">
        <f t="shared" si="5"/>
        <v>0</v>
      </c>
      <c r="E46" s="101">
        <f t="shared" si="6"/>
        <v>5</v>
      </c>
      <c r="F46" s="126">
        <f t="shared" si="6"/>
        <v>5</v>
      </c>
      <c r="R46" s="11">
        <v>43</v>
      </c>
      <c r="S46" s="12"/>
      <c r="T46" s="12">
        <v>1</v>
      </c>
      <c r="U46" s="12">
        <v>1</v>
      </c>
      <c r="W46" s="11">
        <v>43</v>
      </c>
      <c r="X46" s="12"/>
      <c r="Y46" s="12">
        <v>2</v>
      </c>
      <c r="Z46" s="12">
        <v>2</v>
      </c>
      <c r="AB46" s="11">
        <v>43</v>
      </c>
      <c r="AC46" s="12"/>
      <c r="AD46" s="12">
        <v>1</v>
      </c>
      <c r="AE46" s="12">
        <v>1</v>
      </c>
      <c r="AG46" s="11">
        <v>43</v>
      </c>
      <c r="AH46" s="12"/>
      <c r="AI46" s="12">
        <v>1</v>
      </c>
      <c r="AJ46" s="12">
        <v>1</v>
      </c>
      <c r="AL46" s="11">
        <v>43</v>
      </c>
      <c r="AM46" s="12"/>
      <c r="AN46" s="12">
        <v>1</v>
      </c>
      <c r="AO46" s="12">
        <v>1</v>
      </c>
      <c r="AQ46" s="11">
        <v>43</v>
      </c>
      <c r="AR46" s="12"/>
      <c r="AS46" s="12"/>
      <c r="AT46" s="11">
        <v>43</v>
      </c>
      <c r="AU46" s="12"/>
      <c r="AW46" s="11">
        <v>43</v>
      </c>
      <c r="AX46" s="12"/>
      <c r="AY46" s="12"/>
      <c r="AZ46" s="12"/>
      <c r="BA46" s="12"/>
      <c r="BB46" s="12"/>
      <c r="BC46" s="12"/>
      <c r="BD46" s="12"/>
      <c r="BE46" s="12"/>
      <c r="BF46" s="24"/>
      <c r="BG46" s="29"/>
      <c r="BH46" s="12"/>
      <c r="BI46" s="12"/>
      <c r="BK46" s="11">
        <v>43</v>
      </c>
      <c r="BL46" s="12"/>
      <c r="BM46" s="12">
        <v>1</v>
      </c>
      <c r="BN46" s="12">
        <v>1</v>
      </c>
      <c r="BP46" s="11">
        <v>43</v>
      </c>
      <c r="BQ46" s="12"/>
      <c r="BR46" s="12">
        <v>2</v>
      </c>
      <c r="BS46" s="12">
        <v>2</v>
      </c>
      <c r="BU46" s="11">
        <v>43</v>
      </c>
      <c r="BV46" s="12"/>
      <c r="BW46" s="12">
        <v>1</v>
      </c>
      <c r="BX46" s="12">
        <v>1</v>
      </c>
      <c r="BZ46" s="11">
        <v>43</v>
      </c>
      <c r="CA46" s="12"/>
      <c r="CC46" s="11">
        <v>43</v>
      </c>
      <c r="CD46" s="12"/>
    </row>
    <row r="47" spans="1:82">
      <c r="A47" s="21" t="s">
        <v>21</v>
      </c>
      <c r="B47" s="21">
        <v>6</v>
      </c>
      <c r="C47" s="23" t="s">
        <v>26</v>
      </c>
      <c r="D47" s="37">
        <f t="shared" si="5"/>
        <v>0</v>
      </c>
      <c r="E47" s="59">
        <f t="shared" si="6"/>
        <v>0</v>
      </c>
      <c r="F47" s="38">
        <f t="shared" si="6"/>
        <v>0</v>
      </c>
      <c r="R47" s="11">
        <v>44</v>
      </c>
      <c r="S47" s="12"/>
      <c r="T47" s="12" t="s">
        <v>15</v>
      </c>
      <c r="U47" s="12" t="s">
        <v>15</v>
      </c>
      <c r="W47" s="11">
        <v>44</v>
      </c>
      <c r="X47" s="12"/>
      <c r="Y47" s="12">
        <v>0</v>
      </c>
      <c r="Z47" s="12">
        <v>0</v>
      </c>
      <c r="AB47" s="11">
        <v>44</v>
      </c>
      <c r="AC47" s="12"/>
      <c r="AD47" s="12">
        <v>1</v>
      </c>
      <c r="AE47" s="12">
        <v>1</v>
      </c>
      <c r="AG47" s="11">
        <v>44</v>
      </c>
      <c r="AH47" s="12"/>
      <c r="AI47" s="12">
        <v>1</v>
      </c>
      <c r="AJ47" s="12">
        <v>1</v>
      </c>
      <c r="AL47" s="11">
        <v>44</v>
      </c>
      <c r="AM47" s="12"/>
      <c r="AN47" s="12">
        <v>1</v>
      </c>
      <c r="AO47" s="12">
        <v>1</v>
      </c>
      <c r="AQ47" s="11">
        <v>44</v>
      </c>
      <c r="AR47" s="14"/>
      <c r="AS47" s="14"/>
      <c r="AT47" s="11">
        <v>44</v>
      </c>
      <c r="AU47" s="12"/>
      <c r="AW47" s="11">
        <v>44</v>
      </c>
      <c r="AX47" s="12"/>
      <c r="AY47" s="12"/>
      <c r="AZ47" s="12"/>
      <c r="BA47" s="12"/>
      <c r="BB47" s="12"/>
      <c r="BC47" s="12"/>
      <c r="BD47" s="12"/>
      <c r="BE47" s="12"/>
      <c r="BF47" s="24"/>
      <c r="BG47" s="29"/>
      <c r="BH47" s="12"/>
      <c r="BI47" s="12"/>
      <c r="BK47" s="11">
        <v>44</v>
      </c>
      <c r="BL47" s="12"/>
      <c r="BM47" s="12" t="s">
        <v>15</v>
      </c>
      <c r="BN47" s="12" t="s">
        <v>15</v>
      </c>
      <c r="BP47" s="11">
        <v>44</v>
      </c>
      <c r="BQ47" s="12"/>
      <c r="BR47" s="12">
        <v>0</v>
      </c>
      <c r="BS47" s="12">
        <v>0</v>
      </c>
      <c r="BU47" s="11">
        <v>44</v>
      </c>
      <c r="BV47" s="12"/>
      <c r="BW47" s="12">
        <v>1</v>
      </c>
      <c r="BX47" s="12">
        <v>1</v>
      </c>
      <c r="BZ47" s="11">
        <v>44</v>
      </c>
      <c r="CA47" s="12"/>
      <c r="CC47" s="11">
        <v>44</v>
      </c>
      <c r="CD47" s="12"/>
    </row>
    <row r="48" spans="1:82">
      <c r="A48" s="20" t="s">
        <v>22</v>
      </c>
      <c r="B48" s="20">
        <v>7</v>
      </c>
      <c r="C48" s="5" t="s">
        <v>27</v>
      </c>
      <c r="D48" s="37">
        <f t="shared" si="5"/>
        <v>0</v>
      </c>
      <c r="E48" s="59">
        <f t="shared" si="6"/>
        <v>0</v>
      </c>
      <c r="F48" s="38">
        <f t="shared" si="6"/>
        <v>0</v>
      </c>
      <c r="R48" s="11">
        <v>45</v>
      </c>
      <c r="S48" s="12"/>
      <c r="T48" s="12">
        <v>5</v>
      </c>
      <c r="U48" s="12">
        <v>5</v>
      </c>
      <c r="W48" s="11">
        <v>45</v>
      </c>
      <c r="X48" s="12"/>
      <c r="Y48" s="12">
        <v>3</v>
      </c>
      <c r="Z48" s="12">
        <v>3</v>
      </c>
      <c r="AB48" s="11">
        <v>45</v>
      </c>
      <c r="AC48" s="12"/>
      <c r="AD48" s="12">
        <v>1</v>
      </c>
      <c r="AE48" s="12">
        <v>1</v>
      </c>
      <c r="AG48" s="11">
        <v>45</v>
      </c>
      <c r="AH48" s="12"/>
      <c r="AI48" s="12">
        <v>1</v>
      </c>
      <c r="AJ48" s="12">
        <v>1</v>
      </c>
      <c r="AL48" s="11">
        <v>45</v>
      </c>
      <c r="AM48" s="12"/>
      <c r="AN48" s="12">
        <v>1</v>
      </c>
      <c r="AO48" s="12">
        <v>1</v>
      </c>
      <c r="AQ48" s="11">
        <v>45</v>
      </c>
      <c r="AR48" s="12"/>
      <c r="AS48" s="12"/>
      <c r="AT48" s="11">
        <v>45</v>
      </c>
      <c r="AU48" s="12"/>
      <c r="AW48" s="11">
        <v>45</v>
      </c>
      <c r="AX48" s="12"/>
      <c r="AY48" s="12"/>
      <c r="AZ48" s="12"/>
      <c r="BA48" s="12"/>
      <c r="BB48" s="12"/>
      <c r="BC48" s="12"/>
      <c r="BD48" s="12"/>
      <c r="BE48" s="12"/>
      <c r="BF48" s="24"/>
      <c r="BG48" s="29"/>
      <c r="BH48" s="12"/>
      <c r="BI48" s="12"/>
      <c r="BK48" s="11">
        <v>45</v>
      </c>
      <c r="BL48" s="12"/>
      <c r="BM48" s="12">
        <v>5</v>
      </c>
      <c r="BN48" s="12">
        <v>5</v>
      </c>
      <c r="BP48" s="11">
        <v>45</v>
      </c>
      <c r="BQ48" s="12"/>
      <c r="BR48" s="12">
        <v>3</v>
      </c>
      <c r="BS48" s="12">
        <v>3</v>
      </c>
      <c r="BU48" s="11">
        <v>45</v>
      </c>
      <c r="BV48" s="12"/>
      <c r="BW48" s="12">
        <v>1</v>
      </c>
      <c r="BX48" s="12">
        <v>1</v>
      </c>
      <c r="BZ48" s="11">
        <v>45</v>
      </c>
      <c r="CA48" s="12"/>
      <c r="CC48" s="11">
        <v>45</v>
      </c>
      <c r="CD48" s="12"/>
    </row>
    <row r="49" spans="1:82">
      <c r="A49" s="20" t="s">
        <v>23</v>
      </c>
      <c r="B49" s="20">
        <v>8</v>
      </c>
      <c r="C49" s="5" t="s">
        <v>28</v>
      </c>
      <c r="D49" s="37">
        <f t="shared" si="5"/>
        <v>0</v>
      </c>
      <c r="E49" s="59">
        <f t="shared" si="6"/>
        <v>0</v>
      </c>
      <c r="F49" s="38">
        <f t="shared" si="6"/>
        <v>0</v>
      </c>
      <c r="R49" s="11">
        <v>46</v>
      </c>
      <c r="S49" s="12"/>
      <c r="T49" s="12" t="s">
        <v>15</v>
      </c>
      <c r="U49" s="12" t="s">
        <v>15</v>
      </c>
      <c r="W49" s="11">
        <v>46</v>
      </c>
      <c r="X49" s="12"/>
      <c r="Y49" s="12">
        <v>0</v>
      </c>
      <c r="Z49" s="12">
        <v>0</v>
      </c>
      <c r="AB49" s="11">
        <v>46</v>
      </c>
      <c r="AC49" s="12"/>
      <c r="AD49" s="12">
        <v>1</v>
      </c>
      <c r="AE49" s="12">
        <v>1</v>
      </c>
      <c r="AG49" s="11">
        <v>46</v>
      </c>
      <c r="AH49" s="12"/>
      <c r="AI49" s="12">
        <v>1</v>
      </c>
      <c r="AJ49" s="12">
        <v>1</v>
      </c>
      <c r="AL49" s="11">
        <v>46</v>
      </c>
      <c r="AM49" s="12"/>
      <c r="AN49" s="12">
        <v>1</v>
      </c>
      <c r="AO49" s="12">
        <v>1</v>
      </c>
      <c r="AQ49" s="11">
        <v>46</v>
      </c>
      <c r="AR49" s="14"/>
      <c r="AS49" s="14"/>
      <c r="AT49" s="11">
        <v>46</v>
      </c>
      <c r="AU49" s="12"/>
      <c r="AW49" s="11">
        <v>46</v>
      </c>
      <c r="AX49" s="12"/>
      <c r="AY49" s="12"/>
      <c r="AZ49" s="12"/>
      <c r="BA49" s="12"/>
      <c r="BB49" s="12"/>
      <c r="BC49" s="12"/>
      <c r="BD49" s="12"/>
      <c r="BE49" s="12"/>
      <c r="BF49" s="24"/>
      <c r="BG49" s="29"/>
      <c r="BH49" s="12"/>
      <c r="BI49" s="12"/>
      <c r="BK49" s="11">
        <v>46</v>
      </c>
      <c r="BL49" s="12"/>
      <c r="BM49" s="12" t="s">
        <v>15</v>
      </c>
      <c r="BN49" s="12" t="s">
        <v>15</v>
      </c>
      <c r="BP49" s="11">
        <v>46</v>
      </c>
      <c r="BQ49" s="12"/>
      <c r="BR49" s="12">
        <v>0</v>
      </c>
      <c r="BS49" s="12">
        <v>0</v>
      </c>
      <c r="BU49" s="11">
        <v>46</v>
      </c>
      <c r="BV49" s="12"/>
      <c r="BW49" s="12">
        <v>1</v>
      </c>
      <c r="BX49" s="12">
        <v>1</v>
      </c>
      <c r="BZ49" s="11">
        <v>46</v>
      </c>
      <c r="CA49" s="12"/>
      <c r="CC49" s="11">
        <v>46</v>
      </c>
      <c r="CD49" s="12"/>
    </row>
    <row r="50" spans="1:82">
      <c r="A50" s="20" t="s">
        <v>24</v>
      </c>
      <c r="B50" s="20">
        <v>9</v>
      </c>
      <c r="C50" s="5" t="s">
        <v>16</v>
      </c>
      <c r="D50" s="37">
        <f t="shared" si="5"/>
        <v>0</v>
      </c>
      <c r="E50" s="59">
        <f t="shared" si="6"/>
        <v>0</v>
      </c>
      <c r="F50" s="38">
        <f t="shared" si="6"/>
        <v>0</v>
      </c>
      <c r="R50" s="11">
        <v>47</v>
      </c>
      <c r="S50" s="12"/>
      <c r="T50" s="12">
        <v>10</v>
      </c>
      <c r="U50" s="12">
        <v>10</v>
      </c>
      <c r="W50" s="11">
        <v>47</v>
      </c>
      <c r="X50" s="12"/>
      <c r="Y50" s="12">
        <v>4</v>
      </c>
      <c r="Z50" s="12">
        <v>4</v>
      </c>
      <c r="AB50" s="11">
        <v>47</v>
      </c>
      <c r="AC50" s="12"/>
      <c r="AD50" s="12">
        <v>1</v>
      </c>
      <c r="AE50" s="12">
        <v>1</v>
      </c>
      <c r="AG50" s="11">
        <v>47</v>
      </c>
      <c r="AH50" s="12"/>
      <c r="AI50" s="12">
        <v>1</v>
      </c>
      <c r="AJ50" s="12">
        <v>1</v>
      </c>
      <c r="AL50" s="11">
        <v>47</v>
      </c>
      <c r="AM50" s="12"/>
      <c r="AN50" s="12">
        <v>1</v>
      </c>
      <c r="AO50" s="12">
        <v>1</v>
      </c>
      <c r="AQ50" s="11">
        <v>47</v>
      </c>
      <c r="AR50" s="12"/>
      <c r="AS50" s="12"/>
      <c r="AT50" s="11">
        <v>47</v>
      </c>
      <c r="AU50" s="12"/>
      <c r="AW50" s="11">
        <v>47</v>
      </c>
      <c r="AX50" s="12"/>
      <c r="AY50" s="12"/>
      <c r="AZ50" s="12"/>
      <c r="BA50" s="12"/>
      <c r="BB50" s="12"/>
      <c r="BC50" s="12"/>
      <c r="BD50" s="12"/>
      <c r="BE50" s="12"/>
      <c r="BF50" s="24"/>
      <c r="BG50" s="29"/>
      <c r="BH50" s="12"/>
      <c r="BI50" s="12"/>
      <c r="BK50" s="11">
        <v>47</v>
      </c>
      <c r="BL50" s="12"/>
      <c r="BM50" s="12">
        <v>10</v>
      </c>
      <c r="BN50" s="12">
        <v>10</v>
      </c>
      <c r="BP50" s="11">
        <v>47</v>
      </c>
      <c r="BQ50" s="12"/>
      <c r="BR50" s="12">
        <v>4</v>
      </c>
      <c r="BS50" s="12">
        <v>4</v>
      </c>
      <c r="BU50" s="11">
        <v>47</v>
      </c>
      <c r="BV50" s="12"/>
      <c r="BW50" s="12">
        <v>1</v>
      </c>
      <c r="BX50" s="12">
        <v>1</v>
      </c>
      <c r="BZ50" s="11">
        <v>47</v>
      </c>
      <c r="CA50" s="12"/>
      <c r="CC50" s="11">
        <v>47</v>
      </c>
      <c r="CD50" s="12"/>
    </row>
    <row r="51" spans="1:82">
      <c r="A51" s="21" t="s">
        <v>35</v>
      </c>
      <c r="B51" s="21">
        <v>10</v>
      </c>
      <c r="C51" s="5" t="s">
        <v>37</v>
      </c>
      <c r="D51" s="37">
        <f t="shared" si="5"/>
        <v>0</v>
      </c>
      <c r="E51" s="59">
        <f t="shared" si="6"/>
        <v>0</v>
      </c>
      <c r="F51" s="38">
        <f t="shared" si="6"/>
        <v>0</v>
      </c>
      <c r="R51" s="11">
        <v>48</v>
      </c>
      <c r="S51" s="12"/>
      <c r="T51" s="12" t="s">
        <v>15</v>
      </c>
      <c r="U51" s="12" t="s">
        <v>15</v>
      </c>
      <c r="W51" s="11">
        <v>48</v>
      </c>
      <c r="X51" s="12"/>
      <c r="Y51" s="12">
        <v>0</v>
      </c>
      <c r="Z51" s="12">
        <v>0</v>
      </c>
      <c r="AB51" s="11">
        <v>48</v>
      </c>
      <c r="AC51" s="12"/>
      <c r="AD51" s="12">
        <v>1</v>
      </c>
      <c r="AE51" s="12">
        <v>1</v>
      </c>
      <c r="AG51" s="11">
        <v>48</v>
      </c>
      <c r="AH51" s="12"/>
      <c r="AI51" s="12">
        <v>1</v>
      </c>
      <c r="AJ51" s="12">
        <v>1</v>
      </c>
      <c r="AL51" s="11">
        <v>48</v>
      </c>
      <c r="AM51" s="12"/>
      <c r="AN51" s="12">
        <v>1</v>
      </c>
      <c r="AO51" s="12">
        <v>1</v>
      </c>
      <c r="AQ51" s="11">
        <v>48</v>
      </c>
      <c r="AR51" s="12"/>
      <c r="AS51" s="12"/>
      <c r="AT51" s="11">
        <v>48</v>
      </c>
      <c r="AU51" s="12"/>
      <c r="AW51" s="11">
        <v>48</v>
      </c>
      <c r="AX51" s="12"/>
      <c r="AY51" s="12"/>
      <c r="AZ51" s="12"/>
      <c r="BA51" s="12"/>
      <c r="BB51" s="12"/>
      <c r="BC51" s="12"/>
      <c r="BD51" s="12"/>
      <c r="BE51" s="12"/>
      <c r="BF51" s="24"/>
      <c r="BG51" s="29"/>
      <c r="BH51" s="12"/>
      <c r="BI51" s="12"/>
      <c r="BK51" s="11">
        <v>48</v>
      </c>
      <c r="BL51" s="12"/>
      <c r="BM51" s="12" t="s">
        <v>15</v>
      </c>
      <c r="BN51" s="12" t="s">
        <v>15</v>
      </c>
      <c r="BP51" s="11">
        <v>48</v>
      </c>
      <c r="BQ51" s="12"/>
      <c r="BR51" s="12">
        <v>0</v>
      </c>
      <c r="BS51" s="12">
        <v>0</v>
      </c>
      <c r="BU51" s="11">
        <v>48</v>
      </c>
      <c r="BV51" s="12"/>
      <c r="BW51" s="12">
        <v>1</v>
      </c>
      <c r="BX51" s="12">
        <v>1</v>
      </c>
      <c r="BZ51" s="11">
        <v>48</v>
      </c>
      <c r="CA51" s="12"/>
      <c r="CC51" s="11">
        <v>48</v>
      </c>
      <c r="CD51" s="12"/>
    </row>
    <row r="52" spans="1:82">
      <c r="A52" s="22" t="s">
        <v>39</v>
      </c>
      <c r="B52" s="22">
        <v>11</v>
      </c>
      <c r="C52" s="17" t="s">
        <v>38</v>
      </c>
      <c r="D52" s="60">
        <f t="shared" si="5"/>
        <v>0</v>
      </c>
      <c r="E52" s="39">
        <f t="shared" si="6"/>
        <v>0</v>
      </c>
      <c r="F52" s="40">
        <f t="shared" si="6"/>
        <v>0</v>
      </c>
      <c r="R52" s="11">
        <v>49</v>
      </c>
      <c r="S52" s="12"/>
      <c r="T52" s="12" t="s">
        <v>18</v>
      </c>
      <c r="U52" s="12" t="s">
        <v>18</v>
      </c>
      <c r="W52" s="11">
        <v>49</v>
      </c>
      <c r="X52" s="12"/>
      <c r="Y52" s="12">
        <v>5</v>
      </c>
      <c r="Z52" s="12">
        <v>5</v>
      </c>
      <c r="AB52" s="11">
        <v>49</v>
      </c>
      <c r="AC52" s="12"/>
      <c r="AD52" s="12">
        <v>1</v>
      </c>
      <c r="AE52" s="12">
        <v>1</v>
      </c>
      <c r="AG52" s="11">
        <v>49</v>
      </c>
      <c r="AH52" s="12"/>
      <c r="AI52" s="12">
        <v>1</v>
      </c>
      <c r="AJ52" s="12">
        <v>1</v>
      </c>
      <c r="AL52" s="11">
        <v>49</v>
      </c>
      <c r="AM52" s="12"/>
      <c r="AN52" s="12">
        <v>1</v>
      </c>
      <c r="AO52" s="12">
        <v>1</v>
      </c>
      <c r="AQ52" s="11">
        <v>49</v>
      </c>
      <c r="AR52" s="12"/>
      <c r="AS52" s="12"/>
      <c r="AT52" s="11">
        <v>49</v>
      </c>
      <c r="AU52" s="12"/>
      <c r="AW52" s="11">
        <v>49</v>
      </c>
      <c r="AX52" s="12"/>
      <c r="AY52" s="12"/>
      <c r="AZ52" s="12"/>
      <c r="BA52" s="12"/>
      <c r="BB52" s="12"/>
      <c r="BC52" s="12"/>
      <c r="BD52" s="12"/>
      <c r="BE52" s="12"/>
      <c r="BF52" s="24"/>
      <c r="BG52" s="29"/>
      <c r="BH52" s="12"/>
      <c r="BI52" s="12"/>
      <c r="BK52" s="11">
        <v>49</v>
      </c>
      <c r="BL52" s="12"/>
      <c r="BM52" s="12" t="s">
        <v>18</v>
      </c>
      <c r="BN52" s="12" t="s">
        <v>18</v>
      </c>
      <c r="BP52" s="11">
        <v>49</v>
      </c>
      <c r="BQ52" s="12"/>
      <c r="BR52" s="12">
        <v>5</v>
      </c>
      <c r="BS52" s="12">
        <v>5</v>
      </c>
      <c r="BU52" s="11">
        <v>49</v>
      </c>
      <c r="BV52" s="12"/>
      <c r="BW52" s="12">
        <v>1</v>
      </c>
      <c r="BX52" s="12">
        <v>1</v>
      </c>
      <c r="BZ52" s="11">
        <v>49</v>
      </c>
      <c r="CA52" s="12"/>
      <c r="CC52" s="11">
        <v>49</v>
      </c>
      <c r="CD52" s="12"/>
    </row>
    <row r="53" spans="1:82">
      <c r="D53" s="121">
        <f>SUM(D41:D52)</f>
        <v>36</v>
      </c>
      <c r="E53" s="121">
        <f>SUM(E41:E52)</f>
        <v>50</v>
      </c>
      <c r="F53" s="121">
        <f>SUM(F41:F52)</f>
        <v>50</v>
      </c>
      <c r="R53" s="11">
        <v>50</v>
      </c>
      <c r="S53" s="12"/>
      <c r="T53" s="12"/>
      <c r="U53" s="12"/>
      <c r="W53" s="11">
        <v>50</v>
      </c>
      <c r="X53" s="12"/>
      <c r="Y53" s="12"/>
      <c r="Z53" s="12"/>
      <c r="AB53" s="11">
        <v>50</v>
      </c>
      <c r="AC53" s="12"/>
      <c r="AD53" s="12"/>
      <c r="AE53" s="12"/>
      <c r="AG53" s="11">
        <v>50</v>
      </c>
      <c r="AH53" s="12"/>
      <c r="AI53" s="12"/>
      <c r="AJ53" s="12"/>
      <c r="AL53" s="11">
        <v>50</v>
      </c>
      <c r="AM53" s="12"/>
      <c r="AN53" s="12"/>
      <c r="AO53" s="12"/>
      <c r="AQ53" s="11">
        <v>50</v>
      </c>
      <c r="AR53" s="12"/>
      <c r="AS53" s="12"/>
      <c r="AT53" s="11">
        <v>50</v>
      </c>
      <c r="AU53" s="12"/>
      <c r="AW53" s="11">
        <v>50</v>
      </c>
      <c r="AX53" s="12"/>
      <c r="AY53" s="12"/>
      <c r="AZ53" s="12"/>
      <c r="BA53" s="12"/>
      <c r="BB53" s="12"/>
      <c r="BC53" s="12"/>
      <c r="BD53" s="12"/>
      <c r="BE53" s="12"/>
      <c r="BF53" s="24"/>
      <c r="BG53" s="29"/>
      <c r="BH53" s="12"/>
      <c r="BI53" s="12"/>
      <c r="BK53" s="11">
        <v>50</v>
      </c>
      <c r="BL53" s="12"/>
      <c r="BM53" s="12"/>
      <c r="BN53" s="12"/>
      <c r="BP53" s="11">
        <v>50</v>
      </c>
      <c r="BQ53" s="12"/>
      <c r="BR53" s="12"/>
      <c r="BS53" s="12"/>
      <c r="BU53" s="11">
        <v>50</v>
      </c>
      <c r="BV53" s="12"/>
      <c r="BW53" s="12"/>
      <c r="BX53" s="12"/>
      <c r="BZ53" s="11">
        <v>50</v>
      </c>
      <c r="CA53" s="12"/>
      <c r="CC53" s="11">
        <v>50</v>
      </c>
      <c r="CD53" s="12"/>
    </row>
    <row r="54" spans="1:82">
      <c r="R54" s="11">
        <v>51</v>
      </c>
      <c r="S54" s="12"/>
      <c r="T54" s="12"/>
      <c r="U54" s="12"/>
      <c r="W54" s="11">
        <v>51</v>
      </c>
      <c r="X54" s="12"/>
      <c r="Y54" s="12"/>
      <c r="Z54" s="12"/>
      <c r="AB54" s="11">
        <v>51</v>
      </c>
      <c r="AC54" s="12"/>
      <c r="AD54" s="12"/>
      <c r="AE54" s="12"/>
      <c r="AG54" s="11">
        <v>51</v>
      </c>
      <c r="AH54" s="12"/>
      <c r="AI54" s="12"/>
      <c r="AJ54" s="12"/>
      <c r="AL54" s="11">
        <v>51</v>
      </c>
      <c r="AM54" s="12"/>
      <c r="AN54" s="12"/>
      <c r="AO54" s="12"/>
      <c r="AQ54" s="11">
        <v>51</v>
      </c>
      <c r="AR54" s="12"/>
      <c r="AS54" s="12"/>
      <c r="AT54" s="11">
        <v>51</v>
      </c>
      <c r="AU54" s="12"/>
      <c r="AW54" s="11">
        <v>51</v>
      </c>
      <c r="AX54" s="12"/>
      <c r="AY54" s="12"/>
      <c r="AZ54" s="12"/>
      <c r="BA54" s="12"/>
      <c r="BB54" s="12"/>
      <c r="BC54" s="12"/>
      <c r="BD54" s="12"/>
      <c r="BE54" s="12"/>
      <c r="BF54" s="24"/>
      <c r="BG54" s="29"/>
      <c r="BH54" s="12"/>
      <c r="BI54" s="12"/>
      <c r="BK54" s="11">
        <v>51</v>
      </c>
      <c r="BL54" s="12"/>
      <c r="BM54" s="12"/>
      <c r="BN54" s="12"/>
      <c r="BP54" s="11">
        <v>51</v>
      </c>
      <c r="BQ54" s="12"/>
      <c r="BR54" s="12"/>
      <c r="BS54" s="12"/>
      <c r="BU54" s="11">
        <v>51</v>
      </c>
      <c r="BV54" s="12"/>
      <c r="BW54" s="12"/>
      <c r="BX54" s="12"/>
      <c r="BZ54" s="11">
        <v>51</v>
      </c>
      <c r="CA54" s="12"/>
      <c r="CC54" s="11">
        <v>51</v>
      </c>
      <c r="CD54" s="12"/>
    </row>
    <row r="55" spans="1:82" ht="16.8" thickBot="1">
      <c r="A55" s="31" t="s">
        <v>47</v>
      </c>
      <c r="R55" s="11">
        <v>52</v>
      </c>
      <c r="S55" s="12"/>
      <c r="T55" s="12"/>
      <c r="U55" s="12"/>
      <c r="W55" s="11">
        <v>52</v>
      </c>
      <c r="X55" s="12"/>
      <c r="Y55" s="12"/>
      <c r="Z55" s="12"/>
      <c r="AB55" s="11">
        <v>52</v>
      </c>
      <c r="AC55" s="12"/>
      <c r="AD55" s="12"/>
      <c r="AE55" s="12"/>
      <c r="AG55" s="11">
        <v>52</v>
      </c>
      <c r="AH55" s="12"/>
      <c r="AI55" s="12"/>
      <c r="AJ55" s="12"/>
      <c r="AL55" s="11">
        <v>52</v>
      </c>
      <c r="AM55" s="12"/>
      <c r="AN55" s="12"/>
      <c r="AO55" s="12"/>
      <c r="AQ55" s="11">
        <v>52</v>
      </c>
      <c r="AR55" s="12"/>
      <c r="AS55" s="12"/>
      <c r="AT55" s="11">
        <v>52</v>
      </c>
      <c r="AU55" s="12"/>
      <c r="AW55" s="11">
        <v>52</v>
      </c>
      <c r="AX55" s="12"/>
      <c r="AY55" s="12"/>
      <c r="AZ55" s="12"/>
      <c r="BA55" s="12"/>
      <c r="BB55" s="12"/>
      <c r="BC55" s="12"/>
      <c r="BD55" s="12"/>
      <c r="BE55" s="12"/>
      <c r="BF55" s="24"/>
      <c r="BG55" s="29"/>
      <c r="BH55" s="12"/>
      <c r="BI55" s="12"/>
      <c r="BK55" s="11">
        <v>52</v>
      </c>
      <c r="BL55" s="12"/>
      <c r="BM55" s="12"/>
      <c r="BN55" s="12"/>
      <c r="BP55" s="11">
        <v>52</v>
      </c>
      <c r="BQ55" s="12"/>
      <c r="BR55" s="12"/>
      <c r="BS55" s="12"/>
      <c r="BU55" s="11">
        <v>52</v>
      </c>
      <c r="BV55" s="12"/>
      <c r="BW55" s="12"/>
      <c r="BX55" s="12"/>
      <c r="BZ55" s="11">
        <v>52</v>
      </c>
      <c r="CA55" s="12"/>
      <c r="CC55" s="11">
        <v>52</v>
      </c>
      <c r="CD55" s="12"/>
    </row>
    <row r="56" spans="1:82">
      <c r="A56" s="30" t="s">
        <v>42</v>
      </c>
      <c r="B56" s="1" t="s">
        <v>10</v>
      </c>
      <c r="C56" s="42" t="s">
        <v>11</v>
      </c>
      <c r="D56" s="67" t="s">
        <v>56</v>
      </c>
      <c r="E56" s="52" t="s">
        <v>48</v>
      </c>
      <c r="F56" s="43" t="s">
        <v>49</v>
      </c>
      <c r="G56" s="44" t="s">
        <v>50</v>
      </c>
      <c r="H56" s="44" t="s">
        <v>51</v>
      </c>
      <c r="I56" s="44" t="s">
        <v>52</v>
      </c>
      <c r="J56" s="44" t="s">
        <v>53</v>
      </c>
      <c r="K56" s="44" t="s">
        <v>54</v>
      </c>
      <c r="L56" s="44" t="s">
        <v>55</v>
      </c>
      <c r="M56" s="45" t="s">
        <v>74</v>
      </c>
      <c r="N56" s="35" t="s">
        <v>75</v>
      </c>
      <c r="O56" s="36" t="s">
        <v>76</v>
      </c>
      <c r="R56" s="11">
        <v>53</v>
      </c>
      <c r="S56" s="12"/>
      <c r="T56" s="12"/>
      <c r="U56" s="12"/>
      <c r="W56" s="11">
        <v>53</v>
      </c>
      <c r="X56" s="12"/>
      <c r="Y56" s="12"/>
      <c r="Z56" s="12"/>
      <c r="AB56" s="11">
        <v>53</v>
      </c>
      <c r="AC56" s="12"/>
      <c r="AD56" s="12"/>
      <c r="AE56" s="12"/>
      <c r="AG56" s="11">
        <v>53</v>
      </c>
      <c r="AH56" s="12"/>
      <c r="AI56" s="12"/>
      <c r="AJ56" s="12"/>
      <c r="AL56" s="11">
        <v>53</v>
      </c>
      <c r="AM56" s="12"/>
      <c r="AN56" s="12"/>
      <c r="AO56" s="12"/>
      <c r="AQ56" s="11">
        <v>53</v>
      </c>
      <c r="AR56" s="12"/>
      <c r="AS56" s="12"/>
      <c r="AT56" s="11">
        <v>53</v>
      </c>
      <c r="AU56" s="12"/>
      <c r="AW56" s="11">
        <v>53</v>
      </c>
      <c r="AX56" s="12"/>
      <c r="AY56" s="12"/>
      <c r="AZ56" s="12"/>
      <c r="BA56" s="12"/>
      <c r="BB56" s="12"/>
      <c r="BC56" s="12"/>
      <c r="BD56" s="12"/>
      <c r="BE56" s="12"/>
      <c r="BF56" s="24"/>
      <c r="BG56" s="29"/>
      <c r="BH56" s="12"/>
      <c r="BI56" s="12"/>
      <c r="BK56" s="11">
        <v>53</v>
      </c>
      <c r="BL56" s="12"/>
      <c r="BM56" s="12"/>
      <c r="BN56" s="12"/>
      <c r="BP56" s="11">
        <v>53</v>
      </c>
      <c r="BQ56" s="12"/>
      <c r="BR56" s="12"/>
      <c r="BS56" s="12"/>
      <c r="BU56" s="11">
        <v>53</v>
      </c>
      <c r="BV56" s="12"/>
      <c r="BW56" s="12"/>
      <c r="BX56" s="12"/>
      <c r="BZ56" s="11">
        <v>53</v>
      </c>
      <c r="CA56" s="12"/>
      <c r="CC56" s="11">
        <v>53</v>
      </c>
      <c r="CD56" s="12"/>
    </row>
    <row r="57" spans="1:82">
      <c r="A57" s="1" t="s">
        <v>19</v>
      </c>
      <c r="B57" s="1">
        <v>0</v>
      </c>
      <c r="C57" s="3" t="s">
        <v>25</v>
      </c>
      <c r="D57" s="53">
        <f t="shared" ref="D57:O68" si="7">SUMIF($AR$3:$AR$42,$A57,AX$3:AX$42)</f>
        <v>20</v>
      </c>
      <c r="E57" s="122">
        <f t="shared" si="7"/>
        <v>20</v>
      </c>
      <c r="F57" s="122">
        <f t="shared" si="7"/>
        <v>20</v>
      </c>
      <c r="G57" s="3">
        <f t="shared" si="7"/>
        <v>20</v>
      </c>
      <c r="H57" s="122">
        <f t="shared" si="7"/>
        <v>20</v>
      </c>
      <c r="I57" s="122">
        <f t="shared" si="7"/>
        <v>20</v>
      </c>
      <c r="J57" s="122">
        <f t="shared" si="7"/>
        <v>20</v>
      </c>
      <c r="K57" s="122">
        <f t="shared" si="7"/>
        <v>20</v>
      </c>
      <c r="L57" s="122">
        <f t="shared" si="7"/>
        <v>20</v>
      </c>
      <c r="M57" s="46">
        <f t="shared" si="7"/>
        <v>20</v>
      </c>
      <c r="N57" s="122">
        <f t="shared" si="7"/>
        <v>20</v>
      </c>
      <c r="O57" s="4">
        <f t="shared" si="7"/>
        <v>20</v>
      </c>
      <c r="R57" s="11">
        <v>54</v>
      </c>
      <c r="S57" s="12"/>
      <c r="T57" s="12"/>
      <c r="U57" s="12"/>
      <c r="W57" s="11">
        <v>54</v>
      </c>
      <c r="X57" s="12"/>
      <c r="Y57" s="12"/>
      <c r="Z57" s="12"/>
      <c r="AB57" s="11">
        <v>54</v>
      </c>
      <c r="AC57" s="12"/>
      <c r="AD57" s="12"/>
      <c r="AE57" s="12"/>
      <c r="AG57" s="11">
        <v>54</v>
      </c>
      <c r="AH57" s="12"/>
      <c r="AI57" s="12"/>
      <c r="AJ57" s="12"/>
      <c r="AL57" s="11">
        <v>54</v>
      </c>
      <c r="AM57" s="12"/>
      <c r="AN57" s="12"/>
      <c r="AO57" s="12"/>
      <c r="AQ57" s="11">
        <v>54</v>
      </c>
      <c r="AR57" s="12"/>
      <c r="AS57" s="12"/>
      <c r="AT57" s="11">
        <v>54</v>
      </c>
      <c r="AU57" s="12"/>
      <c r="AW57" s="11">
        <v>54</v>
      </c>
      <c r="AX57" s="12"/>
      <c r="AY57" s="12"/>
      <c r="AZ57" s="12"/>
      <c r="BA57" s="12"/>
      <c r="BB57" s="12"/>
      <c r="BC57" s="12"/>
      <c r="BD57" s="12"/>
      <c r="BE57" s="12"/>
      <c r="BF57" s="24"/>
      <c r="BG57" s="29"/>
      <c r="BH57" s="12"/>
      <c r="BI57" s="12"/>
      <c r="BK57" s="11">
        <v>54</v>
      </c>
      <c r="BL57" s="12"/>
      <c r="BM57" s="12"/>
      <c r="BN57" s="12"/>
      <c r="BP57" s="11">
        <v>54</v>
      </c>
      <c r="BQ57" s="12"/>
      <c r="BR57" s="12"/>
      <c r="BS57" s="12"/>
      <c r="BU57" s="11">
        <v>54</v>
      </c>
      <c r="BV57" s="12"/>
      <c r="BW57" s="12"/>
      <c r="BX57" s="12"/>
      <c r="BZ57" s="11">
        <v>54</v>
      </c>
      <c r="CA57" s="12"/>
      <c r="CC57" s="11">
        <v>54</v>
      </c>
      <c r="CD57" s="12"/>
    </row>
    <row r="58" spans="1:82">
      <c r="A58" s="20">
        <v>0</v>
      </c>
      <c r="B58" s="20">
        <v>1</v>
      </c>
      <c r="C58" s="5">
        <v>0</v>
      </c>
      <c r="D58" s="54">
        <f t="shared" si="7"/>
        <v>0</v>
      </c>
      <c r="E58" s="59">
        <f t="shared" si="7"/>
        <v>0</v>
      </c>
      <c r="F58" s="38">
        <f t="shared" si="7"/>
        <v>0</v>
      </c>
      <c r="G58" s="37">
        <f t="shared" si="7"/>
        <v>0</v>
      </c>
      <c r="H58" s="59">
        <f t="shared" si="7"/>
        <v>0</v>
      </c>
      <c r="I58" s="59">
        <f t="shared" si="7"/>
        <v>0</v>
      </c>
      <c r="J58" s="59">
        <f t="shared" si="7"/>
        <v>0</v>
      </c>
      <c r="K58" s="59">
        <f t="shared" si="7"/>
        <v>0</v>
      </c>
      <c r="L58" s="59">
        <f t="shared" si="7"/>
        <v>0</v>
      </c>
      <c r="M58" s="47">
        <f t="shared" si="7"/>
        <v>0</v>
      </c>
      <c r="N58" s="59">
        <f t="shared" si="7"/>
        <v>0</v>
      </c>
      <c r="O58" s="38">
        <f t="shared" si="7"/>
        <v>0</v>
      </c>
      <c r="R58" s="11">
        <v>55</v>
      </c>
      <c r="S58" s="12"/>
      <c r="T58" s="12"/>
      <c r="U58" s="12"/>
      <c r="W58" s="11">
        <v>55</v>
      </c>
      <c r="X58" s="12"/>
      <c r="Y58" s="12"/>
      <c r="Z58" s="12"/>
      <c r="AB58" s="11">
        <v>55</v>
      </c>
      <c r="AC58" s="12"/>
      <c r="AD58" s="12"/>
      <c r="AE58" s="12"/>
      <c r="AG58" s="11">
        <v>55</v>
      </c>
      <c r="AH58" s="12"/>
      <c r="AI58" s="12"/>
      <c r="AJ58" s="12"/>
      <c r="AL58" s="11">
        <v>55</v>
      </c>
      <c r="AM58" s="12"/>
      <c r="AN58" s="12"/>
      <c r="AO58" s="12"/>
      <c r="AQ58" s="11">
        <v>55</v>
      </c>
      <c r="AR58" s="12"/>
      <c r="AS58" s="12"/>
      <c r="AT58" s="11">
        <v>55</v>
      </c>
      <c r="AU58" s="12"/>
      <c r="AW58" s="11">
        <v>55</v>
      </c>
      <c r="AX58" s="12"/>
      <c r="AY58" s="12"/>
      <c r="AZ58" s="12"/>
      <c r="BA58" s="12"/>
      <c r="BB58" s="12"/>
      <c r="BC58" s="12"/>
      <c r="BD58" s="12"/>
      <c r="BE58" s="12"/>
      <c r="BF58" s="24"/>
      <c r="BG58" s="29"/>
      <c r="BH58" s="12"/>
      <c r="BI58" s="12"/>
      <c r="BK58" s="11">
        <v>55</v>
      </c>
      <c r="BL58" s="12"/>
      <c r="BM58" s="12"/>
      <c r="BN58" s="12"/>
      <c r="BP58" s="11">
        <v>55</v>
      </c>
      <c r="BQ58" s="12"/>
      <c r="BR58" s="12"/>
      <c r="BS58" s="12"/>
      <c r="BU58" s="11">
        <v>55</v>
      </c>
      <c r="BV58" s="12"/>
      <c r="BW58" s="12"/>
      <c r="BX58" s="12"/>
      <c r="BZ58" s="11">
        <v>55</v>
      </c>
      <c r="CA58" s="12"/>
      <c r="CC58" s="11">
        <v>55</v>
      </c>
      <c r="CD58" s="12"/>
    </row>
    <row r="59" spans="1:82">
      <c r="A59" s="20">
        <v>1</v>
      </c>
      <c r="B59" s="20">
        <v>2</v>
      </c>
      <c r="C59" s="5">
        <v>1</v>
      </c>
      <c r="D59" s="54">
        <f t="shared" si="7"/>
        <v>0</v>
      </c>
      <c r="E59" s="59">
        <f t="shared" si="7"/>
        <v>0</v>
      </c>
      <c r="F59" s="38">
        <f t="shared" si="7"/>
        <v>0</v>
      </c>
      <c r="G59" s="37">
        <f t="shared" si="7"/>
        <v>0</v>
      </c>
      <c r="H59" s="59">
        <f t="shared" si="7"/>
        <v>0</v>
      </c>
      <c r="I59" s="59">
        <f t="shared" si="7"/>
        <v>0</v>
      </c>
      <c r="J59" s="59">
        <f t="shared" si="7"/>
        <v>0</v>
      </c>
      <c r="K59" s="59">
        <f t="shared" si="7"/>
        <v>0</v>
      </c>
      <c r="L59" s="59">
        <f t="shared" si="7"/>
        <v>0</v>
      </c>
      <c r="M59" s="47">
        <f t="shared" si="7"/>
        <v>0</v>
      </c>
      <c r="N59" s="59">
        <f t="shared" si="7"/>
        <v>0</v>
      </c>
      <c r="O59" s="38">
        <f t="shared" si="7"/>
        <v>0</v>
      </c>
      <c r="R59" s="11">
        <v>56</v>
      </c>
      <c r="S59" s="12"/>
      <c r="T59" s="12"/>
      <c r="U59" s="12"/>
      <c r="W59" s="11">
        <v>56</v>
      </c>
      <c r="X59" s="12"/>
      <c r="Y59" s="12"/>
      <c r="Z59" s="12"/>
      <c r="AB59" s="11">
        <v>56</v>
      </c>
      <c r="AC59" s="12"/>
      <c r="AD59" s="12"/>
      <c r="AE59" s="12"/>
      <c r="AG59" s="11">
        <v>56</v>
      </c>
      <c r="AH59" s="12"/>
      <c r="AI59" s="12"/>
      <c r="AJ59" s="12"/>
      <c r="AL59" s="11">
        <v>56</v>
      </c>
      <c r="AM59" s="12"/>
      <c r="AN59" s="12"/>
      <c r="AO59" s="12"/>
      <c r="AQ59" s="11">
        <v>56</v>
      </c>
      <c r="AR59" s="12"/>
      <c r="AS59" s="12"/>
      <c r="AT59" s="11">
        <v>56</v>
      </c>
      <c r="AU59" s="12"/>
      <c r="AW59" s="11">
        <v>56</v>
      </c>
      <c r="AX59" s="12"/>
      <c r="AY59" s="12"/>
      <c r="AZ59" s="12"/>
      <c r="BA59" s="12"/>
      <c r="BB59" s="12"/>
      <c r="BC59" s="12"/>
      <c r="BD59" s="12"/>
      <c r="BE59" s="12"/>
      <c r="BF59" s="24"/>
      <c r="BG59" s="29"/>
      <c r="BH59" s="12"/>
      <c r="BI59" s="12"/>
      <c r="BK59" s="11">
        <v>56</v>
      </c>
      <c r="BL59" s="12"/>
      <c r="BM59" s="12"/>
      <c r="BN59" s="12"/>
      <c r="BP59" s="11">
        <v>56</v>
      </c>
      <c r="BQ59" s="12"/>
      <c r="BR59" s="12"/>
      <c r="BS59" s="12"/>
      <c r="BU59" s="11">
        <v>56</v>
      </c>
      <c r="BV59" s="12"/>
      <c r="BW59" s="12"/>
      <c r="BX59" s="12"/>
      <c r="BZ59" s="11">
        <v>56</v>
      </c>
      <c r="CA59" s="12"/>
      <c r="CC59" s="11">
        <v>56</v>
      </c>
      <c r="CD59" s="12"/>
    </row>
    <row r="60" spans="1:82">
      <c r="A60" s="21">
        <v>5</v>
      </c>
      <c r="B60" s="21">
        <v>3</v>
      </c>
      <c r="C60" s="23">
        <v>5</v>
      </c>
      <c r="D60" s="54">
        <f t="shared" si="7"/>
        <v>0</v>
      </c>
      <c r="E60" s="59">
        <f t="shared" si="7"/>
        <v>0</v>
      </c>
      <c r="F60" s="38">
        <f t="shared" si="7"/>
        <v>0</v>
      </c>
      <c r="G60" s="37">
        <f t="shared" si="7"/>
        <v>0</v>
      </c>
      <c r="H60" s="59">
        <f t="shared" si="7"/>
        <v>0</v>
      </c>
      <c r="I60" s="59">
        <f t="shared" si="7"/>
        <v>0</v>
      </c>
      <c r="J60" s="59">
        <f t="shared" si="7"/>
        <v>0</v>
      </c>
      <c r="K60" s="59">
        <f t="shared" si="7"/>
        <v>0</v>
      </c>
      <c r="L60" s="59">
        <f t="shared" si="7"/>
        <v>0</v>
      </c>
      <c r="M60" s="47">
        <f t="shared" si="7"/>
        <v>0</v>
      </c>
      <c r="N60" s="59">
        <f t="shared" si="7"/>
        <v>0</v>
      </c>
      <c r="O60" s="38">
        <f t="shared" si="7"/>
        <v>0</v>
      </c>
      <c r="R60" s="11">
        <v>57</v>
      </c>
      <c r="S60" s="12"/>
      <c r="T60" s="12"/>
      <c r="U60" s="12"/>
      <c r="W60" s="11">
        <v>57</v>
      </c>
      <c r="X60" s="12"/>
      <c r="Y60" s="12"/>
      <c r="Z60" s="12"/>
      <c r="AB60" s="11">
        <v>57</v>
      </c>
      <c r="AC60" s="12"/>
      <c r="AD60" s="12"/>
      <c r="AE60" s="12"/>
      <c r="AG60" s="11">
        <v>57</v>
      </c>
      <c r="AH60" s="12"/>
      <c r="AI60" s="12"/>
      <c r="AJ60" s="12"/>
      <c r="AL60" s="11">
        <v>57</v>
      </c>
      <c r="AM60" s="12"/>
      <c r="AN60" s="12"/>
      <c r="AO60" s="12"/>
      <c r="AQ60" s="11">
        <v>57</v>
      </c>
      <c r="AR60" s="12"/>
      <c r="AS60" s="12"/>
      <c r="AT60" s="11">
        <v>57</v>
      </c>
      <c r="AU60" s="12"/>
      <c r="AW60" s="11">
        <v>57</v>
      </c>
      <c r="AX60" s="12"/>
      <c r="AY60" s="12"/>
      <c r="AZ60" s="12"/>
      <c r="BA60" s="12"/>
      <c r="BB60" s="12"/>
      <c r="BC60" s="12"/>
      <c r="BD60" s="12"/>
      <c r="BE60" s="12"/>
      <c r="BF60" s="24"/>
      <c r="BG60" s="29"/>
      <c r="BH60" s="12"/>
      <c r="BI60" s="12"/>
      <c r="BK60" s="11">
        <v>57</v>
      </c>
      <c r="BL60" s="12"/>
      <c r="BM60" s="12"/>
      <c r="BN60" s="12"/>
      <c r="BP60" s="11">
        <v>57</v>
      </c>
      <c r="BQ60" s="12"/>
      <c r="BR60" s="12"/>
      <c r="BS60" s="12"/>
      <c r="BU60" s="11">
        <v>57</v>
      </c>
      <c r="BV60" s="12"/>
      <c r="BW60" s="12"/>
      <c r="BX60" s="12"/>
      <c r="BZ60" s="11">
        <v>57</v>
      </c>
      <c r="CA60" s="12"/>
      <c r="CC60" s="11">
        <v>57</v>
      </c>
      <c r="CD60" s="12"/>
    </row>
    <row r="61" spans="1:82">
      <c r="A61" s="21">
        <v>10</v>
      </c>
      <c r="B61" s="21">
        <v>4</v>
      </c>
      <c r="C61" s="23">
        <v>10</v>
      </c>
      <c r="D61" s="54">
        <f t="shared" si="7"/>
        <v>0</v>
      </c>
      <c r="E61" s="59">
        <f t="shared" si="7"/>
        <v>0</v>
      </c>
      <c r="F61" s="38">
        <f t="shared" si="7"/>
        <v>0</v>
      </c>
      <c r="G61" s="37">
        <f t="shared" si="7"/>
        <v>0</v>
      </c>
      <c r="H61" s="59">
        <f t="shared" si="7"/>
        <v>0</v>
      </c>
      <c r="I61" s="59">
        <f t="shared" si="7"/>
        <v>0</v>
      </c>
      <c r="J61" s="59">
        <f t="shared" si="7"/>
        <v>0</v>
      </c>
      <c r="K61" s="59">
        <f t="shared" si="7"/>
        <v>0</v>
      </c>
      <c r="L61" s="59">
        <f t="shared" si="7"/>
        <v>0</v>
      </c>
      <c r="M61" s="47">
        <f t="shared" si="7"/>
        <v>0</v>
      </c>
      <c r="N61" s="59">
        <f t="shared" si="7"/>
        <v>0</v>
      </c>
      <c r="O61" s="38">
        <f t="shared" si="7"/>
        <v>0</v>
      </c>
      <c r="R61" s="11">
        <v>58</v>
      </c>
      <c r="S61" s="12"/>
      <c r="T61" s="12"/>
      <c r="U61" s="12"/>
      <c r="W61" s="11">
        <v>58</v>
      </c>
      <c r="X61" s="12"/>
      <c r="Y61" s="12"/>
      <c r="Z61" s="12"/>
      <c r="AB61" s="11">
        <v>58</v>
      </c>
      <c r="AC61" s="12"/>
      <c r="AD61" s="12"/>
      <c r="AE61" s="12"/>
      <c r="AG61" s="11">
        <v>58</v>
      </c>
      <c r="AH61" s="12"/>
      <c r="AI61" s="12"/>
      <c r="AJ61" s="12"/>
      <c r="AL61" s="11">
        <v>58</v>
      </c>
      <c r="AM61" s="12"/>
      <c r="AN61" s="12"/>
      <c r="AO61" s="12"/>
      <c r="AQ61" s="11">
        <v>58</v>
      </c>
      <c r="AR61" s="12"/>
      <c r="AS61" s="12"/>
      <c r="AT61" s="11">
        <v>58</v>
      </c>
      <c r="AU61" s="12"/>
      <c r="AW61" s="11">
        <v>58</v>
      </c>
      <c r="AX61" s="12"/>
      <c r="AY61" s="12"/>
      <c r="AZ61" s="12"/>
      <c r="BA61" s="12"/>
      <c r="BB61" s="12"/>
      <c r="BC61" s="12"/>
      <c r="BD61" s="12"/>
      <c r="BE61" s="12"/>
      <c r="BF61" s="24"/>
      <c r="BG61" s="29"/>
      <c r="BH61" s="12"/>
      <c r="BI61" s="12"/>
      <c r="BK61" s="11">
        <v>58</v>
      </c>
      <c r="BL61" s="12"/>
      <c r="BM61" s="12"/>
      <c r="BN61" s="12"/>
      <c r="BP61" s="11">
        <v>58</v>
      </c>
      <c r="BQ61" s="12"/>
      <c r="BR61" s="12"/>
      <c r="BS61" s="12"/>
      <c r="BU61" s="11">
        <v>58</v>
      </c>
      <c r="BV61" s="12"/>
      <c r="BW61" s="12"/>
      <c r="BX61" s="12"/>
      <c r="BZ61" s="11">
        <v>58</v>
      </c>
      <c r="CA61" s="12"/>
      <c r="CC61" s="11">
        <v>58</v>
      </c>
      <c r="CD61" s="12"/>
    </row>
    <row r="62" spans="1:82">
      <c r="A62" s="20" t="s">
        <v>20</v>
      </c>
      <c r="B62" s="20">
        <v>5</v>
      </c>
      <c r="C62" s="23" t="s">
        <v>29</v>
      </c>
      <c r="D62" s="54">
        <f t="shared" si="7"/>
        <v>0</v>
      </c>
      <c r="E62" s="59">
        <f t="shared" si="7"/>
        <v>0</v>
      </c>
      <c r="F62" s="38">
        <f t="shared" si="7"/>
        <v>0</v>
      </c>
      <c r="G62" s="37">
        <f t="shared" si="7"/>
        <v>0</v>
      </c>
      <c r="H62" s="59">
        <f t="shared" si="7"/>
        <v>0</v>
      </c>
      <c r="I62" s="59">
        <f t="shared" si="7"/>
        <v>0</v>
      </c>
      <c r="J62" s="59">
        <f t="shared" si="7"/>
        <v>0</v>
      </c>
      <c r="K62" s="59">
        <f t="shared" si="7"/>
        <v>0</v>
      </c>
      <c r="L62" s="59">
        <f t="shared" si="7"/>
        <v>0</v>
      </c>
      <c r="M62" s="47">
        <f t="shared" si="7"/>
        <v>0</v>
      </c>
      <c r="N62" s="59">
        <f t="shared" si="7"/>
        <v>0</v>
      </c>
      <c r="O62" s="38">
        <f t="shared" si="7"/>
        <v>0</v>
      </c>
      <c r="R62" s="11">
        <v>59</v>
      </c>
      <c r="S62" s="12"/>
      <c r="T62" s="12"/>
      <c r="U62" s="12"/>
      <c r="W62" s="11">
        <v>59</v>
      </c>
      <c r="X62" s="12"/>
      <c r="Y62" s="12"/>
      <c r="Z62" s="12"/>
      <c r="AB62" s="11">
        <v>59</v>
      </c>
      <c r="AC62" s="12"/>
      <c r="AD62" s="12"/>
      <c r="AE62" s="12"/>
      <c r="AG62" s="11">
        <v>59</v>
      </c>
      <c r="AH62" s="12"/>
      <c r="AI62" s="12"/>
      <c r="AJ62" s="12"/>
      <c r="AL62" s="11">
        <v>59</v>
      </c>
      <c r="AM62" s="12"/>
      <c r="AN62" s="12"/>
      <c r="AO62" s="12"/>
      <c r="AQ62" s="11">
        <v>59</v>
      </c>
      <c r="AR62" s="12"/>
      <c r="AS62" s="12"/>
      <c r="AT62" s="11">
        <v>59</v>
      </c>
      <c r="AU62" s="12"/>
      <c r="AW62" s="11">
        <v>59</v>
      </c>
      <c r="AX62" s="12"/>
      <c r="AY62" s="12"/>
      <c r="AZ62" s="12"/>
      <c r="BA62" s="12"/>
      <c r="BB62" s="12"/>
      <c r="BC62" s="12"/>
      <c r="BD62" s="12"/>
      <c r="BE62" s="12"/>
      <c r="BF62" s="24"/>
      <c r="BG62" s="29"/>
      <c r="BH62" s="12"/>
      <c r="BI62" s="12"/>
      <c r="BK62" s="11">
        <v>59</v>
      </c>
      <c r="BL62" s="12"/>
      <c r="BM62" s="12"/>
      <c r="BN62" s="12"/>
      <c r="BP62" s="11">
        <v>59</v>
      </c>
      <c r="BQ62" s="12"/>
      <c r="BR62" s="12"/>
      <c r="BS62" s="12"/>
      <c r="BU62" s="11">
        <v>59</v>
      </c>
      <c r="BV62" s="12"/>
      <c r="BW62" s="12"/>
      <c r="BX62" s="12"/>
      <c r="BZ62" s="11">
        <v>59</v>
      </c>
      <c r="CA62" s="12"/>
      <c r="CC62" s="11">
        <v>59</v>
      </c>
      <c r="CD62" s="12"/>
    </row>
    <row r="63" spans="1:82">
      <c r="A63" s="21" t="s">
        <v>21</v>
      </c>
      <c r="B63" s="21">
        <v>6</v>
      </c>
      <c r="C63" s="23" t="s">
        <v>26</v>
      </c>
      <c r="D63" s="55">
        <f t="shared" si="7"/>
        <v>4</v>
      </c>
      <c r="E63" s="121">
        <f t="shared" si="7"/>
        <v>4</v>
      </c>
      <c r="F63" s="7">
        <f t="shared" si="7"/>
        <v>4</v>
      </c>
      <c r="G63" s="6">
        <f t="shared" si="7"/>
        <v>4</v>
      </c>
      <c r="H63" s="121">
        <f t="shared" si="7"/>
        <v>4</v>
      </c>
      <c r="I63" s="121">
        <f t="shared" si="7"/>
        <v>4</v>
      </c>
      <c r="J63" s="121">
        <f t="shared" si="7"/>
        <v>4</v>
      </c>
      <c r="K63" s="121">
        <f t="shared" si="7"/>
        <v>4</v>
      </c>
      <c r="L63" s="121">
        <f t="shared" si="7"/>
        <v>4</v>
      </c>
      <c r="M63" s="48">
        <f t="shared" si="7"/>
        <v>4</v>
      </c>
      <c r="N63" s="121">
        <f t="shared" si="7"/>
        <v>4</v>
      </c>
      <c r="O63" s="7">
        <f t="shared" si="7"/>
        <v>4</v>
      </c>
      <c r="R63" s="11">
        <v>60</v>
      </c>
      <c r="S63" s="12"/>
      <c r="T63" s="12"/>
      <c r="U63" s="12"/>
      <c r="W63" s="11">
        <v>60</v>
      </c>
      <c r="X63" s="12"/>
      <c r="Y63" s="12"/>
      <c r="Z63" s="12"/>
      <c r="AB63" s="11">
        <v>60</v>
      </c>
      <c r="AC63" s="12"/>
      <c r="AD63" s="12"/>
      <c r="AE63" s="12"/>
      <c r="AG63" s="11">
        <v>60</v>
      </c>
      <c r="AH63" s="12"/>
      <c r="AI63" s="12"/>
      <c r="AJ63" s="12"/>
      <c r="AL63" s="11">
        <v>60</v>
      </c>
      <c r="AM63" s="12"/>
      <c r="AN63" s="12"/>
      <c r="AO63" s="12"/>
      <c r="AQ63" s="11">
        <v>60</v>
      </c>
      <c r="AR63" s="13"/>
      <c r="AS63" s="13"/>
      <c r="AT63" s="11">
        <v>60</v>
      </c>
      <c r="AU63" s="12"/>
      <c r="AW63" s="11">
        <v>60</v>
      </c>
      <c r="AX63" s="12"/>
      <c r="AY63" s="12"/>
      <c r="AZ63" s="12"/>
      <c r="BA63" s="12"/>
      <c r="BB63" s="12"/>
      <c r="BC63" s="12"/>
      <c r="BD63" s="12"/>
      <c r="BE63" s="12"/>
      <c r="BF63" s="24"/>
      <c r="BG63" s="29"/>
      <c r="BH63" s="12"/>
      <c r="BI63" s="12"/>
      <c r="BK63" s="11">
        <v>60</v>
      </c>
      <c r="BL63" s="12"/>
      <c r="BM63" s="12"/>
      <c r="BN63" s="12"/>
      <c r="BP63" s="11">
        <v>60</v>
      </c>
      <c r="BQ63" s="12"/>
      <c r="BR63" s="12"/>
      <c r="BS63" s="12"/>
      <c r="BU63" s="11">
        <v>60</v>
      </c>
      <c r="BV63" s="12"/>
      <c r="BW63" s="12"/>
      <c r="BX63" s="12"/>
      <c r="BZ63" s="11">
        <v>60</v>
      </c>
      <c r="CA63" s="12"/>
      <c r="CC63" s="11">
        <v>60</v>
      </c>
      <c r="CD63" s="12"/>
    </row>
    <row r="64" spans="1:82">
      <c r="A64" s="20" t="s">
        <v>22</v>
      </c>
      <c r="B64" s="20">
        <v>7</v>
      </c>
      <c r="C64" s="5" t="s">
        <v>27</v>
      </c>
      <c r="D64" s="55">
        <f t="shared" si="7"/>
        <v>4</v>
      </c>
      <c r="E64" s="121">
        <f t="shared" si="7"/>
        <v>4</v>
      </c>
      <c r="F64" s="7">
        <f t="shared" si="7"/>
        <v>4</v>
      </c>
      <c r="G64" s="6">
        <f t="shared" si="7"/>
        <v>4</v>
      </c>
      <c r="H64" s="121">
        <f t="shared" si="7"/>
        <v>4</v>
      </c>
      <c r="I64" s="121">
        <f t="shared" si="7"/>
        <v>4</v>
      </c>
      <c r="J64" s="121">
        <f t="shared" si="7"/>
        <v>4</v>
      </c>
      <c r="K64" s="121">
        <f t="shared" si="7"/>
        <v>4</v>
      </c>
      <c r="L64" s="121">
        <f t="shared" si="7"/>
        <v>4</v>
      </c>
      <c r="M64" s="48">
        <f t="shared" si="7"/>
        <v>4</v>
      </c>
      <c r="N64" s="121">
        <f t="shared" si="7"/>
        <v>4</v>
      </c>
      <c r="O64" s="7">
        <f t="shared" si="7"/>
        <v>4</v>
      </c>
      <c r="R64" s="11">
        <v>61</v>
      </c>
      <c r="S64" s="12"/>
      <c r="T64" s="13"/>
      <c r="U64" s="12"/>
      <c r="W64" s="11">
        <v>61</v>
      </c>
      <c r="X64" s="12"/>
      <c r="Y64" s="13"/>
      <c r="Z64" s="12"/>
      <c r="AB64" s="11">
        <v>61</v>
      </c>
      <c r="AC64" s="12"/>
      <c r="AD64" s="12"/>
      <c r="AE64" s="12"/>
      <c r="AG64" s="11">
        <v>61</v>
      </c>
      <c r="AH64" s="12"/>
      <c r="AI64" s="12"/>
      <c r="AJ64" s="12"/>
      <c r="AL64" s="11">
        <v>61</v>
      </c>
      <c r="AM64" s="12"/>
      <c r="AN64" s="12"/>
      <c r="AO64" s="12"/>
      <c r="AQ64" s="11">
        <v>61</v>
      </c>
      <c r="AR64" s="13"/>
      <c r="AS64" s="13"/>
      <c r="AT64" s="11">
        <v>61</v>
      </c>
      <c r="AU64" s="12"/>
      <c r="AW64" s="11">
        <v>61</v>
      </c>
      <c r="AX64" s="12"/>
      <c r="AY64" s="12"/>
      <c r="AZ64" s="12"/>
      <c r="BA64" s="12"/>
      <c r="BB64" s="12"/>
      <c r="BC64" s="12"/>
      <c r="BD64" s="12"/>
      <c r="BE64" s="12"/>
      <c r="BF64" s="24"/>
      <c r="BG64" s="29"/>
      <c r="BH64" s="12"/>
      <c r="BI64" s="12"/>
      <c r="BK64" s="11">
        <v>61</v>
      </c>
      <c r="BL64" s="12"/>
      <c r="BM64" s="13"/>
      <c r="BN64" s="12"/>
      <c r="BP64" s="11">
        <v>61</v>
      </c>
      <c r="BQ64" s="12"/>
      <c r="BR64" s="13"/>
      <c r="BS64" s="12"/>
      <c r="BU64" s="11">
        <v>61</v>
      </c>
      <c r="BV64" s="12"/>
      <c r="BW64" s="12"/>
      <c r="BX64" s="12"/>
      <c r="BZ64" s="11">
        <v>61</v>
      </c>
      <c r="CA64" s="12"/>
      <c r="CC64" s="11">
        <v>61</v>
      </c>
      <c r="CD64" s="12"/>
    </row>
    <row r="65" spans="1:82">
      <c r="A65" s="20" t="s">
        <v>23</v>
      </c>
      <c r="B65" s="20">
        <v>8</v>
      </c>
      <c r="C65" s="5" t="s">
        <v>28</v>
      </c>
      <c r="D65" s="55">
        <f t="shared" si="7"/>
        <v>4</v>
      </c>
      <c r="E65" s="121">
        <f t="shared" si="7"/>
        <v>4</v>
      </c>
      <c r="F65" s="7">
        <f t="shared" si="7"/>
        <v>4</v>
      </c>
      <c r="G65" s="6">
        <f t="shared" si="7"/>
        <v>4</v>
      </c>
      <c r="H65" s="121">
        <f t="shared" si="7"/>
        <v>4</v>
      </c>
      <c r="I65" s="121">
        <f t="shared" si="7"/>
        <v>4</v>
      </c>
      <c r="J65" s="121">
        <f t="shared" si="7"/>
        <v>4</v>
      </c>
      <c r="K65" s="121">
        <f t="shared" si="7"/>
        <v>4</v>
      </c>
      <c r="L65" s="121">
        <f t="shared" si="7"/>
        <v>4</v>
      </c>
      <c r="M65" s="48">
        <f t="shared" si="7"/>
        <v>4</v>
      </c>
      <c r="N65" s="121">
        <f t="shared" si="7"/>
        <v>4</v>
      </c>
      <c r="O65" s="7">
        <f t="shared" si="7"/>
        <v>4</v>
      </c>
      <c r="R65" s="11">
        <v>62</v>
      </c>
      <c r="S65" s="12"/>
      <c r="T65" s="13"/>
      <c r="U65" s="12"/>
      <c r="W65" s="11">
        <v>62</v>
      </c>
      <c r="X65" s="12"/>
      <c r="Y65" s="13"/>
      <c r="Z65" s="12"/>
      <c r="AB65" s="11">
        <v>62</v>
      </c>
      <c r="AC65" s="12"/>
      <c r="AD65" s="12"/>
      <c r="AE65" s="12"/>
      <c r="AG65" s="11">
        <v>62</v>
      </c>
      <c r="AH65" s="12"/>
      <c r="AI65" s="12"/>
      <c r="AJ65" s="12"/>
      <c r="AL65" s="11">
        <v>62</v>
      </c>
      <c r="AM65" s="12"/>
      <c r="AN65" s="12"/>
      <c r="AO65" s="12"/>
      <c r="AQ65" s="11">
        <v>62</v>
      </c>
      <c r="AR65" s="13"/>
      <c r="AS65" s="13"/>
      <c r="AT65" s="11">
        <v>62</v>
      </c>
      <c r="AU65" s="12"/>
      <c r="AW65" s="11">
        <v>62</v>
      </c>
      <c r="AX65" s="12"/>
      <c r="AY65" s="12"/>
      <c r="AZ65" s="12"/>
      <c r="BA65" s="12"/>
      <c r="BB65" s="12"/>
      <c r="BC65" s="12"/>
      <c r="BD65" s="12"/>
      <c r="BE65" s="12"/>
      <c r="BF65" s="24"/>
      <c r="BG65" s="29"/>
      <c r="BH65" s="12"/>
      <c r="BI65" s="12"/>
      <c r="BK65" s="11">
        <v>62</v>
      </c>
      <c r="BL65" s="12"/>
      <c r="BM65" s="13"/>
      <c r="BN65" s="12"/>
      <c r="BP65" s="11">
        <v>62</v>
      </c>
      <c r="BQ65" s="12"/>
      <c r="BR65" s="13"/>
      <c r="BS65" s="12"/>
      <c r="BU65" s="11">
        <v>62</v>
      </c>
      <c r="BV65" s="12"/>
      <c r="BW65" s="12"/>
      <c r="BX65" s="12"/>
      <c r="BZ65" s="11">
        <v>62</v>
      </c>
      <c r="CA65" s="12"/>
      <c r="CC65" s="11">
        <v>62</v>
      </c>
      <c r="CD65" s="12"/>
    </row>
    <row r="66" spans="1:82">
      <c r="A66" s="20" t="s">
        <v>24</v>
      </c>
      <c r="B66" s="20">
        <v>9</v>
      </c>
      <c r="C66" s="5" t="s">
        <v>16</v>
      </c>
      <c r="D66" s="55">
        <f t="shared" si="7"/>
        <v>4</v>
      </c>
      <c r="E66" s="121">
        <f t="shared" si="7"/>
        <v>4</v>
      </c>
      <c r="F66" s="7">
        <f t="shared" si="7"/>
        <v>4</v>
      </c>
      <c r="G66" s="6">
        <f t="shared" si="7"/>
        <v>4</v>
      </c>
      <c r="H66" s="121">
        <f t="shared" si="7"/>
        <v>4</v>
      </c>
      <c r="I66" s="121">
        <f t="shared" si="7"/>
        <v>4</v>
      </c>
      <c r="J66" s="121">
        <f t="shared" si="7"/>
        <v>4</v>
      </c>
      <c r="K66" s="121">
        <f t="shared" si="7"/>
        <v>4</v>
      </c>
      <c r="L66" s="121">
        <f t="shared" si="7"/>
        <v>4</v>
      </c>
      <c r="M66" s="48">
        <f t="shared" si="7"/>
        <v>4</v>
      </c>
      <c r="N66" s="121">
        <f t="shared" si="7"/>
        <v>4</v>
      </c>
      <c r="O66" s="7">
        <f t="shared" si="7"/>
        <v>4</v>
      </c>
      <c r="R66" s="11">
        <v>63</v>
      </c>
      <c r="S66" s="12"/>
      <c r="T66" s="13"/>
      <c r="U66" s="13"/>
      <c r="W66" s="11">
        <v>63</v>
      </c>
      <c r="X66" s="12"/>
      <c r="Y66" s="13"/>
      <c r="Z66" s="13"/>
      <c r="AB66" s="11">
        <v>63</v>
      </c>
      <c r="AC66" s="12"/>
      <c r="AD66" s="12"/>
      <c r="AE66" s="12"/>
      <c r="AG66" s="11">
        <v>63</v>
      </c>
      <c r="AH66" s="12"/>
      <c r="AI66" s="12"/>
      <c r="AJ66" s="12"/>
      <c r="AL66" s="11">
        <v>63</v>
      </c>
      <c r="AM66" s="12"/>
      <c r="AN66" s="12"/>
      <c r="AO66" s="12"/>
      <c r="AQ66" s="11">
        <v>63</v>
      </c>
      <c r="AR66" s="13"/>
      <c r="AS66" s="13"/>
      <c r="AT66" s="11">
        <v>63</v>
      </c>
      <c r="AU66" s="13"/>
      <c r="AW66" s="11">
        <v>63</v>
      </c>
      <c r="AX66" s="12"/>
      <c r="AY66" s="12"/>
      <c r="AZ66" s="12"/>
      <c r="BA66" s="12"/>
      <c r="BB66" s="12"/>
      <c r="BC66" s="12"/>
      <c r="BD66" s="12"/>
      <c r="BE66" s="12"/>
      <c r="BF66" s="24"/>
      <c r="BG66" s="29"/>
      <c r="BH66" s="12"/>
      <c r="BI66" s="12"/>
      <c r="BK66" s="11">
        <v>63</v>
      </c>
      <c r="BL66" s="12"/>
      <c r="BM66" s="13"/>
      <c r="BN66" s="13"/>
      <c r="BP66" s="11">
        <v>63</v>
      </c>
      <c r="BQ66" s="12"/>
      <c r="BR66" s="13"/>
      <c r="BS66" s="13"/>
      <c r="BU66" s="11">
        <v>63</v>
      </c>
      <c r="BV66" s="12"/>
      <c r="BW66" s="12"/>
      <c r="BX66" s="12"/>
      <c r="BZ66" s="11">
        <v>63</v>
      </c>
      <c r="CA66" s="12"/>
      <c r="CC66" s="11">
        <v>63</v>
      </c>
      <c r="CD66" s="12"/>
    </row>
    <row r="67" spans="1:82">
      <c r="A67" s="21" t="s">
        <v>35</v>
      </c>
      <c r="B67" s="21">
        <v>10</v>
      </c>
      <c r="C67" s="5" t="s">
        <v>37</v>
      </c>
      <c r="D67" s="55">
        <f t="shared" si="7"/>
        <v>0</v>
      </c>
      <c r="E67" s="121">
        <f t="shared" si="7"/>
        <v>0</v>
      </c>
      <c r="F67" s="7">
        <f t="shared" si="7"/>
        <v>0</v>
      </c>
      <c r="G67" s="6">
        <f t="shared" si="7"/>
        <v>0</v>
      </c>
      <c r="H67" s="121">
        <f t="shared" si="7"/>
        <v>0</v>
      </c>
      <c r="I67" s="121">
        <f t="shared" si="7"/>
        <v>0</v>
      </c>
      <c r="J67" s="121">
        <f t="shared" si="7"/>
        <v>0</v>
      </c>
      <c r="K67" s="121">
        <f t="shared" si="7"/>
        <v>0</v>
      </c>
      <c r="L67" s="121">
        <f t="shared" si="7"/>
        <v>0</v>
      </c>
      <c r="M67" s="48">
        <f t="shared" si="7"/>
        <v>0</v>
      </c>
      <c r="N67" s="121">
        <f t="shared" si="7"/>
        <v>0</v>
      </c>
      <c r="O67" s="7">
        <f t="shared" si="7"/>
        <v>0</v>
      </c>
      <c r="R67" s="11">
        <v>64</v>
      </c>
      <c r="S67" s="12"/>
      <c r="T67" s="13"/>
      <c r="U67" s="13"/>
      <c r="W67" s="11">
        <v>64</v>
      </c>
      <c r="X67" s="12"/>
      <c r="Y67" s="13"/>
      <c r="Z67" s="13"/>
      <c r="AB67" s="11">
        <v>64</v>
      </c>
      <c r="AC67" s="12"/>
      <c r="AD67" s="12"/>
      <c r="AE67" s="12"/>
      <c r="AG67" s="11">
        <v>64</v>
      </c>
      <c r="AH67" s="12"/>
      <c r="AI67" s="12"/>
      <c r="AJ67" s="12"/>
      <c r="AL67" s="11">
        <v>64</v>
      </c>
      <c r="AM67" s="12"/>
      <c r="AN67" s="12"/>
      <c r="AO67" s="12"/>
      <c r="AQ67" s="11">
        <v>64</v>
      </c>
      <c r="AR67" s="13"/>
      <c r="AS67" s="13"/>
      <c r="AT67" s="11">
        <v>64</v>
      </c>
      <c r="AU67" s="13"/>
      <c r="AW67" s="11">
        <v>64</v>
      </c>
      <c r="AX67" s="12"/>
      <c r="AY67" s="12"/>
      <c r="AZ67" s="12"/>
      <c r="BA67" s="12"/>
      <c r="BB67" s="12"/>
      <c r="BC67" s="12"/>
      <c r="BD67" s="12"/>
      <c r="BE67" s="12"/>
      <c r="BF67" s="24"/>
      <c r="BG67" s="29"/>
      <c r="BH67" s="12"/>
      <c r="BI67" s="12"/>
      <c r="BK67" s="11">
        <v>64</v>
      </c>
      <c r="BL67" s="12"/>
      <c r="BM67" s="13"/>
      <c r="BN67" s="13"/>
      <c r="BP67" s="11">
        <v>64</v>
      </c>
      <c r="BQ67" s="12"/>
      <c r="BR67" s="13"/>
      <c r="BS67" s="13"/>
      <c r="BU67" s="11">
        <v>64</v>
      </c>
      <c r="BV67" s="12"/>
      <c r="BW67" s="12"/>
      <c r="BX67" s="12"/>
      <c r="BZ67" s="11">
        <v>64</v>
      </c>
      <c r="CA67" s="12"/>
      <c r="CC67" s="11">
        <v>64</v>
      </c>
      <c r="CD67" s="12"/>
    </row>
    <row r="68" spans="1:82" ht="16.8" thickBot="1">
      <c r="A68" s="22" t="s">
        <v>39</v>
      </c>
      <c r="B68" s="22">
        <v>11</v>
      </c>
      <c r="C68" s="17" t="s">
        <v>38</v>
      </c>
      <c r="D68" s="56">
        <f t="shared" si="7"/>
        <v>4</v>
      </c>
      <c r="E68" s="50">
        <f t="shared" si="7"/>
        <v>4</v>
      </c>
      <c r="F68" s="57">
        <f t="shared" si="7"/>
        <v>4</v>
      </c>
      <c r="G68" s="49">
        <f t="shared" si="7"/>
        <v>4</v>
      </c>
      <c r="H68" s="50">
        <f t="shared" si="7"/>
        <v>4</v>
      </c>
      <c r="I68" s="50">
        <f t="shared" si="7"/>
        <v>4</v>
      </c>
      <c r="J68" s="50">
        <f t="shared" si="7"/>
        <v>4</v>
      </c>
      <c r="K68" s="50">
        <f t="shared" si="7"/>
        <v>4</v>
      </c>
      <c r="L68" s="50">
        <f t="shared" si="7"/>
        <v>4</v>
      </c>
      <c r="M68" s="51">
        <f t="shared" si="7"/>
        <v>4</v>
      </c>
      <c r="N68" s="39">
        <f t="shared" si="7"/>
        <v>4</v>
      </c>
      <c r="O68" s="40">
        <f t="shared" si="7"/>
        <v>4</v>
      </c>
      <c r="R68" s="11">
        <v>65</v>
      </c>
      <c r="S68" s="12"/>
      <c r="T68" s="13"/>
      <c r="U68" s="13"/>
      <c r="W68" s="11">
        <v>65</v>
      </c>
      <c r="X68" s="12"/>
      <c r="Y68" s="13"/>
      <c r="Z68" s="13"/>
      <c r="AB68" s="11">
        <v>65</v>
      </c>
      <c r="AC68" s="12"/>
      <c r="AD68" s="12"/>
      <c r="AE68" s="12"/>
      <c r="AG68" s="11">
        <v>65</v>
      </c>
      <c r="AH68" s="12"/>
      <c r="AI68" s="12"/>
      <c r="AJ68" s="12"/>
      <c r="AL68" s="11">
        <v>65</v>
      </c>
      <c r="AM68" s="12"/>
      <c r="AN68" s="12"/>
      <c r="AO68" s="12"/>
      <c r="AQ68" s="11">
        <v>65</v>
      </c>
      <c r="AR68" s="13"/>
      <c r="AS68" s="13"/>
      <c r="AT68" s="11">
        <v>65</v>
      </c>
      <c r="AU68" s="13"/>
      <c r="AW68" s="11">
        <v>65</v>
      </c>
      <c r="AX68" s="12"/>
      <c r="AY68" s="12"/>
      <c r="AZ68" s="12"/>
      <c r="BA68" s="12"/>
      <c r="BB68" s="12"/>
      <c r="BC68" s="12"/>
      <c r="BD68" s="12"/>
      <c r="BE68" s="12"/>
      <c r="BF68" s="24"/>
      <c r="BG68" s="29"/>
      <c r="BH68" s="12"/>
      <c r="BI68" s="12"/>
      <c r="BK68" s="11">
        <v>65</v>
      </c>
      <c r="BL68" s="12"/>
      <c r="BM68" s="13"/>
      <c r="BN68" s="13"/>
      <c r="BP68" s="11">
        <v>65</v>
      </c>
      <c r="BQ68" s="12"/>
      <c r="BR68" s="13"/>
      <c r="BS68" s="13"/>
      <c r="BU68" s="11">
        <v>65</v>
      </c>
      <c r="BV68" s="12"/>
      <c r="BW68" s="12"/>
      <c r="BX68" s="12"/>
      <c r="BZ68" s="11">
        <v>65</v>
      </c>
      <c r="CA68" s="12"/>
      <c r="CC68" s="11">
        <v>65</v>
      </c>
      <c r="CD68" s="12"/>
    </row>
    <row r="69" spans="1:82">
      <c r="D69" s="121">
        <f>SUM(D57:D68)</f>
        <v>40</v>
      </c>
      <c r="E69" s="121">
        <f t="shared" ref="E69:O69" si="8">SUM(E57:E68)</f>
        <v>40</v>
      </c>
      <c r="F69" s="121">
        <f t="shared" si="8"/>
        <v>40</v>
      </c>
      <c r="G69" s="121">
        <f t="shared" si="8"/>
        <v>40</v>
      </c>
      <c r="H69" s="121">
        <f t="shared" si="8"/>
        <v>40</v>
      </c>
      <c r="I69" s="121">
        <f t="shared" si="8"/>
        <v>40</v>
      </c>
      <c r="J69" s="121">
        <f t="shared" si="8"/>
        <v>40</v>
      </c>
      <c r="K69" s="121">
        <f t="shared" si="8"/>
        <v>40</v>
      </c>
      <c r="L69" s="121">
        <f t="shared" si="8"/>
        <v>40</v>
      </c>
      <c r="M69" s="121">
        <f t="shared" si="8"/>
        <v>40</v>
      </c>
      <c r="N69" s="121">
        <f t="shared" si="8"/>
        <v>40</v>
      </c>
      <c r="O69" s="121">
        <f t="shared" si="8"/>
        <v>40</v>
      </c>
      <c r="R69" s="11">
        <v>66</v>
      </c>
      <c r="S69" s="12"/>
      <c r="T69" s="13"/>
      <c r="U69" s="13"/>
      <c r="W69" s="11">
        <v>66</v>
      </c>
      <c r="X69" s="12"/>
      <c r="Y69" s="13"/>
      <c r="Z69" s="13"/>
      <c r="AB69" s="11">
        <v>66</v>
      </c>
      <c r="AC69" s="12"/>
      <c r="AD69" s="12"/>
      <c r="AE69" s="12"/>
      <c r="AG69" s="11">
        <v>66</v>
      </c>
      <c r="AH69" s="12"/>
      <c r="AI69" s="12"/>
      <c r="AJ69" s="12"/>
      <c r="AL69" s="11">
        <v>66</v>
      </c>
      <c r="AM69" s="12"/>
      <c r="AN69" s="12"/>
      <c r="AO69" s="12"/>
      <c r="AQ69" s="11">
        <v>66</v>
      </c>
      <c r="AR69" s="13"/>
      <c r="AS69" s="13"/>
      <c r="AT69" s="11">
        <v>66</v>
      </c>
      <c r="AU69" s="13"/>
      <c r="AW69" s="11">
        <v>66</v>
      </c>
      <c r="AX69" s="12"/>
      <c r="AY69" s="12"/>
      <c r="AZ69" s="12"/>
      <c r="BA69" s="12"/>
      <c r="BB69" s="12"/>
      <c r="BC69" s="12"/>
      <c r="BD69" s="12"/>
      <c r="BE69" s="12"/>
      <c r="BF69" s="24"/>
      <c r="BG69" s="29"/>
      <c r="BH69" s="12"/>
      <c r="BI69" s="12"/>
      <c r="BK69" s="11">
        <v>66</v>
      </c>
      <c r="BL69" s="12"/>
      <c r="BM69" s="13"/>
      <c r="BN69" s="13"/>
      <c r="BP69" s="11">
        <v>66</v>
      </c>
      <c r="BQ69" s="12"/>
      <c r="BR69" s="13"/>
      <c r="BS69" s="13"/>
      <c r="BU69" s="11">
        <v>66</v>
      </c>
      <c r="BV69" s="12"/>
      <c r="BW69" s="12"/>
      <c r="BX69" s="12"/>
      <c r="BZ69" s="11">
        <v>66</v>
      </c>
      <c r="CA69" s="12"/>
      <c r="CC69" s="11">
        <v>66</v>
      </c>
      <c r="CD69" s="12"/>
    </row>
    <row r="70" spans="1:82">
      <c r="R70" s="11">
        <v>67</v>
      </c>
      <c r="S70" s="12"/>
      <c r="T70" s="13"/>
      <c r="U70" s="13"/>
      <c r="W70" s="11">
        <v>67</v>
      </c>
      <c r="X70" s="12"/>
      <c r="Y70" s="13"/>
      <c r="Z70" s="13"/>
      <c r="AB70" s="11">
        <v>67</v>
      </c>
      <c r="AC70" s="12"/>
      <c r="AD70" s="12"/>
      <c r="AE70" s="12"/>
      <c r="AG70" s="11">
        <v>67</v>
      </c>
      <c r="AH70" s="12"/>
      <c r="AI70" s="12"/>
      <c r="AJ70" s="12"/>
      <c r="AL70" s="11">
        <v>67</v>
      </c>
      <c r="AM70" s="12"/>
      <c r="AN70" s="12"/>
      <c r="AO70" s="12"/>
      <c r="AQ70" s="11">
        <v>67</v>
      </c>
      <c r="AR70" s="13"/>
      <c r="AS70" s="13"/>
      <c r="AT70" s="11">
        <v>67</v>
      </c>
      <c r="AU70" s="13"/>
      <c r="AW70" s="11">
        <v>67</v>
      </c>
      <c r="AX70" s="12"/>
      <c r="AY70" s="12"/>
      <c r="AZ70" s="12"/>
      <c r="BA70" s="12"/>
      <c r="BB70" s="12"/>
      <c r="BC70" s="12"/>
      <c r="BD70" s="12"/>
      <c r="BE70" s="12"/>
      <c r="BF70" s="24"/>
      <c r="BG70" s="29"/>
      <c r="BH70" s="12"/>
      <c r="BI70" s="12"/>
      <c r="BK70" s="11">
        <v>67</v>
      </c>
      <c r="BL70" s="12"/>
      <c r="BM70" s="13"/>
      <c r="BN70" s="13"/>
      <c r="BP70" s="11">
        <v>67</v>
      </c>
      <c r="BQ70" s="12"/>
      <c r="BR70" s="13"/>
      <c r="BS70" s="13"/>
      <c r="BU70" s="11">
        <v>67</v>
      </c>
      <c r="BV70" s="12"/>
      <c r="BW70" s="12"/>
      <c r="BX70" s="12"/>
      <c r="BZ70" s="11">
        <v>67</v>
      </c>
      <c r="CA70" s="12"/>
      <c r="CC70" s="11">
        <v>67</v>
      </c>
      <c r="CD70" s="12"/>
    </row>
    <row r="71" spans="1:82">
      <c r="A71" s="31" t="s">
        <v>42</v>
      </c>
      <c r="R71" s="11">
        <v>68</v>
      </c>
      <c r="S71" s="12"/>
      <c r="T71" s="13"/>
      <c r="U71" s="13"/>
      <c r="W71" s="11">
        <v>68</v>
      </c>
      <c r="X71" s="12"/>
      <c r="Y71" s="13"/>
      <c r="Z71" s="13"/>
      <c r="AB71" s="11">
        <v>68</v>
      </c>
      <c r="AC71" s="12"/>
      <c r="AD71" s="12"/>
      <c r="AE71" s="12"/>
      <c r="AG71" s="11">
        <v>68</v>
      </c>
      <c r="AH71" s="12"/>
      <c r="AI71" s="12"/>
      <c r="AJ71" s="12"/>
      <c r="AL71" s="11">
        <v>68</v>
      </c>
      <c r="AM71" s="12"/>
      <c r="AN71" s="12"/>
      <c r="AO71" s="12"/>
      <c r="AQ71" s="11">
        <v>68</v>
      </c>
      <c r="AR71" s="13"/>
      <c r="AS71" s="13"/>
      <c r="AT71" s="11">
        <v>68</v>
      </c>
      <c r="AU71" s="13"/>
      <c r="AW71" s="11">
        <v>68</v>
      </c>
      <c r="AX71" s="12"/>
      <c r="AY71" s="12"/>
      <c r="AZ71" s="12"/>
      <c r="BA71" s="12"/>
      <c r="BB71" s="12"/>
      <c r="BC71" s="12"/>
      <c r="BD71" s="12"/>
      <c r="BE71" s="12"/>
      <c r="BF71" s="24"/>
      <c r="BG71" s="29"/>
      <c r="BH71" s="12"/>
      <c r="BI71" s="12"/>
      <c r="BK71" s="11">
        <v>68</v>
      </c>
      <c r="BL71" s="12"/>
      <c r="BM71" s="13"/>
      <c r="BN71" s="13"/>
      <c r="BP71" s="11">
        <v>68</v>
      </c>
      <c r="BQ71" s="12"/>
      <c r="BR71" s="13"/>
      <c r="BS71" s="13"/>
      <c r="BU71" s="11">
        <v>68</v>
      </c>
      <c r="BV71" s="12"/>
      <c r="BW71" s="12"/>
      <c r="BX71" s="12"/>
      <c r="BZ71" s="11">
        <v>68</v>
      </c>
      <c r="CA71" s="12"/>
      <c r="CC71" s="11">
        <v>68</v>
      </c>
      <c r="CD71" s="12"/>
    </row>
    <row r="72" spans="1:82">
      <c r="A72" s="30" t="s">
        <v>42</v>
      </c>
      <c r="B72" s="1" t="s">
        <v>86</v>
      </c>
      <c r="C72" s="2" t="s">
        <v>114</v>
      </c>
      <c r="D72" s="3" t="s">
        <v>80</v>
      </c>
      <c r="E72" s="122" t="s">
        <v>1</v>
      </c>
      <c r="F72" s="4" t="s">
        <v>2</v>
      </c>
      <c r="R72" s="11">
        <v>69</v>
      </c>
      <c r="S72" s="12"/>
      <c r="T72" s="13"/>
      <c r="U72" s="13"/>
      <c r="W72" s="11">
        <v>69</v>
      </c>
      <c r="X72" s="12"/>
      <c r="Y72" s="13"/>
      <c r="Z72" s="13"/>
      <c r="AB72" s="11">
        <v>69</v>
      </c>
      <c r="AC72" s="12"/>
      <c r="AD72" s="12"/>
      <c r="AE72" s="12"/>
      <c r="AG72" s="11">
        <v>69</v>
      </c>
      <c r="AH72" s="12"/>
      <c r="AI72" s="12"/>
      <c r="AJ72" s="12"/>
      <c r="AL72" s="11">
        <v>69</v>
      </c>
      <c r="AM72" s="12"/>
      <c r="AN72" s="12"/>
      <c r="AO72" s="12"/>
      <c r="AQ72" s="11">
        <v>69</v>
      </c>
      <c r="AR72" s="13"/>
      <c r="AS72" s="13"/>
      <c r="AT72" s="11">
        <v>69</v>
      </c>
      <c r="AU72" s="13"/>
      <c r="AW72" s="11">
        <v>69</v>
      </c>
      <c r="AX72" s="12"/>
      <c r="AY72" s="12"/>
      <c r="AZ72" s="12"/>
      <c r="BA72" s="12"/>
      <c r="BB72" s="12"/>
      <c r="BC72" s="12"/>
      <c r="BD72" s="12"/>
      <c r="BE72" s="12"/>
      <c r="BF72" s="24"/>
      <c r="BG72" s="29"/>
      <c r="BH72" s="12"/>
      <c r="BI72" s="12"/>
      <c r="BK72" s="11">
        <v>69</v>
      </c>
      <c r="BL72" s="12"/>
      <c r="BM72" s="13"/>
      <c r="BN72" s="13"/>
      <c r="BP72" s="11">
        <v>69</v>
      </c>
      <c r="BQ72" s="12"/>
      <c r="BR72" s="13"/>
      <c r="BS72" s="13"/>
      <c r="BU72" s="11">
        <v>69</v>
      </c>
      <c r="BV72" s="12"/>
      <c r="BW72" s="12"/>
      <c r="BX72" s="12"/>
      <c r="BZ72" s="11">
        <v>69</v>
      </c>
      <c r="CA72" s="12"/>
      <c r="CC72" s="11">
        <v>69</v>
      </c>
      <c r="CD72" s="12"/>
    </row>
    <row r="73" spans="1:82">
      <c r="A73" s="1" t="s">
        <v>19</v>
      </c>
      <c r="B73" s="1">
        <v>0</v>
      </c>
      <c r="C73" s="3" t="s">
        <v>25</v>
      </c>
      <c r="D73" s="3">
        <f>SUMIF(BL$3:BL$38,$A73,BV$3:BV$38)</f>
        <v>18</v>
      </c>
      <c r="E73" s="122">
        <f>SUMIF(BM$3:BM$52,$A73,BW$3:BW$52)</f>
        <v>25</v>
      </c>
      <c r="F73" s="4">
        <f>SUMIF(BN$3:BN$52,$A73,BX$3:BX$52)</f>
        <v>25</v>
      </c>
      <c r="R73" s="11">
        <v>70</v>
      </c>
      <c r="S73" s="12"/>
      <c r="T73" s="13"/>
      <c r="U73" s="13"/>
      <c r="W73" s="11">
        <v>70</v>
      </c>
      <c r="X73" s="12"/>
      <c r="Y73" s="13"/>
      <c r="Z73" s="13"/>
      <c r="AB73" s="11">
        <v>70</v>
      </c>
      <c r="AC73" s="12"/>
      <c r="AD73" s="12"/>
      <c r="AE73" s="12"/>
      <c r="AG73" s="11">
        <v>70</v>
      </c>
      <c r="AH73" s="12"/>
      <c r="AI73" s="12"/>
      <c r="AJ73" s="12"/>
      <c r="AL73" s="11">
        <v>70</v>
      </c>
      <c r="AM73" s="12"/>
      <c r="AN73" s="12"/>
      <c r="AO73" s="12"/>
      <c r="AQ73" s="11">
        <v>70</v>
      </c>
      <c r="AR73" s="13"/>
      <c r="AS73" s="13"/>
      <c r="AT73" s="11">
        <v>70</v>
      </c>
      <c r="AU73" s="13"/>
      <c r="AW73" s="11">
        <v>70</v>
      </c>
      <c r="AX73" s="12"/>
      <c r="AY73" s="12"/>
      <c r="AZ73" s="12"/>
      <c r="BA73" s="12"/>
      <c r="BB73" s="12"/>
      <c r="BC73" s="12"/>
      <c r="BD73" s="12"/>
      <c r="BE73" s="12"/>
      <c r="BF73" s="24"/>
      <c r="BG73" s="29"/>
      <c r="BH73" s="12"/>
      <c r="BI73" s="12"/>
      <c r="BK73" s="11">
        <v>70</v>
      </c>
      <c r="BL73" s="12"/>
      <c r="BM73" s="13"/>
      <c r="BN73" s="13"/>
      <c r="BP73" s="11">
        <v>70</v>
      </c>
      <c r="BQ73" s="12"/>
      <c r="BR73" s="13"/>
      <c r="BS73" s="13"/>
      <c r="BU73" s="11">
        <v>70</v>
      </c>
      <c r="BV73" s="12"/>
      <c r="BW73" s="12"/>
      <c r="BX73" s="12"/>
      <c r="BZ73" s="11">
        <v>70</v>
      </c>
      <c r="CA73" s="12"/>
      <c r="CC73" s="11">
        <v>70</v>
      </c>
      <c r="CD73" s="12"/>
    </row>
    <row r="74" spans="1:82">
      <c r="A74" s="20">
        <v>0</v>
      </c>
      <c r="B74" s="20">
        <v>1</v>
      </c>
      <c r="C74" s="5">
        <v>0</v>
      </c>
      <c r="D74" s="37">
        <f t="shared" ref="D74:D84" si="9">SUMIF(BL$3:BL$38,$A74,BV$3:BV$38)</f>
        <v>0</v>
      </c>
      <c r="E74" s="121">
        <f t="shared" ref="E74:E84" si="10">SUMIF(BM$3:BM$52,$A74,BW$3:BW$52)</f>
        <v>5</v>
      </c>
      <c r="F74" s="7">
        <f t="shared" ref="F74:F84" si="11">SUMIF(BN$3:BN$52,$A74,BX$3:BX$52)</f>
        <v>5</v>
      </c>
      <c r="R74" s="11">
        <v>71</v>
      </c>
      <c r="S74" s="12"/>
      <c r="T74" s="13"/>
      <c r="U74" s="13"/>
      <c r="W74" s="11">
        <v>71</v>
      </c>
      <c r="X74" s="12"/>
      <c r="Y74" s="13"/>
      <c r="Z74" s="13"/>
      <c r="AB74" s="11">
        <v>71</v>
      </c>
      <c r="AC74" s="12"/>
      <c r="AD74" s="12"/>
      <c r="AE74" s="12"/>
      <c r="AG74" s="11">
        <v>71</v>
      </c>
      <c r="AH74" s="12"/>
      <c r="AI74" s="12"/>
      <c r="AJ74" s="12"/>
      <c r="AL74" s="11">
        <v>71</v>
      </c>
      <c r="AM74" s="12"/>
      <c r="AN74" s="12"/>
      <c r="AO74" s="12"/>
      <c r="AQ74" s="11">
        <v>71</v>
      </c>
      <c r="AR74" s="13"/>
      <c r="AS74" s="13"/>
      <c r="AT74" s="11">
        <v>71</v>
      </c>
      <c r="AU74" s="13"/>
      <c r="AW74" s="11">
        <v>71</v>
      </c>
      <c r="AX74" s="12"/>
      <c r="AY74" s="12"/>
      <c r="AZ74" s="12"/>
      <c r="BA74" s="12"/>
      <c r="BB74" s="12"/>
      <c r="BC74" s="12"/>
      <c r="BD74" s="12"/>
      <c r="BE74" s="12"/>
      <c r="BF74" s="24"/>
      <c r="BG74" s="29"/>
      <c r="BH74" s="12"/>
      <c r="BI74" s="12"/>
      <c r="BK74" s="11">
        <v>71</v>
      </c>
      <c r="BL74" s="12"/>
      <c r="BM74" s="13"/>
      <c r="BN74" s="13"/>
      <c r="BP74" s="11">
        <v>71</v>
      </c>
      <c r="BQ74" s="12"/>
      <c r="BR74" s="13"/>
      <c r="BS74" s="13"/>
      <c r="BU74" s="11">
        <v>71</v>
      </c>
      <c r="BV74" s="12"/>
      <c r="BW74" s="12"/>
      <c r="BX74" s="12"/>
      <c r="BZ74" s="11">
        <v>71</v>
      </c>
      <c r="CA74" s="12"/>
      <c r="CC74" s="11">
        <v>71</v>
      </c>
      <c r="CD74" s="12"/>
    </row>
    <row r="75" spans="1:82">
      <c r="A75" s="20">
        <v>1</v>
      </c>
      <c r="B75" s="20">
        <v>2</v>
      </c>
      <c r="C75" s="5">
        <v>1</v>
      </c>
      <c r="D75" s="6">
        <f t="shared" si="9"/>
        <v>6</v>
      </c>
      <c r="E75" s="121">
        <f t="shared" si="10"/>
        <v>5</v>
      </c>
      <c r="F75" s="7">
        <f t="shared" si="11"/>
        <v>5</v>
      </c>
      <c r="R75" s="11">
        <v>72</v>
      </c>
      <c r="S75" s="12"/>
      <c r="T75" s="13"/>
      <c r="U75" s="13"/>
      <c r="W75" s="11">
        <v>72</v>
      </c>
      <c r="X75" s="12"/>
      <c r="Y75" s="13"/>
      <c r="Z75" s="13"/>
      <c r="AB75" s="11">
        <v>72</v>
      </c>
      <c r="AC75" s="12"/>
      <c r="AD75" s="12"/>
      <c r="AE75" s="12"/>
      <c r="AG75" s="11">
        <v>72</v>
      </c>
      <c r="AH75" s="12"/>
      <c r="AI75" s="12"/>
      <c r="AJ75" s="12"/>
      <c r="AL75" s="11">
        <v>72</v>
      </c>
      <c r="AM75" s="12"/>
      <c r="AN75" s="12"/>
      <c r="AO75" s="12"/>
      <c r="AQ75" s="11">
        <v>72</v>
      </c>
      <c r="AR75" s="13"/>
      <c r="AS75" s="13"/>
      <c r="AT75" s="11">
        <v>72</v>
      </c>
      <c r="AU75" s="13"/>
      <c r="AW75" s="11">
        <v>72</v>
      </c>
      <c r="AX75" s="12"/>
      <c r="AY75" s="12"/>
      <c r="AZ75" s="12"/>
      <c r="BA75" s="12"/>
      <c r="BB75" s="12"/>
      <c r="BC75" s="12"/>
      <c r="BD75" s="12"/>
      <c r="BE75" s="12"/>
      <c r="BF75" s="24"/>
      <c r="BG75" s="29"/>
      <c r="BH75" s="12"/>
      <c r="BI75" s="12"/>
      <c r="BK75" s="11">
        <v>72</v>
      </c>
      <c r="BL75" s="12"/>
      <c r="BM75" s="13"/>
      <c r="BN75" s="13"/>
      <c r="BP75" s="11">
        <v>72</v>
      </c>
      <c r="BQ75" s="12"/>
      <c r="BR75" s="13"/>
      <c r="BS75" s="13"/>
      <c r="BU75" s="11">
        <v>72</v>
      </c>
      <c r="BV75" s="12"/>
      <c r="BW75" s="12"/>
      <c r="BX75" s="12"/>
      <c r="BZ75" s="11">
        <v>72</v>
      </c>
      <c r="CA75" s="12"/>
      <c r="CC75" s="11">
        <v>72</v>
      </c>
      <c r="CD75" s="12"/>
    </row>
    <row r="76" spans="1:82">
      <c r="A76" s="21">
        <v>5</v>
      </c>
      <c r="B76" s="21">
        <v>3</v>
      </c>
      <c r="C76" s="23">
        <v>5</v>
      </c>
      <c r="D76" s="6">
        <f t="shared" si="9"/>
        <v>6</v>
      </c>
      <c r="E76" s="121">
        <f t="shared" si="10"/>
        <v>5</v>
      </c>
      <c r="F76" s="7">
        <f t="shared" si="11"/>
        <v>5</v>
      </c>
      <c r="R76" s="11">
        <v>73</v>
      </c>
      <c r="S76" s="12"/>
      <c r="T76" s="13"/>
      <c r="U76" s="13"/>
      <c r="W76" s="11">
        <v>73</v>
      </c>
      <c r="X76" s="12"/>
      <c r="Y76" s="13"/>
      <c r="Z76" s="13"/>
      <c r="AB76" s="11">
        <v>73</v>
      </c>
      <c r="AC76" s="12"/>
      <c r="AD76" s="12"/>
      <c r="AE76" s="12"/>
      <c r="AG76" s="11">
        <v>73</v>
      </c>
      <c r="AH76" s="12"/>
      <c r="AI76" s="12"/>
      <c r="AJ76" s="12"/>
      <c r="AL76" s="11">
        <v>73</v>
      </c>
      <c r="AM76" s="12"/>
      <c r="AN76" s="12"/>
      <c r="AO76" s="12"/>
      <c r="AQ76" s="11">
        <v>73</v>
      </c>
      <c r="AR76" s="13"/>
      <c r="AS76" s="13"/>
      <c r="AT76" s="11">
        <v>73</v>
      </c>
      <c r="AU76" s="13"/>
      <c r="AW76" s="11">
        <v>73</v>
      </c>
      <c r="AX76" s="12"/>
      <c r="AY76" s="12"/>
      <c r="AZ76" s="12"/>
      <c r="BA76" s="12"/>
      <c r="BB76" s="12"/>
      <c r="BC76" s="12"/>
      <c r="BD76" s="12"/>
      <c r="BE76" s="12"/>
      <c r="BF76" s="24"/>
      <c r="BG76" s="29"/>
      <c r="BH76" s="12"/>
      <c r="BI76" s="12"/>
      <c r="BK76" s="11">
        <v>73</v>
      </c>
      <c r="BL76" s="12"/>
      <c r="BM76" s="13"/>
      <c r="BN76" s="13"/>
      <c r="BP76" s="11">
        <v>73</v>
      </c>
      <c r="BQ76" s="12"/>
      <c r="BR76" s="13"/>
      <c r="BS76" s="13"/>
      <c r="BU76" s="11">
        <v>73</v>
      </c>
      <c r="BV76" s="12"/>
      <c r="BW76" s="12"/>
      <c r="BX76" s="12"/>
      <c r="BZ76" s="11">
        <v>73</v>
      </c>
      <c r="CA76" s="12"/>
      <c r="CC76" s="11">
        <v>73</v>
      </c>
      <c r="CD76" s="12"/>
    </row>
    <row r="77" spans="1:82">
      <c r="A77" s="21">
        <v>10</v>
      </c>
      <c r="B77" s="21">
        <v>4</v>
      </c>
      <c r="C77" s="23">
        <v>10</v>
      </c>
      <c r="D77" s="6">
        <f t="shared" si="9"/>
        <v>6</v>
      </c>
      <c r="E77" s="101">
        <f t="shared" si="10"/>
        <v>5</v>
      </c>
      <c r="F77" s="38">
        <f t="shared" si="11"/>
        <v>5</v>
      </c>
      <c r="R77" s="11">
        <v>74</v>
      </c>
      <c r="S77" s="12"/>
      <c r="T77" s="13"/>
      <c r="U77" s="13"/>
      <c r="W77" s="11">
        <v>74</v>
      </c>
      <c r="X77" s="12"/>
      <c r="Y77" s="13"/>
      <c r="Z77" s="13"/>
      <c r="AB77" s="11">
        <v>74</v>
      </c>
      <c r="AC77" s="12"/>
      <c r="AD77" s="12"/>
      <c r="AE77" s="12"/>
      <c r="AG77" s="11">
        <v>74</v>
      </c>
      <c r="AH77" s="12"/>
      <c r="AI77" s="12"/>
      <c r="AJ77" s="12"/>
      <c r="AL77" s="11">
        <v>74</v>
      </c>
      <c r="AM77" s="12"/>
      <c r="AN77" s="12"/>
      <c r="AO77" s="12"/>
      <c r="AQ77" s="11">
        <v>74</v>
      </c>
      <c r="AR77" s="13"/>
      <c r="AS77" s="13"/>
      <c r="AT77" s="11">
        <v>74</v>
      </c>
      <c r="AU77" s="13"/>
      <c r="AW77" s="11">
        <v>74</v>
      </c>
      <c r="AX77" s="12"/>
      <c r="AY77" s="12"/>
      <c r="AZ77" s="12"/>
      <c r="BA77" s="12"/>
      <c r="BB77" s="12"/>
      <c r="BC77" s="12"/>
      <c r="BD77" s="12"/>
      <c r="BE77" s="12"/>
      <c r="BF77" s="24"/>
      <c r="BG77" s="29"/>
      <c r="BH77" s="12"/>
      <c r="BI77" s="12"/>
      <c r="BK77" s="11">
        <v>74</v>
      </c>
      <c r="BL77" s="12"/>
      <c r="BM77" s="13"/>
      <c r="BN77" s="13"/>
      <c r="BP77" s="11">
        <v>74</v>
      </c>
      <c r="BQ77" s="12"/>
      <c r="BR77" s="13"/>
      <c r="BS77" s="13"/>
      <c r="BU77" s="11">
        <v>74</v>
      </c>
      <c r="BV77" s="12"/>
      <c r="BW77" s="12"/>
      <c r="BX77" s="12"/>
      <c r="BZ77" s="11">
        <v>74</v>
      </c>
      <c r="CA77" s="12"/>
      <c r="CC77" s="11">
        <v>74</v>
      </c>
      <c r="CD77" s="12"/>
    </row>
    <row r="78" spans="1:82">
      <c r="A78" s="20" t="s">
        <v>20</v>
      </c>
      <c r="B78" s="20">
        <v>5</v>
      </c>
      <c r="C78" s="23" t="s">
        <v>29</v>
      </c>
      <c r="D78" s="37">
        <f t="shared" si="9"/>
        <v>0</v>
      </c>
      <c r="E78" s="101">
        <f t="shared" si="10"/>
        <v>5</v>
      </c>
      <c r="F78" s="38">
        <f t="shared" si="11"/>
        <v>5</v>
      </c>
      <c r="R78" s="11">
        <v>75</v>
      </c>
      <c r="S78" s="12"/>
      <c r="T78" s="13"/>
      <c r="U78" s="13"/>
      <c r="W78" s="11">
        <v>75</v>
      </c>
      <c r="X78" s="12"/>
      <c r="Y78" s="13"/>
      <c r="Z78" s="13"/>
      <c r="AB78" s="11">
        <v>75</v>
      </c>
      <c r="AC78" s="12"/>
      <c r="AD78" s="12"/>
      <c r="AE78" s="12"/>
      <c r="AG78" s="11">
        <v>75</v>
      </c>
      <c r="AH78" s="12"/>
      <c r="AI78" s="12"/>
      <c r="AJ78" s="12"/>
      <c r="AL78" s="11">
        <v>75</v>
      </c>
      <c r="AM78" s="12"/>
      <c r="AN78" s="12"/>
      <c r="AO78" s="12"/>
      <c r="AQ78" s="11">
        <v>75</v>
      </c>
      <c r="AR78" s="13"/>
      <c r="AS78" s="13"/>
      <c r="AT78" s="11">
        <v>75</v>
      </c>
      <c r="AU78" s="13"/>
      <c r="AW78" s="11">
        <v>75</v>
      </c>
      <c r="AX78" s="12"/>
      <c r="AY78" s="12"/>
      <c r="AZ78" s="12"/>
      <c r="BA78" s="12"/>
      <c r="BB78" s="12"/>
      <c r="BC78" s="12"/>
      <c r="BD78" s="12"/>
      <c r="BE78" s="12"/>
      <c r="BF78" s="24"/>
      <c r="BG78" s="29"/>
      <c r="BH78" s="12"/>
      <c r="BI78" s="12"/>
      <c r="BK78" s="11">
        <v>75</v>
      </c>
      <c r="BL78" s="12"/>
      <c r="BM78" s="13"/>
      <c r="BN78" s="13"/>
      <c r="BP78" s="11">
        <v>75</v>
      </c>
      <c r="BQ78" s="12"/>
      <c r="BR78" s="13"/>
      <c r="BS78" s="13"/>
      <c r="BU78" s="11">
        <v>75</v>
      </c>
      <c r="BV78" s="12"/>
      <c r="BW78" s="12"/>
      <c r="BX78" s="12"/>
      <c r="BZ78" s="11">
        <v>75</v>
      </c>
      <c r="CA78" s="12"/>
      <c r="CC78" s="11">
        <v>75</v>
      </c>
      <c r="CD78" s="12"/>
    </row>
    <row r="79" spans="1:82">
      <c r="A79" s="21" t="s">
        <v>21</v>
      </c>
      <c r="B79" s="21">
        <v>6</v>
      </c>
      <c r="C79" s="23" t="s">
        <v>26</v>
      </c>
      <c r="D79" s="37">
        <f t="shared" si="9"/>
        <v>0</v>
      </c>
      <c r="E79" s="59">
        <f t="shared" si="10"/>
        <v>0</v>
      </c>
      <c r="F79" s="38">
        <f t="shared" si="11"/>
        <v>0</v>
      </c>
      <c r="R79" s="11">
        <v>76</v>
      </c>
      <c r="S79" s="12"/>
      <c r="T79" s="13"/>
      <c r="U79" s="13"/>
      <c r="W79" s="11">
        <v>76</v>
      </c>
      <c r="X79" s="12"/>
      <c r="Y79" s="13"/>
      <c r="Z79" s="13"/>
      <c r="AB79" s="11">
        <v>76</v>
      </c>
      <c r="AC79" s="12"/>
      <c r="AD79" s="12"/>
      <c r="AE79" s="12"/>
      <c r="AG79" s="11">
        <v>76</v>
      </c>
      <c r="AH79" s="12"/>
      <c r="AI79" s="12"/>
      <c r="AJ79" s="12"/>
      <c r="AL79" s="11">
        <v>76</v>
      </c>
      <c r="AM79" s="12"/>
      <c r="AN79" s="12"/>
      <c r="AO79" s="12"/>
      <c r="AQ79" s="11">
        <v>76</v>
      </c>
      <c r="AR79" s="13"/>
      <c r="AS79" s="13"/>
      <c r="AT79" s="11">
        <v>76</v>
      </c>
      <c r="AU79" s="13"/>
      <c r="AW79" s="11">
        <v>76</v>
      </c>
      <c r="AX79" s="12"/>
      <c r="AY79" s="12"/>
      <c r="AZ79" s="12"/>
      <c r="BA79" s="12"/>
      <c r="BB79" s="12"/>
      <c r="BC79" s="12"/>
      <c r="BD79" s="12"/>
      <c r="BE79" s="12"/>
      <c r="BF79" s="24"/>
      <c r="BG79" s="29"/>
      <c r="BH79" s="12"/>
      <c r="BI79" s="12"/>
      <c r="BK79" s="11">
        <v>76</v>
      </c>
      <c r="BL79" s="12"/>
      <c r="BM79" s="13"/>
      <c r="BN79" s="13"/>
      <c r="BP79" s="11">
        <v>76</v>
      </c>
      <c r="BQ79" s="12"/>
      <c r="BR79" s="13"/>
      <c r="BS79" s="13"/>
      <c r="BU79" s="11">
        <v>76</v>
      </c>
      <c r="BV79" s="12"/>
      <c r="BW79" s="12"/>
      <c r="BX79" s="12"/>
      <c r="BZ79" s="11">
        <v>76</v>
      </c>
      <c r="CA79" s="12"/>
      <c r="CC79" s="11">
        <v>76</v>
      </c>
      <c r="CD79" s="12"/>
    </row>
    <row r="80" spans="1:82">
      <c r="A80" s="20" t="s">
        <v>22</v>
      </c>
      <c r="B80" s="20">
        <v>7</v>
      </c>
      <c r="C80" s="5" t="s">
        <v>27</v>
      </c>
      <c r="D80" s="37">
        <f t="shared" si="9"/>
        <v>0</v>
      </c>
      <c r="E80" s="59">
        <f t="shared" si="10"/>
        <v>0</v>
      </c>
      <c r="F80" s="38">
        <f t="shared" si="11"/>
        <v>0</v>
      </c>
      <c r="R80" s="11">
        <v>77</v>
      </c>
      <c r="S80" s="12"/>
      <c r="T80" s="13"/>
      <c r="U80" s="13"/>
      <c r="W80" s="11">
        <v>77</v>
      </c>
      <c r="X80" s="12"/>
      <c r="Y80" s="13"/>
      <c r="Z80" s="13"/>
      <c r="AB80" s="11">
        <v>77</v>
      </c>
      <c r="AC80" s="12"/>
      <c r="AD80" s="12"/>
      <c r="AE80" s="12"/>
      <c r="AG80" s="11">
        <v>77</v>
      </c>
      <c r="AH80" s="12"/>
      <c r="AI80" s="12"/>
      <c r="AJ80" s="12"/>
      <c r="AL80" s="11">
        <v>77</v>
      </c>
      <c r="AM80" s="12"/>
      <c r="AN80" s="12"/>
      <c r="AO80" s="12"/>
      <c r="AQ80" s="11">
        <v>77</v>
      </c>
      <c r="AR80" s="13"/>
      <c r="AS80" s="13"/>
      <c r="AT80" s="11">
        <v>77</v>
      </c>
      <c r="AU80" s="13"/>
      <c r="AW80" s="11">
        <v>77</v>
      </c>
      <c r="AX80" s="12"/>
      <c r="AY80" s="12"/>
      <c r="AZ80" s="12"/>
      <c r="BA80" s="12"/>
      <c r="BB80" s="12"/>
      <c r="BC80" s="12"/>
      <c r="BD80" s="12"/>
      <c r="BE80" s="12"/>
      <c r="BF80" s="24"/>
      <c r="BG80" s="29"/>
      <c r="BH80" s="12"/>
      <c r="BI80" s="12"/>
      <c r="BK80" s="11">
        <v>77</v>
      </c>
      <c r="BL80" s="12"/>
      <c r="BM80" s="13"/>
      <c r="BN80" s="13"/>
      <c r="BP80" s="11">
        <v>77</v>
      </c>
      <c r="BQ80" s="12"/>
      <c r="BR80" s="13"/>
      <c r="BS80" s="13"/>
      <c r="BU80" s="11">
        <v>77</v>
      </c>
      <c r="BV80" s="12"/>
      <c r="BW80" s="12"/>
      <c r="BX80" s="12"/>
      <c r="BZ80" s="11">
        <v>77</v>
      </c>
      <c r="CA80" s="12"/>
      <c r="CC80" s="11">
        <v>77</v>
      </c>
      <c r="CD80" s="12"/>
    </row>
    <row r="81" spans="1:82">
      <c r="A81" s="20" t="s">
        <v>23</v>
      </c>
      <c r="B81" s="20">
        <v>8</v>
      </c>
      <c r="C81" s="5" t="s">
        <v>28</v>
      </c>
      <c r="D81" s="37">
        <f t="shared" si="9"/>
        <v>0</v>
      </c>
      <c r="E81" s="59">
        <f t="shared" si="10"/>
        <v>0</v>
      </c>
      <c r="F81" s="38">
        <f t="shared" si="11"/>
        <v>0</v>
      </c>
      <c r="R81" s="11">
        <v>78</v>
      </c>
      <c r="S81" s="12"/>
      <c r="T81" s="13"/>
      <c r="U81" s="13"/>
      <c r="W81" s="11">
        <v>78</v>
      </c>
      <c r="X81" s="12"/>
      <c r="Y81" s="13"/>
      <c r="Z81" s="13"/>
      <c r="AB81" s="11">
        <v>78</v>
      </c>
      <c r="AC81" s="12"/>
      <c r="AD81" s="12"/>
      <c r="AE81" s="12"/>
      <c r="AG81" s="11">
        <v>78</v>
      </c>
      <c r="AH81" s="12"/>
      <c r="AI81" s="12"/>
      <c r="AJ81" s="12"/>
      <c r="AL81" s="11">
        <v>78</v>
      </c>
      <c r="AM81" s="12"/>
      <c r="AN81" s="12"/>
      <c r="AO81" s="12"/>
      <c r="AQ81" s="11">
        <v>78</v>
      </c>
      <c r="AR81" s="13"/>
      <c r="AS81" s="13"/>
      <c r="AT81" s="11">
        <v>78</v>
      </c>
      <c r="AU81" s="13"/>
      <c r="AW81" s="11">
        <v>78</v>
      </c>
      <c r="AX81" s="12"/>
      <c r="AY81" s="12"/>
      <c r="AZ81" s="12"/>
      <c r="BA81" s="12"/>
      <c r="BB81" s="12"/>
      <c r="BC81" s="12"/>
      <c r="BD81" s="12"/>
      <c r="BE81" s="12"/>
      <c r="BF81" s="24"/>
      <c r="BG81" s="29"/>
      <c r="BH81" s="12"/>
      <c r="BI81" s="12"/>
      <c r="BK81" s="11">
        <v>78</v>
      </c>
      <c r="BL81" s="12"/>
      <c r="BM81" s="13"/>
      <c r="BN81" s="13"/>
      <c r="BP81" s="11">
        <v>78</v>
      </c>
      <c r="BQ81" s="12"/>
      <c r="BR81" s="13"/>
      <c r="BS81" s="13"/>
      <c r="BU81" s="11">
        <v>78</v>
      </c>
      <c r="BV81" s="12"/>
      <c r="BW81" s="12"/>
      <c r="BX81" s="12"/>
      <c r="BZ81" s="11">
        <v>78</v>
      </c>
      <c r="CA81" s="12"/>
      <c r="CC81" s="11">
        <v>78</v>
      </c>
      <c r="CD81" s="12"/>
    </row>
    <row r="82" spans="1:82">
      <c r="A82" s="20" t="s">
        <v>24</v>
      </c>
      <c r="B82" s="20">
        <v>9</v>
      </c>
      <c r="C82" s="5" t="s">
        <v>16</v>
      </c>
      <c r="D82" s="37">
        <f t="shared" si="9"/>
        <v>0</v>
      </c>
      <c r="E82" s="59">
        <f t="shared" si="10"/>
        <v>0</v>
      </c>
      <c r="F82" s="38">
        <f t="shared" si="11"/>
        <v>0</v>
      </c>
      <c r="R82" s="11">
        <v>79</v>
      </c>
      <c r="S82" s="12"/>
      <c r="T82" s="13"/>
      <c r="U82" s="13"/>
      <c r="W82" s="11">
        <v>79</v>
      </c>
      <c r="X82" s="12"/>
      <c r="Y82" s="13"/>
      <c r="Z82" s="13"/>
      <c r="AB82" s="11">
        <v>79</v>
      </c>
      <c r="AC82" s="12"/>
      <c r="AD82" s="12"/>
      <c r="AE82" s="12"/>
      <c r="AG82" s="11">
        <v>79</v>
      </c>
      <c r="AH82" s="12"/>
      <c r="AI82" s="12"/>
      <c r="AJ82" s="12"/>
      <c r="AL82" s="11">
        <v>79</v>
      </c>
      <c r="AM82" s="12"/>
      <c r="AN82" s="12"/>
      <c r="AO82" s="12"/>
      <c r="AQ82" s="11">
        <v>79</v>
      </c>
      <c r="AR82" s="13"/>
      <c r="AS82" s="13"/>
      <c r="AT82" s="11">
        <v>79</v>
      </c>
      <c r="AU82" s="13"/>
      <c r="AW82" s="11">
        <v>79</v>
      </c>
      <c r="AX82" s="12"/>
      <c r="AY82" s="12"/>
      <c r="AZ82" s="12"/>
      <c r="BA82" s="12"/>
      <c r="BB82" s="12"/>
      <c r="BC82" s="12"/>
      <c r="BD82" s="12"/>
      <c r="BE82" s="12"/>
      <c r="BF82" s="24"/>
      <c r="BG82" s="29"/>
      <c r="BH82" s="12"/>
      <c r="BI82" s="12"/>
      <c r="BK82" s="11">
        <v>79</v>
      </c>
      <c r="BL82" s="12"/>
      <c r="BM82" s="13"/>
      <c r="BN82" s="13"/>
      <c r="BP82" s="11">
        <v>79</v>
      </c>
      <c r="BQ82" s="12"/>
      <c r="BR82" s="13"/>
      <c r="BS82" s="13"/>
      <c r="BU82" s="11">
        <v>79</v>
      </c>
      <c r="BV82" s="12"/>
      <c r="BW82" s="12"/>
      <c r="BX82" s="12"/>
      <c r="BZ82" s="11">
        <v>79</v>
      </c>
      <c r="CA82" s="12"/>
      <c r="CC82" s="11">
        <v>79</v>
      </c>
      <c r="CD82" s="12"/>
    </row>
    <row r="83" spans="1:82">
      <c r="A83" s="21" t="s">
        <v>35</v>
      </c>
      <c r="B83" s="21">
        <v>10</v>
      </c>
      <c r="C83" s="5" t="s">
        <v>37</v>
      </c>
      <c r="D83" s="37">
        <f t="shared" si="9"/>
        <v>0</v>
      </c>
      <c r="E83" s="59">
        <f t="shared" si="10"/>
        <v>0</v>
      </c>
      <c r="F83" s="38">
        <f t="shared" si="11"/>
        <v>0</v>
      </c>
      <c r="R83" s="11">
        <v>80</v>
      </c>
      <c r="S83" s="12"/>
      <c r="T83" s="13"/>
      <c r="U83" s="13"/>
      <c r="W83" s="11">
        <v>80</v>
      </c>
      <c r="X83" s="12"/>
      <c r="Y83" s="13"/>
      <c r="Z83" s="13"/>
      <c r="AB83" s="11">
        <v>80</v>
      </c>
      <c r="AC83" s="12"/>
      <c r="AD83" s="12"/>
      <c r="AE83" s="12"/>
      <c r="AG83" s="11">
        <v>80</v>
      </c>
      <c r="AH83" s="12"/>
      <c r="AI83" s="12"/>
      <c r="AJ83" s="12"/>
      <c r="AL83" s="11">
        <v>80</v>
      </c>
      <c r="AM83" s="12"/>
      <c r="AN83" s="12"/>
      <c r="AO83" s="12"/>
      <c r="AQ83" s="11">
        <v>80</v>
      </c>
      <c r="AR83" s="13"/>
      <c r="AS83" s="13"/>
      <c r="AT83" s="11">
        <v>80</v>
      </c>
      <c r="AU83" s="13"/>
      <c r="AW83" s="11">
        <v>80</v>
      </c>
      <c r="AX83" s="12"/>
      <c r="AY83" s="12"/>
      <c r="AZ83" s="12"/>
      <c r="BA83" s="12"/>
      <c r="BB83" s="12"/>
      <c r="BC83" s="12"/>
      <c r="BD83" s="12"/>
      <c r="BE83" s="12"/>
      <c r="BF83" s="24"/>
      <c r="BG83" s="29"/>
      <c r="BH83" s="12"/>
      <c r="BI83" s="12"/>
      <c r="BK83" s="11">
        <v>80</v>
      </c>
      <c r="BL83" s="12"/>
      <c r="BM83" s="13"/>
      <c r="BN83" s="13"/>
      <c r="BP83" s="11">
        <v>80</v>
      </c>
      <c r="BQ83" s="12"/>
      <c r="BR83" s="13"/>
      <c r="BS83" s="13"/>
      <c r="BU83" s="11">
        <v>80</v>
      </c>
      <c r="BV83" s="12"/>
      <c r="BW83" s="12"/>
      <c r="BX83" s="12"/>
      <c r="BZ83" s="11">
        <v>80</v>
      </c>
      <c r="CA83" s="12"/>
      <c r="CC83" s="11">
        <v>80</v>
      </c>
      <c r="CD83" s="12"/>
    </row>
    <row r="84" spans="1:82">
      <c r="A84" s="22" t="s">
        <v>39</v>
      </c>
      <c r="B84" s="22">
        <v>11</v>
      </c>
      <c r="C84" s="17" t="s">
        <v>38</v>
      </c>
      <c r="D84" s="60">
        <f t="shared" si="9"/>
        <v>0</v>
      </c>
      <c r="E84" s="39">
        <f t="shared" si="10"/>
        <v>0</v>
      </c>
      <c r="F84" s="40">
        <f t="shared" si="11"/>
        <v>0</v>
      </c>
      <c r="R84" s="11">
        <v>81</v>
      </c>
      <c r="S84" s="12"/>
      <c r="T84" s="13"/>
      <c r="U84" s="13"/>
      <c r="W84" s="11">
        <v>81</v>
      </c>
      <c r="X84" s="12"/>
      <c r="Y84" s="13"/>
      <c r="Z84" s="13"/>
      <c r="AB84" s="11">
        <v>81</v>
      </c>
      <c r="AC84" s="12"/>
      <c r="AD84" s="12"/>
      <c r="AE84" s="12"/>
      <c r="AG84" s="11">
        <v>81</v>
      </c>
      <c r="AH84" s="12"/>
      <c r="AI84" s="12"/>
      <c r="AJ84" s="12"/>
      <c r="AL84" s="11">
        <v>81</v>
      </c>
      <c r="AM84" s="12"/>
      <c r="AN84" s="12"/>
      <c r="AO84" s="12"/>
      <c r="AQ84" s="11">
        <v>81</v>
      </c>
      <c r="AR84" s="13"/>
      <c r="AS84" s="13"/>
      <c r="AT84" s="11">
        <v>81</v>
      </c>
      <c r="AU84" s="13"/>
      <c r="AW84" s="11">
        <v>81</v>
      </c>
      <c r="AX84" s="12"/>
      <c r="AY84" s="12"/>
      <c r="AZ84" s="12"/>
      <c r="BA84" s="12"/>
      <c r="BB84" s="12"/>
      <c r="BC84" s="12"/>
      <c r="BD84" s="12"/>
      <c r="BE84" s="12"/>
      <c r="BF84" s="24"/>
      <c r="BG84" s="29"/>
      <c r="BH84" s="12"/>
      <c r="BI84" s="12"/>
      <c r="BK84" s="11">
        <v>81</v>
      </c>
      <c r="BL84" s="12"/>
      <c r="BM84" s="13"/>
      <c r="BN84" s="13"/>
      <c r="BP84" s="11">
        <v>81</v>
      </c>
      <c r="BQ84" s="12"/>
      <c r="BR84" s="13"/>
      <c r="BS84" s="13"/>
      <c r="BU84" s="11">
        <v>81</v>
      </c>
      <c r="BV84" s="12"/>
      <c r="BW84" s="12"/>
      <c r="BX84" s="12"/>
      <c r="BZ84" s="11">
        <v>81</v>
      </c>
      <c r="CA84" s="12"/>
      <c r="CC84" s="11">
        <v>81</v>
      </c>
      <c r="CD84" s="12"/>
    </row>
    <row r="85" spans="1:82">
      <c r="R85" s="11">
        <v>82</v>
      </c>
      <c r="S85" s="12"/>
      <c r="T85" s="13"/>
      <c r="U85" s="13"/>
      <c r="W85" s="11">
        <v>82</v>
      </c>
      <c r="X85" s="12"/>
      <c r="Y85" s="13"/>
      <c r="Z85" s="13"/>
      <c r="AB85" s="11">
        <v>82</v>
      </c>
      <c r="AC85" s="12"/>
      <c r="AD85" s="12"/>
      <c r="AE85" s="12"/>
      <c r="AG85" s="11">
        <v>82</v>
      </c>
      <c r="AH85" s="12"/>
      <c r="AI85" s="12"/>
      <c r="AJ85" s="12"/>
      <c r="AL85" s="11">
        <v>82</v>
      </c>
      <c r="AM85" s="12"/>
      <c r="AN85" s="12"/>
      <c r="AO85" s="12"/>
      <c r="AQ85" s="11">
        <v>82</v>
      </c>
      <c r="AR85" s="13"/>
      <c r="AS85" s="13"/>
      <c r="AT85" s="11">
        <v>82</v>
      </c>
      <c r="AU85" s="13"/>
      <c r="AW85" s="11">
        <v>82</v>
      </c>
      <c r="AX85" s="12"/>
      <c r="AY85" s="12"/>
      <c r="AZ85" s="12"/>
      <c r="BA85" s="12"/>
      <c r="BB85" s="12"/>
      <c r="BC85" s="12"/>
      <c r="BD85" s="12"/>
      <c r="BE85" s="12"/>
      <c r="BF85" s="24"/>
      <c r="BG85" s="29"/>
      <c r="BH85" s="12"/>
      <c r="BI85" s="12"/>
      <c r="BK85" s="11">
        <v>82</v>
      </c>
      <c r="BL85" s="12"/>
      <c r="BM85" s="13"/>
      <c r="BN85" s="13"/>
      <c r="BP85" s="11">
        <v>82</v>
      </c>
      <c r="BQ85" s="12"/>
      <c r="BR85" s="13"/>
      <c r="BS85" s="13"/>
      <c r="BU85" s="11">
        <v>82</v>
      </c>
      <c r="BV85" s="12"/>
      <c r="BW85" s="12"/>
      <c r="BX85" s="12"/>
      <c r="BZ85" s="11">
        <v>82</v>
      </c>
      <c r="CA85" s="12"/>
      <c r="CC85" s="11">
        <v>82</v>
      </c>
      <c r="CD85" s="12"/>
    </row>
    <row r="86" spans="1:82">
      <c r="R86" s="11">
        <v>83</v>
      </c>
      <c r="S86" s="12"/>
      <c r="T86" s="13"/>
      <c r="U86" s="13"/>
      <c r="W86" s="11">
        <v>83</v>
      </c>
      <c r="X86" s="12"/>
      <c r="Y86" s="13"/>
      <c r="Z86" s="13"/>
      <c r="AB86" s="11">
        <v>83</v>
      </c>
      <c r="AC86" s="12"/>
      <c r="AD86" s="12"/>
      <c r="AE86" s="12"/>
      <c r="AG86" s="11">
        <v>83</v>
      </c>
      <c r="AH86" s="12"/>
      <c r="AI86" s="12"/>
      <c r="AJ86" s="12"/>
      <c r="AL86" s="11">
        <v>83</v>
      </c>
      <c r="AM86" s="12"/>
      <c r="AN86" s="12"/>
      <c r="AO86" s="12"/>
      <c r="AQ86" s="11">
        <v>83</v>
      </c>
      <c r="AR86" s="13"/>
      <c r="AS86" s="13"/>
      <c r="AT86" s="11">
        <v>83</v>
      </c>
      <c r="AU86" s="13"/>
      <c r="AW86" s="11">
        <v>83</v>
      </c>
      <c r="AX86" s="12"/>
      <c r="AY86" s="12"/>
      <c r="AZ86" s="12"/>
      <c r="BA86" s="12"/>
      <c r="BB86" s="12"/>
      <c r="BC86" s="12"/>
      <c r="BD86" s="12"/>
      <c r="BE86" s="12"/>
      <c r="BF86" s="24"/>
      <c r="BG86" s="29"/>
      <c r="BH86" s="12"/>
      <c r="BI86" s="12"/>
      <c r="BK86" s="11">
        <v>83</v>
      </c>
      <c r="BL86" s="12"/>
      <c r="BM86" s="13"/>
      <c r="BN86" s="13"/>
      <c r="BP86" s="11">
        <v>83</v>
      </c>
      <c r="BQ86" s="12"/>
      <c r="BR86" s="13"/>
      <c r="BS86" s="13"/>
      <c r="BU86" s="11">
        <v>83</v>
      </c>
      <c r="BV86" s="12"/>
      <c r="BW86" s="12"/>
      <c r="BX86" s="12"/>
      <c r="BZ86" s="11">
        <v>83</v>
      </c>
      <c r="CA86" s="12"/>
      <c r="CC86" s="11">
        <v>83</v>
      </c>
      <c r="CD86" s="12"/>
    </row>
    <row r="87" spans="1:82">
      <c r="R87" s="11">
        <v>84</v>
      </c>
      <c r="S87" s="12"/>
      <c r="T87" s="13"/>
      <c r="U87" s="13"/>
      <c r="W87" s="11">
        <v>84</v>
      </c>
      <c r="X87" s="12"/>
      <c r="Y87" s="13"/>
      <c r="Z87" s="13"/>
      <c r="AB87" s="11">
        <v>84</v>
      </c>
      <c r="AC87" s="12"/>
      <c r="AD87" s="12"/>
      <c r="AE87" s="12"/>
      <c r="AG87" s="11">
        <v>84</v>
      </c>
      <c r="AH87" s="12"/>
      <c r="AI87" s="12"/>
      <c r="AJ87" s="12"/>
      <c r="AL87" s="11">
        <v>84</v>
      </c>
      <c r="AM87" s="12"/>
      <c r="AN87" s="12"/>
      <c r="AO87" s="12"/>
      <c r="AQ87" s="11">
        <v>84</v>
      </c>
      <c r="AR87" s="13"/>
      <c r="AS87" s="13"/>
      <c r="AT87" s="11">
        <v>84</v>
      </c>
      <c r="AU87" s="13"/>
      <c r="AW87" s="11">
        <v>84</v>
      </c>
      <c r="AX87" s="12"/>
      <c r="AY87" s="12"/>
      <c r="AZ87" s="12"/>
      <c r="BA87" s="12"/>
      <c r="BB87" s="12"/>
      <c r="BC87" s="12"/>
      <c r="BD87" s="12"/>
      <c r="BE87" s="12"/>
      <c r="BF87" s="24"/>
      <c r="BG87" s="29"/>
      <c r="BH87" s="12"/>
      <c r="BI87" s="12"/>
      <c r="BK87" s="11">
        <v>84</v>
      </c>
      <c r="BL87" s="12"/>
      <c r="BM87" s="13"/>
      <c r="BN87" s="13"/>
      <c r="BP87" s="11">
        <v>84</v>
      </c>
      <c r="BQ87" s="12"/>
      <c r="BR87" s="13"/>
      <c r="BS87" s="13"/>
      <c r="BU87" s="11">
        <v>84</v>
      </c>
      <c r="BV87" s="12"/>
      <c r="BW87" s="12"/>
      <c r="BX87" s="12"/>
      <c r="BZ87" s="11">
        <v>84</v>
      </c>
      <c r="CA87" s="12"/>
      <c r="CC87" s="11">
        <v>84</v>
      </c>
      <c r="CD87" s="12"/>
    </row>
    <row r="88" spans="1:82">
      <c r="R88" s="11">
        <v>85</v>
      </c>
      <c r="S88" s="12"/>
      <c r="T88" s="13"/>
      <c r="U88" s="13"/>
      <c r="W88" s="11">
        <v>85</v>
      </c>
      <c r="X88" s="12"/>
      <c r="Y88" s="13"/>
      <c r="Z88" s="13"/>
      <c r="AB88" s="11">
        <v>85</v>
      </c>
      <c r="AC88" s="12"/>
      <c r="AD88" s="12"/>
      <c r="AE88" s="12"/>
      <c r="AG88" s="11">
        <v>85</v>
      </c>
      <c r="AH88" s="12"/>
      <c r="AI88" s="12"/>
      <c r="AJ88" s="12"/>
      <c r="AL88" s="11">
        <v>85</v>
      </c>
      <c r="AM88" s="12"/>
      <c r="AN88" s="12"/>
      <c r="AO88" s="12"/>
      <c r="AQ88" s="11">
        <v>85</v>
      </c>
      <c r="AR88" s="13"/>
      <c r="AS88" s="13"/>
      <c r="AT88" s="11">
        <v>85</v>
      </c>
      <c r="AU88" s="13"/>
      <c r="AW88" s="11">
        <v>85</v>
      </c>
      <c r="AX88" s="12"/>
      <c r="AY88" s="12"/>
      <c r="AZ88" s="12"/>
      <c r="BA88" s="12"/>
      <c r="BB88" s="12"/>
      <c r="BC88" s="12"/>
      <c r="BD88" s="12"/>
      <c r="BE88" s="12"/>
      <c r="BF88" s="24"/>
      <c r="BG88" s="29"/>
      <c r="BH88" s="12"/>
      <c r="BI88" s="12"/>
      <c r="BK88" s="11">
        <v>85</v>
      </c>
      <c r="BL88" s="12"/>
      <c r="BM88" s="13"/>
      <c r="BN88" s="13"/>
      <c r="BP88" s="11">
        <v>85</v>
      </c>
      <c r="BQ88" s="12"/>
      <c r="BR88" s="13"/>
      <c r="BS88" s="13"/>
      <c r="BU88" s="11">
        <v>85</v>
      </c>
      <c r="BV88" s="12"/>
      <c r="BW88" s="12"/>
      <c r="BX88" s="12"/>
      <c r="BZ88" s="11">
        <v>85</v>
      </c>
      <c r="CA88" s="12"/>
      <c r="CC88" s="11">
        <v>85</v>
      </c>
      <c r="CD88" s="12"/>
    </row>
    <row r="89" spans="1:82">
      <c r="R89" s="11">
        <v>86</v>
      </c>
      <c r="S89" s="12"/>
      <c r="T89" s="13"/>
      <c r="U89" s="13"/>
      <c r="W89" s="11">
        <v>86</v>
      </c>
      <c r="X89" s="12"/>
      <c r="Y89" s="13"/>
      <c r="Z89" s="13"/>
      <c r="AB89" s="11">
        <v>86</v>
      </c>
      <c r="AC89" s="12"/>
      <c r="AD89" s="12"/>
      <c r="AE89" s="12"/>
      <c r="AG89" s="11">
        <v>86</v>
      </c>
      <c r="AH89" s="12"/>
      <c r="AI89" s="12"/>
      <c r="AJ89" s="12"/>
      <c r="AL89" s="11">
        <v>86</v>
      </c>
      <c r="AM89" s="12"/>
      <c r="AN89" s="12"/>
      <c r="AO89" s="12"/>
      <c r="AQ89" s="11">
        <v>86</v>
      </c>
      <c r="AR89" s="13"/>
      <c r="AS89" s="13"/>
      <c r="AT89" s="11">
        <v>86</v>
      </c>
      <c r="AU89" s="13"/>
      <c r="AW89" s="11">
        <v>86</v>
      </c>
      <c r="AX89" s="12"/>
      <c r="AY89" s="12"/>
      <c r="AZ89" s="12"/>
      <c r="BA89" s="12"/>
      <c r="BB89" s="12"/>
      <c r="BC89" s="12"/>
      <c r="BD89" s="12"/>
      <c r="BE89" s="12"/>
      <c r="BF89" s="24"/>
      <c r="BG89" s="29"/>
      <c r="BH89" s="12"/>
      <c r="BI89" s="12"/>
      <c r="BK89" s="11">
        <v>86</v>
      </c>
      <c r="BL89" s="12"/>
      <c r="BM89" s="13"/>
      <c r="BN89" s="13"/>
      <c r="BP89" s="11">
        <v>86</v>
      </c>
      <c r="BQ89" s="12"/>
      <c r="BR89" s="13"/>
      <c r="BS89" s="13"/>
      <c r="BU89" s="11">
        <v>86</v>
      </c>
      <c r="BV89" s="12"/>
      <c r="BW89" s="12"/>
      <c r="BX89" s="12"/>
      <c r="BZ89" s="11">
        <v>86</v>
      </c>
      <c r="CA89" s="12"/>
      <c r="CC89" s="11">
        <v>86</v>
      </c>
      <c r="CD89" s="12"/>
    </row>
    <row r="90" spans="1:82">
      <c r="R90" s="11">
        <v>87</v>
      </c>
      <c r="S90" s="12"/>
      <c r="T90" s="13"/>
      <c r="U90" s="13"/>
      <c r="W90" s="11">
        <v>87</v>
      </c>
      <c r="X90" s="12"/>
      <c r="Y90" s="13"/>
      <c r="Z90" s="13"/>
      <c r="AB90" s="11">
        <v>87</v>
      </c>
      <c r="AC90" s="12"/>
      <c r="AD90" s="12"/>
      <c r="AE90" s="12"/>
      <c r="AG90" s="11">
        <v>87</v>
      </c>
      <c r="AH90" s="12"/>
      <c r="AI90" s="12"/>
      <c r="AJ90" s="12"/>
      <c r="AL90" s="11">
        <v>87</v>
      </c>
      <c r="AM90" s="12"/>
      <c r="AN90" s="12"/>
      <c r="AO90" s="12"/>
      <c r="AQ90" s="11">
        <v>87</v>
      </c>
      <c r="AR90" s="13"/>
      <c r="AS90" s="13"/>
      <c r="AT90" s="11">
        <v>87</v>
      </c>
      <c r="AU90" s="13"/>
      <c r="AW90" s="11">
        <v>87</v>
      </c>
      <c r="AX90" s="12"/>
      <c r="AY90" s="12"/>
      <c r="AZ90" s="12"/>
      <c r="BA90" s="12"/>
      <c r="BB90" s="12"/>
      <c r="BC90" s="12"/>
      <c r="BD90" s="12"/>
      <c r="BE90" s="12"/>
      <c r="BF90" s="24"/>
      <c r="BG90" s="29"/>
      <c r="BH90" s="12"/>
      <c r="BI90" s="12"/>
      <c r="BK90" s="11">
        <v>87</v>
      </c>
      <c r="BL90" s="12"/>
      <c r="BM90" s="13"/>
      <c r="BN90" s="13"/>
      <c r="BP90" s="11">
        <v>87</v>
      </c>
      <c r="BQ90" s="12"/>
      <c r="BR90" s="13"/>
      <c r="BS90" s="13"/>
      <c r="BU90" s="11">
        <v>87</v>
      </c>
      <c r="BV90" s="12"/>
      <c r="BW90" s="12"/>
      <c r="BX90" s="12"/>
      <c r="BZ90" s="11">
        <v>87</v>
      </c>
      <c r="CA90" s="12"/>
      <c r="CC90" s="11">
        <v>87</v>
      </c>
      <c r="CD90" s="12"/>
    </row>
    <row r="91" spans="1:82">
      <c r="R91" s="11">
        <v>88</v>
      </c>
      <c r="S91" s="12"/>
      <c r="T91" s="13"/>
      <c r="U91" s="13"/>
      <c r="W91" s="11">
        <v>88</v>
      </c>
      <c r="X91" s="12"/>
      <c r="Y91" s="13"/>
      <c r="Z91" s="13"/>
      <c r="AB91" s="11">
        <v>88</v>
      </c>
      <c r="AC91" s="12"/>
      <c r="AD91" s="12"/>
      <c r="AE91" s="12"/>
      <c r="AG91" s="11">
        <v>88</v>
      </c>
      <c r="AH91" s="12"/>
      <c r="AI91" s="12"/>
      <c r="AJ91" s="12"/>
      <c r="AL91" s="11">
        <v>88</v>
      </c>
      <c r="AM91" s="12"/>
      <c r="AN91" s="12"/>
      <c r="AO91" s="12"/>
      <c r="AQ91" s="11">
        <v>88</v>
      </c>
      <c r="AR91" s="13"/>
      <c r="AS91" s="13"/>
      <c r="AT91" s="11">
        <v>88</v>
      </c>
      <c r="AU91" s="13"/>
      <c r="AW91" s="11">
        <v>88</v>
      </c>
      <c r="AX91" s="12"/>
      <c r="AY91" s="12"/>
      <c r="AZ91" s="12"/>
      <c r="BA91" s="12"/>
      <c r="BB91" s="12"/>
      <c r="BC91" s="12"/>
      <c r="BD91" s="12"/>
      <c r="BE91" s="12"/>
      <c r="BF91" s="24"/>
      <c r="BG91" s="29"/>
      <c r="BH91" s="12"/>
      <c r="BI91" s="12"/>
      <c r="BK91" s="11">
        <v>88</v>
      </c>
      <c r="BL91" s="12"/>
      <c r="BM91" s="13"/>
      <c r="BN91" s="13"/>
      <c r="BP91" s="11">
        <v>88</v>
      </c>
      <c r="BQ91" s="12"/>
      <c r="BR91" s="13"/>
      <c r="BS91" s="13"/>
      <c r="BU91" s="11">
        <v>88</v>
      </c>
      <c r="BV91" s="12"/>
      <c r="BW91" s="12"/>
      <c r="BX91" s="12"/>
      <c r="BZ91" s="11">
        <v>88</v>
      </c>
      <c r="CA91" s="12"/>
      <c r="CC91" s="11">
        <v>88</v>
      </c>
      <c r="CD91" s="12"/>
    </row>
    <row r="92" spans="1:82">
      <c r="R92" s="11">
        <v>89</v>
      </c>
      <c r="S92" s="12"/>
      <c r="T92" s="13"/>
      <c r="U92" s="13"/>
      <c r="W92" s="11">
        <v>89</v>
      </c>
      <c r="X92" s="12"/>
      <c r="Y92" s="13"/>
      <c r="Z92" s="13"/>
      <c r="AB92" s="11">
        <v>89</v>
      </c>
      <c r="AC92" s="12"/>
      <c r="AD92" s="12"/>
      <c r="AE92" s="12"/>
      <c r="AG92" s="11">
        <v>89</v>
      </c>
      <c r="AH92" s="12"/>
      <c r="AI92" s="12"/>
      <c r="AJ92" s="12"/>
      <c r="AL92" s="11">
        <v>89</v>
      </c>
      <c r="AM92" s="12"/>
      <c r="AN92" s="12"/>
      <c r="AO92" s="12"/>
      <c r="AQ92" s="11">
        <v>89</v>
      </c>
      <c r="AR92" s="13"/>
      <c r="AS92" s="13"/>
      <c r="AT92" s="11">
        <v>89</v>
      </c>
      <c r="AU92" s="13"/>
      <c r="AW92" s="11">
        <v>89</v>
      </c>
      <c r="AX92" s="12"/>
      <c r="AY92" s="12"/>
      <c r="AZ92" s="12"/>
      <c r="BA92" s="12"/>
      <c r="BB92" s="12"/>
      <c r="BC92" s="12"/>
      <c r="BD92" s="12"/>
      <c r="BE92" s="12"/>
      <c r="BF92" s="24"/>
      <c r="BG92" s="29"/>
      <c r="BH92" s="12"/>
      <c r="BI92" s="12"/>
      <c r="BK92" s="11">
        <v>89</v>
      </c>
      <c r="BL92" s="12"/>
      <c r="BM92" s="13"/>
      <c r="BN92" s="13"/>
      <c r="BP92" s="11">
        <v>89</v>
      </c>
      <c r="BQ92" s="12"/>
      <c r="BR92" s="13"/>
      <c r="BS92" s="13"/>
      <c r="BU92" s="11">
        <v>89</v>
      </c>
      <c r="BV92" s="12"/>
      <c r="BW92" s="12"/>
      <c r="BX92" s="12"/>
      <c r="BZ92" s="11">
        <v>89</v>
      </c>
      <c r="CA92" s="12"/>
      <c r="CC92" s="11">
        <v>89</v>
      </c>
      <c r="CD92" s="12"/>
    </row>
    <row r="93" spans="1:82">
      <c r="R93" s="11">
        <v>90</v>
      </c>
      <c r="S93" s="12"/>
      <c r="T93" s="13"/>
      <c r="U93" s="13"/>
      <c r="W93" s="11">
        <v>90</v>
      </c>
      <c r="X93" s="12"/>
      <c r="Y93" s="13"/>
      <c r="Z93" s="13"/>
      <c r="AB93" s="11">
        <v>90</v>
      </c>
      <c r="AC93" s="12"/>
      <c r="AD93" s="12"/>
      <c r="AE93" s="12"/>
      <c r="AG93" s="11">
        <v>90</v>
      </c>
      <c r="AH93" s="12"/>
      <c r="AI93" s="12"/>
      <c r="AJ93" s="12"/>
      <c r="AL93" s="11">
        <v>90</v>
      </c>
      <c r="AM93" s="12"/>
      <c r="AN93" s="12"/>
      <c r="AO93" s="12"/>
      <c r="AQ93" s="11">
        <v>90</v>
      </c>
      <c r="AR93" s="13"/>
      <c r="AS93" s="13"/>
      <c r="AT93" s="11">
        <v>90</v>
      </c>
      <c r="AU93" s="13"/>
      <c r="AW93" s="11">
        <v>90</v>
      </c>
      <c r="AX93" s="12"/>
      <c r="AY93" s="12"/>
      <c r="AZ93" s="12"/>
      <c r="BA93" s="12"/>
      <c r="BB93" s="12"/>
      <c r="BC93" s="12"/>
      <c r="BD93" s="12"/>
      <c r="BE93" s="12"/>
      <c r="BF93" s="24"/>
      <c r="BG93" s="29"/>
      <c r="BH93" s="12"/>
      <c r="BI93" s="12"/>
      <c r="BK93" s="11">
        <v>90</v>
      </c>
      <c r="BL93" s="12"/>
      <c r="BM93" s="13"/>
      <c r="BN93" s="13"/>
      <c r="BP93" s="11">
        <v>90</v>
      </c>
      <c r="BQ93" s="12"/>
      <c r="BR93" s="13"/>
      <c r="BS93" s="13"/>
      <c r="BU93" s="11">
        <v>90</v>
      </c>
      <c r="BV93" s="12"/>
      <c r="BW93" s="12"/>
      <c r="BX93" s="12"/>
      <c r="BZ93" s="11">
        <v>90</v>
      </c>
      <c r="CA93" s="12"/>
      <c r="CC93" s="11">
        <v>90</v>
      </c>
      <c r="CD93" s="12"/>
    </row>
    <row r="94" spans="1:82">
      <c r="R94" s="11">
        <v>91</v>
      </c>
      <c r="S94" s="12"/>
      <c r="T94" s="13"/>
      <c r="U94" s="13"/>
      <c r="W94" s="11">
        <v>91</v>
      </c>
      <c r="X94" s="12"/>
      <c r="Y94" s="13"/>
      <c r="Z94" s="13"/>
      <c r="AB94" s="11">
        <v>91</v>
      </c>
      <c r="AC94" s="12"/>
      <c r="AD94" s="12"/>
      <c r="AE94" s="12"/>
      <c r="AG94" s="11">
        <v>91</v>
      </c>
      <c r="AH94" s="12"/>
      <c r="AI94" s="12"/>
      <c r="AJ94" s="12"/>
      <c r="AL94" s="11">
        <v>91</v>
      </c>
      <c r="AM94" s="12"/>
      <c r="AN94" s="12"/>
      <c r="AO94" s="12"/>
      <c r="AQ94" s="11">
        <v>91</v>
      </c>
      <c r="AR94" s="13"/>
      <c r="AS94" s="13"/>
      <c r="AT94" s="11">
        <v>91</v>
      </c>
      <c r="AU94" s="13"/>
      <c r="AW94" s="11">
        <v>91</v>
      </c>
      <c r="AX94" s="12"/>
      <c r="AY94" s="12"/>
      <c r="AZ94" s="12"/>
      <c r="BA94" s="12"/>
      <c r="BB94" s="12"/>
      <c r="BC94" s="12"/>
      <c r="BD94" s="12"/>
      <c r="BE94" s="12"/>
      <c r="BF94" s="24"/>
      <c r="BG94" s="29"/>
      <c r="BH94" s="12"/>
      <c r="BI94" s="12"/>
      <c r="BK94" s="11">
        <v>91</v>
      </c>
      <c r="BL94" s="12"/>
      <c r="BM94" s="13"/>
      <c r="BN94" s="13"/>
      <c r="BP94" s="11">
        <v>91</v>
      </c>
      <c r="BQ94" s="12"/>
      <c r="BR94" s="13"/>
      <c r="BS94" s="13"/>
      <c r="BU94" s="11">
        <v>91</v>
      </c>
      <c r="BV94" s="12"/>
      <c r="BW94" s="12"/>
      <c r="BX94" s="12"/>
      <c r="BZ94" s="11">
        <v>91</v>
      </c>
      <c r="CA94" s="12"/>
      <c r="CC94" s="11">
        <v>91</v>
      </c>
      <c r="CD94" s="12"/>
    </row>
    <row r="95" spans="1:82">
      <c r="R95" s="11">
        <v>92</v>
      </c>
      <c r="S95" s="12"/>
      <c r="T95" s="13"/>
      <c r="U95" s="13"/>
      <c r="W95" s="11">
        <v>92</v>
      </c>
      <c r="X95" s="12"/>
      <c r="Y95" s="13"/>
      <c r="Z95" s="13"/>
      <c r="AB95" s="11">
        <v>92</v>
      </c>
      <c r="AC95" s="12"/>
      <c r="AD95" s="12"/>
      <c r="AE95" s="12"/>
      <c r="AG95" s="11">
        <v>92</v>
      </c>
      <c r="AH95" s="12"/>
      <c r="AI95" s="12"/>
      <c r="AJ95" s="12"/>
      <c r="AL95" s="11">
        <v>92</v>
      </c>
      <c r="AM95" s="12"/>
      <c r="AN95" s="12"/>
      <c r="AO95" s="12"/>
      <c r="AQ95" s="11">
        <v>92</v>
      </c>
      <c r="AR95" s="13"/>
      <c r="AS95" s="13"/>
      <c r="AT95" s="11">
        <v>92</v>
      </c>
      <c r="AU95" s="13"/>
      <c r="AW95" s="11">
        <v>92</v>
      </c>
      <c r="AX95" s="12"/>
      <c r="AY95" s="12"/>
      <c r="AZ95" s="12"/>
      <c r="BA95" s="12"/>
      <c r="BB95" s="12"/>
      <c r="BC95" s="12"/>
      <c r="BD95" s="12"/>
      <c r="BE95" s="12"/>
      <c r="BF95" s="24"/>
      <c r="BG95" s="29"/>
      <c r="BH95" s="12"/>
      <c r="BI95" s="12"/>
      <c r="BK95" s="11">
        <v>92</v>
      </c>
      <c r="BL95" s="12"/>
      <c r="BM95" s="13"/>
      <c r="BN95" s="13"/>
      <c r="BP95" s="11">
        <v>92</v>
      </c>
      <c r="BQ95" s="12"/>
      <c r="BR95" s="13"/>
      <c r="BS95" s="13"/>
      <c r="BU95" s="11">
        <v>92</v>
      </c>
      <c r="BV95" s="12"/>
      <c r="BW95" s="12"/>
      <c r="BX95" s="12"/>
      <c r="BZ95" s="11">
        <v>92</v>
      </c>
      <c r="CA95" s="12"/>
      <c r="CC95" s="11">
        <v>92</v>
      </c>
      <c r="CD95" s="12"/>
    </row>
    <row r="96" spans="1:82">
      <c r="R96" s="11">
        <v>93</v>
      </c>
      <c r="S96" s="12"/>
      <c r="T96" s="13"/>
      <c r="U96" s="13"/>
      <c r="W96" s="11">
        <v>93</v>
      </c>
      <c r="X96" s="12"/>
      <c r="Y96" s="13"/>
      <c r="Z96" s="13"/>
      <c r="AB96" s="11">
        <v>93</v>
      </c>
      <c r="AC96" s="12"/>
      <c r="AD96" s="12"/>
      <c r="AE96" s="12"/>
      <c r="AG96" s="11">
        <v>93</v>
      </c>
      <c r="AH96" s="12"/>
      <c r="AI96" s="12"/>
      <c r="AJ96" s="12"/>
      <c r="AL96" s="11">
        <v>93</v>
      </c>
      <c r="AM96" s="12"/>
      <c r="AN96" s="12"/>
      <c r="AO96" s="12"/>
      <c r="AQ96" s="11">
        <v>93</v>
      </c>
      <c r="AR96" s="13"/>
      <c r="AS96" s="13"/>
      <c r="AT96" s="11">
        <v>93</v>
      </c>
      <c r="AU96" s="13"/>
      <c r="AW96" s="11">
        <v>93</v>
      </c>
      <c r="AX96" s="12"/>
      <c r="AY96" s="12"/>
      <c r="AZ96" s="12"/>
      <c r="BA96" s="12"/>
      <c r="BB96" s="12"/>
      <c r="BC96" s="12"/>
      <c r="BD96" s="12"/>
      <c r="BE96" s="12"/>
      <c r="BF96" s="24"/>
      <c r="BG96" s="29"/>
      <c r="BH96" s="12"/>
      <c r="BI96" s="12"/>
      <c r="BK96" s="11">
        <v>93</v>
      </c>
      <c r="BL96" s="12"/>
      <c r="BM96" s="13"/>
      <c r="BN96" s="13"/>
      <c r="BP96" s="11">
        <v>93</v>
      </c>
      <c r="BQ96" s="12"/>
      <c r="BR96" s="13"/>
      <c r="BS96" s="13"/>
      <c r="BU96" s="11">
        <v>93</v>
      </c>
      <c r="BV96" s="12"/>
      <c r="BW96" s="12"/>
      <c r="BX96" s="12"/>
      <c r="BZ96" s="11">
        <v>93</v>
      </c>
      <c r="CA96" s="12"/>
      <c r="CC96" s="11">
        <v>93</v>
      </c>
      <c r="CD96" s="12"/>
    </row>
    <row r="97" spans="18:82">
      <c r="R97" s="11">
        <v>94</v>
      </c>
      <c r="S97" s="12"/>
      <c r="T97" s="13"/>
      <c r="U97" s="13"/>
      <c r="W97" s="11">
        <v>94</v>
      </c>
      <c r="X97" s="12"/>
      <c r="Y97" s="13"/>
      <c r="Z97" s="13"/>
      <c r="AB97" s="11">
        <v>94</v>
      </c>
      <c r="AC97" s="12"/>
      <c r="AD97" s="12"/>
      <c r="AE97" s="12"/>
      <c r="AG97" s="11">
        <v>94</v>
      </c>
      <c r="AH97" s="12"/>
      <c r="AI97" s="12"/>
      <c r="AJ97" s="12"/>
      <c r="AL97" s="11">
        <v>94</v>
      </c>
      <c r="AM97" s="12"/>
      <c r="AN97" s="12"/>
      <c r="AO97" s="12"/>
      <c r="AQ97" s="11">
        <v>94</v>
      </c>
      <c r="AR97" s="13"/>
      <c r="AS97" s="13"/>
      <c r="AT97" s="11">
        <v>94</v>
      </c>
      <c r="AU97" s="13"/>
      <c r="AW97" s="11">
        <v>94</v>
      </c>
      <c r="AX97" s="12"/>
      <c r="AY97" s="12"/>
      <c r="AZ97" s="12"/>
      <c r="BA97" s="12"/>
      <c r="BB97" s="12"/>
      <c r="BC97" s="12"/>
      <c r="BD97" s="12"/>
      <c r="BE97" s="12"/>
      <c r="BF97" s="24"/>
      <c r="BG97" s="29"/>
      <c r="BH97" s="12"/>
      <c r="BI97" s="12"/>
      <c r="BK97" s="11">
        <v>94</v>
      </c>
      <c r="BL97" s="12"/>
      <c r="BM97" s="13"/>
      <c r="BN97" s="13"/>
      <c r="BP97" s="11">
        <v>94</v>
      </c>
      <c r="BQ97" s="12"/>
      <c r="BR97" s="13"/>
      <c r="BS97" s="13"/>
      <c r="BU97" s="11">
        <v>94</v>
      </c>
      <c r="BV97" s="12"/>
      <c r="BW97" s="12"/>
      <c r="BX97" s="12"/>
      <c r="BZ97" s="11">
        <v>94</v>
      </c>
      <c r="CA97" s="12"/>
      <c r="CC97" s="11">
        <v>94</v>
      </c>
      <c r="CD97" s="12"/>
    </row>
    <row r="98" spans="18:82">
      <c r="R98" s="11">
        <v>95</v>
      </c>
      <c r="S98" s="12"/>
      <c r="T98" s="13"/>
      <c r="U98" s="13"/>
      <c r="W98" s="11">
        <v>95</v>
      </c>
      <c r="X98" s="12"/>
      <c r="Y98" s="13"/>
      <c r="Z98" s="13"/>
      <c r="AB98" s="11">
        <v>95</v>
      </c>
      <c r="AC98" s="12"/>
      <c r="AD98" s="12"/>
      <c r="AE98" s="12"/>
      <c r="AG98" s="11">
        <v>95</v>
      </c>
      <c r="AH98" s="12"/>
      <c r="AI98" s="12"/>
      <c r="AJ98" s="12"/>
      <c r="AL98" s="11">
        <v>95</v>
      </c>
      <c r="AM98" s="12"/>
      <c r="AN98" s="12"/>
      <c r="AO98" s="12"/>
      <c r="AQ98" s="11">
        <v>95</v>
      </c>
      <c r="AR98" s="13"/>
      <c r="AS98" s="13"/>
      <c r="AT98" s="11">
        <v>95</v>
      </c>
      <c r="AU98" s="13"/>
      <c r="AW98" s="11">
        <v>95</v>
      </c>
      <c r="AX98" s="12"/>
      <c r="AY98" s="12"/>
      <c r="AZ98" s="12"/>
      <c r="BA98" s="12"/>
      <c r="BB98" s="12"/>
      <c r="BC98" s="12"/>
      <c r="BD98" s="12"/>
      <c r="BE98" s="12"/>
      <c r="BF98" s="24"/>
      <c r="BG98" s="29"/>
      <c r="BH98" s="12"/>
      <c r="BI98" s="12"/>
      <c r="BK98" s="11">
        <v>95</v>
      </c>
      <c r="BL98" s="12"/>
      <c r="BM98" s="13"/>
      <c r="BN98" s="13"/>
      <c r="BP98" s="11">
        <v>95</v>
      </c>
      <c r="BQ98" s="12"/>
      <c r="BR98" s="13"/>
      <c r="BS98" s="13"/>
      <c r="BU98" s="11">
        <v>95</v>
      </c>
      <c r="BV98" s="12"/>
      <c r="BW98" s="12"/>
      <c r="BX98" s="12"/>
      <c r="BZ98" s="11">
        <v>95</v>
      </c>
      <c r="CA98" s="12"/>
      <c r="CC98" s="11">
        <v>95</v>
      </c>
      <c r="CD98" s="12"/>
    </row>
    <row r="99" spans="18:82">
      <c r="R99" s="11">
        <v>96</v>
      </c>
      <c r="S99" s="12"/>
      <c r="T99" s="13"/>
      <c r="U99" s="13"/>
      <c r="W99" s="11">
        <v>96</v>
      </c>
      <c r="X99" s="12"/>
      <c r="Y99" s="13"/>
      <c r="Z99" s="13"/>
      <c r="AB99" s="11">
        <v>96</v>
      </c>
      <c r="AC99" s="12"/>
      <c r="AD99" s="12"/>
      <c r="AE99" s="12"/>
      <c r="AG99" s="11">
        <v>96</v>
      </c>
      <c r="AH99" s="12"/>
      <c r="AI99" s="12"/>
      <c r="AJ99" s="12"/>
      <c r="AL99" s="11">
        <v>96</v>
      </c>
      <c r="AM99" s="12"/>
      <c r="AN99" s="12"/>
      <c r="AO99" s="12"/>
      <c r="AQ99" s="11">
        <v>96</v>
      </c>
      <c r="AR99" s="13"/>
      <c r="AS99" s="13"/>
      <c r="AT99" s="11">
        <v>96</v>
      </c>
      <c r="AU99" s="13"/>
      <c r="AW99" s="11">
        <v>96</v>
      </c>
      <c r="AX99" s="12"/>
      <c r="AY99" s="12"/>
      <c r="AZ99" s="12"/>
      <c r="BA99" s="12"/>
      <c r="BB99" s="12"/>
      <c r="BC99" s="12"/>
      <c r="BD99" s="12"/>
      <c r="BE99" s="12"/>
      <c r="BF99" s="24"/>
      <c r="BG99" s="29"/>
      <c r="BH99" s="12"/>
      <c r="BI99" s="12"/>
      <c r="BK99" s="11">
        <v>96</v>
      </c>
      <c r="BL99" s="12"/>
      <c r="BM99" s="13"/>
      <c r="BN99" s="13"/>
      <c r="BP99" s="11">
        <v>96</v>
      </c>
      <c r="BQ99" s="12"/>
      <c r="BR99" s="13"/>
      <c r="BS99" s="13"/>
      <c r="BU99" s="11">
        <v>96</v>
      </c>
      <c r="BV99" s="12"/>
      <c r="BW99" s="12"/>
      <c r="BX99" s="12"/>
      <c r="BZ99" s="11">
        <v>96</v>
      </c>
      <c r="CA99" s="12"/>
      <c r="CC99" s="11">
        <v>96</v>
      </c>
      <c r="CD99" s="12"/>
    </row>
    <row r="100" spans="18:82">
      <c r="R100" s="11">
        <v>97</v>
      </c>
      <c r="S100" s="12"/>
      <c r="T100" s="13"/>
      <c r="U100" s="13"/>
      <c r="W100" s="11">
        <v>97</v>
      </c>
      <c r="X100" s="12"/>
      <c r="Y100" s="13"/>
      <c r="Z100" s="13"/>
      <c r="AB100" s="11">
        <v>97</v>
      </c>
      <c r="AC100" s="12"/>
      <c r="AD100" s="12"/>
      <c r="AE100" s="12"/>
      <c r="AG100" s="11">
        <v>97</v>
      </c>
      <c r="AH100" s="12"/>
      <c r="AI100" s="12"/>
      <c r="AJ100" s="12"/>
      <c r="AL100" s="11">
        <v>97</v>
      </c>
      <c r="AM100" s="12"/>
      <c r="AN100" s="12"/>
      <c r="AO100" s="12"/>
      <c r="AQ100" s="11">
        <v>97</v>
      </c>
      <c r="AR100" s="13"/>
      <c r="AS100" s="13"/>
      <c r="AT100" s="11">
        <v>97</v>
      </c>
      <c r="AU100" s="13"/>
      <c r="AW100" s="11">
        <v>97</v>
      </c>
      <c r="AX100" s="12"/>
      <c r="AY100" s="12"/>
      <c r="AZ100" s="12"/>
      <c r="BA100" s="12"/>
      <c r="BB100" s="12"/>
      <c r="BC100" s="12"/>
      <c r="BD100" s="12"/>
      <c r="BE100" s="12"/>
      <c r="BF100" s="24"/>
      <c r="BG100" s="29"/>
      <c r="BH100" s="12"/>
      <c r="BI100" s="12"/>
      <c r="BK100" s="11">
        <v>97</v>
      </c>
      <c r="BL100" s="12"/>
      <c r="BM100" s="13"/>
      <c r="BN100" s="13"/>
      <c r="BP100" s="11">
        <v>97</v>
      </c>
      <c r="BQ100" s="12"/>
      <c r="BR100" s="13"/>
      <c r="BS100" s="13"/>
      <c r="BU100" s="11">
        <v>97</v>
      </c>
      <c r="BV100" s="12"/>
      <c r="BW100" s="12"/>
      <c r="BX100" s="12"/>
      <c r="BZ100" s="11">
        <v>97</v>
      </c>
      <c r="CA100" s="12"/>
      <c r="CC100" s="11">
        <v>97</v>
      </c>
      <c r="CD100" s="12"/>
    </row>
    <row r="101" spans="18:82">
      <c r="R101" s="11">
        <v>98</v>
      </c>
      <c r="S101" s="12"/>
      <c r="T101" s="13"/>
      <c r="U101" s="13"/>
      <c r="W101" s="11">
        <v>98</v>
      </c>
      <c r="X101" s="12"/>
      <c r="Y101" s="13"/>
      <c r="Z101" s="13"/>
      <c r="AB101" s="11">
        <v>98</v>
      </c>
      <c r="AC101" s="12"/>
      <c r="AD101" s="12"/>
      <c r="AE101" s="12"/>
      <c r="AG101" s="11">
        <v>98</v>
      </c>
      <c r="AH101" s="12"/>
      <c r="AI101" s="12"/>
      <c r="AJ101" s="12"/>
      <c r="AL101" s="11">
        <v>98</v>
      </c>
      <c r="AM101" s="12"/>
      <c r="AN101" s="12"/>
      <c r="AO101" s="12"/>
      <c r="AQ101" s="11">
        <v>98</v>
      </c>
      <c r="AR101" s="13"/>
      <c r="AS101" s="13"/>
      <c r="AT101" s="11">
        <v>98</v>
      </c>
      <c r="AU101" s="13"/>
      <c r="AW101" s="11">
        <v>98</v>
      </c>
      <c r="AX101" s="12"/>
      <c r="AY101" s="12"/>
      <c r="AZ101" s="12"/>
      <c r="BA101" s="12"/>
      <c r="BB101" s="12"/>
      <c r="BC101" s="12"/>
      <c r="BD101" s="12"/>
      <c r="BE101" s="12"/>
      <c r="BF101" s="24"/>
      <c r="BG101" s="29"/>
      <c r="BH101" s="12"/>
      <c r="BI101" s="12"/>
      <c r="BK101" s="11">
        <v>98</v>
      </c>
      <c r="BL101" s="12"/>
      <c r="BM101" s="13"/>
      <c r="BN101" s="13"/>
      <c r="BP101" s="11">
        <v>98</v>
      </c>
      <c r="BQ101" s="12"/>
      <c r="BR101" s="13"/>
      <c r="BS101" s="13"/>
      <c r="BU101" s="11">
        <v>98</v>
      </c>
      <c r="BV101" s="12"/>
      <c r="BW101" s="12"/>
      <c r="BX101" s="12"/>
      <c r="BZ101" s="11">
        <v>98</v>
      </c>
      <c r="CA101" s="12"/>
      <c r="CC101" s="11">
        <v>98</v>
      </c>
      <c r="CD101" s="12"/>
    </row>
    <row r="102" spans="18:82">
      <c r="R102" s="11">
        <v>99</v>
      </c>
      <c r="S102" s="12"/>
      <c r="T102" s="13"/>
      <c r="U102" s="13"/>
      <c r="W102" s="11">
        <v>99</v>
      </c>
      <c r="X102" s="12"/>
      <c r="Y102" s="13"/>
      <c r="Z102" s="13"/>
      <c r="AB102" s="11">
        <v>99</v>
      </c>
      <c r="AC102" s="12"/>
      <c r="AD102" s="12"/>
      <c r="AE102" s="12"/>
      <c r="AG102" s="11">
        <v>99</v>
      </c>
      <c r="AH102" s="12"/>
      <c r="AI102" s="12"/>
      <c r="AJ102" s="12"/>
      <c r="AL102" s="11">
        <v>99</v>
      </c>
      <c r="AM102" s="12"/>
      <c r="AN102" s="12"/>
      <c r="AO102" s="12"/>
      <c r="AQ102" s="11">
        <v>99</v>
      </c>
      <c r="AR102" s="13"/>
      <c r="AS102" s="13"/>
      <c r="AT102" s="11">
        <v>99</v>
      </c>
      <c r="AU102" s="13"/>
      <c r="AW102" s="11">
        <v>99</v>
      </c>
      <c r="AX102" s="12"/>
      <c r="AY102" s="12"/>
      <c r="AZ102" s="12"/>
      <c r="BA102" s="12"/>
      <c r="BB102" s="12"/>
      <c r="BC102" s="12"/>
      <c r="BD102" s="12"/>
      <c r="BE102" s="12"/>
      <c r="BF102" s="24"/>
      <c r="BG102" s="29"/>
      <c r="BH102" s="12"/>
      <c r="BI102" s="12"/>
      <c r="BK102" s="11">
        <v>99</v>
      </c>
      <c r="BL102" s="12"/>
      <c r="BM102" s="13"/>
      <c r="BN102" s="13"/>
      <c r="BP102" s="11">
        <v>99</v>
      </c>
      <c r="BQ102" s="12"/>
      <c r="BR102" s="13"/>
      <c r="BS102" s="13"/>
      <c r="BU102" s="11">
        <v>99</v>
      </c>
      <c r="BV102" s="12"/>
      <c r="BW102" s="12"/>
      <c r="BX102" s="12"/>
      <c r="BZ102" s="11">
        <v>99</v>
      </c>
      <c r="CA102" s="12"/>
      <c r="CC102" s="11">
        <v>99</v>
      </c>
      <c r="CD102" s="12"/>
    </row>
    <row r="103" spans="18:82">
      <c r="R103" s="11">
        <v>100</v>
      </c>
      <c r="S103" s="12"/>
      <c r="T103" s="13"/>
      <c r="U103" s="13"/>
      <c r="W103" s="11">
        <v>100</v>
      </c>
      <c r="X103" s="12"/>
      <c r="Y103" s="13"/>
      <c r="Z103" s="13"/>
      <c r="AB103" s="11">
        <v>100</v>
      </c>
      <c r="AC103" s="12"/>
      <c r="AD103" s="12"/>
      <c r="AE103" s="12"/>
      <c r="AG103" s="11">
        <v>100</v>
      </c>
      <c r="AH103" s="12"/>
      <c r="AI103" s="12"/>
      <c r="AJ103" s="12"/>
      <c r="AL103" s="11">
        <v>100</v>
      </c>
      <c r="AM103" s="12"/>
      <c r="AN103" s="12"/>
      <c r="AO103" s="12"/>
      <c r="AQ103" s="11">
        <v>100</v>
      </c>
      <c r="AR103" s="13"/>
      <c r="AS103" s="13"/>
      <c r="AT103" s="11">
        <v>100</v>
      </c>
      <c r="AU103" s="13"/>
      <c r="AW103" s="11">
        <v>100</v>
      </c>
      <c r="AX103" s="12"/>
      <c r="AY103" s="12"/>
      <c r="AZ103" s="12"/>
      <c r="BA103" s="12"/>
      <c r="BB103" s="12"/>
      <c r="BC103" s="12"/>
      <c r="BD103" s="12"/>
      <c r="BE103" s="12"/>
      <c r="BF103" s="24"/>
      <c r="BG103" s="29"/>
      <c r="BH103" s="12"/>
      <c r="BI103" s="12"/>
      <c r="BK103" s="11">
        <v>100</v>
      </c>
      <c r="BL103" s="12"/>
      <c r="BM103" s="13"/>
      <c r="BN103" s="13"/>
      <c r="BP103" s="11">
        <v>100</v>
      </c>
      <c r="BQ103" s="12"/>
      <c r="BR103" s="13"/>
      <c r="BS103" s="13"/>
      <c r="BU103" s="11">
        <v>100</v>
      </c>
      <c r="BV103" s="12"/>
      <c r="BW103" s="12"/>
      <c r="BX103" s="12"/>
      <c r="BZ103" s="11">
        <v>100</v>
      </c>
      <c r="CA103" s="12"/>
      <c r="CC103" s="11">
        <v>100</v>
      </c>
      <c r="CD103" s="12"/>
    </row>
    <row r="104" spans="18:82">
      <c r="BZ104"/>
      <c r="CA104"/>
      <c r="CD104"/>
    </row>
    <row r="111" spans="18:82">
      <c r="U111"/>
      <c r="AC111"/>
      <c r="AD111"/>
      <c r="AE111"/>
    </row>
    <row r="112" spans="18:82">
      <c r="U112" s="15"/>
      <c r="V112" s="15"/>
      <c r="W112" s="15"/>
      <c r="X112" s="15"/>
      <c r="Y112" s="15"/>
      <c r="Z112" s="15"/>
      <c r="AA112" s="15"/>
      <c r="AB112" s="15"/>
      <c r="AC112" s="15"/>
      <c r="AD112" s="15"/>
      <c r="AE112" s="15"/>
      <c r="AF112" s="15"/>
      <c r="AP112" s="15"/>
    </row>
    <row r="113" spans="9:42">
      <c r="V113" s="16"/>
      <c r="W113" s="16"/>
      <c r="X113" s="16"/>
      <c r="Y113" s="16"/>
      <c r="Z113" s="16"/>
      <c r="AA113" s="16"/>
      <c r="AB113" s="16"/>
      <c r="AF113" s="16"/>
      <c r="AP113" s="16"/>
    </row>
    <row r="126" spans="9:42">
      <c r="I126" s="34"/>
    </row>
  </sheetData>
  <mergeCells count="2">
    <mergeCell ref="J2:N2"/>
    <mergeCell ref="L5:N5"/>
  </mergeCells>
  <phoneticPr fontId="1" type="noConversion"/>
  <conditionalFormatting sqref="AF113">
    <cfRule type="cellIs" dxfId="380" priority="165" operator="equal">
      <formula>"E"</formula>
    </cfRule>
  </conditionalFormatting>
  <conditionalFormatting sqref="AB1">
    <cfRule type="cellIs" dxfId="379" priority="169" operator="equal">
      <formula>"E"</formula>
    </cfRule>
  </conditionalFormatting>
  <conditionalFormatting sqref="AB2:AB70">
    <cfRule type="cellIs" dxfId="378" priority="167" stopIfTrue="1" operator="equal">
      <formula>"WW"</formula>
    </cfRule>
    <cfRule type="cellIs" dxfId="377" priority="168" stopIfTrue="1" operator="equal">
      <formula>"C2"</formula>
    </cfRule>
  </conditionalFormatting>
  <conditionalFormatting sqref="AA113:AB113 AP113">
    <cfRule type="cellIs" dxfId="376" priority="166" operator="equal">
      <formula>"E"</formula>
    </cfRule>
  </conditionalFormatting>
  <conditionalFormatting sqref="J13">
    <cfRule type="dataBar" priority="16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{761C7010-240C-45FE-A728-AC15C0734CF7}</x14:id>
        </ext>
      </extLst>
    </cfRule>
  </conditionalFormatting>
  <conditionalFormatting sqref="AL1">
    <cfRule type="cellIs" dxfId="375" priority="160" operator="equal">
      <formula>"E"</formula>
    </cfRule>
  </conditionalFormatting>
  <conditionalFormatting sqref="AG1">
    <cfRule type="cellIs" dxfId="374" priority="163" operator="equal">
      <formula>"E"</formula>
    </cfRule>
  </conditionalFormatting>
  <conditionalFormatting sqref="AG2:AG70">
    <cfRule type="cellIs" dxfId="373" priority="161" stopIfTrue="1" operator="equal">
      <formula>"WW"</formula>
    </cfRule>
    <cfRule type="cellIs" dxfId="372" priority="162" stopIfTrue="1" operator="equal">
      <formula>"C2"</formula>
    </cfRule>
  </conditionalFormatting>
  <conditionalFormatting sqref="AL2:AL70">
    <cfRule type="cellIs" dxfId="371" priority="158" stopIfTrue="1" operator="equal">
      <formula>"WW"</formula>
    </cfRule>
    <cfRule type="cellIs" dxfId="370" priority="159" stopIfTrue="1" operator="equal">
      <formula>"C2"</formula>
    </cfRule>
  </conditionalFormatting>
  <conditionalFormatting sqref="BA3:BA12 BA43:BA103">
    <cfRule type="cellIs" dxfId="369" priority="149" operator="equal">
      <formula>"E"</formula>
    </cfRule>
  </conditionalFormatting>
  <conditionalFormatting sqref="AZ2">
    <cfRule type="cellIs" dxfId="368" priority="150" operator="equal">
      <formula>"E"</formula>
    </cfRule>
  </conditionalFormatting>
  <conditionalFormatting sqref="BI2">
    <cfRule type="cellIs" dxfId="367" priority="122" operator="equal">
      <formula>"E"</formula>
    </cfRule>
  </conditionalFormatting>
  <conditionalFormatting sqref="BA2">
    <cfRule type="cellIs" dxfId="366" priority="148" operator="equal">
      <formula>"E"</formula>
    </cfRule>
  </conditionalFormatting>
  <conditionalFormatting sqref="BB43:BB103">
    <cfRule type="cellIs" dxfId="365" priority="147" operator="equal">
      <formula>"E"</formula>
    </cfRule>
  </conditionalFormatting>
  <conditionalFormatting sqref="BB2">
    <cfRule type="cellIs" dxfId="364" priority="146" operator="equal">
      <formula>"E"</formula>
    </cfRule>
  </conditionalFormatting>
  <conditionalFormatting sqref="BC43:BC103">
    <cfRule type="cellIs" dxfId="363" priority="145" operator="equal">
      <formula>"E"</formula>
    </cfRule>
  </conditionalFormatting>
  <conditionalFormatting sqref="BC2">
    <cfRule type="cellIs" dxfId="362" priority="144" operator="equal">
      <formula>"E"</formula>
    </cfRule>
  </conditionalFormatting>
  <conditionalFormatting sqref="BD43:BD103">
    <cfRule type="cellIs" dxfId="361" priority="143" operator="equal">
      <formula>"E"</formula>
    </cfRule>
  </conditionalFormatting>
  <conditionalFormatting sqref="BD2">
    <cfRule type="cellIs" dxfId="360" priority="142" operator="equal">
      <formula>"E"</formula>
    </cfRule>
  </conditionalFormatting>
  <conditionalFormatting sqref="BE43:BE103">
    <cfRule type="cellIs" dxfId="359" priority="141" operator="equal">
      <formula>"E"</formula>
    </cfRule>
  </conditionalFormatting>
  <conditionalFormatting sqref="BE2">
    <cfRule type="cellIs" dxfId="358" priority="140" operator="equal">
      <formula>"E"</formula>
    </cfRule>
  </conditionalFormatting>
  <conditionalFormatting sqref="BF43:BF103">
    <cfRule type="cellIs" dxfId="357" priority="139" operator="equal">
      <formula>"E"</formula>
    </cfRule>
  </conditionalFormatting>
  <conditionalFormatting sqref="BF2">
    <cfRule type="cellIs" dxfId="356" priority="138" operator="equal">
      <formula>"E"</formula>
    </cfRule>
  </conditionalFormatting>
  <conditionalFormatting sqref="BB3:BB12">
    <cfRule type="cellIs" dxfId="355" priority="137" operator="equal">
      <formula>"E"</formula>
    </cfRule>
  </conditionalFormatting>
  <conditionalFormatting sqref="BE3:BE12">
    <cfRule type="cellIs" dxfId="354" priority="136" operator="equal">
      <formula>"E"</formula>
    </cfRule>
  </conditionalFormatting>
  <conditionalFormatting sqref="BF3:BF12">
    <cfRule type="cellIs" dxfId="353" priority="135" operator="equal">
      <formula>"E"</formula>
    </cfRule>
  </conditionalFormatting>
  <conditionalFormatting sqref="BG43:BG103">
    <cfRule type="cellIs" dxfId="352" priority="134" operator="equal">
      <formula>"E"</formula>
    </cfRule>
  </conditionalFormatting>
  <conditionalFormatting sqref="BG2">
    <cfRule type="cellIs" dxfId="351" priority="133" operator="equal">
      <formula>"E"</formula>
    </cfRule>
  </conditionalFormatting>
  <conditionalFormatting sqref="BG3:BG12">
    <cfRule type="cellIs" dxfId="350" priority="132" operator="equal">
      <formula>"E"</formula>
    </cfRule>
  </conditionalFormatting>
  <conditionalFormatting sqref="BH43:BH103">
    <cfRule type="cellIs" dxfId="349" priority="131" operator="equal">
      <formula>"E"</formula>
    </cfRule>
  </conditionalFormatting>
  <conditionalFormatting sqref="BH2">
    <cfRule type="cellIs" dxfId="348" priority="130" operator="equal">
      <formula>"E"</formula>
    </cfRule>
  </conditionalFormatting>
  <conditionalFormatting sqref="BH3:BH12">
    <cfRule type="cellIs" dxfId="347" priority="129" operator="equal">
      <formula>"E"</formula>
    </cfRule>
  </conditionalFormatting>
  <conditionalFormatting sqref="BU1">
    <cfRule type="cellIs" dxfId="346" priority="128" operator="equal">
      <formula>"E"</formula>
    </cfRule>
  </conditionalFormatting>
  <conditionalFormatting sqref="AX3:AX103">
    <cfRule type="cellIs" dxfId="345" priority="125" operator="equal">
      <formula>"E"</formula>
    </cfRule>
  </conditionalFormatting>
  <conditionalFormatting sqref="AX2">
    <cfRule type="cellIs" dxfId="344" priority="124" operator="equal">
      <formula>"E"</formula>
    </cfRule>
  </conditionalFormatting>
  <conditionalFormatting sqref="BI43:BI103">
    <cfRule type="cellIs" dxfId="343" priority="123" operator="equal">
      <formula>"E"</formula>
    </cfRule>
  </conditionalFormatting>
  <conditionalFormatting sqref="BA13:BA22">
    <cfRule type="cellIs" dxfId="342" priority="119" operator="equal">
      <formula>"E"</formula>
    </cfRule>
  </conditionalFormatting>
  <conditionalFormatting sqref="BH13:BH22">
    <cfRule type="cellIs" dxfId="341" priority="114" operator="equal">
      <formula>"E"</formula>
    </cfRule>
  </conditionalFormatting>
  <conditionalFormatting sqref="BE23:BE32">
    <cfRule type="cellIs" dxfId="340" priority="109" operator="equal">
      <formula>"E"</formula>
    </cfRule>
  </conditionalFormatting>
  <conditionalFormatting sqref="AZ33:AZ42">
    <cfRule type="cellIs" dxfId="339" priority="104" operator="equal">
      <formula>"E"</formula>
    </cfRule>
  </conditionalFormatting>
  <conditionalFormatting sqref="BA33:BA42">
    <cfRule type="cellIs" dxfId="338" priority="103" operator="equal">
      <formula>"E"</formula>
    </cfRule>
  </conditionalFormatting>
  <conditionalFormatting sqref="BB33:BB42">
    <cfRule type="cellIs" dxfId="337" priority="102" operator="equal">
      <formula>"E"</formula>
    </cfRule>
  </conditionalFormatting>
  <conditionalFormatting sqref="BE33:BE42">
    <cfRule type="cellIs" dxfId="336" priority="101" operator="equal">
      <formula>"E"</formula>
    </cfRule>
  </conditionalFormatting>
  <conditionalFormatting sqref="BC23:BC32">
    <cfRule type="cellIs" dxfId="335" priority="89" operator="equal">
      <formula>"E"</formula>
    </cfRule>
  </conditionalFormatting>
  <conditionalFormatting sqref="BC33:BC42">
    <cfRule type="cellIs" dxfId="334" priority="88" operator="equal">
      <formula>"E"</formula>
    </cfRule>
  </conditionalFormatting>
  <conditionalFormatting sqref="BD3:BD12">
    <cfRule type="cellIs" dxfId="333" priority="87" operator="equal">
      <formula>"E"</formula>
    </cfRule>
  </conditionalFormatting>
  <conditionalFormatting sqref="BW1 BV2:BW1048576 BX1:BX1048576">
    <cfRule type="cellIs" dxfId="332" priority="157" operator="equal">
      <formula>"E"</formula>
    </cfRule>
  </conditionalFormatting>
  <conditionalFormatting sqref="AW1">
    <cfRule type="cellIs" dxfId="331" priority="156" operator="equal">
      <formula>"E"</formula>
    </cfRule>
  </conditionalFormatting>
  <conditionalFormatting sqref="AY3:AY103">
    <cfRule type="cellIs" dxfId="330" priority="155" operator="equal">
      <formula>"E"</formula>
    </cfRule>
  </conditionalFormatting>
  <conditionalFormatting sqref="AY2">
    <cfRule type="cellIs" dxfId="329" priority="154" operator="equal">
      <formula>"E"</formula>
    </cfRule>
  </conditionalFormatting>
  <conditionalFormatting sqref="AW2:AW70">
    <cfRule type="cellIs" dxfId="328" priority="152" stopIfTrue="1" operator="equal">
      <formula>"WW"</formula>
    </cfRule>
    <cfRule type="cellIs" dxfId="327" priority="153" stopIfTrue="1" operator="equal">
      <formula>"C2"</formula>
    </cfRule>
  </conditionalFormatting>
  <conditionalFormatting sqref="AZ3:AZ12 AZ43:AZ103">
    <cfRule type="cellIs" dxfId="326" priority="151" operator="equal">
      <formula>"E"</formula>
    </cfRule>
  </conditionalFormatting>
  <conditionalFormatting sqref="BU2:BU70">
    <cfRule type="cellIs" dxfId="325" priority="126" stopIfTrue="1" operator="equal">
      <formula>"WW"</formula>
    </cfRule>
    <cfRule type="cellIs" dxfId="324" priority="127" stopIfTrue="1" operator="equal">
      <formula>"C2"</formula>
    </cfRule>
  </conditionalFormatting>
  <conditionalFormatting sqref="BI3:BI12">
    <cfRule type="cellIs" dxfId="323" priority="121" operator="equal">
      <formula>"E"</formula>
    </cfRule>
  </conditionalFormatting>
  <conditionalFormatting sqref="AZ13:AZ22">
    <cfRule type="cellIs" dxfId="322" priority="120" operator="equal">
      <formula>"E"</formula>
    </cfRule>
  </conditionalFormatting>
  <conditionalFormatting sqref="BB13:BB22">
    <cfRule type="cellIs" dxfId="321" priority="118" operator="equal">
      <formula>"E"</formula>
    </cfRule>
  </conditionalFormatting>
  <conditionalFormatting sqref="BF13:BF22">
    <cfRule type="cellIs" dxfId="320" priority="116" operator="equal">
      <formula>"E"</formula>
    </cfRule>
  </conditionalFormatting>
  <conditionalFormatting sqref="BE13:BE22">
    <cfRule type="cellIs" dxfId="319" priority="117" operator="equal">
      <formula>"E"</formula>
    </cfRule>
  </conditionalFormatting>
  <conditionalFormatting sqref="BG13:BG22">
    <cfRule type="cellIs" dxfId="318" priority="115" operator="equal">
      <formula>"E"</formula>
    </cfRule>
  </conditionalFormatting>
  <conditionalFormatting sqref="BI13:BI22">
    <cfRule type="cellIs" dxfId="317" priority="113" operator="equal">
      <formula>"E"</formula>
    </cfRule>
  </conditionalFormatting>
  <conditionalFormatting sqref="AZ23:AZ32">
    <cfRule type="cellIs" dxfId="316" priority="112" operator="equal">
      <formula>"E"</formula>
    </cfRule>
  </conditionalFormatting>
  <conditionalFormatting sqref="BA23:BA32">
    <cfRule type="cellIs" dxfId="315" priority="111" operator="equal">
      <formula>"E"</formula>
    </cfRule>
  </conditionalFormatting>
  <conditionalFormatting sqref="BB23:BB32">
    <cfRule type="cellIs" dxfId="314" priority="110" operator="equal">
      <formula>"E"</formula>
    </cfRule>
  </conditionalFormatting>
  <conditionalFormatting sqref="BH23:BH32">
    <cfRule type="cellIs" dxfId="313" priority="106" operator="equal">
      <formula>"E"</formula>
    </cfRule>
  </conditionalFormatting>
  <conditionalFormatting sqref="BF23:BF32">
    <cfRule type="cellIs" dxfId="312" priority="108" operator="equal">
      <formula>"E"</formula>
    </cfRule>
  </conditionalFormatting>
  <conditionalFormatting sqref="BG23:BG32">
    <cfRule type="cellIs" dxfId="311" priority="107" operator="equal">
      <formula>"E"</formula>
    </cfRule>
  </conditionalFormatting>
  <conditionalFormatting sqref="BI23:BI32">
    <cfRule type="cellIs" dxfId="310" priority="105" operator="equal">
      <formula>"E"</formula>
    </cfRule>
  </conditionalFormatting>
  <conditionalFormatting sqref="BH33:BH42">
    <cfRule type="cellIs" dxfId="309" priority="98" operator="equal">
      <formula>"E"</formula>
    </cfRule>
  </conditionalFormatting>
  <conditionalFormatting sqref="BF33:BF42">
    <cfRule type="cellIs" dxfId="308" priority="100" operator="equal">
      <formula>"E"</formula>
    </cfRule>
  </conditionalFormatting>
  <conditionalFormatting sqref="BG33:BG42">
    <cfRule type="cellIs" dxfId="307" priority="99" operator="equal">
      <formula>"E"</formula>
    </cfRule>
  </conditionalFormatting>
  <conditionalFormatting sqref="BI33:BI42">
    <cfRule type="cellIs" dxfId="306" priority="97" operator="equal">
      <formula>"E"</formula>
    </cfRule>
  </conditionalFormatting>
  <conditionalFormatting sqref="CC1">
    <cfRule type="cellIs" dxfId="305" priority="96" operator="equal">
      <formula>"E"</formula>
    </cfRule>
  </conditionalFormatting>
  <conditionalFormatting sqref="CC2:CC70">
    <cfRule type="cellIs" dxfId="304" priority="93" stopIfTrue="1" operator="equal">
      <formula>"WW"</formula>
    </cfRule>
    <cfRule type="cellIs" dxfId="303" priority="94" stopIfTrue="1" operator="equal">
      <formula>"C2"</formula>
    </cfRule>
  </conditionalFormatting>
  <conditionalFormatting sqref="BC3:BC12">
    <cfRule type="cellIs" dxfId="302" priority="91" operator="equal">
      <formula>"E"</formula>
    </cfRule>
  </conditionalFormatting>
  <conditionalFormatting sqref="BC13:BC22">
    <cfRule type="cellIs" dxfId="301" priority="90" operator="equal">
      <formula>"E"</formula>
    </cfRule>
  </conditionalFormatting>
  <conditionalFormatting sqref="BD13:BD22">
    <cfRule type="cellIs" dxfId="300" priority="86" operator="equal">
      <formula>"E"</formula>
    </cfRule>
  </conditionalFormatting>
  <conditionalFormatting sqref="BD23:BD32">
    <cfRule type="cellIs" dxfId="299" priority="85" operator="equal">
      <formula>"E"</formula>
    </cfRule>
  </conditionalFormatting>
  <conditionalFormatting sqref="BD33:BD42">
    <cfRule type="cellIs" dxfId="298" priority="84" operator="equal">
      <formula>"E"</formula>
    </cfRule>
  </conditionalFormatting>
  <conditionalFormatting sqref="AD1:AE1">
    <cfRule type="cellIs" dxfId="297" priority="83" operator="equal">
      <formula>"E"</formula>
    </cfRule>
  </conditionalFormatting>
  <conditionalFormatting sqref="AC39:AE110 AC114:AE1048576 AC3:AC38">
    <cfRule type="cellIs" dxfId="296" priority="82" operator="equal">
      <formula>"E"</formula>
    </cfRule>
  </conditionalFormatting>
  <conditionalFormatting sqref="AC2:AE2">
    <cfRule type="cellIs" dxfId="295" priority="81" operator="equal">
      <formula>"E"</formula>
    </cfRule>
  </conditionalFormatting>
  <conditionalFormatting sqref="AC113:AE113">
    <cfRule type="cellIs" dxfId="294" priority="80" operator="equal">
      <formula>"E"</formula>
    </cfRule>
  </conditionalFormatting>
  <conditionalFormatting sqref="AE4:AE38">
    <cfRule type="cellIs" dxfId="293" priority="79" operator="equal">
      <formula>"E"</formula>
    </cfRule>
  </conditionalFormatting>
  <conditionalFormatting sqref="AD3:AD38 AE3">
    <cfRule type="cellIs" dxfId="292" priority="78" operator="equal">
      <formula>"E"</formula>
    </cfRule>
  </conditionalFormatting>
  <conditionalFormatting sqref="AM53:AO103">
    <cfRule type="cellIs" dxfId="291" priority="68" operator="equal">
      <formula>"E"</formula>
    </cfRule>
  </conditionalFormatting>
  <conditionalFormatting sqref="AM2:AO2">
    <cfRule type="cellIs" dxfId="290" priority="67" operator="equal">
      <formula>"E"</formula>
    </cfRule>
  </conditionalFormatting>
  <conditionalFormatting sqref="AI1:AJ1">
    <cfRule type="cellIs" dxfId="289" priority="77" operator="equal">
      <formula>"E"</formula>
    </cfRule>
  </conditionalFormatting>
  <conditionalFormatting sqref="AH53:AJ103">
    <cfRule type="cellIs" dxfId="288" priority="76" operator="equal">
      <formula>"E"</formula>
    </cfRule>
  </conditionalFormatting>
  <conditionalFormatting sqref="AH2:AJ2">
    <cfRule type="cellIs" dxfId="287" priority="75" operator="equal">
      <formula>"E"</formula>
    </cfRule>
  </conditionalFormatting>
  <conditionalFormatting sqref="AN1:AO1">
    <cfRule type="cellIs" dxfId="286" priority="69" operator="equal">
      <formula>"E"</formula>
    </cfRule>
  </conditionalFormatting>
  <conditionalFormatting sqref="S1:U110 X2:Z2 S114:U1048576 S111:T113 X53:Z103 X39:X52">
    <cfRule type="cellIs" dxfId="285" priority="58" operator="equal">
      <formula>"E"</formula>
    </cfRule>
  </conditionalFormatting>
  <conditionalFormatting sqref="X3:Z38 Y39:Z52">
    <cfRule type="cellIs" dxfId="284" priority="57" operator="equal">
      <formula>"E"</formula>
    </cfRule>
  </conditionalFormatting>
  <conditionalFormatting sqref="R1:R70">
    <cfRule type="cellIs" dxfId="283" priority="59" stopIfTrue="1" operator="equal">
      <formula>"WW"</formula>
    </cfRule>
    <cfRule type="cellIs" dxfId="282" priority="170" stopIfTrue="1" operator="equal">
      <formula>"C2"</formula>
    </cfRule>
  </conditionalFormatting>
  <conditionalFormatting sqref="S3:U103">
    <cfRule type="cellIs" dxfId="281" priority="60" operator="equal">
      <formula>"M4"</formula>
    </cfRule>
    <cfRule type="cellIs" dxfId="280" priority="171" operator="equal">
      <formula>"M3"</formula>
    </cfRule>
    <cfRule type="cellIs" dxfId="279" priority="171" operator="equal">
      <formula>"M2"</formula>
    </cfRule>
    <cfRule type="cellIs" dxfId="278" priority="171" operator="equal">
      <formula>"M1"</formula>
    </cfRule>
  </conditionalFormatting>
  <conditionalFormatting sqref="W2:W70">
    <cfRule type="cellIs" dxfId="277" priority="61" stopIfTrue="1" operator="equal">
      <formula>"WW"</formula>
    </cfRule>
    <cfRule type="cellIs" dxfId="276" priority="172" stopIfTrue="1" operator="equal">
      <formula>"C2"</formula>
    </cfRule>
  </conditionalFormatting>
  <conditionalFormatting sqref="X53:Z103 X39:X52">
    <cfRule type="cellIs" dxfId="275" priority="62" operator="equal">
      <formula>"M4"</formula>
    </cfRule>
    <cfRule type="cellIs" dxfId="274" priority="173" operator="equal">
      <formula>"M3"</formula>
    </cfRule>
    <cfRule type="cellIs" dxfId="273" priority="173" operator="equal">
      <formula>"M2"</formula>
    </cfRule>
    <cfRule type="cellIs" dxfId="272" priority="173" operator="equal">
      <formula>"M1"</formula>
    </cfRule>
  </conditionalFormatting>
  <conditionalFormatting sqref="U113:Z113">
    <cfRule type="cellIs" dxfId="271" priority="56" operator="equal">
      <formula>"E"</formula>
    </cfRule>
  </conditionalFormatting>
  <conditionalFormatting sqref="X3:Z38 Y39:Z52">
    <cfRule type="cellIs" dxfId="270" priority="55" operator="equal">
      <formula>"M4"</formula>
    </cfRule>
    <cfRule type="cellIs" dxfId="269" priority="174" operator="equal">
      <formula>"M3"</formula>
    </cfRule>
    <cfRule type="cellIs" dxfId="268" priority="174" operator="equal">
      <formula>"M2"</formula>
    </cfRule>
    <cfRule type="cellIs" dxfId="267" priority="174" operator="equal">
      <formula>"M1"</formula>
    </cfRule>
  </conditionalFormatting>
  <conditionalFormatting sqref="AS39:AS103 AU2 AR1:AR1048576">
    <cfRule type="cellIs" dxfId="266" priority="53" operator="equal">
      <formula>"E"</formula>
    </cfRule>
  </conditionalFormatting>
  <conditionalFormatting sqref="AQ1">
    <cfRule type="cellIs" dxfId="265" priority="52" operator="equal">
      <formula>"E"</formula>
    </cfRule>
  </conditionalFormatting>
  <conditionalFormatting sqref="AT1">
    <cfRule type="cellIs" dxfId="264" priority="51" operator="equal">
      <formula>"E"</formula>
    </cfRule>
  </conditionalFormatting>
  <conditionalFormatting sqref="AS39:AS103 AR3:AR103">
    <cfRule type="cellIs" dxfId="263" priority="39" operator="equal">
      <formula>"RE"</formula>
    </cfRule>
    <cfRule type="cellIs" dxfId="262" priority="40" operator="equal">
      <formula>"3000"</formula>
    </cfRule>
    <cfRule type="cellIs" dxfId="261" priority="41" operator="equal">
      <formula>"300"</formula>
    </cfRule>
    <cfRule type="cellIs" dxfId="260" priority="42" operator="equal">
      <formula>"100"</formula>
    </cfRule>
    <cfRule type="cellIs" dxfId="259" priority="43" operator="equal">
      <formula>"50"</formula>
    </cfRule>
    <cfRule type="cellIs" dxfId="258" priority="44" operator="equal">
      <formula>"40"</formula>
    </cfRule>
    <cfRule type="cellIs" dxfId="257" priority="45" operator="equal">
      <formula>"20"</formula>
    </cfRule>
  </conditionalFormatting>
  <conditionalFormatting sqref="AR1 AR104:AR1048576">
    <cfRule type="cellIs" dxfId="256" priority="46" operator="equal">
      <formula>"M4"</formula>
    </cfRule>
    <cfRule type="cellIs" dxfId="255" priority="47" operator="equal">
      <formula>"M3"</formula>
    </cfRule>
    <cfRule type="cellIs" dxfId="254" priority="48" operator="equal">
      <formula>"M1"</formula>
    </cfRule>
    <cfRule type="cellIs" dxfId="253" priority="49" operator="equal">
      <formula>"M2"</formula>
    </cfRule>
    <cfRule type="cellIs" dxfId="252" priority="50" stopIfTrue="1" operator="between">
      <formula>"C1"</formula>
      <formula>"C2"</formula>
    </cfRule>
  </conditionalFormatting>
  <conditionalFormatting sqref="AQ2:AQ70">
    <cfRule type="cellIs" dxfId="251" priority="37" stopIfTrue="1" operator="equal">
      <formula>"WW"</formula>
    </cfRule>
    <cfRule type="cellIs" dxfId="250" priority="38" stopIfTrue="1" operator="equal">
      <formula>"C2"</formula>
    </cfRule>
  </conditionalFormatting>
  <conditionalFormatting sqref="AT2:AT70">
    <cfRule type="cellIs" dxfId="249" priority="35" stopIfTrue="1" operator="equal">
      <formula>"WW"</formula>
    </cfRule>
    <cfRule type="cellIs" dxfId="248" priority="36" stopIfTrue="1" operator="equal">
      <formula>"C2"</formula>
    </cfRule>
  </conditionalFormatting>
  <conditionalFormatting sqref="AU43:AU103">
    <cfRule type="cellIs" dxfId="247" priority="34" operator="equal">
      <formula>"E"</formula>
    </cfRule>
  </conditionalFormatting>
  <conditionalFormatting sqref="AU43:AU103">
    <cfRule type="cellIs" dxfId="246" priority="31" operator="equal">
      <formula>"M3"</formula>
    </cfRule>
    <cfRule type="cellIs" dxfId="245" priority="32" operator="equal">
      <formula>"M2"</formula>
    </cfRule>
    <cfRule type="cellIs" dxfId="244" priority="33" operator="equal">
      <formula>"M1"</formula>
    </cfRule>
    <cfRule type="cellIs" dxfId="243" priority="54" operator="equal">
      <formula>"M4"</formula>
    </cfRule>
  </conditionalFormatting>
  <conditionalFormatting sqref="AU3:AU42">
    <cfRule type="cellIs" dxfId="242" priority="30" operator="equal">
      <formula>"E"</formula>
    </cfRule>
  </conditionalFormatting>
  <conditionalFormatting sqref="AU3:AU42">
    <cfRule type="cellIs" dxfId="241" priority="29" operator="equal">
      <formula>"M4"</formula>
    </cfRule>
    <cfRule type="cellIs" dxfId="240" priority="175" operator="equal">
      <formula>"M3"</formula>
    </cfRule>
    <cfRule type="cellIs" dxfId="239" priority="175" operator="equal">
      <formula>"M2"</formula>
    </cfRule>
    <cfRule type="cellIs" dxfId="238" priority="175" operator="equal">
      <formula>"M1"</formula>
    </cfRule>
  </conditionalFormatting>
  <conditionalFormatting sqref="AU3:AU42">
    <cfRule type="cellIs" dxfId="237" priority="27" operator="equal">
      <formula>"RE"</formula>
    </cfRule>
    <cfRule type="cellIs" dxfId="236" priority="28" operator="equal">
      <formula>"20"</formula>
    </cfRule>
    <cfRule type="cellIs" dxfId="235" priority="176" operator="equal">
      <formula>"3000"</formula>
    </cfRule>
    <cfRule type="cellIs" dxfId="234" priority="176" operator="equal">
      <formula>"300"</formula>
    </cfRule>
    <cfRule type="cellIs" dxfId="233" priority="176" operator="equal">
      <formula>"100"</formula>
    </cfRule>
    <cfRule type="cellIs" dxfId="232" priority="176" operator="equal">
      <formula>"50"</formula>
    </cfRule>
    <cfRule type="cellIs" dxfId="231" priority="176" operator="equal">
      <formula>"40"</formula>
    </cfRule>
  </conditionalFormatting>
  <conditionalFormatting sqref="BL1:BN103">
    <cfRule type="cellIs" dxfId="230" priority="24" operator="equal">
      <formula>"E"</formula>
    </cfRule>
  </conditionalFormatting>
  <conditionalFormatting sqref="BQ2:BS2 BQ53:BS103 BQ39:BQ52">
    <cfRule type="cellIs" dxfId="229" priority="23" operator="equal">
      <formula>"E"</formula>
    </cfRule>
  </conditionalFormatting>
  <conditionalFormatting sqref="BK1:BK70">
    <cfRule type="cellIs" dxfId="228" priority="25" stopIfTrue="1" operator="equal">
      <formula>"WW"</formula>
    </cfRule>
    <cfRule type="cellIs" dxfId="227" priority="177" stopIfTrue="1" operator="equal">
      <formula>"C2"</formula>
    </cfRule>
  </conditionalFormatting>
  <conditionalFormatting sqref="BL3:BN103">
    <cfRule type="cellIs" dxfId="226" priority="26" operator="equal">
      <formula>"M4"</formula>
    </cfRule>
    <cfRule type="cellIs" dxfId="225" priority="178" operator="equal">
      <formula>"M3"</formula>
    </cfRule>
    <cfRule type="cellIs" dxfId="224" priority="178" operator="equal">
      <formula>"M2"</formula>
    </cfRule>
    <cfRule type="cellIs" dxfId="223" priority="178" operator="equal">
      <formula>"M1"</formula>
    </cfRule>
  </conditionalFormatting>
  <conditionalFormatting sqref="BP2:BP70">
    <cfRule type="cellIs" dxfId="222" priority="21" stopIfTrue="1" operator="equal">
      <formula>"WW"</formula>
    </cfRule>
    <cfRule type="cellIs" dxfId="221" priority="22" stopIfTrue="1" operator="equal">
      <formula>"C2"</formula>
    </cfRule>
  </conditionalFormatting>
  <conditionalFormatting sqref="BQ53:BS103 BQ39:BQ52">
    <cfRule type="cellIs" dxfId="220" priority="17" operator="equal">
      <formula>"M4"</formula>
    </cfRule>
    <cfRule type="cellIs" dxfId="219" priority="18" operator="equal">
      <formula>"M3"</formula>
    </cfRule>
    <cfRule type="cellIs" dxfId="218" priority="19" operator="equal">
      <formula>"M2"</formula>
    </cfRule>
    <cfRule type="cellIs" dxfId="217" priority="20" operator="equal">
      <formula>"M1"</formula>
    </cfRule>
  </conditionalFormatting>
  <conditionalFormatting sqref="BQ3:BS38 BR39:BS52">
    <cfRule type="cellIs" dxfId="216" priority="16" operator="equal">
      <formula>"E"</formula>
    </cfRule>
  </conditionalFormatting>
  <conditionalFormatting sqref="BR3:BS52">
    <cfRule type="cellIs" dxfId="215" priority="15" operator="equal">
      <formula>"M4"</formula>
    </cfRule>
    <cfRule type="cellIs" dxfId="214" priority="179" operator="equal">
      <formula>"M3"</formula>
    </cfRule>
    <cfRule type="cellIs" dxfId="213" priority="179" operator="equal">
      <formula>"M2"</formula>
    </cfRule>
    <cfRule type="cellIs" dxfId="212" priority="179" operator="equal">
      <formula>"M1"</formula>
    </cfRule>
  </conditionalFormatting>
  <conditionalFormatting sqref="BQ3:BS38 BR39:BS52">
    <cfRule type="cellIs" dxfId="211" priority="14" operator="equal">
      <formula>"M4"</formula>
    </cfRule>
    <cfRule type="cellIs" dxfId="210" priority="180" operator="equal">
      <formula>"M3"</formula>
    </cfRule>
    <cfRule type="cellIs" dxfId="209" priority="180" operator="equal">
      <formula>"M2"</formula>
    </cfRule>
    <cfRule type="cellIs" dxfId="208" priority="180" operator="equal">
      <formula>"M1"</formula>
    </cfRule>
  </conditionalFormatting>
  <conditionalFormatting sqref="BZ1:BZ70">
    <cfRule type="cellIs" dxfId="207" priority="10" stopIfTrue="1" operator="equal">
      <formula>"C2"</formula>
    </cfRule>
    <cfRule type="cellIs" dxfId="206" priority="11" stopIfTrue="1" operator="equal">
      <formula>"WW"</formula>
    </cfRule>
  </conditionalFormatting>
  <conditionalFormatting sqref="CA3:CA103">
    <cfRule type="cellIs" dxfId="205" priority="12" operator="equal">
      <formula>"M2"</formula>
    </cfRule>
    <cfRule type="cellIs" dxfId="204" priority="12" operator="equal">
      <formula>"M4"</formula>
    </cfRule>
    <cfRule type="cellIs" dxfId="203" priority="13" operator="equal">
      <formula>"M1"</formula>
    </cfRule>
    <cfRule type="cellIs" dxfId="202" priority="181" operator="equal">
      <formula>"M3"</formula>
    </cfRule>
  </conditionalFormatting>
  <conditionalFormatting sqref="CA1:CA103 CA105:CA1048576">
    <cfRule type="cellIs" dxfId="201" priority="182" operator="equal">
      <formula>"E"</formula>
    </cfRule>
  </conditionalFormatting>
  <conditionalFormatting sqref="CD2">
    <cfRule type="cellIs" dxfId="200" priority="9" operator="equal">
      <formula>"E"</formula>
    </cfRule>
  </conditionalFormatting>
  <conditionalFormatting sqref="CD11:CD103 CD105:CD1048576">
    <cfRule type="cellIs" dxfId="199" priority="8" operator="equal">
      <formula>"E"</formula>
    </cfRule>
  </conditionalFormatting>
  <conditionalFormatting sqref="CD3:CD10">
    <cfRule type="cellIs" dxfId="198" priority="7" operator="equal">
      <formula>"E"</formula>
    </cfRule>
  </conditionalFormatting>
  <conditionalFormatting sqref="AH39:AJ52 AH3:AH38">
    <cfRule type="cellIs" dxfId="197" priority="6" operator="equal">
      <formula>"E"</formula>
    </cfRule>
  </conditionalFormatting>
  <conditionalFormatting sqref="AJ4:AJ38">
    <cfRule type="cellIs" dxfId="196" priority="5" operator="equal">
      <formula>"E"</formula>
    </cfRule>
  </conditionalFormatting>
  <conditionalFormatting sqref="AI3:AI38 AJ3">
    <cfRule type="cellIs" dxfId="195" priority="4" operator="equal">
      <formula>"E"</formula>
    </cfRule>
  </conditionalFormatting>
  <conditionalFormatting sqref="AM39:AO52 AM3:AM38">
    <cfRule type="cellIs" dxfId="194" priority="3" operator="equal">
      <formula>"E"</formula>
    </cfRule>
  </conditionalFormatting>
  <conditionalFormatting sqref="AO4:AO38">
    <cfRule type="cellIs" dxfId="193" priority="2" operator="equal">
      <formula>"E"</formula>
    </cfRule>
  </conditionalFormatting>
  <conditionalFormatting sqref="AN3:AN38 AO3">
    <cfRule type="cellIs" dxfId="192" priority="1" operator="equal">
      <formula>"E"</formula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61C7010-240C-45FE-A728-AC15C0734CF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J13</xm:sqref>
        </x14:conditionalFormatting>
      </x14:conditionalFormatting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B8D6F7-A52C-4FC6-9525-28947341138D}">
  <dimension ref="A1:CD126"/>
  <sheetViews>
    <sheetView workbookViewId="0">
      <selection sqref="A1:C1"/>
    </sheetView>
  </sheetViews>
  <sheetFormatPr defaultRowHeight="16.2"/>
  <cols>
    <col min="1" max="1" width="14.44140625" customWidth="1"/>
    <col min="2" max="2" width="5.77734375" customWidth="1"/>
    <col min="3" max="3" width="20.109375" customWidth="1"/>
    <col min="4" max="4" width="8.77734375" customWidth="1"/>
    <col min="5" max="5" width="7.21875" customWidth="1"/>
    <col min="6" max="6" width="7.77734375" customWidth="1"/>
    <col min="10" max="10" width="12.88671875" customWidth="1"/>
    <col min="13" max="15" width="8.6640625" customWidth="1"/>
    <col min="16" max="16" width="10.44140625" bestFit="1" customWidth="1"/>
    <col min="18" max="18" width="10.6640625" style="15" customWidth="1"/>
    <col min="19" max="21" width="9.77734375" style="16" customWidth="1"/>
    <col min="22" max="22" width="3.77734375" customWidth="1"/>
    <col min="24" max="26" width="4.44140625" customWidth="1"/>
    <col min="27" max="27" width="3.77734375" customWidth="1"/>
    <col min="28" max="28" width="9.88671875" customWidth="1"/>
    <col min="29" max="31" width="5.44140625" style="16" customWidth="1"/>
    <col min="32" max="32" width="3.6640625" customWidth="1"/>
    <col min="34" max="36" width="5.33203125" customWidth="1"/>
    <col min="37" max="37" width="3.44140625" customWidth="1"/>
    <col min="39" max="41" width="5.33203125" customWidth="1"/>
    <col min="42" max="42" width="13.44140625" customWidth="1"/>
    <col min="44" max="44" width="13.44140625" style="16" customWidth="1"/>
    <col min="45" max="45" width="3.77734375" customWidth="1"/>
    <col min="48" max="48" width="3.77734375" customWidth="1"/>
    <col min="49" max="49" width="12.44140625" customWidth="1"/>
    <col min="59" max="59" width="9.44140625" style="26" customWidth="1"/>
    <col min="60" max="60" width="8.88671875" customWidth="1"/>
    <col min="61" max="61" width="15.33203125" customWidth="1"/>
    <col min="72" max="72" width="3.77734375" customWidth="1"/>
    <col min="73" max="73" width="9.88671875" customWidth="1"/>
    <col min="74" max="74" width="8.77734375" style="16" customWidth="1"/>
    <col min="75" max="76" width="5.44140625" style="16" customWidth="1"/>
    <col min="78" max="78" width="10.6640625" style="15" bestFit="1" customWidth="1"/>
    <col min="79" max="79" width="9.77734375" style="16" customWidth="1"/>
    <col min="80" max="80" width="6.44140625" customWidth="1"/>
    <col min="81" max="81" width="9.88671875" customWidth="1"/>
    <col min="82" max="82" width="12.21875" style="16" customWidth="1"/>
  </cols>
  <sheetData>
    <row r="1" spans="1:82">
      <c r="A1" s="30" t="s">
        <v>115</v>
      </c>
      <c r="D1" s="119">
        <v>10</v>
      </c>
      <c r="E1" s="119">
        <v>0</v>
      </c>
      <c r="F1" s="119">
        <v>0</v>
      </c>
      <c r="R1" s="9" t="s">
        <v>41</v>
      </c>
      <c r="S1" s="10"/>
      <c r="T1" s="10"/>
      <c r="U1" s="10"/>
      <c r="W1" s="18" t="s">
        <v>30</v>
      </c>
      <c r="AB1" s="10" t="s">
        <v>93</v>
      </c>
      <c r="AD1" s="10"/>
      <c r="AE1" s="10"/>
      <c r="AG1" s="10" t="s">
        <v>94</v>
      </c>
      <c r="AH1" s="16"/>
      <c r="AI1" s="10"/>
      <c r="AJ1" s="10"/>
      <c r="AL1" s="10" t="s">
        <v>95</v>
      </c>
      <c r="AM1" s="16"/>
      <c r="AN1" s="10"/>
      <c r="AO1" s="10"/>
      <c r="AQ1" s="19" t="s">
        <v>31</v>
      </c>
      <c r="AR1" s="10"/>
      <c r="AT1" s="19" t="s">
        <v>32</v>
      </c>
      <c r="AW1" s="19" t="s">
        <v>33</v>
      </c>
      <c r="AX1" s="16" t="s">
        <v>60</v>
      </c>
      <c r="AY1" s="16" t="s">
        <v>48</v>
      </c>
      <c r="AZ1" s="16" t="s">
        <v>49</v>
      </c>
      <c r="BA1" s="16" t="s">
        <v>50</v>
      </c>
      <c r="BB1" s="16" t="s">
        <v>51</v>
      </c>
      <c r="BC1" s="16" t="s">
        <v>52</v>
      </c>
      <c r="BD1" s="16" t="s">
        <v>53</v>
      </c>
      <c r="BE1" s="16" t="s">
        <v>54</v>
      </c>
      <c r="BF1" s="16" t="s">
        <v>55</v>
      </c>
      <c r="BG1" s="25" t="s">
        <v>87</v>
      </c>
      <c r="BH1" s="16" t="s">
        <v>88</v>
      </c>
      <c r="BI1" s="41" t="s">
        <v>89</v>
      </c>
      <c r="BK1" s="9" t="s">
        <v>43</v>
      </c>
      <c r="BL1" s="10"/>
      <c r="BM1" s="10"/>
      <c r="BN1" s="10"/>
      <c r="BP1" s="18" t="s">
        <v>143</v>
      </c>
      <c r="BU1" s="19" t="s">
        <v>142</v>
      </c>
      <c r="BW1" s="10"/>
      <c r="BX1" s="10"/>
      <c r="BZ1" s="9" t="s">
        <v>70</v>
      </c>
      <c r="CA1" s="10"/>
      <c r="CC1" s="19" t="s">
        <v>71</v>
      </c>
    </row>
    <row r="2" spans="1:82" ht="18" customHeight="1">
      <c r="D2" s="119"/>
      <c r="E2" s="119">
        <v>1</v>
      </c>
      <c r="F2" s="119">
        <v>1</v>
      </c>
      <c r="J2" s="301" t="s">
        <v>112</v>
      </c>
      <c r="K2" s="318"/>
      <c r="L2" s="318"/>
      <c r="M2" s="318"/>
      <c r="N2" s="319"/>
      <c r="R2" s="11" t="s">
        <v>17</v>
      </c>
      <c r="S2" s="12" t="s">
        <v>0</v>
      </c>
      <c r="T2" s="13" t="s">
        <v>1</v>
      </c>
      <c r="U2" s="12" t="s">
        <v>2</v>
      </c>
      <c r="W2" s="11" t="s">
        <v>17</v>
      </c>
      <c r="X2" s="12" t="s">
        <v>0</v>
      </c>
      <c r="Y2" s="13" t="s">
        <v>1</v>
      </c>
      <c r="Z2" s="12" t="s">
        <v>2</v>
      </c>
      <c r="AB2" s="11" t="s">
        <v>17</v>
      </c>
      <c r="AC2" s="12" t="s">
        <v>0</v>
      </c>
      <c r="AD2" s="13" t="s">
        <v>1</v>
      </c>
      <c r="AE2" s="12" t="s">
        <v>2</v>
      </c>
      <c r="AG2" s="11" t="s">
        <v>17</v>
      </c>
      <c r="AH2" s="12" t="s">
        <v>0</v>
      </c>
      <c r="AI2" s="13" t="s">
        <v>1</v>
      </c>
      <c r="AJ2" s="12" t="s">
        <v>2</v>
      </c>
      <c r="AL2" s="11" t="s">
        <v>17</v>
      </c>
      <c r="AM2" s="12" t="s">
        <v>0</v>
      </c>
      <c r="AN2" s="13" t="s">
        <v>1</v>
      </c>
      <c r="AO2" s="12" t="s">
        <v>2</v>
      </c>
      <c r="AQ2" s="11" t="s">
        <v>17</v>
      </c>
      <c r="AR2" s="13" t="s">
        <v>3</v>
      </c>
      <c r="AT2" s="11" t="s">
        <v>17</v>
      </c>
      <c r="AU2" s="13" t="s">
        <v>4</v>
      </c>
      <c r="AW2" s="11" t="s">
        <v>17</v>
      </c>
      <c r="AX2" s="12" t="s">
        <v>4</v>
      </c>
      <c r="AY2" s="12" t="s">
        <v>4</v>
      </c>
      <c r="AZ2" s="12" t="s">
        <v>4</v>
      </c>
      <c r="BA2" s="12" t="s">
        <v>4</v>
      </c>
      <c r="BB2" s="12" t="s">
        <v>4</v>
      </c>
      <c r="BC2" s="12" t="s">
        <v>4</v>
      </c>
      <c r="BD2" s="12" t="s">
        <v>4</v>
      </c>
      <c r="BE2" s="12" t="s">
        <v>4</v>
      </c>
      <c r="BF2" s="24" t="s">
        <v>4</v>
      </c>
      <c r="BG2" s="29" t="s">
        <v>4</v>
      </c>
      <c r="BH2" s="12" t="s">
        <v>4</v>
      </c>
      <c r="BI2" s="12" t="s">
        <v>4</v>
      </c>
      <c r="BK2" s="11" t="s">
        <v>17</v>
      </c>
      <c r="BL2" s="12" t="s">
        <v>0</v>
      </c>
      <c r="BM2" s="13" t="s">
        <v>1</v>
      </c>
      <c r="BN2" s="12" t="s">
        <v>2</v>
      </c>
      <c r="BP2" s="11" t="s">
        <v>17</v>
      </c>
      <c r="BQ2" s="12" t="s">
        <v>0</v>
      </c>
      <c r="BR2" s="13" t="s">
        <v>1</v>
      </c>
      <c r="BS2" s="12" t="s">
        <v>2</v>
      </c>
      <c r="BU2" s="11" t="s">
        <v>17</v>
      </c>
      <c r="BV2" s="12" t="s">
        <v>0</v>
      </c>
      <c r="BW2" s="13" t="s">
        <v>1</v>
      </c>
      <c r="BX2" s="12" t="s">
        <v>2</v>
      </c>
      <c r="BZ2" s="11" t="s">
        <v>17</v>
      </c>
      <c r="CA2" s="12" t="s">
        <v>69</v>
      </c>
      <c r="CC2" s="11" t="s">
        <v>17</v>
      </c>
      <c r="CD2" s="12" t="s">
        <v>58</v>
      </c>
    </row>
    <row r="3" spans="1:82" ht="16.8">
      <c r="D3" s="119"/>
      <c r="E3" s="119">
        <v>5</v>
      </c>
      <c r="F3" s="119">
        <v>5</v>
      </c>
      <c r="H3" s="27"/>
      <c r="I3" s="27"/>
      <c r="J3" s="64" t="s">
        <v>79</v>
      </c>
      <c r="K3" s="64" t="s">
        <v>78</v>
      </c>
      <c r="L3" s="2" t="s">
        <v>80</v>
      </c>
      <c r="M3" s="2" t="s">
        <v>72</v>
      </c>
      <c r="N3" s="2" t="s">
        <v>73</v>
      </c>
      <c r="R3" s="11">
        <v>0</v>
      </c>
      <c r="S3" s="12">
        <v>1</v>
      </c>
      <c r="T3" s="12" t="s">
        <v>15</v>
      </c>
      <c r="U3" s="12" t="s">
        <v>15</v>
      </c>
      <c r="W3" s="11">
        <v>0</v>
      </c>
      <c r="X3" s="12">
        <v>2</v>
      </c>
      <c r="Y3" s="12">
        <v>0</v>
      </c>
      <c r="Z3" s="12">
        <v>0</v>
      </c>
      <c r="AB3" s="11">
        <v>0</v>
      </c>
      <c r="AC3" s="12" cm="1">
        <f t="array" ref="AC3:AC38">_xlfn.IFS(S3:S38=$D$1,1,S3:S38=$D$2,1,S3:S38&lt;&gt;"",0)</f>
        <v>0</v>
      </c>
      <c r="AD3" s="69" cm="1">
        <f t="array" ref="AD3:AD52">_xlfn.IFS(T3:T52=$E$1,1,T3:T52=$E$2,1,T3:T52=$E$3,1,T3:T52&lt;&gt;"",0)</f>
        <v>0</v>
      </c>
      <c r="AE3" s="69" cm="1">
        <f t="array" ref="AE3:AE52">_xlfn.IFS(U3:U52=$E$1,1,U3:U52=$E$2,1,U3:U52=$E$3,1,U3:U52&lt;&gt;"",0)</f>
        <v>0</v>
      </c>
      <c r="AG3" s="11">
        <v>0</v>
      </c>
      <c r="AH3" s="69" cm="1">
        <f t="array" ref="AH3:AH38">_xlfn.IFS(S3:S38=$D$19,1,S3:S38=$D$20,1,S3:S38&lt;&gt;"",0)</f>
        <v>0</v>
      </c>
      <c r="AI3" s="12" cm="1">
        <f t="array" ref="AI3:AI52">IF(T3:T52=$E$19,1,0)</f>
        <v>1</v>
      </c>
      <c r="AJ3" s="69" cm="1">
        <f t="array" ref="AJ3:AJ52">_xlfn.IFS(U3:U52=$F$19,1,U3:U52&lt;&gt;"",0)</f>
        <v>0</v>
      </c>
      <c r="AL3" s="11">
        <v>0</v>
      </c>
      <c r="AM3" s="69" cm="1">
        <f t="array" ref="AM3:AM38">IF(S3:S38=$D$37,1,0)</f>
        <v>0</v>
      </c>
      <c r="AN3" s="69" cm="1">
        <f t="array" ref="AN3:AN52">IF(T3:T52=$E$37,1,0)</f>
        <v>0</v>
      </c>
      <c r="AO3" s="69" cm="1">
        <f t="array" ref="AO3:AO52">_xlfn.IFS(U3:U52=$F$37,1,U3:U52&lt;&gt;"",0)</f>
        <v>1</v>
      </c>
      <c r="AQ3" s="11">
        <v>0</v>
      </c>
      <c r="AR3" s="14" t="s">
        <v>5</v>
      </c>
      <c r="AT3" s="11">
        <v>0</v>
      </c>
      <c r="AU3" s="12">
        <v>6</v>
      </c>
      <c r="AW3" s="11">
        <v>0</v>
      </c>
      <c r="AX3" s="12">
        <v>11</v>
      </c>
      <c r="AY3" s="12">
        <v>0</v>
      </c>
      <c r="AZ3" s="12">
        <v>90</v>
      </c>
      <c r="BA3" s="12">
        <v>5</v>
      </c>
      <c r="BB3" s="12">
        <v>5</v>
      </c>
      <c r="BC3" s="12">
        <v>5</v>
      </c>
      <c r="BD3" s="12">
        <v>5</v>
      </c>
      <c r="BE3" s="12">
        <v>5</v>
      </c>
      <c r="BF3" s="24">
        <v>5</v>
      </c>
      <c r="BG3" s="29">
        <v>5</v>
      </c>
      <c r="BH3" s="12">
        <v>0</v>
      </c>
      <c r="BI3" s="12">
        <v>0</v>
      </c>
      <c r="BK3" s="11">
        <v>0</v>
      </c>
      <c r="BL3" s="12">
        <v>1</v>
      </c>
      <c r="BM3" s="12" t="s">
        <v>15</v>
      </c>
      <c r="BN3" s="12" t="s">
        <v>15</v>
      </c>
      <c r="BP3" s="11">
        <v>0</v>
      </c>
      <c r="BQ3" s="12">
        <v>2</v>
      </c>
      <c r="BR3" s="12">
        <v>0</v>
      </c>
      <c r="BS3" s="12">
        <v>0</v>
      </c>
      <c r="BU3" s="11">
        <v>0</v>
      </c>
      <c r="BV3" s="12">
        <v>2703</v>
      </c>
      <c r="BW3" s="12">
        <v>0</v>
      </c>
      <c r="BX3" s="12">
        <v>0</v>
      </c>
      <c r="BZ3" s="11">
        <v>0</v>
      </c>
      <c r="CA3" s="12">
        <v>100</v>
      </c>
      <c r="CC3" s="11">
        <v>0</v>
      </c>
      <c r="CD3" s="12">
        <v>1</v>
      </c>
    </row>
    <row r="4" spans="1:82" ht="16.8">
      <c r="A4" s="30" t="s">
        <v>46</v>
      </c>
      <c r="B4" s="1" t="s">
        <v>86</v>
      </c>
      <c r="C4" s="2" t="s">
        <v>114</v>
      </c>
      <c r="D4" s="3" t="s">
        <v>80</v>
      </c>
      <c r="E4" s="122" t="s">
        <v>1</v>
      </c>
      <c r="F4" s="4" t="s">
        <v>2</v>
      </c>
      <c r="H4" s="27"/>
      <c r="J4" s="61" t="s">
        <v>77</v>
      </c>
      <c r="K4" s="61" t="s">
        <v>7</v>
      </c>
      <c r="L4" s="2">
        <v>8</v>
      </c>
      <c r="M4" s="2">
        <v>1</v>
      </c>
      <c r="N4" s="2">
        <v>1</v>
      </c>
      <c r="O4" s="6"/>
      <c r="R4" s="11">
        <v>1</v>
      </c>
      <c r="S4" s="12" t="s">
        <v>15</v>
      </c>
      <c r="T4" s="12">
        <v>0</v>
      </c>
      <c r="U4" s="12">
        <v>0</v>
      </c>
      <c r="W4" s="11">
        <v>1</v>
      </c>
      <c r="X4" s="12">
        <v>0</v>
      </c>
      <c r="Y4" s="12">
        <v>1</v>
      </c>
      <c r="Z4" s="12">
        <v>1</v>
      </c>
      <c r="AB4" s="11">
        <v>1</v>
      </c>
      <c r="AC4" s="12">
        <v>0</v>
      </c>
      <c r="AD4" s="69">
        <v>1</v>
      </c>
      <c r="AE4" s="69">
        <v>1</v>
      </c>
      <c r="AG4" s="11">
        <v>1</v>
      </c>
      <c r="AH4" s="69">
        <v>0</v>
      </c>
      <c r="AI4" s="12">
        <v>0</v>
      </c>
      <c r="AJ4" s="69">
        <v>0</v>
      </c>
      <c r="AL4" s="11">
        <v>1</v>
      </c>
      <c r="AM4" s="69">
        <v>0</v>
      </c>
      <c r="AN4" s="69">
        <v>0</v>
      </c>
      <c r="AO4" s="120">
        <v>0</v>
      </c>
      <c r="AQ4" s="11">
        <v>1</v>
      </c>
      <c r="AR4" s="12" t="s">
        <v>15</v>
      </c>
      <c r="AT4" s="11">
        <v>1</v>
      </c>
      <c r="AU4" s="12">
        <v>0</v>
      </c>
      <c r="AW4" s="11">
        <v>1</v>
      </c>
      <c r="AX4" s="12">
        <v>49</v>
      </c>
      <c r="AY4" s="12">
        <v>0</v>
      </c>
      <c r="AZ4" s="12">
        <v>0</v>
      </c>
      <c r="BA4" s="12">
        <v>5</v>
      </c>
      <c r="BB4" s="12">
        <v>5</v>
      </c>
      <c r="BC4" s="12">
        <v>5</v>
      </c>
      <c r="BD4" s="12">
        <v>5</v>
      </c>
      <c r="BE4" s="12">
        <v>5</v>
      </c>
      <c r="BF4" s="24">
        <v>5</v>
      </c>
      <c r="BG4" s="29">
        <v>5</v>
      </c>
      <c r="BH4" s="12">
        <v>70</v>
      </c>
      <c r="BI4" s="12">
        <v>70</v>
      </c>
      <c r="BK4" s="11">
        <v>1</v>
      </c>
      <c r="BL4" s="12" t="s">
        <v>15</v>
      </c>
      <c r="BM4" s="12">
        <v>0</v>
      </c>
      <c r="BN4" s="12">
        <v>0</v>
      </c>
      <c r="BP4" s="11">
        <v>1</v>
      </c>
      <c r="BQ4" s="12">
        <v>0</v>
      </c>
      <c r="BR4" s="12">
        <v>1</v>
      </c>
      <c r="BS4" s="12">
        <v>1</v>
      </c>
      <c r="BU4" s="11">
        <v>1</v>
      </c>
      <c r="BV4" s="12">
        <v>0</v>
      </c>
      <c r="BW4" s="12">
        <v>1</v>
      </c>
      <c r="BX4" s="12">
        <v>1</v>
      </c>
      <c r="BZ4" s="11">
        <v>1</v>
      </c>
      <c r="CA4" s="12">
        <v>30</v>
      </c>
      <c r="CC4" s="11">
        <v>1</v>
      </c>
      <c r="CD4" s="12">
        <v>1</v>
      </c>
    </row>
    <row r="5" spans="1:82" ht="16.8">
      <c r="A5" s="1" t="s">
        <v>19</v>
      </c>
      <c r="B5" s="1">
        <v>0</v>
      </c>
      <c r="C5" s="3" t="s">
        <v>25</v>
      </c>
      <c r="D5" s="3">
        <f>SUMIF(S$3:S$38,$A5,AC$3:AC$38)</f>
        <v>0</v>
      </c>
      <c r="E5" s="122">
        <f>SUMIF(T$3:T$52,$A5,AD$3:AD$52)</f>
        <v>0</v>
      </c>
      <c r="F5" s="4">
        <f>SUMIF(U$3:U$52,$A5,AE$3:AE$52)</f>
        <v>0</v>
      </c>
      <c r="H5" s="27"/>
      <c r="I5" s="27"/>
      <c r="J5" s="91"/>
      <c r="K5" s="91"/>
      <c r="L5" s="320" t="s">
        <v>84</v>
      </c>
      <c r="M5" s="320"/>
      <c r="N5" s="320"/>
      <c r="R5" s="11">
        <v>2</v>
      </c>
      <c r="S5" s="12">
        <v>5</v>
      </c>
      <c r="T5" s="12" t="s">
        <v>15</v>
      </c>
      <c r="U5" s="12" t="s">
        <v>15</v>
      </c>
      <c r="W5" s="11">
        <v>2</v>
      </c>
      <c r="X5" s="12">
        <v>3</v>
      </c>
      <c r="Y5" s="12">
        <v>0</v>
      </c>
      <c r="Z5" s="12">
        <v>0</v>
      </c>
      <c r="AB5" s="11">
        <v>2</v>
      </c>
      <c r="AC5" s="12">
        <v>0</v>
      </c>
      <c r="AD5" s="69">
        <v>0</v>
      </c>
      <c r="AE5" s="69">
        <v>0</v>
      </c>
      <c r="AG5" s="11">
        <v>2</v>
      </c>
      <c r="AH5" s="69">
        <v>0</v>
      </c>
      <c r="AI5" s="12">
        <v>1</v>
      </c>
      <c r="AJ5" s="69">
        <v>0</v>
      </c>
      <c r="AL5" s="11">
        <v>2</v>
      </c>
      <c r="AM5" s="69">
        <v>0</v>
      </c>
      <c r="AN5" s="69">
        <v>0</v>
      </c>
      <c r="AO5" s="120">
        <v>1</v>
      </c>
      <c r="AQ5" s="11">
        <v>2</v>
      </c>
      <c r="AR5" s="14" t="s">
        <v>7</v>
      </c>
      <c r="AT5" s="11">
        <v>2</v>
      </c>
      <c r="AU5" s="12">
        <v>9</v>
      </c>
      <c r="AW5" s="11">
        <v>2</v>
      </c>
      <c r="AX5" s="12">
        <v>1</v>
      </c>
      <c r="AY5" s="12">
        <v>9</v>
      </c>
      <c r="AZ5" s="12">
        <v>25</v>
      </c>
      <c r="BA5" s="12">
        <v>5</v>
      </c>
      <c r="BB5" s="12">
        <v>5</v>
      </c>
      <c r="BC5" s="12">
        <v>5</v>
      </c>
      <c r="BD5" s="12">
        <v>5</v>
      </c>
      <c r="BE5" s="12">
        <v>5</v>
      </c>
      <c r="BF5" s="24">
        <v>5</v>
      </c>
      <c r="BG5" s="29">
        <v>5</v>
      </c>
      <c r="BH5" s="12">
        <v>0</v>
      </c>
      <c r="BI5" s="12">
        <v>0</v>
      </c>
      <c r="BK5" s="11">
        <v>2</v>
      </c>
      <c r="BL5" s="12">
        <v>5</v>
      </c>
      <c r="BM5" s="12" t="s">
        <v>15</v>
      </c>
      <c r="BN5" s="12" t="s">
        <v>15</v>
      </c>
      <c r="BP5" s="11">
        <v>2</v>
      </c>
      <c r="BQ5" s="12">
        <v>3</v>
      </c>
      <c r="BR5" s="12">
        <v>0</v>
      </c>
      <c r="BS5" s="12">
        <v>0</v>
      </c>
      <c r="BU5" s="11">
        <v>2</v>
      </c>
      <c r="BV5" s="12">
        <v>372</v>
      </c>
      <c r="BW5" s="12">
        <v>0</v>
      </c>
      <c r="BX5" s="12">
        <v>0</v>
      </c>
      <c r="BZ5" s="11">
        <v>2</v>
      </c>
      <c r="CA5" s="12">
        <v>500</v>
      </c>
      <c r="CC5" s="11">
        <v>2</v>
      </c>
      <c r="CD5" s="12">
        <v>1</v>
      </c>
    </row>
    <row r="6" spans="1:82">
      <c r="A6" s="20">
        <v>0</v>
      </c>
      <c r="B6" s="20">
        <v>1</v>
      </c>
      <c r="C6" s="5">
        <v>0</v>
      </c>
      <c r="D6" s="37">
        <f t="shared" ref="D6:D16" si="0">SUMIF(S$3:S$38,$A6,AC$3:AC$38)</f>
        <v>0</v>
      </c>
      <c r="E6" s="121">
        <f t="shared" ref="E6:F16" si="1">SUMIF(T$3:T$52,$A6,AD$3:AD$52)</f>
        <v>5</v>
      </c>
      <c r="F6" s="7">
        <f t="shared" si="1"/>
        <v>5</v>
      </c>
      <c r="H6" s="27"/>
      <c r="I6" s="27"/>
      <c r="J6" s="27"/>
      <c r="R6" s="11">
        <v>3</v>
      </c>
      <c r="S6" s="12" t="s">
        <v>15</v>
      </c>
      <c r="T6" s="12">
        <v>1</v>
      </c>
      <c r="U6" s="12">
        <v>1</v>
      </c>
      <c r="W6" s="11">
        <v>3</v>
      </c>
      <c r="X6" s="12">
        <v>0</v>
      </c>
      <c r="Y6" s="12">
        <v>2</v>
      </c>
      <c r="Z6" s="12">
        <v>2</v>
      </c>
      <c r="AB6" s="11">
        <v>3</v>
      </c>
      <c r="AC6" s="12">
        <v>0</v>
      </c>
      <c r="AD6" s="69">
        <v>1</v>
      </c>
      <c r="AE6" s="69">
        <v>1</v>
      </c>
      <c r="AG6" s="11">
        <v>3</v>
      </c>
      <c r="AH6" s="69">
        <v>0</v>
      </c>
      <c r="AI6" s="12">
        <v>0</v>
      </c>
      <c r="AJ6" s="69">
        <v>0</v>
      </c>
      <c r="AL6" s="11">
        <v>3</v>
      </c>
      <c r="AM6" s="69">
        <v>0</v>
      </c>
      <c r="AN6" s="69">
        <v>0</v>
      </c>
      <c r="AO6" s="120">
        <v>0</v>
      </c>
      <c r="AQ6" s="11">
        <v>3</v>
      </c>
      <c r="AR6" s="12" t="s">
        <v>15</v>
      </c>
      <c r="AT6" s="11">
        <v>3</v>
      </c>
      <c r="AU6" s="12">
        <v>0</v>
      </c>
      <c r="AW6" s="11">
        <v>3</v>
      </c>
      <c r="AX6" s="12">
        <v>49</v>
      </c>
      <c r="AY6" s="12">
        <v>0</v>
      </c>
      <c r="AZ6" s="12">
        <v>0</v>
      </c>
      <c r="BA6" s="12">
        <v>5</v>
      </c>
      <c r="BB6" s="12">
        <v>5</v>
      </c>
      <c r="BC6" s="12">
        <v>5</v>
      </c>
      <c r="BD6" s="12">
        <v>5</v>
      </c>
      <c r="BE6" s="12">
        <v>5</v>
      </c>
      <c r="BF6" s="24">
        <v>5</v>
      </c>
      <c r="BG6" s="29">
        <v>5</v>
      </c>
      <c r="BH6" s="12">
        <v>70</v>
      </c>
      <c r="BI6" s="12">
        <v>70</v>
      </c>
      <c r="BK6" s="11">
        <v>3</v>
      </c>
      <c r="BL6" s="12" t="s">
        <v>15</v>
      </c>
      <c r="BM6" s="12">
        <v>1</v>
      </c>
      <c r="BN6" s="12">
        <v>1</v>
      </c>
      <c r="BP6" s="11">
        <v>3</v>
      </c>
      <c r="BQ6" s="12">
        <v>0</v>
      </c>
      <c r="BR6" s="12">
        <v>2</v>
      </c>
      <c r="BS6" s="12">
        <v>2</v>
      </c>
      <c r="BU6" s="11">
        <v>3</v>
      </c>
      <c r="BV6" s="12">
        <v>0</v>
      </c>
      <c r="BW6" s="12">
        <v>1</v>
      </c>
      <c r="BX6" s="12">
        <v>1</v>
      </c>
      <c r="BZ6" s="11">
        <v>3</v>
      </c>
      <c r="CA6" s="12">
        <v>10</v>
      </c>
      <c r="CC6" s="11">
        <v>3</v>
      </c>
      <c r="CD6" s="12">
        <v>1</v>
      </c>
    </row>
    <row r="7" spans="1:82" ht="16.8">
      <c r="A7" s="20">
        <v>1</v>
      </c>
      <c r="B7" s="20">
        <v>2</v>
      </c>
      <c r="C7" s="5">
        <v>1</v>
      </c>
      <c r="D7" s="6">
        <f t="shared" si="0"/>
        <v>0</v>
      </c>
      <c r="E7" s="121">
        <f t="shared" si="1"/>
        <v>5</v>
      </c>
      <c r="F7" s="7">
        <f t="shared" si="1"/>
        <v>5</v>
      </c>
      <c r="H7" s="27"/>
      <c r="J7" s="64" t="s">
        <v>81</v>
      </c>
      <c r="K7" s="64" t="s">
        <v>82</v>
      </c>
      <c r="L7" s="64" t="s">
        <v>83</v>
      </c>
      <c r="M7" s="64" t="s">
        <v>113</v>
      </c>
      <c r="R7" s="11">
        <v>4</v>
      </c>
      <c r="S7" s="12">
        <v>10</v>
      </c>
      <c r="T7" s="12" t="s">
        <v>15</v>
      </c>
      <c r="U7" s="12" t="s">
        <v>15</v>
      </c>
      <c r="W7" s="11">
        <v>4</v>
      </c>
      <c r="X7" s="12">
        <v>4</v>
      </c>
      <c r="Y7" s="12">
        <v>0</v>
      </c>
      <c r="Z7" s="12">
        <v>0</v>
      </c>
      <c r="AB7" s="11">
        <v>4</v>
      </c>
      <c r="AC7" s="12">
        <v>1</v>
      </c>
      <c r="AD7" s="69">
        <v>0</v>
      </c>
      <c r="AE7" s="69">
        <v>0</v>
      </c>
      <c r="AG7" s="11">
        <v>4</v>
      </c>
      <c r="AH7" s="69">
        <v>1</v>
      </c>
      <c r="AI7" s="12">
        <v>1</v>
      </c>
      <c r="AJ7" s="69">
        <v>0</v>
      </c>
      <c r="AL7" s="11">
        <v>4</v>
      </c>
      <c r="AM7" s="69">
        <v>1</v>
      </c>
      <c r="AN7" s="69">
        <v>0</v>
      </c>
      <c r="AO7" s="120">
        <v>1</v>
      </c>
      <c r="AQ7" s="11">
        <v>4</v>
      </c>
      <c r="AR7" s="14" t="s">
        <v>6</v>
      </c>
      <c r="AT7" s="11">
        <v>4</v>
      </c>
      <c r="AU7" s="12">
        <v>7</v>
      </c>
      <c r="AW7" s="11">
        <v>4</v>
      </c>
      <c r="AX7" s="12">
        <v>12</v>
      </c>
      <c r="AY7" s="12">
        <v>0</v>
      </c>
      <c r="AZ7" s="12">
        <v>180</v>
      </c>
      <c r="BA7" s="12">
        <v>5</v>
      </c>
      <c r="BB7" s="12">
        <v>5</v>
      </c>
      <c r="BC7" s="12">
        <v>5</v>
      </c>
      <c r="BD7" s="12">
        <v>5</v>
      </c>
      <c r="BE7" s="12">
        <v>5</v>
      </c>
      <c r="BF7" s="24">
        <v>5</v>
      </c>
      <c r="BG7" s="29">
        <v>5</v>
      </c>
      <c r="BH7" s="12">
        <v>0</v>
      </c>
      <c r="BI7" s="12">
        <v>0</v>
      </c>
      <c r="BK7" s="11">
        <v>4</v>
      </c>
      <c r="BL7" s="12">
        <v>10</v>
      </c>
      <c r="BM7" s="12" t="s">
        <v>15</v>
      </c>
      <c r="BN7" s="12" t="s">
        <v>15</v>
      </c>
      <c r="BP7" s="11">
        <v>4</v>
      </c>
      <c r="BQ7" s="12">
        <v>4</v>
      </c>
      <c r="BR7" s="12">
        <v>0</v>
      </c>
      <c r="BS7" s="12">
        <v>0</v>
      </c>
      <c r="BU7" s="11">
        <v>4</v>
      </c>
      <c r="BV7" s="12">
        <v>3</v>
      </c>
      <c r="BW7" s="12">
        <v>0</v>
      </c>
      <c r="BX7" s="12">
        <v>0</v>
      </c>
      <c r="BZ7" s="11">
        <v>4</v>
      </c>
      <c r="CA7" s="12">
        <v>50</v>
      </c>
      <c r="CC7" s="11">
        <v>4</v>
      </c>
      <c r="CD7" s="12">
        <v>1</v>
      </c>
    </row>
    <row r="8" spans="1:82" ht="16.8">
      <c r="A8" s="21">
        <v>5</v>
      </c>
      <c r="B8" s="21">
        <v>3</v>
      </c>
      <c r="C8" s="23">
        <v>5</v>
      </c>
      <c r="D8" s="6">
        <f t="shared" si="0"/>
        <v>0</v>
      </c>
      <c r="E8" s="121">
        <f t="shared" si="1"/>
        <v>5</v>
      </c>
      <c r="F8" s="7">
        <f t="shared" si="1"/>
        <v>5</v>
      </c>
      <c r="H8" s="27"/>
      <c r="J8" s="64" t="s">
        <v>80</v>
      </c>
      <c r="K8" s="64">
        <v>3</v>
      </c>
      <c r="L8" s="64">
        <v>3</v>
      </c>
      <c r="M8" s="64">
        <v>94</v>
      </c>
      <c r="R8" s="11">
        <v>5</v>
      </c>
      <c r="S8" s="12" t="s">
        <v>15</v>
      </c>
      <c r="T8" s="12">
        <v>5</v>
      </c>
      <c r="U8" s="12">
        <v>5</v>
      </c>
      <c r="W8" s="11">
        <v>5</v>
      </c>
      <c r="X8" s="12">
        <v>0</v>
      </c>
      <c r="Y8" s="12">
        <v>3</v>
      </c>
      <c r="Z8" s="12">
        <v>3</v>
      </c>
      <c r="AB8" s="11">
        <v>5</v>
      </c>
      <c r="AC8" s="12">
        <v>0</v>
      </c>
      <c r="AD8" s="69">
        <v>1</v>
      </c>
      <c r="AE8" s="69">
        <v>1</v>
      </c>
      <c r="AG8" s="11">
        <v>5</v>
      </c>
      <c r="AH8" s="69">
        <v>0</v>
      </c>
      <c r="AI8" s="12">
        <v>0</v>
      </c>
      <c r="AJ8" s="69">
        <v>0</v>
      </c>
      <c r="AL8" s="11">
        <v>5</v>
      </c>
      <c r="AM8" s="69">
        <v>0</v>
      </c>
      <c r="AN8" s="69">
        <v>0</v>
      </c>
      <c r="AO8" s="120">
        <v>0</v>
      </c>
      <c r="AQ8" s="11">
        <v>5</v>
      </c>
      <c r="AR8" s="12" t="s">
        <v>15</v>
      </c>
      <c r="AT8" s="11">
        <v>5</v>
      </c>
      <c r="AU8" s="12">
        <v>0</v>
      </c>
      <c r="AW8" s="11">
        <v>5</v>
      </c>
      <c r="AX8" s="12">
        <v>49</v>
      </c>
      <c r="AY8" s="12">
        <v>0</v>
      </c>
      <c r="AZ8" s="12">
        <v>0</v>
      </c>
      <c r="BA8" s="12">
        <v>5</v>
      </c>
      <c r="BB8" s="12">
        <v>5</v>
      </c>
      <c r="BC8" s="12">
        <v>5</v>
      </c>
      <c r="BD8" s="12">
        <v>5</v>
      </c>
      <c r="BE8" s="12">
        <v>5</v>
      </c>
      <c r="BF8" s="24">
        <v>5</v>
      </c>
      <c r="BG8" s="29">
        <v>5</v>
      </c>
      <c r="BH8" s="12">
        <v>70</v>
      </c>
      <c r="BI8" s="12">
        <v>70</v>
      </c>
      <c r="BK8" s="11">
        <v>5</v>
      </c>
      <c r="BL8" s="12" t="s">
        <v>15</v>
      </c>
      <c r="BM8" s="12">
        <v>5</v>
      </c>
      <c r="BN8" s="12">
        <v>5</v>
      </c>
      <c r="BP8" s="11">
        <v>5</v>
      </c>
      <c r="BQ8" s="12">
        <v>0</v>
      </c>
      <c r="BR8" s="12">
        <v>3</v>
      </c>
      <c r="BS8" s="12">
        <v>3</v>
      </c>
      <c r="BU8" s="11">
        <v>5</v>
      </c>
      <c r="BV8" s="12">
        <v>0</v>
      </c>
      <c r="BW8" s="12">
        <v>1</v>
      </c>
      <c r="BX8" s="12">
        <v>1</v>
      </c>
      <c r="BZ8" s="11">
        <v>5</v>
      </c>
      <c r="CA8" s="12">
        <v>1000</v>
      </c>
      <c r="CC8" s="11">
        <v>5</v>
      </c>
      <c r="CD8" s="12">
        <v>1</v>
      </c>
    </row>
    <row r="9" spans="1:82" ht="15.6" customHeight="1">
      <c r="A9" s="21">
        <v>10</v>
      </c>
      <c r="B9" s="21">
        <v>4</v>
      </c>
      <c r="C9" s="23">
        <v>10</v>
      </c>
      <c r="D9" s="6">
        <f t="shared" si="0"/>
        <v>6</v>
      </c>
      <c r="E9" s="101">
        <f t="shared" si="1"/>
        <v>0</v>
      </c>
      <c r="F9" s="126">
        <f t="shared" si="1"/>
        <v>0</v>
      </c>
      <c r="H9" s="27"/>
      <c r="J9" s="64" t="s">
        <v>72</v>
      </c>
      <c r="K9" s="64">
        <v>0</v>
      </c>
      <c r="L9" s="64">
        <v>0</v>
      </c>
      <c r="M9" s="64">
        <v>0</v>
      </c>
      <c r="N9" s="92"/>
      <c r="O9" s="92"/>
      <c r="R9" s="11">
        <v>6</v>
      </c>
      <c r="S9" s="12">
        <v>1</v>
      </c>
      <c r="T9" s="12" t="s">
        <v>15</v>
      </c>
      <c r="U9" s="12" t="s">
        <v>15</v>
      </c>
      <c r="W9" s="11">
        <v>6</v>
      </c>
      <c r="X9" s="12">
        <v>2</v>
      </c>
      <c r="Y9" s="12">
        <v>0</v>
      </c>
      <c r="Z9" s="12">
        <v>0</v>
      </c>
      <c r="AB9" s="11">
        <v>6</v>
      </c>
      <c r="AC9" s="12">
        <v>0</v>
      </c>
      <c r="AD9" s="69">
        <v>0</v>
      </c>
      <c r="AE9" s="69">
        <v>0</v>
      </c>
      <c r="AG9" s="11">
        <v>6</v>
      </c>
      <c r="AH9" s="69">
        <v>0</v>
      </c>
      <c r="AI9" s="12">
        <v>1</v>
      </c>
      <c r="AJ9" s="69">
        <v>0</v>
      </c>
      <c r="AL9" s="11">
        <v>6</v>
      </c>
      <c r="AM9" s="69">
        <v>0</v>
      </c>
      <c r="AN9" s="69">
        <v>0</v>
      </c>
      <c r="AO9" s="120">
        <v>1</v>
      </c>
      <c r="AQ9" s="11">
        <v>6</v>
      </c>
      <c r="AR9" s="14" t="s">
        <v>40</v>
      </c>
      <c r="AT9" s="11">
        <v>6</v>
      </c>
      <c r="AU9" s="12">
        <v>11</v>
      </c>
      <c r="AW9" s="11">
        <v>6</v>
      </c>
      <c r="AX9" s="12">
        <v>2</v>
      </c>
      <c r="AY9" s="12">
        <v>20</v>
      </c>
      <c r="AZ9" s="12">
        <v>0</v>
      </c>
      <c r="BA9" s="12">
        <v>5</v>
      </c>
      <c r="BB9" s="12">
        <v>5</v>
      </c>
      <c r="BC9" s="12">
        <v>5</v>
      </c>
      <c r="BD9" s="12">
        <v>5</v>
      </c>
      <c r="BE9" s="12">
        <v>5</v>
      </c>
      <c r="BF9" s="24">
        <v>5</v>
      </c>
      <c r="BG9" s="29">
        <v>5</v>
      </c>
      <c r="BH9" s="12">
        <v>0</v>
      </c>
      <c r="BI9" s="12">
        <v>0</v>
      </c>
      <c r="BK9" s="11">
        <v>6</v>
      </c>
      <c r="BL9" s="12">
        <v>1</v>
      </c>
      <c r="BM9" s="12" t="s">
        <v>15</v>
      </c>
      <c r="BN9" s="12" t="s">
        <v>15</v>
      </c>
      <c r="BP9" s="11">
        <v>6</v>
      </c>
      <c r="BQ9" s="12">
        <v>2</v>
      </c>
      <c r="BR9" s="12">
        <v>0</v>
      </c>
      <c r="BS9" s="12">
        <v>0</v>
      </c>
      <c r="BU9" s="11">
        <v>6</v>
      </c>
      <c r="BV9" s="12">
        <v>2703</v>
      </c>
      <c r="BW9" s="12">
        <v>0</v>
      </c>
      <c r="BX9" s="12">
        <v>0</v>
      </c>
      <c r="BZ9" s="11">
        <v>6</v>
      </c>
      <c r="CA9" s="12">
        <v>200</v>
      </c>
      <c r="CC9" s="11">
        <v>6</v>
      </c>
      <c r="CD9" s="12">
        <v>1</v>
      </c>
    </row>
    <row r="10" spans="1:82" ht="16.8">
      <c r="A10" s="20" t="s">
        <v>20</v>
      </c>
      <c r="B10" s="20">
        <v>5</v>
      </c>
      <c r="C10" s="23" t="s">
        <v>29</v>
      </c>
      <c r="D10" s="37">
        <f t="shared" si="0"/>
        <v>0</v>
      </c>
      <c r="E10" s="101">
        <f t="shared" si="1"/>
        <v>0</v>
      </c>
      <c r="F10" s="126">
        <f t="shared" si="1"/>
        <v>0</v>
      </c>
      <c r="H10" s="27"/>
      <c r="J10" s="64" t="s">
        <v>73</v>
      </c>
      <c r="K10" s="64">
        <v>0</v>
      </c>
      <c r="L10" s="64">
        <v>0</v>
      </c>
      <c r="M10" s="64">
        <v>0</v>
      </c>
      <c r="N10" s="93"/>
      <c r="O10" s="93"/>
      <c r="R10" s="11">
        <v>7</v>
      </c>
      <c r="S10" s="12" t="s">
        <v>15</v>
      </c>
      <c r="T10" s="12">
        <v>10</v>
      </c>
      <c r="U10" s="12">
        <v>10</v>
      </c>
      <c r="W10" s="11">
        <v>7</v>
      </c>
      <c r="X10" s="12">
        <v>0</v>
      </c>
      <c r="Y10" s="12">
        <v>4</v>
      </c>
      <c r="Z10" s="12">
        <v>4</v>
      </c>
      <c r="AB10" s="11">
        <v>7</v>
      </c>
      <c r="AC10" s="12">
        <v>0</v>
      </c>
      <c r="AD10" s="69">
        <v>0</v>
      </c>
      <c r="AE10" s="69">
        <v>0</v>
      </c>
      <c r="AG10" s="11">
        <v>7</v>
      </c>
      <c r="AH10" s="69">
        <v>0</v>
      </c>
      <c r="AI10" s="12">
        <v>0</v>
      </c>
      <c r="AJ10" s="69">
        <v>0</v>
      </c>
      <c r="AL10" s="11">
        <v>7</v>
      </c>
      <c r="AM10" s="69">
        <v>0</v>
      </c>
      <c r="AN10" s="69">
        <v>0</v>
      </c>
      <c r="AO10" s="120">
        <v>0</v>
      </c>
      <c r="AQ10" s="11">
        <v>7</v>
      </c>
      <c r="AR10" s="12" t="s">
        <v>15</v>
      </c>
      <c r="AT10" s="11">
        <v>7</v>
      </c>
      <c r="AU10" s="12">
        <v>0</v>
      </c>
      <c r="AW10" s="11">
        <v>7</v>
      </c>
      <c r="AX10" s="12">
        <v>49</v>
      </c>
      <c r="AY10" s="12">
        <v>0</v>
      </c>
      <c r="AZ10" s="12">
        <v>0</v>
      </c>
      <c r="BA10" s="12">
        <v>5</v>
      </c>
      <c r="BB10" s="12">
        <v>5</v>
      </c>
      <c r="BC10" s="12">
        <v>5</v>
      </c>
      <c r="BD10" s="12">
        <v>5</v>
      </c>
      <c r="BE10" s="12">
        <v>5</v>
      </c>
      <c r="BF10" s="24">
        <v>5</v>
      </c>
      <c r="BG10" s="29">
        <v>5</v>
      </c>
      <c r="BH10" s="12">
        <v>70</v>
      </c>
      <c r="BI10" s="12">
        <v>70</v>
      </c>
      <c r="BK10" s="11">
        <v>7</v>
      </c>
      <c r="BL10" s="12" t="s">
        <v>15</v>
      </c>
      <c r="BM10" s="12">
        <v>10</v>
      </c>
      <c r="BN10" s="12">
        <v>10</v>
      </c>
      <c r="BP10" s="11">
        <v>7</v>
      </c>
      <c r="BQ10" s="12">
        <v>0</v>
      </c>
      <c r="BR10" s="12">
        <v>4</v>
      </c>
      <c r="BS10" s="12">
        <v>4</v>
      </c>
      <c r="BU10" s="11">
        <v>7</v>
      </c>
      <c r="BV10" s="12">
        <v>0</v>
      </c>
      <c r="BW10" s="12">
        <v>0</v>
      </c>
      <c r="BX10" s="12">
        <v>12</v>
      </c>
      <c r="BZ10" s="11">
        <v>7</v>
      </c>
      <c r="CA10" s="12">
        <v>20</v>
      </c>
      <c r="CC10" s="11">
        <v>7</v>
      </c>
      <c r="CD10" s="12">
        <v>1</v>
      </c>
    </row>
    <row r="11" spans="1:82" ht="16.8">
      <c r="A11" s="21" t="s">
        <v>21</v>
      </c>
      <c r="B11" s="21">
        <v>6</v>
      </c>
      <c r="C11" s="23" t="s">
        <v>26</v>
      </c>
      <c r="D11" s="37">
        <f t="shared" si="0"/>
        <v>0</v>
      </c>
      <c r="E11" s="59">
        <f t="shared" si="1"/>
        <v>0</v>
      </c>
      <c r="F11" s="38">
        <f t="shared" si="1"/>
        <v>0</v>
      </c>
      <c r="H11" s="27"/>
      <c r="J11" s="64" t="s">
        <v>4</v>
      </c>
      <c r="K11" s="64">
        <v>7</v>
      </c>
      <c r="L11" s="64">
        <v>7</v>
      </c>
      <c r="M11" s="64">
        <v>86</v>
      </c>
      <c r="N11" s="93"/>
      <c r="O11" s="93"/>
      <c r="R11" s="11">
        <v>8</v>
      </c>
      <c r="S11" s="12">
        <v>5</v>
      </c>
      <c r="T11" s="12" t="s">
        <v>15</v>
      </c>
      <c r="U11" s="12" t="s">
        <v>15</v>
      </c>
      <c r="W11" s="11">
        <v>8</v>
      </c>
      <c r="X11" s="12">
        <v>3</v>
      </c>
      <c r="Y11" s="12">
        <v>0</v>
      </c>
      <c r="Z11" s="12">
        <v>0</v>
      </c>
      <c r="AB11" s="11">
        <v>8</v>
      </c>
      <c r="AC11" s="12">
        <v>0</v>
      </c>
      <c r="AD11" s="69">
        <v>0</v>
      </c>
      <c r="AE11" s="69">
        <v>0</v>
      </c>
      <c r="AG11" s="11">
        <v>8</v>
      </c>
      <c r="AH11" s="69">
        <v>0</v>
      </c>
      <c r="AI11" s="12">
        <v>1</v>
      </c>
      <c r="AJ11" s="69">
        <v>0</v>
      </c>
      <c r="AL11" s="11">
        <v>8</v>
      </c>
      <c r="AM11" s="69">
        <v>0</v>
      </c>
      <c r="AN11" s="69">
        <v>0</v>
      </c>
      <c r="AO11" s="120">
        <v>1</v>
      </c>
      <c r="AQ11" s="11">
        <v>8</v>
      </c>
      <c r="AR11" s="14" t="s">
        <v>9</v>
      </c>
      <c r="AT11" s="11">
        <v>8</v>
      </c>
      <c r="AU11" s="12">
        <v>8</v>
      </c>
      <c r="AW11" s="11">
        <v>8</v>
      </c>
      <c r="AX11" s="12">
        <v>0</v>
      </c>
      <c r="AY11" s="12">
        <v>24</v>
      </c>
      <c r="AZ11" s="12">
        <v>0</v>
      </c>
      <c r="BA11" s="12">
        <v>5</v>
      </c>
      <c r="BB11" s="12">
        <v>5</v>
      </c>
      <c r="BC11" s="12">
        <v>5</v>
      </c>
      <c r="BD11" s="12">
        <v>5</v>
      </c>
      <c r="BE11" s="12">
        <v>5</v>
      </c>
      <c r="BF11" s="24">
        <v>5</v>
      </c>
      <c r="BG11" s="29">
        <v>5</v>
      </c>
      <c r="BH11" s="12">
        <v>0</v>
      </c>
      <c r="BI11" s="12">
        <v>0</v>
      </c>
      <c r="BK11" s="11">
        <v>8</v>
      </c>
      <c r="BL11" s="12">
        <v>5</v>
      </c>
      <c r="BM11" s="12" t="s">
        <v>15</v>
      </c>
      <c r="BN11" s="12" t="s">
        <v>15</v>
      </c>
      <c r="BP11" s="11">
        <v>8</v>
      </c>
      <c r="BQ11" s="12">
        <v>3</v>
      </c>
      <c r="BR11" s="12">
        <v>0</v>
      </c>
      <c r="BS11" s="12">
        <v>0</v>
      </c>
      <c r="BU11" s="11">
        <v>8</v>
      </c>
      <c r="BV11" s="12">
        <v>372</v>
      </c>
      <c r="BW11" s="12">
        <v>0</v>
      </c>
      <c r="BX11" s="12">
        <v>0</v>
      </c>
      <c r="BZ11" s="11">
        <v>8</v>
      </c>
      <c r="CA11" s="12"/>
      <c r="CC11" s="11">
        <v>8</v>
      </c>
      <c r="CD11" s="12"/>
    </row>
    <row r="12" spans="1:82">
      <c r="A12" s="20" t="s">
        <v>22</v>
      </c>
      <c r="B12" s="20">
        <v>7</v>
      </c>
      <c r="C12" s="5" t="s">
        <v>27</v>
      </c>
      <c r="D12" s="37">
        <f t="shared" si="0"/>
        <v>0</v>
      </c>
      <c r="E12" s="59">
        <f t="shared" si="1"/>
        <v>0</v>
      </c>
      <c r="F12" s="38">
        <f t="shared" si="1"/>
        <v>0</v>
      </c>
      <c r="H12" s="27"/>
      <c r="J12" s="27"/>
      <c r="K12" s="27"/>
      <c r="R12" s="11">
        <v>9</v>
      </c>
      <c r="S12" s="12" t="s">
        <v>15</v>
      </c>
      <c r="T12" s="12" t="s">
        <v>18</v>
      </c>
      <c r="U12" s="12" t="s">
        <v>18</v>
      </c>
      <c r="W12" s="11">
        <v>9</v>
      </c>
      <c r="X12" s="12">
        <v>0</v>
      </c>
      <c r="Y12" s="12">
        <v>5</v>
      </c>
      <c r="Z12" s="12">
        <v>5</v>
      </c>
      <c r="AB12" s="11">
        <v>9</v>
      </c>
      <c r="AC12" s="12">
        <v>0</v>
      </c>
      <c r="AD12" s="69">
        <v>0</v>
      </c>
      <c r="AE12" s="69">
        <v>0</v>
      </c>
      <c r="AG12" s="11">
        <v>9</v>
      </c>
      <c r="AH12" s="69">
        <v>0</v>
      </c>
      <c r="AI12" s="12">
        <v>0</v>
      </c>
      <c r="AJ12" s="69">
        <v>1</v>
      </c>
      <c r="AL12" s="11">
        <v>9</v>
      </c>
      <c r="AM12" s="69">
        <v>0</v>
      </c>
      <c r="AN12" s="69">
        <v>1</v>
      </c>
      <c r="AO12" s="120">
        <v>0</v>
      </c>
      <c r="AQ12" s="11">
        <v>9</v>
      </c>
      <c r="AR12" s="12" t="s">
        <v>15</v>
      </c>
      <c r="AT12" s="11">
        <v>9</v>
      </c>
      <c r="AU12" s="12">
        <v>0</v>
      </c>
      <c r="AW12" s="11">
        <v>9</v>
      </c>
      <c r="AX12" s="12">
        <v>46</v>
      </c>
      <c r="AY12" s="12">
        <v>0</v>
      </c>
      <c r="AZ12" s="12">
        <v>0</v>
      </c>
      <c r="BA12" s="12">
        <v>5</v>
      </c>
      <c r="BB12" s="12">
        <v>5</v>
      </c>
      <c r="BC12" s="12">
        <v>5</v>
      </c>
      <c r="BD12" s="12">
        <v>5</v>
      </c>
      <c r="BE12" s="12">
        <v>5</v>
      </c>
      <c r="BF12" s="24">
        <v>5</v>
      </c>
      <c r="BG12" s="29">
        <v>5</v>
      </c>
      <c r="BH12" s="12">
        <v>70</v>
      </c>
      <c r="BI12" s="12">
        <v>70</v>
      </c>
      <c r="BK12" s="11">
        <v>9</v>
      </c>
      <c r="BL12" s="12" t="s">
        <v>15</v>
      </c>
      <c r="BM12" s="12" t="s">
        <v>18</v>
      </c>
      <c r="BN12" s="12" t="s">
        <v>18</v>
      </c>
      <c r="BP12" s="11">
        <v>9</v>
      </c>
      <c r="BQ12" s="12">
        <v>0</v>
      </c>
      <c r="BR12" s="12">
        <v>5</v>
      </c>
      <c r="BS12" s="12">
        <v>5</v>
      </c>
      <c r="BU12" s="11">
        <v>9</v>
      </c>
      <c r="BV12" s="12">
        <v>0</v>
      </c>
      <c r="BW12" s="12">
        <v>0</v>
      </c>
      <c r="BX12" s="12">
        <v>10</v>
      </c>
      <c r="BZ12" s="11">
        <v>9</v>
      </c>
      <c r="CA12" s="12"/>
      <c r="CC12" s="11">
        <v>9</v>
      </c>
      <c r="CD12" s="12"/>
    </row>
    <row r="13" spans="1:82" ht="18" customHeight="1">
      <c r="A13" s="20" t="s">
        <v>23</v>
      </c>
      <c r="B13" s="20">
        <v>8</v>
      </c>
      <c r="C13" s="5" t="s">
        <v>28</v>
      </c>
      <c r="D13" s="37">
        <f t="shared" si="0"/>
        <v>0</v>
      </c>
      <c r="E13" s="59">
        <f t="shared" si="1"/>
        <v>0</v>
      </c>
      <c r="F13" s="38">
        <f t="shared" si="1"/>
        <v>0</v>
      </c>
      <c r="H13" s="27"/>
      <c r="J13" s="66"/>
      <c r="K13" s="64" t="s">
        <v>90</v>
      </c>
      <c r="L13" s="64" t="s">
        <v>91</v>
      </c>
      <c r="M13" s="64" t="s">
        <v>92</v>
      </c>
      <c r="R13" s="11">
        <v>10</v>
      </c>
      <c r="S13" s="12">
        <v>10</v>
      </c>
      <c r="T13" s="12" t="s">
        <v>15</v>
      </c>
      <c r="U13" s="12" t="s">
        <v>15</v>
      </c>
      <c r="W13" s="11">
        <v>10</v>
      </c>
      <c r="X13" s="12">
        <v>4</v>
      </c>
      <c r="Y13" s="12">
        <v>0</v>
      </c>
      <c r="Z13" s="12">
        <v>0</v>
      </c>
      <c r="AB13" s="11">
        <v>10</v>
      </c>
      <c r="AC13" s="12">
        <v>1</v>
      </c>
      <c r="AD13" s="69">
        <v>0</v>
      </c>
      <c r="AE13" s="69">
        <v>0</v>
      </c>
      <c r="AG13" s="11">
        <v>10</v>
      </c>
      <c r="AH13" s="69">
        <v>1</v>
      </c>
      <c r="AI13" s="12">
        <v>1</v>
      </c>
      <c r="AJ13" s="69">
        <v>0</v>
      </c>
      <c r="AL13" s="11">
        <v>10</v>
      </c>
      <c r="AM13" s="69">
        <v>1</v>
      </c>
      <c r="AN13" s="69">
        <v>0</v>
      </c>
      <c r="AO13" s="120">
        <v>1</v>
      </c>
      <c r="AQ13" s="11">
        <v>10</v>
      </c>
      <c r="AR13" s="14" t="s">
        <v>5</v>
      </c>
      <c r="AT13" s="11">
        <v>10</v>
      </c>
      <c r="AU13" s="12">
        <v>6</v>
      </c>
      <c r="AW13" s="11">
        <v>10</v>
      </c>
      <c r="AX13" s="12">
        <v>9</v>
      </c>
      <c r="AY13" s="12">
        <v>0</v>
      </c>
      <c r="AZ13" s="12">
        <v>90</v>
      </c>
      <c r="BA13" s="12">
        <v>5</v>
      </c>
      <c r="BB13" s="12">
        <v>5</v>
      </c>
      <c r="BC13" s="12">
        <v>5</v>
      </c>
      <c r="BD13" s="12">
        <v>5</v>
      </c>
      <c r="BE13" s="12">
        <v>5</v>
      </c>
      <c r="BF13" s="24">
        <v>5</v>
      </c>
      <c r="BG13" s="29">
        <v>5</v>
      </c>
      <c r="BH13" s="12">
        <v>0</v>
      </c>
      <c r="BI13" s="12">
        <v>0</v>
      </c>
      <c r="BK13" s="11">
        <v>10</v>
      </c>
      <c r="BL13" s="12">
        <v>10</v>
      </c>
      <c r="BM13" s="12" t="s">
        <v>15</v>
      </c>
      <c r="BN13" s="12" t="s">
        <v>15</v>
      </c>
      <c r="BP13" s="11">
        <v>10</v>
      </c>
      <c r="BQ13" s="12">
        <v>4</v>
      </c>
      <c r="BR13" s="12">
        <v>0</v>
      </c>
      <c r="BS13" s="12">
        <v>0</v>
      </c>
      <c r="BU13" s="11">
        <v>10</v>
      </c>
      <c r="BV13" s="12">
        <v>3</v>
      </c>
      <c r="BW13" s="12">
        <v>0</v>
      </c>
      <c r="BX13" s="12">
        <v>0</v>
      </c>
      <c r="BZ13" s="11">
        <v>10</v>
      </c>
      <c r="CA13" s="12"/>
      <c r="CC13" s="11">
        <v>10</v>
      </c>
      <c r="CD13" s="12"/>
    </row>
    <row r="14" spans="1:82" ht="16.8">
      <c r="A14" s="20" t="s">
        <v>24</v>
      </c>
      <c r="B14" s="20">
        <v>9</v>
      </c>
      <c r="C14" s="5" t="s">
        <v>16</v>
      </c>
      <c r="D14" s="37">
        <f t="shared" si="0"/>
        <v>0</v>
      </c>
      <c r="E14" s="59">
        <f t="shared" si="1"/>
        <v>0</v>
      </c>
      <c r="F14" s="38">
        <f t="shared" si="1"/>
        <v>0</v>
      </c>
      <c r="H14" s="27"/>
      <c r="J14" s="64" t="s">
        <v>96</v>
      </c>
      <c r="K14" s="64">
        <v>1</v>
      </c>
      <c r="L14" s="64">
        <v>1</v>
      </c>
      <c r="M14" s="64">
        <v>1</v>
      </c>
      <c r="R14" s="11">
        <v>11</v>
      </c>
      <c r="S14" s="12" t="s">
        <v>15</v>
      </c>
      <c r="T14" s="12">
        <v>0</v>
      </c>
      <c r="U14" s="12">
        <v>0</v>
      </c>
      <c r="W14" s="11">
        <v>11</v>
      </c>
      <c r="X14" s="12">
        <v>0</v>
      </c>
      <c r="Y14" s="12">
        <v>1</v>
      </c>
      <c r="Z14" s="12">
        <v>1</v>
      </c>
      <c r="AB14" s="11">
        <v>11</v>
      </c>
      <c r="AC14" s="12">
        <v>0</v>
      </c>
      <c r="AD14" s="69">
        <v>1</v>
      </c>
      <c r="AE14" s="69">
        <v>1</v>
      </c>
      <c r="AG14" s="11">
        <v>11</v>
      </c>
      <c r="AH14" s="69">
        <v>0</v>
      </c>
      <c r="AI14" s="12">
        <v>0</v>
      </c>
      <c r="AJ14" s="69">
        <v>0</v>
      </c>
      <c r="AL14" s="11">
        <v>11</v>
      </c>
      <c r="AM14" s="69">
        <v>0</v>
      </c>
      <c r="AN14" s="69">
        <v>0</v>
      </c>
      <c r="AO14" s="120">
        <v>0</v>
      </c>
      <c r="AQ14" s="11">
        <v>11</v>
      </c>
      <c r="AR14" s="12" t="s">
        <v>15</v>
      </c>
      <c r="AT14" s="11">
        <v>11</v>
      </c>
      <c r="AU14" s="12">
        <v>0</v>
      </c>
      <c r="AW14" s="11">
        <v>11</v>
      </c>
      <c r="AX14" s="12">
        <v>46</v>
      </c>
      <c r="AY14" s="12">
        <v>0</v>
      </c>
      <c r="AZ14" s="12">
        <v>0</v>
      </c>
      <c r="BA14" s="12">
        <v>5</v>
      </c>
      <c r="BB14" s="12">
        <v>5</v>
      </c>
      <c r="BC14" s="12">
        <v>5</v>
      </c>
      <c r="BD14" s="12">
        <v>5</v>
      </c>
      <c r="BE14" s="12">
        <v>5</v>
      </c>
      <c r="BF14" s="24">
        <v>5</v>
      </c>
      <c r="BG14" s="29">
        <v>5</v>
      </c>
      <c r="BH14" s="12">
        <v>70</v>
      </c>
      <c r="BI14" s="12">
        <v>70</v>
      </c>
      <c r="BK14" s="11">
        <v>11</v>
      </c>
      <c r="BL14" s="12" t="s">
        <v>15</v>
      </c>
      <c r="BM14" s="12">
        <v>0</v>
      </c>
      <c r="BN14" s="12">
        <v>0</v>
      </c>
      <c r="BP14" s="11">
        <v>11</v>
      </c>
      <c r="BQ14" s="12">
        <v>0</v>
      </c>
      <c r="BR14" s="12">
        <v>1</v>
      </c>
      <c r="BS14" s="12">
        <v>1</v>
      </c>
      <c r="BU14" s="11">
        <v>11</v>
      </c>
      <c r="BV14" s="12">
        <v>0</v>
      </c>
      <c r="BW14" s="12">
        <v>1</v>
      </c>
      <c r="BX14" s="12">
        <v>1</v>
      </c>
      <c r="BZ14" s="11">
        <v>11</v>
      </c>
      <c r="CA14" s="12"/>
      <c r="CC14" s="11">
        <v>11</v>
      </c>
      <c r="CD14" s="12"/>
    </row>
    <row r="15" spans="1:82">
      <c r="A15" s="21" t="s">
        <v>35</v>
      </c>
      <c r="B15" s="21">
        <v>10</v>
      </c>
      <c r="C15" s="5" t="s">
        <v>37</v>
      </c>
      <c r="D15" s="37">
        <f t="shared" si="0"/>
        <v>0</v>
      </c>
      <c r="E15" s="59">
        <f t="shared" si="1"/>
        <v>0</v>
      </c>
      <c r="F15" s="38">
        <f t="shared" si="1"/>
        <v>0</v>
      </c>
      <c r="R15" s="11">
        <v>12</v>
      </c>
      <c r="S15" s="12">
        <v>1</v>
      </c>
      <c r="T15" s="12" t="s">
        <v>15</v>
      </c>
      <c r="U15" s="12" t="s">
        <v>15</v>
      </c>
      <c r="W15" s="11">
        <v>12</v>
      </c>
      <c r="X15" s="12">
        <v>2</v>
      </c>
      <c r="Y15" s="12">
        <v>0</v>
      </c>
      <c r="Z15" s="12">
        <v>0</v>
      </c>
      <c r="AB15" s="11">
        <v>12</v>
      </c>
      <c r="AC15" s="12">
        <v>0</v>
      </c>
      <c r="AD15" s="69">
        <v>0</v>
      </c>
      <c r="AE15" s="69">
        <v>0</v>
      </c>
      <c r="AG15" s="11">
        <v>12</v>
      </c>
      <c r="AH15" s="69">
        <v>0</v>
      </c>
      <c r="AI15" s="12">
        <v>1</v>
      </c>
      <c r="AJ15" s="69">
        <v>0</v>
      </c>
      <c r="AL15" s="11">
        <v>12</v>
      </c>
      <c r="AM15" s="69">
        <v>0</v>
      </c>
      <c r="AN15" s="69">
        <v>0</v>
      </c>
      <c r="AO15" s="120">
        <v>1</v>
      </c>
      <c r="AQ15" s="11">
        <v>12</v>
      </c>
      <c r="AR15" s="14" t="s">
        <v>7</v>
      </c>
      <c r="AT15" s="11">
        <v>12</v>
      </c>
      <c r="AU15" s="12">
        <v>9</v>
      </c>
      <c r="AW15" s="11">
        <v>12</v>
      </c>
      <c r="AX15" s="12">
        <v>0</v>
      </c>
      <c r="AY15" s="12">
        <v>7</v>
      </c>
      <c r="AZ15" s="12">
        <v>15</v>
      </c>
      <c r="BA15" s="12">
        <v>5</v>
      </c>
      <c r="BB15" s="12">
        <v>5</v>
      </c>
      <c r="BC15" s="12">
        <v>5</v>
      </c>
      <c r="BD15" s="12">
        <v>5</v>
      </c>
      <c r="BE15" s="12">
        <v>5</v>
      </c>
      <c r="BF15" s="24">
        <v>5</v>
      </c>
      <c r="BG15" s="29">
        <v>5</v>
      </c>
      <c r="BH15" s="12">
        <v>0</v>
      </c>
      <c r="BI15" s="12">
        <v>0</v>
      </c>
      <c r="BK15" s="11">
        <v>12</v>
      </c>
      <c r="BL15" s="12">
        <v>1</v>
      </c>
      <c r="BM15" s="12" t="s">
        <v>15</v>
      </c>
      <c r="BN15" s="12" t="s">
        <v>15</v>
      </c>
      <c r="BP15" s="11">
        <v>12</v>
      </c>
      <c r="BQ15" s="12">
        <v>2</v>
      </c>
      <c r="BR15" s="12">
        <v>0</v>
      </c>
      <c r="BS15" s="12">
        <v>0</v>
      </c>
      <c r="BU15" s="11">
        <v>12</v>
      </c>
      <c r="BV15" s="12">
        <v>2703</v>
      </c>
      <c r="BW15" s="12">
        <v>0</v>
      </c>
      <c r="BX15" s="12">
        <v>0</v>
      </c>
      <c r="BZ15" s="11">
        <v>12</v>
      </c>
      <c r="CA15" s="12"/>
      <c r="CC15" s="11">
        <v>12</v>
      </c>
      <c r="CD15" s="12"/>
    </row>
    <row r="16" spans="1:82" ht="16.8">
      <c r="A16" s="22" t="s">
        <v>39</v>
      </c>
      <c r="B16" s="22">
        <v>11</v>
      </c>
      <c r="C16" s="17" t="s">
        <v>38</v>
      </c>
      <c r="D16" s="60">
        <f t="shared" si="0"/>
        <v>0</v>
      </c>
      <c r="E16" s="39">
        <f t="shared" si="1"/>
        <v>0</v>
      </c>
      <c r="F16" s="40">
        <f t="shared" si="1"/>
        <v>0</v>
      </c>
      <c r="J16" s="2"/>
      <c r="K16" s="2" t="s">
        <v>119</v>
      </c>
      <c r="L16" s="2" t="s">
        <v>120</v>
      </c>
      <c r="R16" s="11">
        <v>13</v>
      </c>
      <c r="S16" s="12" t="s">
        <v>15</v>
      </c>
      <c r="T16" s="12">
        <v>1</v>
      </c>
      <c r="U16" s="12">
        <v>1</v>
      </c>
      <c r="W16" s="11">
        <v>13</v>
      </c>
      <c r="X16" s="12">
        <v>0</v>
      </c>
      <c r="Y16" s="12">
        <v>2</v>
      </c>
      <c r="Z16" s="12">
        <v>2</v>
      </c>
      <c r="AB16" s="11">
        <v>13</v>
      </c>
      <c r="AC16" s="12">
        <v>0</v>
      </c>
      <c r="AD16" s="69">
        <v>1</v>
      </c>
      <c r="AE16" s="69">
        <v>1</v>
      </c>
      <c r="AG16" s="11">
        <v>13</v>
      </c>
      <c r="AH16" s="69">
        <v>0</v>
      </c>
      <c r="AI16" s="12">
        <v>0</v>
      </c>
      <c r="AJ16" s="69">
        <v>0</v>
      </c>
      <c r="AL16" s="11">
        <v>13</v>
      </c>
      <c r="AM16" s="69">
        <v>0</v>
      </c>
      <c r="AN16" s="69">
        <v>0</v>
      </c>
      <c r="AO16" s="120">
        <v>0</v>
      </c>
      <c r="AQ16" s="11">
        <v>13</v>
      </c>
      <c r="AR16" s="12" t="s">
        <v>15</v>
      </c>
      <c r="AT16" s="11">
        <v>13</v>
      </c>
      <c r="AU16" s="12">
        <v>0</v>
      </c>
      <c r="AW16" s="11">
        <v>13</v>
      </c>
      <c r="AX16" s="12">
        <v>46</v>
      </c>
      <c r="AY16" s="12">
        <v>0</v>
      </c>
      <c r="AZ16" s="12">
        <v>0</v>
      </c>
      <c r="BA16" s="12">
        <v>5</v>
      </c>
      <c r="BB16" s="12">
        <v>5</v>
      </c>
      <c r="BC16" s="12">
        <v>5</v>
      </c>
      <c r="BD16" s="12">
        <v>5</v>
      </c>
      <c r="BE16" s="12">
        <v>5</v>
      </c>
      <c r="BF16" s="24">
        <v>5</v>
      </c>
      <c r="BG16" s="29">
        <v>5</v>
      </c>
      <c r="BH16" s="12">
        <v>70</v>
      </c>
      <c r="BI16" s="12">
        <v>70</v>
      </c>
      <c r="BK16" s="11">
        <v>13</v>
      </c>
      <c r="BL16" s="12" t="s">
        <v>15</v>
      </c>
      <c r="BM16" s="12">
        <v>1</v>
      </c>
      <c r="BN16" s="12">
        <v>1</v>
      </c>
      <c r="BP16" s="11">
        <v>13</v>
      </c>
      <c r="BQ16" s="12">
        <v>0</v>
      </c>
      <c r="BR16" s="12">
        <v>2</v>
      </c>
      <c r="BS16" s="12">
        <v>2</v>
      </c>
      <c r="BU16" s="11">
        <v>13</v>
      </c>
      <c r="BV16" s="12">
        <v>0</v>
      </c>
      <c r="BW16" s="12">
        <v>1</v>
      </c>
      <c r="BX16" s="12">
        <v>1</v>
      </c>
      <c r="BZ16" s="11">
        <v>13</v>
      </c>
      <c r="CA16" s="12"/>
      <c r="CC16" s="11">
        <v>13</v>
      </c>
      <c r="CD16" s="12"/>
    </row>
    <row r="17" spans="1:82" ht="16.8">
      <c r="D17" s="121">
        <f>SUM(D5:D16)</f>
        <v>6</v>
      </c>
      <c r="E17" s="121">
        <f>SUM(E5:E16)</f>
        <v>15</v>
      </c>
      <c r="F17" s="121">
        <f>SUM(F5:F16)</f>
        <v>15</v>
      </c>
      <c r="J17" s="2" t="s">
        <v>118</v>
      </c>
      <c r="K17" s="33">
        <v>100</v>
      </c>
      <c r="L17" s="33">
        <v>0</v>
      </c>
      <c r="R17" s="11">
        <v>14</v>
      </c>
      <c r="S17" s="12">
        <v>5</v>
      </c>
      <c r="T17" s="12" t="s">
        <v>15</v>
      </c>
      <c r="U17" s="12" t="s">
        <v>15</v>
      </c>
      <c r="W17" s="11">
        <v>14</v>
      </c>
      <c r="X17" s="12">
        <v>3</v>
      </c>
      <c r="Y17" s="12">
        <v>0</v>
      </c>
      <c r="Z17" s="12">
        <v>0</v>
      </c>
      <c r="AB17" s="11">
        <v>14</v>
      </c>
      <c r="AC17" s="12">
        <v>0</v>
      </c>
      <c r="AD17" s="69">
        <v>0</v>
      </c>
      <c r="AE17" s="69">
        <v>0</v>
      </c>
      <c r="AG17" s="11">
        <v>14</v>
      </c>
      <c r="AH17" s="69">
        <v>0</v>
      </c>
      <c r="AI17" s="12">
        <v>1</v>
      </c>
      <c r="AJ17" s="69">
        <v>0</v>
      </c>
      <c r="AL17" s="11">
        <v>14</v>
      </c>
      <c r="AM17" s="69">
        <v>0</v>
      </c>
      <c r="AN17" s="69">
        <v>0</v>
      </c>
      <c r="AO17" s="120">
        <v>1</v>
      </c>
      <c r="AQ17" s="11">
        <v>14</v>
      </c>
      <c r="AR17" s="14" t="s">
        <v>6</v>
      </c>
      <c r="AT17" s="11">
        <v>14</v>
      </c>
      <c r="AU17" s="12">
        <v>7</v>
      </c>
      <c r="AW17" s="11">
        <v>14</v>
      </c>
      <c r="AX17" s="12">
        <v>11</v>
      </c>
      <c r="AY17" s="12">
        <v>0</v>
      </c>
      <c r="AZ17" s="12">
        <v>90</v>
      </c>
      <c r="BA17" s="12">
        <v>5</v>
      </c>
      <c r="BB17" s="12">
        <v>5</v>
      </c>
      <c r="BC17" s="12">
        <v>5</v>
      </c>
      <c r="BD17" s="12">
        <v>5</v>
      </c>
      <c r="BE17" s="12">
        <v>5</v>
      </c>
      <c r="BF17" s="24">
        <v>5</v>
      </c>
      <c r="BG17" s="29">
        <v>5</v>
      </c>
      <c r="BH17" s="12">
        <v>0</v>
      </c>
      <c r="BI17" s="12">
        <v>0</v>
      </c>
      <c r="BK17" s="11">
        <v>14</v>
      </c>
      <c r="BL17" s="12">
        <v>5</v>
      </c>
      <c r="BM17" s="12" t="s">
        <v>15</v>
      </c>
      <c r="BN17" s="12" t="s">
        <v>15</v>
      </c>
      <c r="BP17" s="11">
        <v>14</v>
      </c>
      <c r="BQ17" s="12">
        <v>3</v>
      </c>
      <c r="BR17" s="12">
        <v>0</v>
      </c>
      <c r="BS17" s="12">
        <v>0</v>
      </c>
      <c r="BU17" s="11">
        <v>14</v>
      </c>
      <c r="BV17" s="12">
        <v>372</v>
      </c>
      <c r="BW17" s="12">
        <v>0</v>
      </c>
      <c r="BX17" s="12">
        <v>0</v>
      </c>
      <c r="BZ17" s="11">
        <v>14</v>
      </c>
      <c r="CA17" s="12"/>
      <c r="CC17" s="11">
        <v>14</v>
      </c>
      <c r="CD17" s="12"/>
    </row>
    <row r="18" spans="1:82">
      <c r="C18" s="8"/>
      <c r="R18" s="11">
        <v>15</v>
      </c>
      <c r="S18" s="12" t="s">
        <v>15</v>
      </c>
      <c r="T18" s="12">
        <v>5</v>
      </c>
      <c r="U18" s="12">
        <v>5</v>
      </c>
      <c r="W18" s="11">
        <v>15</v>
      </c>
      <c r="X18" s="12">
        <v>0</v>
      </c>
      <c r="Y18" s="12">
        <v>3</v>
      </c>
      <c r="Z18" s="12">
        <v>3</v>
      </c>
      <c r="AB18" s="11">
        <v>15</v>
      </c>
      <c r="AC18" s="12">
        <v>0</v>
      </c>
      <c r="AD18" s="69">
        <v>1</v>
      </c>
      <c r="AE18" s="69">
        <v>1</v>
      </c>
      <c r="AG18" s="11">
        <v>15</v>
      </c>
      <c r="AH18" s="69">
        <v>0</v>
      </c>
      <c r="AI18" s="12">
        <v>0</v>
      </c>
      <c r="AJ18" s="69">
        <v>0</v>
      </c>
      <c r="AL18" s="11">
        <v>15</v>
      </c>
      <c r="AM18" s="69">
        <v>0</v>
      </c>
      <c r="AN18" s="69">
        <v>0</v>
      </c>
      <c r="AO18" s="120">
        <v>0</v>
      </c>
      <c r="AQ18" s="11">
        <v>15</v>
      </c>
      <c r="AR18" s="12" t="s">
        <v>15</v>
      </c>
      <c r="AT18" s="11">
        <v>15</v>
      </c>
      <c r="AU18" s="12">
        <v>0</v>
      </c>
      <c r="AW18" s="11">
        <v>15</v>
      </c>
      <c r="AX18" s="12">
        <v>46</v>
      </c>
      <c r="AY18" s="12">
        <v>0</v>
      </c>
      <c r="AZ18" s="12">
        <v>0</v>
      </c>
      <c r="BA18" s="12">
        <v>5</v>
      </c>
      <c r="BB18" s="12">
        <v>5</v>
      </c>
      <c r="BC18" s="12">
        <v>5</v>
      </c>
      <c r="BD18" s="12">
        <v>5</v>
      </c>
      <c r="BE18" s="12">
        <v>5</v>
      </c>
      <c r="BF18" s="24">
        <v>5</v>
      </c>
      <c r="BG18" s="29">
        <v>5</v>
      </c>
      <c r="BH18" s="12">
        <v>70</v>
      </c>
      <c r="BI18" s="12">
        <v>70</v>
      </c>
      <c r="BK18" s="11">
        <v>15</v>
      </c>
      <c r="BL18" s="12" t="s">
        <v>15</v>
      </c>
      <c r="BM18" s="12">
        <v>5</v>
      </c>
      <c r="BN18" s="12">
        <v>5</v>
      </c>
      <c r="BP18" s="11">
        <v>15</v>
      </c>
      <c r="BQ18" s="12">
        <v>0</v>
      </c>
      <c r="BR18" s="12">
        <v>3</v>
      </c>
      <c r="BS18" s="12">
        <v>3</v>
      </c>
      <c r="BU18" s="11">
        <v>15</v>
      </c>
      <c r="BV18" s="12">
        <v>0</v>
      </c>
      <c r="BW18" s="12">
        <v>1</v>
      </c>
      <c r="BX18" s="12">
        <v>1</v>
      </c>
      <c r="BZ18" s="11">
        <v>15</v>
      </c>
      <c r="CA18" s="12"/>
      <c r="CC18" s="11">
        <v>15</v>
      </c>
      <c r="CD18" s="12"/>
    </row>
    <row r="19" spans="1:82">
      <c r="A19" s="30" t="s">
        <v>116</v>
      </c>
      <c r="D19" s="119">
        <v>10</v>
      </c>
      <c r="E19" s="119" t="s">
        <v>8</v>
      </c>
      <c r="F19" s="127" t="s">
        <v>18</v>
      </c>
      <c r="J19" s="94" t="s">
        <v>125</v>
      </c>
      <c r="K19" s="121"/>
      <c r="R19" s="11">
        <v>16</v>
      </c>
      <c r="S19" s="12">
        <v>10</v>
      </c>
      <c r="T19" s="12" t="s">
        <v>15</v>
      </c>
      <c r="U19" s="12" t="s">
        <v>15</v>
      </c>
      <c r="W19" s="11">
        <v>16</v>
      </c>
      <c r="X19" s="12">
        <v>4</v>
      </c>
      <c r="Y19" s="12">
        <v>0</v>
      </c>
      <c r="Z19" s="12">
        <v>0</v>
      </c>
      <c r="AB19" s="11">
        <v>16</v>
      </c>
      <c r="AC19" s="12">
        <v>1</v>
      </c>
      <c r="AD19" s="69">
        <v>0</v>
      </c>
      <c r="AE19" s="69">
        <v>0</v>
      </c>
      <c r="AG19" s="11">
        <v>16</v>
      </c>
      <c r="AH19" s="69">
        <v>1</v>
      </c>
      <c r="AI19" s="12">
        <v>1</v>
      </c>
      <c r="AJ19" s="69">
        <v>0</v>
      </c>
      <c r="AL19" s="11">
        <v>16</v>
      </c>
      <c r="AM19" s="69">
        <v>1</v>
      </c>
      <c r="AN19" s="69">
        <v>0</v>
      </c>
      <c r="AO19" s="120">
        <v>1</v>
      </c>
      <c r="AQ19" s="11">
        <v>16</v>
      </c>
      <c r="AR19" s="14" t="s">
        <v>40</v>
      </c>
      <c r="AT19" s="11">
        <v>16</v>
      </c>
      <c r="AU19" s="12">
        <v>11</v>
      </c>
      <c r="AW19" s="11">
        <v>16</v>
      </c>
      <c r="AX19" s="12">
        <v>0</v>
      </c>
      <c r="AY19" s="12">
        <v>20</v>
      </c>
      <c r="AZ19" s="12">
        <v>30</v>
      </c>
      <c r="BA19" s="12">
        <v>5</v>
      </c>
      <c r="BB19" s="12">
        <v>5</v>
      </c>
      <c r="BC19" s="12">
        <v>5</v>
      </c>
      <c r="BD19" s="12">
        <v>5</v>
      </c>
      <c r="BE19" s="12">
        <v>5</v>
      </c>
      <c r="BF19" s="24">
        <v>5</v>
      </c>
      <c r="BG19" s="29">
        <v>5</v>
      </c>
      <c r="BH19" s="12">
        <v>0</v>
      </c>
      <c r="BI19" s="12">
        <v>0</v>
      </c>
      <c r="BK19" s="11">
        <v>16</v>
      </c>
      <c r="BL19" s="12">
        <v>10</v>
      </c>
      <c r="BM19" s="12" t="s">
        <v>15</v>
      </c>
      <c r="BN19" s="12" t="s">
        <v>15</v>
      </c>
      <c r="BP19" s="11">
        <v>16</v>
      </c>
      <c r="BQ19" s="12">
        <v>4</v>
      </c>
      <c r="BR19" s="12">
        <v>0</v>
      </c>
      <c r="BS19" s="12">
        <v>0</v>
      </c>
      <c r="BU19" s="11">
        <v>16</v>
      </c>
      <c r="BV19" s="12">
        <v>3</v>
      </c>
      <c r="BW19" s="12">
        <v>0</v>
      </c>
      <c r="BX19" s="12">
        <v>0</v>
      </c>
      <c r="BZ19" s="11">
        <v>16</v>
      </c>
      <c r="CA19" s="12"/>
      <c r="CC19" s="11">
        <v>16</v>
      </c>
      <c r="CD19" s="12"/>
    </row>
    <row r="20" spans="1:82">
      <c r="D20" s="119"/>
      <c r="E20" s="119"/>
      <c r="F20" s="119"/>
      <c r="J20" s="2" t="s">
        <v>66</v>
      </c>
      <c r="K20" s="2" t="s">
        <v>67</v>
      </c>
      <c r="R20" s="11">
        <v>17</v>
      </c>
      <c r="S20" s="12" t="s">
        <v>15</v>
      </c>
      <c r="T20" s="12">
        <v>10</v>
      </c>
      <c r="U20" s="12">
        <v>10</v>
      </c>
      <c r="W20" s="11">
        <v>17</v>
      </c>
      <c r="X20" s="12">
        <v>0</v>
      </c>
      <c r="Y20" s="12">
        <v>4</v>
      </c>
      <c r="Z20" s="12">
        <v>4</v>
      </c>
      <c r="AB20" s="11">
        <v>17</v>
      </c>
      <c r="AC20" s="12">
        <v>0</v>
      </c>
      <c r="AD20" s="69">
        <v>0</v>
      </c>
      <c r="AE20" s="69">
        <v>0</v>
      </c>
      <c r="AG20" s="11">
        <v>17</v>
      </c>
      <c r="AH20" s="69">
        <v>0</v>
      </c>
      <c r="AI20" s="12">
        <v>0</v>
      </c>
      <c r="AJ20" s="69">
        <v>0</v>
      </c>
      <c r="AL20" s="11">
        <v>17</v>
      </c>
      <c r="AM20" s="69">
        <v>0</v>
      </c>
      <c r="AN20" s="69">
        <v>0</v>
      </c>
      <c r="AO20" s="120">
        <v>0</v>
      </c>
      <c r="AQ20" s="11">
        <v>17</v>
      </c>
      <c r="AR20" s="12" t="s">
        <v>15</v>
      </c>
      <c r="AT20" s="11">
        <v>17</v>
      </c>
      <c r="AU20" s="12">
        <v>0</v>
      </c>
      <c r="AW20" s="11">
        <v>17</v>
      </c>
      <c r="AX20" s="12">
        <v>46</v>
      </c>
      <c r="AY20" s="12">
        <v>0</v>
      </c>
      <c r="AZ20" s="12">
        <v>0</v>
      </c>
      <c r="BA20" s="12">
        <v>5</v>
      </c>
      <c r="BB20" s="12">
        <v>5</v>
      </c>
      <c r="BC20" s="12">
        <v>5</v>
      </c>
      <c r="BD20" s="12">
        <v>5</v>
      </c>
      <c r="BE20" s="12">
        <v>5</v>
      </c>
      <c r="BF20" s="24">
        <v>5</v>
      </c>
      <c r="BG20" s="29">
        <v>5</v>
      </c>
      <c r="BH20" s="12">
        <v>70</v>
      </c>
      <c r="BI20" s="12">
        <v>70</v>
      </c>
      <c r="BK20" s="11">
        <v>17</v>
      </c>
      <c r="BL20" s="12" t="s">
        <v>15</v>
      </c>
      <c r="BM20" s="12">
        <v>10</v>
      </c>
      <c r="BN20" s="12">
        <v>10</v>
      </c>
      <c r="BP20" s="11">
        <v>17</v>
      </c>
      <c r="BQ20" s="12">
        <v>0</v>
      </c>
      <c r="BR20" s="12">
        <v>4</v>
      </c>
      <c r="BS20" s="12">
        <v>4</v>
      </c>
      <c r="BU20" s="11">
        <v>17</v>
      </c>
      <c r="BV20" s="12">
        <v>0</v>
      </c>
      <c r="BW20" s="12">
        <v>0</v>
      </c>
      <c r="BX20" s="12">
        <v>12</v>
      </c>
      <c r="BZ20" s="11">
        <v>17</v>
      </c>
      <c r="CA20" s="12"/>
      <c r="CC20" s="11">
        <v>17</v>
      </c>
      <c r="CD20" s="12"/>
    </row>
    <row r="21" spans="1:82">
      <c r="D21" s="119"/>
      <c r="E21" s="119"/>
      <c r="F21" s="119"/>
      <c r="J21" s="2">
        <v>0</v>
      </c>
      <c r="K21" s="2">
        <v>1</v>
      </c>
      <c r="R21" s="11">
        <v>18</v>
      </c>
      <c r="S21" s="12">
        <v>1</v>
      </c>
      <c r="T21" s="12" t="s">
        <v>15</v>
      </c>
      <c r="U21" s="12" t="s">
        <v>15</v>
      </c>
      <c r="W21" s="11">
        <v>18</v>
      </c>
      <c r="X21" s="12">
        <v>2</v>
      </c>
      <c r="Y21" s="12">
        <v>0</v>
      </c>
      <c r="Z21" s="12">
        <v>0</v>
      </c>
      <c r="AB21" s="11">
        <v>18</v>
      </c>
      <c r="AC21" s="12">
        <v>0</v>
      </c>
      <c r="AD21" s="69">
        <v>0</v>
      </c>
      <c r="AE21" s="69">
        <v>0</v>
      </c>
      <c r="AG21" s="11">
        <v>18</v>
      </c>
      <c r="AH21" s="69">
        <v>0</v>
      </c>
      <c r="AI21" s="12">
        <v>1</v>
      </c>
      <c r="AJ21" s="69">
        <v>0</v>
      </c>
      <c r="AL21" s="11">
        <v>18</v>
      </c>
      <c r="AM21" s="69">
        <v>0</v>
      </c>
      <c r="AN21" s="69">
        <v>0</v>
      </c>
      <c r="AO21" s="120">
        <v>1</v>
      </c>
      <c r="AQ21" s="11">
        <v>18</v>
      </c>
      <c r="AR21" s="14" t="s">
        <v>9</v>
      </c>
      <c r="AT21" s="11">
        <v>18</v>
      </c>
      <c r="AU21" s="12">
        <v>8</v>
      </c>
      <c r="AW21" s="11">
        <v>18</v>
      </c>
      <c r="AX21" s="12">
        <v>0</v>
      </c>
      <c r="AY21" s="12">
        <v>22</v>
      </c>
      <c r="AZ21" s="12">
        <v>0</v>
      </c>
      <c r="BA21" s="12">
        <v>5</v>
      </c>
      <c r="BB21" s="12">
        <v>5</v>
      </c>
      <c r="BC21" s="12">
        <v>5</v>
      </c>
      <c r="BD21" s="12">
        <v>5</v>
      </c>
      <c r="BE21" s="12">
        <v>5</v>
      </c>
      <c r="BF21" s="24">
        <v>5</v>
      </c>
      <c r="BG21" s="29">
        <v>5</v>
      </c>
      <c r="BH21" s="12">
        <v>0</v>
      </c>
      <c r="BI21" s="12">
        <v>0</v>
      </c>
      <c r="BK21" s="11">
        <v>18</v>
      </c>
      <c r="BL21" s="12">
        <v>1</v>
      </c>
      <c r="BM21" s="12" t="s">
        <v>15</v>
      </c>
      <c r="BN21" s="12" t="s">
        <v>15</v>
      </c>
      <c r="BP21" s="11">
        <v>18</v>
      </c>
      <c r="BQ21" s="12">
        <v>2</v>
      </c>
      <c r="BR21" s="12">
        <v>0</v>
      </c>
      <c r="BS21" s="12">
        <v>0</v>
      </c>
      <c r="BU21" s="11">
        <v>18</v>
      </c>
      <c r="BV21" s="12">
        <v>2703</v>
      </c>
      <c r="BW21" s="12">
        <v>0</v>
      </c>
      <c r="BX21" s="12">
        <v>0</v>
      </c>
      <c r="BZ21" s="11">
        <v>18</v>
      </c>
      <c r="CA21" s="12"/>
      <c r="CC21" s="11">
        <v>18</v>
      </c>
      <c r="CD21" s="12"/>
    </row>
    <row r="22" spans="1:82">
      <c r="A22" s="30" t="s">
        <v>46</v>
      </c>
      <c r="B22" s="1" t="s">
        <v>10</v>
      </c>
      <c r="C22" s="2" t="s">
        <v>11</v>
      </c>
      <c r="D22" s="3" t="s">
        <v>80</v>
      </c>
      <c r="E22" s="122" t="s">
        <v>1</v>
      </c>
      <c r="F22" s="4" t="s">
        <v>2</v>
      </c>
      <c r="R22" s="11">
        <v>19</v>
      </c>
      <c r="S22" s="12" t="s">
        <v>15</v>
      </c>
      <c r="T22" s="12" t="s">
        <v>18</v>
      </c>
      <c r="U22" s="12" t="s">
        <v>18</v>
      </c>
      <c r="W22" s="11">
        <v>19</v>
      </c>
      <c r="X22" s="12">
        <v>0</v>
      </c>
      <c r="Y22" s="12">
        <v>5</v>
      </c>
      <c r="Z22" s="12">
        <v>5</v>
      </c>
      <c r="AB22" s="11">
        <v>19</v>
      </c>
      <c r="AC22" s="12">
        <v>0</v>
      </c>
      <c r="AD22" s="69">
        <v>0</v>
      </c>
      <c r="AE22" s="69">
        <v>0</v>
      </c>
      <c r="AG22" s="11">
        <v>19</v>
      </c>
      <c r="AH22" s="69">
        <v>0</v>
      </c>
      <c r="AI22" s="12">
        <v>0</v>
      </c>
      <c r="AJ22" s="69">
        <v>1</v>
      </c>
      <c r="AL22" s="11">
        <v>19</v>
      </c>
      <c r="AM22" s="69">
        <v>0</v>
      </c>
      <c r="AN22" s="69">
        <v>1</v>
      </c>
      <c r="AO22" s="120">
        <v>0</v>
      </c>
      <c r="AQ22" s="11">
        <v>19</v>
      </c>
      <c r="AR22" s="12" t="s">
        <v>15</v>
      </c>
      <c r="AT22" s="11">
        <v>19</v>
      </c>
      <c r="AU22" s="12">
        <v>0</v>
      </c>
      <c r="AW22" s="11">
        <v>19</v>
      </c>
      <c r="AX22" s="12">
        <v>46</v>
      </c>
      <c r="AY22" s="12">
        <v>0</v>
      </c>
      <c r="AZ22" s="12">
        <v>0</v>
      </c>
      <c r="BA22" s="12">
        <v>5</v>
      </c>
      <c r="BB22" s="12">
        <v>5</v>
      </c>
      <c r="BC22" s="12">
        <v>5</v>
      </c>
      <c r="BD22" s="12">
        <v>5</v>
      </c>
      <c r="BE22" s="12">
        <v>5</v>
      </c>
      <c r="BF22" s="24">
        <v>5</v>
      </c>
      <c r="BG22" s="29">
        <v>5</v>
      </c>
      <c r="BH22" s="12">
        <v>70</v>
      </c>
      <c r="BI22" s="12">
        <v>70</v>
      </c>
      <c r="BK22" s="11">
        <v>19</v>
      </c>
      <c r="BL22" s="12" t="s">
        <v>15</v>
      </c>
      <c r="BM22" s="12" t="s">
        <v>18</v>
      </c>
      <c r="BN22" s="12" t="s">
        <v>18</v>
      </c>
      <c r="BP22" s="11">
        <v>19</v>
      </c>
      <c r="BQ22" s="12">
        <v>0</v>
      </c>
      <c r="BR22" s="12">
        <v>5</v>
      </c>
      <c r="BS22" s="12">
        <v>5</v>
      </c>
      <c r="BU22" s="11">
        <v>19</v>
      </c>
      <c r="BV22" s="12">
        <v>0</v>
      </c>
      <c r="BW22" s="12">
        <v>0</v>
      </c>
      <c r="BX22" s="12">
        <v>10</v>
      </c>
      <c r="BZ22" s="11">
        <v>19</v>
      </c>
      <c r="CA22" s="12"/>
      <c r="CC22" s="11">
        <v>19</v>
      </c>
      <c r="CD22" s="12"/>
    </row>
    <row r="23" spans="1:82">
      <c r="A23" s="1" t="s">
        <v>19</v>
      </c>
      <c r="B23" s="1">
        <v>0</v>
      </c>
      <c r="C23" s="3" t="s">
        <v>25</v>
      </c>
      <c r="D23" s="3">
        <f>SUMIF(S$3:S$38,$A23,AH$3:AH$38)</f>
        <v>0</v>
      </c>
      <c r="E23" s="122">
        <f>SUMIF(T$3:T$52,$A23,AI$3:AI$52)</f>
        <v>25</v>
      </c>
      <c r="F23" s="4">
        <f>SUMIF(U$3:U$52,$A23,AJ$3:AJ$52)</f>
        <v>0</v>
      </c>
      <c r="R23" s="11">
        <v>20</v>
      </c>
      <c r="S23" s="12">
        <v>5</v>
      </c>
      <c r="T23" s="12" t="s">
        <v>15</v>
      </c>
      <c r="U23" s="12" t="s">
        <v>15</v>
      </c>
      <c r="W23" s="11">
        <v>20</v>
      </c>
      <c r="X23" s="12">
        <v>3</v>
      </c>
      <c r="Y23" s="12">
        <v>0</v>
      </c>
      <c r="Z23" s="12">
        <v>0</v>
      </c>
      <c r="AB23" s="11">
        <v>20</v>
      </c>
      <c r="AC23" s="12">
        <v>0</v>
      </c>
      <c r="AD23" s="69">
        <v>0</v>
      </c>
      <c r="AE23" s="69">
        <v>0</v>
      </c>
      <c r="AG23" s="11">
        <v>20</v>
      </c>
      <c r="AH23" s="69">
        <v>0</v>
      </c>
      <c r="AI23" s="12">
        <v>1</v>
      </c>
      <c r="AJ23" s="69">
        <v>0</v>
      </c>
      <c r="AL23" s="11">
        <v>20</v>
      </c>
      <c r="AM23" s="69">
        <v>0</v>
      </c>
      <c r="AN23" s="69">
        <v>0</v>
      </c>
      <c r="AO23" s="120">
        <v>1</v>
      </c>
      <c r="AQ23" s="11">
        <v>20</v>
      </c>
      <c r="AR23" s="14" t="s">
        <v>5</v>
      </c>
      <c r="AT23" s="11">
        <v>20</v>
      </c>
      <c r="AU23" s="12">
        <v>6</v>
      </c>
      <c r="AW23" s="11">
        <v>20</v>
      </c>
      <c r="AX23" s="12">
        <v>9</v>
      </c>
      <c r="AY23" s="12">
        <v>0</v>
      </c>
      <c r="AZ23" s="12">
        <v>90</v>
      </c>
      <c r="BA23" s="12">
        <v>5</v>
      </c>
      <c r="BB23" s="12">
        <v>5</v>
      </c>
      <c r="BC23" s="12">
        <v>5</v>
      </c>
      <c r="BD23" s="12">
        <v>5</v>
      </c>
      <c r="BE23" s="12">
        <v>5</v>
      </c>
      <c r="BF23" s="24">
        <v>5</v>
      </c>
      <c r="BG23" s="29">
        <v>5</v>
      </c>
      <c r="BH23" s="12">
        <v>0</v>
      </c>
      <c r="BI23" s="12">
        <v>0</v>
      </c>
      <c r="BK23" s="11">
        <v>20</v>
      </c>
      <c r="BL23" s="12">
        <v>5</v>
      </c>
      <c r="BM23" s="12" t="s">
        <v>15</v>
      </c>
      <c r="BN23" s="12" t="s">
        <v>15</v>
      </c>
      <c r="BP23" s="11">
        <v>20</v>
      </c>
      <c r="BQ23" s="12">
        <v>3</v>
      </c>
      <c r="BR23" s="12">
        <v>0</v>
      </c>
      <c r="BS23" s="12">
        <v>0</v>
      </c>
      <c r="BU23" s="11">
        <v>20</v>
      </c>
      <c r="BV23" s="12">
        <v>372</v>
      </c>
      <c r="BW23" s="12">
        <v>0</v>
      </c>
      <c r="BX23" s="12">
        <v>0</v>
      </c>
      <c r="BZ23" s="11">
        <v>20</v>
      </c>
      <c r="CA23" s="12"/>
      <c r="CC23" s="11">
        <v>20</v>
      </c>
      <c r="CD23" s="12"/>
    </row>
    <row r="24" spans="1:82">
      <c r="A24" s="20">
        <v>0</v>
      </c>
      <c r="B24" s="20">
        <v>1</v>
      </c>
      <c r="C24" s="5">
        <v>0</v>
      </c>
      <c r="D24" s="37">
        <f t="shared" ref="D24:D34" si="2">SUMIF(S$3:S$38,$A24,AH$3:AH$38)</f>
        <v>0</v>
      </c>
      <c r="E24" s="121">
        <f t="shared" ref="E24:F34" si="3">SUMIF(T$3:T$52,$A24,AI$3:AI$52)</f>
        <v>0</v>
      </c>
      <c r="F24" s="7">
        <f>SUMIF(U$3:U$52,$A24,AJ$3:AJ$52)</f>
        <v>0</v>
      </c>
      <c r="R24" s="11">
        <v>21</v>
      </c>
      <c r="S24" s="12" t="s">
        <v>15</v>
      </c>
      <c r="T24" s="12">
        <v>0</v>
      </c>
      <c r="U24" s="12">
        <v>0</v>
      </c>
      <c r="W24" s="11">
        <v>21</v>
      </c>
      <c r="X24" s="12">
        <v>0</v>
      </c>
      <c r="Y24" s="12">
        <v>1</v>
      </c>
      <c r="Z24" s="12">
        <v>1</v>
      </c>
      <c r="AB24" s="11">
        <v>21</v>
      </c>
      <c r="AC24" s="12">
        <v>0</v>
      </c>
      <c r="AD24" s="69">
        <v>1</v>
      </c>
      <c r="AE24" s="69">
        <v>1</v>
      </c>
      <c r="AG24" s="11">
        <v>21</v>
      </c>
      <c r="AH24" s="69">
        <v>0</v>
      </c>
      <c r="AI24" s="12">
        <v>0</v>
      </c>
      <c r="AJ24" s="69">
        <v>0</v>
      </c>
      <c r="AL24" s="11">
        <v>21</v>
      </c>
      <c r="AM24" s="69">
        <v>0</v>
      </c>
      <c r="AN24" s="69">
        <v>0</v>
      </c>
      <c r="AO24" s="120">
        <v>0</v>
      </c>
      <c r="AQ24" s="11">
        <v>21</v>
      </c>
      <c r="AR24" s="12" t="s">
        <v>15</v>
      </c>
      <c r="AT24" s="11">
        <v>21</v>
      </c>
      <c r="AU24" s="12">
        <v>0</v>
      </c>
      <c r="AW24" s="11">
        <v>21</v>
      </c>
      <c r="AX24" s="12">
        <v>46</v>
      </c>
      <c r="AY24" s="12">
        <v>0</v>
      </c>
      <c r="AZ24" s="12">
        <v>0</v>
      </c>
      <c r="BA24" s="12">
        <v>5</v>
      </c>
      <c r="BB24" s="12">
        <v>5</v>
      </c>
      <c r="BC24" s="12">
        <v>5</v>
      </c>
      <c r="BD24" s="12">
        <v>5</v>
      </c>
      <c r="BE24" s="12">
        <v>5</v>
      </c>
      <c r="BF24" s="24">
        <v>5</v>
      </c>
      <c r="BG24" s="29">
        <v>5</v>
      </c>
      <c r="BH24" s="12">
        <v>70</v>
      </c>
      <c r="BI24" s="12">
        <v>70</v>
      </c>
      <c r="BK24" s="11">
        <v>21</v>
      </c>
      <c r="BL24" s="12" t="s">
        <v>15</v>
      </c>
      <c r="BM24" s="12">
        <v>0</v>
      </c>
      <c r="BN24" s="12">
        <v>0</v>
      </c>
      <c r="BP24" s="11">
        <v>21</v>
      </c>
      <c r="BQ24" s="12">
        <v>0</v>
      </c>
      <c r="BR24" s="12">
        <v>1</v>
      </c>
      <c r="BS24" s="12">
        <v>1</v>
      </c>
      <c r="BU24" s="11">
        <v>21</v>
      </c>
      <c r="BV24" s="12">
        <v>0</v>
      </c>
      <c r="BW24" s="12">
        <v>1</v>
      </c>
      <c r="BX24" s="12">
        <v>1</v>
      </c>
      <c r="BZ24" s="11">
        <v>21</v>
      </c>
      <c r="CA24" s="12"/>
      <c r="CC24" s="11">
        <v>21</v>
      </c>
      <c r="CD24" s="12"/>
    </row>
    <row r="25" spans="1:82">
      <c r="A25" s="20">
        <v>1</v>
      </c>
      <c r="B25" s="20">
        <v>2</v>
      </c>
      <c r="C25" s="5">
        <v>1</v>
      </c>
      <c r="D25" s="6">
        <f t="shared" si="2"/>
        <v>0</v>
      </c>
      <c r="E25" s="121">
        <f t="shared" si="3"/>
        <v>0</v>
      </c>
      <c r="F25" s="7">
        <f t="shared" si="3"/>
        <v>0</v>
      </c>
      <c r="R25" s="11">
        <v>22</v>
      </c>
      <c r="S25" s="12">
        <v>10</v>
      </c>
      <c r="T25" s="12" t="s">
        <v>15</v>
      </c>
      <c r="U25" s="12" t="s">
        <v>15</v>
      </c>
      <c r="W25" s="11">
        <v>22</v>
      </c>
      <c r="X25" s="12">
        <v>4</v>
      </c>
      <c r="Y25" s="12">
        <v>0</v>
      </c>
      <c r="Z25" s="12">
        <v>0</v>
      </c>
      <c r="AB25" s="11">
        <v>22</v>
      </c>
      <c r="AC25" s="12">
        <v>1</v>
      </c>
      <c r="AD25" s="69">
        <v>0</v>
      </c>
      <c r="AE25" s="69">
        <v>0</v>
      </c>
      <c r="AG25" s="11">
        <v>22</v>
      </c>
      <c r="AH25" s="69">
        <v>1</v>
      </c>
      <c r="AI25" s="12">
        <v>1</v>
      </c>
      <c r="AJ25" s="69">
        <v>0</v>
      </c>
      <c r="AL25" s="11">
        <v>22</v>
      </c>
      <c r="AM25" s="69">
        <v>1</v>
      </c>
      <c r="AN25" s="69">
        <v>0</v>
      </c>
      <c r="AO25" s="120">
        <v>1</v>
      </c>
      <c r="AQ25" s="11">
        <v>22</v>
      </c>
      <c r="AR25" s="14" t="s">
        <v>7</v>
      </c>
      <c r="AT25" s="11">
        <v>22</v>
      </c>
      <c r="AU25" s="12">
        <v>9</v>
      </c>
      <c r="AW25" s="11">
        <v>22</v>
      </c>
      <c r="AX25" s="12">
        <v>0</v>
      </c>
      <c r="AY25" s="12">
        <v>7</v>
      </c>
      <c r="AZ25" s="12">
        <v>15</v>
      </c>
      <c r="BA25" s="12">
        <v>5</v>
      </c>
      <c r="BB25" s="12">
        <v>5</v>
      </c>
      <c r="BC25" s="12">
        <v>5</v>
      </c>
      <c r="BD25" s="12">
        <v>5</v>
      </c>
      <c r="BE25" s="12">
        <v>5</v>
      </c>
      <c r="BF25" s="24">
        <v>5</v>
      </c>
      <c r="BG25" s="29">
        <v>5</v>
      </c>
      <c r="BH25" s="12">
        <v>0</v>
      </c>
      <c r="BI25" s="12">
        <v>0</v>
      </c>
      <c r="BK25" s="11">
        <v>22</v>
      </c>
      <c r="BL25" s="12">
        <v>10</v>
      </c>
      <c r="BM25" s="12" t="s">
        <v>15</v>
      </c>
      <c r="BN25" s="12" t="s">
        <v>15</v>
      </c>
      <c r="BP25" s="11">
        <v>22</v>
      </c>
      <c r="BQ25" s="12">
        <v>4</v>
      </c>
      <c r="BR25" s="12">
        <v>0</v>
      </c>
      <c r="BS25" s="12">
        <v>0</v>
      </c>
      <c r="BU25" s="11">
        <v>22</v>
      </c>
      <c r="BV25" s="12">
        <v>3</v>
      </c>
      <c r="BW25" s="12">
        <v>0</v>
      </c>
      <c r="BX25" s="12">
        <v>0</v>
      </c>
      <c r="BZ25" s="11">
        <v>22</v>
      </c>
      <c r="CA25" s="12"/>
      <c r="CC25" s="11">
        <v>22</v>
      </c>
      <c r="CD25" s="12"/>
    </row>
    <row r="26" spans="1:82">
      <c r="A26" s="21">
        <v>5</v>
      </c>
      <c r="B26" s="21">
        <v>3</v>
      </c>
      <c r="C26" s="23">
        <v>5</v>
      </c>
      <c r="D26" s="6">
        <f t="shared" si="2"/>
        <v>0</v>
      </c>
      <c r="E26" s="121">
        <f t="shared" si="3"/>
        <v>0</v>
      </c>
      <c r="F26" s="7">
        <f t="shared" si="3"/>
        <v>0</v>
      </c>
      <c r="R26" s="11">
        <v>23</v>
      </c>
      <c r="S26" s="12" t="s">
        <v>15</v>
      </c>
      <c r="T26" s="12">
        <v>1</v>
      </c>
      <c r="U26" s="12">
        <v>1</v>
      </c>
      <c r="W26" s="11">
        <v>23</v>
      </c>
      <c r="X26" s="12">
        <v>0</v>
      </c>
      <c r="Y26" s="12">
        <v>2</v>
      </c>
      <c r="Z26" s="12">
        <v>2</v>
      </c>
      <c r="AB26" s="11">
        <v>23</v>
      </c>
      <c r="AC26" s="12">
        <v>0</v>
      </c>
      <c r="AD26" s="69">
        <v>1</v>
      </c>
      <c r="AE26" s="69">
        <v>1</v>
      </c>
      <c r="AG26" s="11">
        <v>23</v>
      </c>
      <c r="AH26" s="69">
        <v>0</v>
      </c>
      <c r="AI26" s="12">
        <v>0</v>
      </c>
      <c r="AJ26" s="69">
        <v>0</v>
      </c>
      <c r="AL26" s="11">
        <v>23</v>
      </c>
      <c r="AM26" s="69">
        <v>0</v>
      </c>
      <c r="AN26" s="69">
        <v>0</v>
      </c>
      <c r="AO26" s="120">
        <v>0</v>
      </c>
      <c r="AQ26" s="11">
        <v>23</v>
      </c>
      <c r="AR26" s="12" t="s">
        <v>15</v>
      </c>
      <c r="AT26" s="11">
        <v>23</v>
      </c>
      <c r="AU26" s="12">
        <v>0</v>
      </c>
      <c r="AW26" s="11">
        <v>23</v>
      </c>
      <c r="AX26" s="12">
        <v>46</v>
      </c>
      <c r="AY26" s="12">
        <v>0</v>
      </c>
      <c r="AZ26" s="12">
        <v>0</v>
      </c>
      <c r="BA26" s="12">
        <v>5</v>
      </c>
      <c r="BB26" s="12">
        <v>5</v>
      </c>
      <c r="BC26" s="12">
        <v>5</v>
      </c>
      <c r="BD26" s="12">
        <v>5</v>
      </c>
      <c r="BE26" s="12">
        <v>5</v>
      </c>
      <c r="BF26" s="24">
        <v>5</v>
      </c>
      <c r="BG26" s="29">
        <v>5</v>
      </c>
      <c r="BH26" s="12">
        <v>70</v>
      </c>
      <c r="BI26" s="12">
        <v>70</v>
      </c>
      <c r="BK26" s="11">
        <v>23</v>
      </c>
      <c r="BL26" s="12" t="s">
        <v>15</v>
      </c>
      <c r="BM26" s="12">
        <v>1</v>
      </c>
      <c r="BN26" s="12">
        <v>1</v>
      </c>
      <c r="BP26" s="11">
        <v>23</v>
      </c>
      <c r="BQ26" s="12">
        <v>0</v>
      </c>
      <c r="BR26" s="12">
        <v>2</v>
      </c>
      <c r="BS26" s="12">
        <v>2</v>
      </c>
      <c r="BU26" s="11">
        <v>23</v>
      </c>
      <c r="BV26" s="12">
        <v>0</v>
      </c>
      <c r="BW26" s="12">
        <v>1</v>
      </c>
      <c r="BX26" s="12">
        <v>1</v>
      </c>
      <c r="BZ26" s="11">
        <v>23</v>
      </c>
      <c r="CA26" s="12"/>
      <c r="CC26" s="11">
        <v>23</v>
      </c>
      <c r="CD26" s="12"/>
    </row>
    <row r="27" spans="1:82">
      <c r="A27" s="21">
        <v>10</v>
      </c>
      <c r="B27" s="21">
        <v>4</v>
      </c>
      <c r="C27" s="23">
        <v>10</v>
      </c>
      <c r="D27" s="6">
        <f t="shared" si="2"/>
        <v>6</v>
      </c>
      <c r="E27" s="101">
        <f t="shared" si="3"/>
        <v>0</v>
      </c>
      <c r="F27" s="126">
        <f t="shared" si="3"/>
        <v>0</v>
      </c>
      <c r="R27" s="11">
        <v>24</v>
      </c>
      <c r="S27" s="12">
        <v>1</v>
      </c>
      <c r="T27" s="12" t="s">
        <v>15</v>
      </c>
      <c r="U27" s="12" t="s">
        <v>15</v>
      </c>
      <c r="W27" s="11">
        <v>24</v>
      </c>
      <c r="X27" s="12">
        <v>2</v>
      </c>
      <c r="Y27" s="12">
        <v>0</v>
      </c>
      <c r="Z27" s="12">
        <v>0</v>
      </c>
      <c r="AB27" s="11">
        <v>24</v>
      </c>
      <c r="AC27" s="12">
        <v>0</v>
      </c>
      <c r="AD27" s="69">
        <v>0</v>
      </c>
      <c r="AE27" s="69">
        <v>0</v>
      </c>
      <c r="AG27" s="11">
        <v>24</v>
      </c>
      <c r="AH27" s="69">
        <v>0</v>
      </c>
      <c r="AI27" s="12">
        <v>1</v>
      </c>
      <c r="AJ27" s="69">
        <v>0</v>
      </c>
      <c r="AL27" s="11">
        <v>24</v>
      </c>
      <c r="AM27" s="69">
        <v>0</v>
      </c>
      <c r="AN27" s="69">
        <v>0</v>
      </c>
      <c r="AO27" s="120">
        <v>1</v>
      </c>
      <c r="AQ27" s="11">
        <v>24</v>
      </c>
      <c r="AR27" s="14" t="s">
        <v>6</v>
      </c>
      <c r="AT27" s="11">
        <v>24</v>
      </c>
      <c r="AU27" s="12">
        <v>7</v>
      </c>
      <c r="AW27" s="11">
        <v>24</v>
      </c>
      <c r="AX27" s="12">
        <v>11</v>
      </c>
      <c r="AY27" s="12">
        <v>0</v>
      </c>
      <c r="AZ27" s="12">
        <v>90</v>
      </c>
      <c r="BA27" s="12">
        <v>5</v>
      </c>
      <c r="BB27" s="12">
        <v>5</v>
      </c>
      <c r="BC27" s="12">
        <v>5</v>
      </c>
      <c r="BD27" s="12">
        <v>5</v>
      </c>
      <c r="BE27" s="12">
        <v>5</v>
      </c>
      <c r="BF27" s="24">
        <v>5</v>
      </c>
      <c r="BG27" s="29">
        <v>5</v>
      </c>
      <c r="BH27" s="12">
        <v>0</v>
      </c>
      <c r="BI27" s="12">
        <v>0</v>
      </c>
      <c r="BK27" s="11">
        <v>24</v>
      </c>
      <c r="BL27" s="12">
        <v>1</v>
      </c>
      <c r="BM27" s="12" t="s">
        <v>15</v>
      </c>
      <c r="BN27" s="12" t="s">
        <v>15</v>
      </c>
      <c r="BP27" s="11">
        <v>24</v>
      </c>
      <c r="BQ27" s="12">
        <v>2</v>
      </c>
      <c r="BR27" s="12">
        <v>0</v>
      </c>
      <c r="BS27" s="12">
        <v>0</v>
      </c>
      <c r="BU27" s="11">
        <v>24</v>
      </c>
      <c r="BV27" s="12">
        <v>2703</v>
      </c>
      <c r="BW27" s="12">
        <v>0</v>
      </c>
      <c r="BX27" s="12">
        <v>0</v>
      </c>
      <c r="BZ27" s="11">
        <v>24</v>
      </c>
      <c r="CA27" s="12"/>
      <c r="CC27" s="11">
        <v>24</v>
      </c>
      <c r="CD27" s="12"/>
    </row>
    <row r="28" spans="1:82">
      <c r="A28" s="20" t="s">
        <v>20</v>
      </c>
      <c r="B28" s="20">
        <v>5</v>
      </c>
      <c r="C28" s="23" t="s">
        <v>29</v>
      </c>
      <c r="D28" s="37">
        <f t="shared" si="2"/>
        <v>0</v>
      </c>
      <c r="E28" s="101">
        <f t="shared" si="3"/>
        <v>0</v>
      </c>
      <c r="F28" s="126">
        <f t="shared" si="3"/>
        <v>5</v>
      </c>
      <c r="R28" s="11">
        <v>25</v>
      </c>
      <c r="S28" s="12" t="s">
        <v>15</v>
      </c>
      <c r="T28" s="12">
        <v>5</v>
      </c>
      <c r="U28" s="12">
        <v>5</v>
      </c>
      <c r="W28" s="11">
        <v>25</v>
      </c>
      <c r="X28" s="12">
        <v>0</v>
      </c>
      <c r="Y28" s="12">
        <v>3</v>
      </c>
      <c r="Z28" s="12">
        <v>3</v>
      </c>
      <c r="AB28" s="11">
        <v>25</v>
      </c>
      <c r="AC28" s="12">
        <v>0</v>
      </c>
      <c r="AD28" s="69">
        <v>1</v>
      </c>
      <c r="AE28" s="69">
        <v>1</v>
      </c>
      <c r="AG28" s="11">
        <v>25</v>
      </c>
      <c r="AH28" s="69">
        <v>0</v>
      </c>
      <c r="AI28" s="12">
        <v>0</v>
      </c>
      <c r="AJ28" s="69">
        <v>0</v>
      </c>
      <c r="AL28" s="11">
        <v>25</v>
      </c>
      <c r="AM28" s="69">
        <v>0</v>
      </c>
      <c r="AN28" s="69">
        <v>0</v>
      </c>
      <c r="AO28" s="120">
        <v>0</v>
      </c>
      <c r="AQ28" s="11">
        <v>25</v>
      </c>
      <c r="AR28" s="12" t="s">
        <v>15</v>
      </c>
      <c r="AT28" s="11">
        <v>25</v>
      </c>
      <c r="AU28" s="12">
        <v>0</v>
      </c>
      <c r="AW28" s="11">
        <v>25</v>
      </c>
      <c r="AX28" s="12">
        <v>46</v>
      </c>
      <c r="AY28" s="12">
        <v>0</v>
      </c>
      <c r="AZ28" s="12">
        <v>0</v>
      </c>
      <c r="BA28" s="12">
        <v>5</v>
      </c>
      <c r="BB28" s="12">
        <v>5</v>
      </c>
      <c r="BC28" s="12">
        <v>5</v>
      </c>
      <c r="BD28" s="12">
        <v>5</v>
      </c>
      <c r="BE28" s="12">
        <v>5</v>
      </c>
      <c r="BF28" s="24">
        <v>5</v>
      </c>
      <c r="BG28" s="29">
        <v>5</v>
      </c>
      <c r="BH28" s="12">
        <v>70</v>
      </c>
      <c r="BI28" s="12">
        <v>70</v>
      </c>
      <c r="BK28" s="11">
        <v>25</v>
      </c>
      <c r="BL28" s="12" t="s">
        <v>15</v>
      </c>
      <c r="BM28" s="12">
        <v>5</v>
      </c>
      <c r="BN28" s="12">
        <v>5</v>
      </c>
      <c r="BP28" s="11">
        <v>25</v>
      </c>
      <c r="BQ28" s="12">
        <v>0</v>
      </c>
      <c r="BR28" s="12">
        <v>3</v>
      </c>
      <c r="BS28" s="12">
        <v>3</v>
      </c>
      <c r="BU28" s="11">
        <v>25</v>
      </c>
      <c r="BV28" s="12">
        <v>0</v>
      </c>
      <c r="BW28" s="12">
        <v>1</v>
      </c>
      <c r="BX28" s="12">
        <v>1</v>
      </c>
      <c r="BZ28" s="11">
        <v>25</v>
      </c>
      <c r="CA28" s="12"/>
      <c r="CC28" s="11">
        <v>25</v>
      </c>
      <c r="CD28" s="12"/>
    </row>
    <row r="29" spans="1:82">
      <c r="A29" s="21" t="s">
        <v>21</v>
      </c>
      <c r="B29" s="21">
        <v>6</v>
      </c>
      <c r="C29" s="23" t="s">
        <v>26</v>
      </c>
      <c r="D29" s="37">
        <f t="shared" si="2"/>
        <v>0</v>
      </c>
      <c r="E29" s="59">
        <f t="shared" si="3"/>
        <v>0</v>
      </c>
      <c r="F29" s="38">
        <f t="shared" si="3"/>
        <v>0</v>
      </c>
      <c r="R29" s="11">
        <v>26</v>
      </c>
      <c r="S29" s="12">
        <v>5</v>
      </c>
      <c r="T29" s="12" t="s">
        <v>15</v>
      </c>
      <c r="U29" s="12" t="s">
        <v>15</v>
      </c>
      <c r="W29" s="11">
        <v>26</v>
      </c>
      <c r="X29" s="12">
        <v>3</v>
      </c>
      <c r="Y29" s="12">
        <v>0</v>
      </c>
      <c r="Z29" s="12">
        <v>0</v>
      </c>
      <c r="AB29" s="11">
        <v>26</v>
      </c>
      <c r="AC29" s="12">
        <v>0</v>
      </c>
      <c r="AD29" s="69">
        <v>0</v>
      </c>
      <c r="AE29" s="69">
        <v>0</v>
      </c>
      <c r="AG29" s="11">
        <v>26</v>
      </c>
      <c r="AH29" s="69">
        <v>0</v>
      </c>
      <c r="AI29" s="12">
        <v>1</v>
      </c>
      <c r="AJ29" s="69">
        <v>0</v>
      </c>
      <c r="AL29" s="11">
        <v>26</v>
      </c>
      <c r="AM29" s="69">
        <v>0</v>
      </c>
      <c r="AN29" s="69">
        <v>0</v>
      </c>
      <c r="AO29" s="120">
        <v>1</v>
      </c>
      <c r="AQ29" s="11">
        <v>26</v>
      </c>
      <c r="AR29" s="14" t="s">
        <v>40</v>
      </c>
      <c r="AT29" s="11">
        <v>26</v>
      </c>
      <c r="AU29" s="12">
        <v>11</v>
      </c>
      <c r="AW29" s="11">
        <v>26</v>
      </c>
      <c r="AX29" s="12">
        <v>0</v>
      </c>
      <c r="AY29" s="12">
        <v>20</v>
      </c>
      <c r="AZ29" s="12">
        <v>30</v>
      </c>
      <c r="BA29" s="12">
        <v>5</v>
      </c>
      <c r="BB29" s="12">
        <v>5</v>
      </c>
      <c r="BC29" s="12">
        <v>5</v>
      </c>
      <c r="BD29" s="12">
        <v>5</v>
      </c>
      <c r="BE29" s="12">
        <v>5</v>
      </c>
      <c r="BF29" s="24">
        <v>5</v>
      </c>
      <c r="BG29" s="29">
        <v>5</v>
      </c>
      <c r="BH29" s="12">
        <v>0</v>
      </c>
      <c r="BI29" s="12">
        <v>0</v>
      </c>
      <c r="BK29" s="11">
        <v>26</v>
      </c>
      <c r="BL29" s="12">
        <v>5</v>
      </c>
      <c r="BM29" s="12" t="s">
        <v>15</v>
      </c>
      <c r="BN29" s="12" t="s">
        <v>15</v>
      </c>
      <c r="BP29" s="11">
        <v>26</v>
      </c>
      <c r="BQ29" s="12">
        <v>3</v>
      </c>
      <c r="BR29" s="12">
        <v>0</v>
      </c>
      <c r="BS29" s="12">
        <v>0</v>
      </c>
      <c r="BU29" s="11">
        <v>26</v>
      </c>
      <c r="BV29" s="12">
        <v>372</v>
      </c>
      <c r="BW29" s="12">
        <v>0</v>
      </c>
      <c r="BX29" s="12">
        <v>0</v>
      </c>
      <c r="BZ29" s="11">
        <v>26</v>
      </c>
      <c r="CA29" s="12"/>
      <c r="CC29" s="11">
        <v>26</v>
      </c>
      <c r="CD29" s="12"/>
    </row>
    <row r="30" spans="1:82">
      <c r="A30" s="20" t="s">
        <v>22</v>
      </c>
      <c r="B30" s="20">
        <v>7</v>
      </c>
      <c r="C30" s="5" t="s">
        <v>27</v>
      </c>
      <c r="D30" s="37">
        <f t="shared" si="2"/>
        <v>0</v>
      </c>
      <c r="E30" s="59">
        <f t="shared" si="3"/>
        <v>0</v>
      </c>
      <c r="F30" s="38">
        <f t="shared" si="3"/>
        <v>0</v>
      </c>
      <c r="R30" s="11">
        <v>27</v>
      </c>
      <c r="S30" s="12" t="s">
        <v>15</v>
      </c>
      <c r="T30" s="12">
        <v>10</v>
      </c>
      <c r="U30" s="12">
        <v>10</v>
      </c>
      <c r="W30" s="11">
        <v>27</v>
      </c>
      <c r="X30" s="12">
        <v>0</v>
      </c>
      <c r="Y30" s="12">
        <v>4</v>
      </c>
      <c r="Z30" s="12">
        <v>4</v>
      </c>
      <c r="AB30" s="11">
        <v>27</v>
      </c>
      <c r="AC30" s="12">
        <v>0</v>
      </c>
      <c r="AD30" s="69">
        <v>0</v>
      </c>
      <c r="AE30" s="69">
        <v>0</v>
      </c>
      <c r="AG30" s="11">
        <v>27</v>
      </c>
      <c r="AH30" s="69">
        <v>0</v>
      </c>
      <c r="AI30" s="12">
        <v>0</v>
      </c>
      <c r="AJ30" s="69">
        <v>0</v>
      </c>
      <c r="AL30" s="11">
        <v>27</v>
      </c>
      <c r="AM30" s="69">
        <v>0</v>
      </c>
      <c r="AN30" s="69">
        <v>0</v>
      </c>
      <c r="AO30" s="120">
        <v>0</v>
      </c>
      <c r="AQ30" s="11">
        <v>27</v>
      </c>
      <c r="AR30" s="12" t="s">
        <v>15</v>
      </c>
      <c r="AT30" s="11">
        <v>27</v>
      </c>
      <c r="AU30" s="12">
        <v>0</v>
      </c>
      <c r="AW30" s="11">
        <v>27</v>
      </c>
      <c r="AX30" s="12">
        <v>46</v>
      </c>
      <c r="AY30" s="12">
        <v>0</v>
      </c>
      <c r="AZ30" s="12">
        <v>0</v>
      </c>
      <c r="BA30" s="12">
        <v>5</v>
      </c>
      <c r="BB30" s="12">
        <v>5</v>
      </c>
      <c r="BC30" s="12">
        <v>5</v>
      </c>
      <c r="BD30" s="12">
        <v>5</v>
      </c>
      <c r="BE30" s="12">
        <v>5</v>
      </c>
      <c r="BF30" s="24">
        <v>5</v>
      </c>
      <c r="BG30" s="29">
        <v>5</v>
      </c>
      <c r="BH30" s="12">
        <v>70</v>
      </c>
      <c r="BI30" s="12">
        <v>70</v>
      </c>
      <c r="BK30" s="11">
        <v>27</v>
      </c>
      <c r="BL30" s="12" t="s">
        <v>15</v>
      </c>
      <c r="BM30" s="12">
        <v>10</v>
      </c>
      <c r="BN30" s="12">
        <v>10</v>
      </c>
      <c r="BP30" s="11">
        <v>27</v>
      </c>
      <c r="BQ30" s="12">
        <v>0</v>
      </c>
      <c r="BR30" s="12">
        <v>4</v>
      </c>
      <c r="BS30" s="12">
        <v>4</v>
      </c>
      <c r="BU30" s="11">
        <v>27</v>
      </c>
      <c r="BV30" s="12">
        <v>0</v>
      </c>
      <c r="BW30" s="12">
        <v>0</v>
      </c>
      <c r="BX30" s="12">
        <v>12</v>
      </c>
      <c r="BZ30" s="11">
        <v>27</v>
      </c>
      <c r="CA30" s="12"/>
      <c r="CC30" s="11">
        <v>27</v>
      </c>
      <c r="CD30" s="12"/>
    </row>
    <row r="31" spans="1:82">
      <c r="A31" s="20" t="s">
        <v>23</v>
      </c>
      <c r="B31" s="20">
        <v>8</v>
      </c>
      <c r="C31" s="5" t="s">
        <v>28</v>
      </c>
      <c r="D31" s="37">
        <f t="shared" si="2"/>
        <v>0</v>
      </c>
      <c r="E31" s="59">
        <f t="shared" si="3"/>
        <v>0</v>
      </c>
      <c r="F31" s="38">
        <f t="shared" si="3"/>
        <v>0</v>
      </c>
      <c r="R31" s="11">
        <v>28</v>
      </c>
      <c r="S31" s="12">
        <v>10</v>
      </c>
      <c r="T31" s="12" t="s">
        <v>15</v>
      </c>
      <c r="U31" s="12" t="s">
        <v>15</v>
      </c>
      <c r="W31" s="11">
        <v>28</v>
      </c>
      <c r="X31" s="12">
        <v>4</v>
      </c>
      <c r="Y31" s="12">
        <v>0</v>
      </c>
      <c r="Z31" s="12">
        <v>0</v>
      </c>
      <c r="AB31" s="11">
        <v>28</v>
      </c>
      <c r="AC31" s="12">
        <v>1</v>
      </c>
      <c r="AD31" s="69">
        <v>0</v>
      </c>
      <c r="AE31" s="69">
        <v>0</v>
      </c>
      <c r="AG31" s="11">
        <v>28</v>
      </c>
      <c r="AH31" s="69">
        <v>1</v>
      </c>
      <c r="AI31" s="12">
        <v>1</v>
      </c>
      <c r="AJ31" s="69">
        <v>0</v>
      </c>
      <c r="AL31" s="11">
        <v>28</v>
      </c>
      <c r="AM31" s="69">
        <v>1</v>
      </c>
      <c r="AN31" s="69">
        <v>0</v>
      </c>
      <c r="AO31" s="120">
        <v>1</v>
      </c>
      <c r="AQ31" s="11">
        <v>28</v>
      </c>
      <c r="AR31" s="14" t="s">
        <v>9</v>
      </c>
      <c r="AT31" s="11">
        <v>28</v>
      </c>
      <c r="AU31" s="12">
        <v>8</v>
      </c>
      <c r="AW31" s="11">
        <v>28</v>
      </c>
      <c r="AX31" s="12">
        <v>0</v>
      </c>
      <c r="AY31" s="12">
        <v>22</v>
      </c>
      <c r="AZ31" s="12">
        <v>10</v>
      </c>
      <c r="BA31" s="12">
        <v>5</v>
      </c>
      <c r="BB31" s="12">
        <v>5</v>
      </c>
      <c r="BC31" s="12">
        <v>5</v>
      </c>
      <c r="BD31" s="12">
        <v>5</v>
      </c>
      <c r="BE31" s="12">
        <v>5</v>
      </c>
      <c r="BF31" s="24">
        <v>5</v>
      </c>
      <c r="BG31" s="29">
        <v>5</v>
      </c>
      <c r="BH31" s="12">
        <v>0</v>
      </c>
      <c r="BI31" s="12">
        <v>0</v>
      </c>
      <c r="BK31" s="11">
        <v>28</v>
      </c>
      <c r="BL31" s="12">
        <v>10</v>
      </c>
      <c r="BM31" s="12" t="s">
        <v>15</v>
      </c>
      <c r="BN31" s="12" t="s">
        <v>15</v>
      </c>
      <c r="BP31" s="11">
        <v>28</v>
      </c>
      <c r="BQ31" s="12">
        <v>4</v>
      </c>
      <c r="BR31" s="12">
        <v>0</v>
      </c>
      <c r="BS31" s="12">
        <v>0</v>
      </c>
      <c r="BU31" s="11">
        <v>28</v>
      </c>
      <c r="BV31" s="12">
        <v>3</v>
      </c>
      <c r="BW31" s="12">
        <v>0</v>
      </c>
      <c r="BX31" s="12">
        <v>0</v>
      </c>
      <c r="BZ31" s="11">
        <v>28</v>
      </c>
      <c r="CA31" s="12"/>
      <c r="CC31" s="11">
        <v>28</v>
      </c>
      <c r="CD31" s="12"/>
    </row>
    <row r="32" spans="1:82">
      <c r="A32" s="20" t="s">
        <v>24</v>
      </c>
      <c r="B32" s="20">
        <v>9</v>
      </c>
      <c r="C32" s="5" t="s">
        <v>16</v>
      </c>
      <c r="D32" s="37">
        <f t="shared" si="2"/>
        <v>0</v>
      </c>
      <c r="E32" s="59">
        <f t="shared" si="3"/>
        <v>0</v>
      </c>
      <c r="F32" s="38">
        <f t="shared" si="3"/>
        <v>0</v>
      </c>
      <c r="R32" s="11">
        <v>29</v>
      </c>
      <c r="S32" s="12" t="s">
        <v>15</v>
      </c>
      <c r="T32" s="12" t="s">
        <v>18</v>
      </c>
      <c r="U32" s="12" t="s">
        <v>18</v>
      </c>
      <c r="W32" s="11">
        <v>29</v>
      </c>
      <c r="X32" s="12">
        <v>0</v>
      </c>
      <c r="Y32" s="12">
        <v>5</v>
      </c>
      <c r="Z32" s="12">
        <v>5</v>
      </c>
      <c r="AB32" s="11">
        <v>29</v>
      </c>
      <c r="AC32" s="12">
        <v>0</v>
      </c>
      <c r="AD32" s="69">
        <v>0</v>
      </c>
      <c r="AE32" s="69">
        <v>0</v>
      </c>
      <c r="AG32" s="11">
        <v>29</v>
      </c>
      <c r="AH32" s="69">
        <v>0</v>
      </c>
      <c r="AI32" s="12">
        <v>0</v>
      </c>
      <c r="AJ32" s="69">
        <v>1</v>
      </c>
      <c r="AL32" s="11">
        <v>29</v>
      </c>
      <c r="AM32" s="69">
        <v>0</v>
      </c>
      <c r="AN32" s="69">
        <v>1</v>
      </c>
      <c r="AO32" s="120">
        <v>0</v>
      </c>
      <c r="AQ32" s="11">
        <v>29</v>
      </c>
      <c r="AR32" s="12" t="s">
        <v>15</v>
      </c>
      <c r="AT32" s="11">
        <v>29</v>
      </c>
      <c r="AU32" s="12">
        <v>0</v>
      </c>
      <c r="AW32" s="11">
        <v>29</v>
      </c>
      <c r="AX32" s="12">
        <v>46</v>
      </c>
      <c r="AY32" s="12">
        <v>0</v>
      </c>
      <c r="AZ32" s="12">
        <v>0</v>
      </c>
      <c r="BA32" s="12">
        <v>5</v>
      </c>
      <c r="BB32" s="12">
        <v>5</v>
      </c>
      <c r="BC32" s="12">
        <v>5</v>
      </c>
      <c r="BD32" s="12">
        <v>5</v>
      </c>
      <c r="BE32" s="12">
        <v>5</v>
      </c>
      <c r="BF32" s="24">
        <v>5</v>
      </c>
      <c r="BG32" s="29">
        <v>5</v>
      </c>
      <c r="BH32" s="12">
        <v>70</v>
      </c>
      <c r="BI32" s="12">
        <v>70</v>
      </c>
      <c r="BK32" s="11">
        <v>29</v>
      </c>
      <c r="BL32" s="12" t="s">
        <v>15</v>
      </c>
      <c r="BM32" s="12" t="s">
        <v>18</v>
      </c>
      <c r="BN32" s="12" t="s">
        <v>18</v>
      </c>
      <c r="BP32" s="11">
        <v>29</v>
      </c>
      <c r="BQ32" s="12">
        <v>0</v>
      </c>
      <c r="BR32" s="12">
        <v>5</v>
      </c>
      <c r="BS32" s="12">
        <v>5</v>
      </c>
      <c r="BU32" s="11">
        <v>29</v>
      </c>
      <c r="BV32" s="12">
        <v>0</v>
      </c>
      <c r="BW32" s="12">
        <v>0</v>
      </c>
      <c r="BX32" s="12">
        <v>10</v>
      </c>
      <c r="BZ32" s="11">
        <v>29</v>
      </c>
      <c r="CA32" s="12"/>
      <c r="CC32" s="11">
        <v>29</v>
      </c>
      <c r="CD32" s="12"/>
    </row>
    <row r="33" spans="1:82">
      <c r="A33" s="21" t="s">
        <v>35</v>
      </c>
      <c r="B33" s="21">
        <v>10</v>
      </c>
      <c r="C33" s="5" t="s">
        <v>37</v>
      </c>
      <c r="D33" s="37">
        <f t="shared" si="2"/>
        <v>0</v>
      </c>
      <c r="E33" s="59">
        <f t="shared" si="3"/>
        <v>0</v>
      </c>
      <c r="F33" s="38">
        <f t="shared" si="3"/>
        <v>0</v>
      </c>
      <c r="G33" s="121"/>
      <c r="H33" s="94" t="s">
        <v>34</v>
      </c>
      <c r="J33" s="121"/>
      <c r="R33" s="11">
        <v>30</v>
      </c>
      <c r="S33" s="12">
        <v>1</v>
      </c>
      <c r="T33" s="12" t="s">
        <v>15</v>
      </c>
      <c r="U33" s="12" t="s">
        <v>15</v>
      </c>
      <c r="W33" s="11">
        <v>30</v>
      </c>
      <c r="X33" s="12">
        <v>2</v>
      </c>
      <c r="Y33" s="12">
        <v>0</v>
      </c>
      <c r="Z33" s="12">
        <v>0</v>
      </c>
      <c r="AB33" s="11">
        <v>30</v>
      </c>
      <c r="AC33" s="12">
        <v>0</v>
      </c>
      <c r="AD33" s="69">
        <v>0</v>
      </c>
      <c r="AE33" s="69">
        <v>0</v>
      </c>
      <c r="AG33" s="11">
        <v>30</v>
      </c>
      <c r="AH33" s="69">
        <v>0</v>
      </c>
      <c r="AI33" s="12">
        <v>1</v>
      </c>
      <c r="AJ33" s="69">
        <v>0</v>
      </c>
      <c r="AL33" s="11">
        <v>30</v>
      </c>
      <c r="AM33" s="69">
        <v>0</v>
      </c>
      <c r="AN33" s="69">
        <v>0</v>
      </c>
      <c r="AO33" s="120">
        <v>1</v>
      </c>
      <c r="AQ33" s="11">
        <v>30</v>
      </c>
      <c r="AR33" s="14" t="s">
        <v>5</v>
      </c>
      <c r="AT33" s="11">
        <v>30</v>
      </c>
      <c r="AU33" s="12">
        <v>6</v>
      </c>
      <c r="AW33" s="11">
        <v>30</v>
      </c>
      <c r="AX33" s="12">
        <v>9</v>
      </c>
      <c r="AY33" s="12">
        <v>0</v>
      </c>
      <c r="AZ33" s="12">
        <v>90</v>
      </c>
      <c r="BA33" s="12">
        <v>5</v>
      </c>
      <c r="BB33" s="12">
        <v>5</v>
      </c>
      <c r="BC33" s="12">
        <v>5</v>
      </c>
      <c r="BD33" s="12">
        <v>5</v>
      </c>
      <c r="BE33" s="12">
        <v>5</v>
      </c>
      <c r="BF33" s="24">
        <v>5</v>
      </c>
      <c r="BG33" s="29">
        <v>5</v>
      </c>
      <c r="BH33" s="12">
        <v>0</v>
      </c>
      <c r="BI33" s="12">
        <v>0</v>
      </c>
      <c r="BK33" s="11">
        <v>30</v>
      </c>
      <c r="BL33" s="12">
        <v>1</v>
      </c>
      <c r="BM33" s="12" t="s">
        <v>15</v>
      </c>
      <c r="BN33" s="12" t="s">
        <v>15</v>
      </c>
      <c r="BP33" s="11">
        <v>30</v>
      </c>
      <c r="BQ33" s="12">
        <v>2</v>
      </c>
      <c r="BR33" s="12">
        <v>0</v>
      </c>
      <c r="BS33" s="12">
        <v>0</v>
      </c>
      <c r="BU33" s="11">
        <v>30</v>
      </c>
      <c r="BV33" s="12">
        <v>2703</v>
      </c>
      <c r="BW33" s="12">
        <v>0</v>
      </c>
      <c r="BX33" s="12">
        <v>0</v>
      </c>
      <c r="BZ33" s="11">
        <v>30</v>
      </c>
      <c r="CA33" s="12"/>
      <c r="CC33" s="11">
        <v>30</v>
      </c>
      <c r="CD33" s="12"/>
    </row>
    <row r="34" spans="1:82">
      <c r="A34" s="22" t="s">
        <v>39</v>
      </c>
      <c r="B34" s="22">
        <v>11</v>
      </c>
      <c r="C34" s="17" t="s">
        <v>38</v>
      </c>
      <c r="D34" s="60">
        <f t="shared" si="2"/>
        <v>0</v>
      </c>
      <c r="E34" s="39">
        <f t="shared" si="3"/>
        <v>0</v>
      </c>
      <c r="F34" s="40">
        <f t="shared" si="3"/>
        <v>0</v>
      </c>
      <c r="G34" s="121"/>
      <c r="H34" s="95" t="s">
        <v>57</v>
      </c>
      <c r="I34" s="58" t="s">
        <v>58</v>
      </c>
      <c r="R34" s="11">
        <v>31</v>
      </c>
      <c r="S34" s="12" t="s">
        <v>15</v>
      </c>
      <c r="T34" s="12">
        <v>0</v>
      </c>
      <c r="U34" s="12">
        <v>0</v>
      </c>
      <c r="W34" s="11">
        <v>31</v>
      </c>
      <c r="X34" s="12">
        <v>0</v>
      </c>
      <c r="Y34" s="12">
        <v>1</v>
      </c>
      <c r="Z34" s="12">
        <v>1</v>
      </c>
      <c r="AB34" s="11">
        <v>31</v>
      </c>
      <c r="AC34" s="12">
        <v>0</v>
      </c>
      <c r="AD34" s="69">
        <v>1</v>
      </c>
      <c r="AE34" s="69">
        <v>1</v>
      </c>
      <c r="AG34" s="11">
        <v>31</v>
      </c>
      <c r="AH34" s="69">
        <v>0</v>
      </c>
      <c r="AI34" s="12">
        <v>0</v>
      </c>
      <c r="AJ34" s="69">
        <v>0</v>
      </c>
      <c r="AL34" s="11">
        <v>31</v>
      </c>
      <c r="AM34" s="69">
        <v>0</v>
      </c>
      <c r="AN34" s="69">
        <v>0</v>
      </c>
      <c r="AO34" s="120">
        <v>0</v>
      </c>
      <c r="AQ34" s="11">
        <v>31</v>
      </c>
      <c r="AR34" s="12" t="s">
        <v>15</v>
      </c>
      <c r="AT34" s="11">
        <v>31</v>
      </c>
      <c r="AU34" s="12">
        <v>0</v>
      </c>
      <c r="AW34" s="11">
        <v>31</v>
      </c>
      <c r="AX34" s="12">
        <v>46</v>
      </c>
      <c r="AY34" s="12">
        <v>0</v>
      </c>
      <c r="AZ34" s="12">
        <v>0</v>
      </c>
      <c r="BA34" s="12">
        <v>5</v>
      </c>
      <c r="BB34" s="12">
        <v>5</v>
      </c>
      <c r="BC34" s="12">
        <v>5</v>
      </c>
      <c r="BD34" s="12">
        <v>5</v>
      </c>
      <c r="BE34" s="12">
        <v>5</v>
      </c>
      <c r="BF34" s="24">
        <v>5</v>
      </c>
      <c r="BG34" s="29">
        <v>5</v>
      </c>
      <c r="BH34" s="12">
        <v>70</v>
      </c>
      <c r="BI34" s="12">
        <v>70</v>
      </c>
      <c r="BK34" s="11">
        <v>31</v>
      </c>
      <c r="BL34" s="12" t="s">
        <v>15</v>
      </c>
      <c r="BM34" s="12">
        <v>0</v>
      </c>
      <c r="BN34" s="12">
        <v>0</v>
      </c>
      <c r="BP34" s="11">
        <v>31</v>
      </c>
      <c r="BQ34" s="12">
        <v>0</v>
      </c>
      <c r="BR34" s="12">
        <v>1</v>
      </c>
      <c r="BS34" s="12">
        <v>1</v>
      </c>
      <c r="BU34" s="11">
        <v>31</v>
      </c>
      <c r="BV34" s="12">
        <v>0</v>
      </c>
      <c r="BW34" s="12">
        <v>1</v>
      </c>
      <c r="BX34" s="12">
        <v>1</v>
      </c>
      <c r="BZ34" s="11">
        <v>31</v>
      </c>
      <c r="CA34" s="12"/>
      <c r="CC34" s="11">
        <v>31</v>
      </c>
      <c r="CD34" s="12"/>
    </row>
    <row r="35" spans="1:82">
      <c r="D35" s="121">
        <f>SUM(D23:D34)</f>
        <v>6</v>
      </c>
      <c r="E35" s="121">
        <f>SUM(E23:E34)</f>
        <v>25</v>
      </c>
      <c r="F35" s="121">
        <f>SUM(F23:F34)</f>
        <v>5</v>
      </c>
      <c r="G35" s="121"/>
      <c r="H35" s="21">
        <v>10</v>
      </c>
      <c r="I35" s="7">
        <f>SUMIF(CA$3:CA$38,$H35,$CD$3:$CD$38)</f>
        <v>1</v>
      </c>
      <c r="R35" s="11">
        <v>32</v>
      </c>
      <c r="S35" s="12">
        <v>5</v>
      </c>
      <c r="T35" s="12" t="s">
        <v>15</v>
      </c>
      <c r="U35" s="12" t="s">
        <v>15</v>
      </c>
      <c r="W35" s="11">
        <v>32</v>
      </c>
      <c r="X35" s="12">
        <v>3</v>
      </c>
      <c r="Y35" s="12">
        <v>0</v>
      </c>
      <c r="Z35" s="12">
        <v>0</v>
      </c>
      <c r="AB35" s="11">
        <v>32</v>
      </c>
      <c r="AC35" s="12">
        <v>0</v>
      </c>
      <c r="AD35" s="69">
        <v>0</v>
      </c>
      <c r="AE35" s="69">
        <v>0</v>
      </c>
      <c r="AG35" s="11">
        <v>32</v>
      </c>
      <c r="AH35" s="69">
        <v>0</v>
      </c>
      <c r="AI35" s="12">
        <v>1</v>
      </c>
      <c r="AJ35" s="69">
        <v>0</v>
      </c>
      <c r="AL35" s="11">
        <v>32</v>
      </c>
      <c r="AM35" s="69">
        <v>0</v>
      </c>
      <c r="AN35" s="69">
        <v>0</v>
      </c>
      <c r="AO35" s="120">
        <v>1</v>
      </c>
      <c r="AQ35" s="11">
        <v>32</v>
      </c>
      <c r="AR35" s="14" t="s">
        <v>7</v>
      </c>
      <c r="AT35" s="11">
        <v>32</v>
      </c>
      <c r="AU35" s="12">
        <v>9</v>
      </c>
      <c r="AW35" s="11">
        <v>32</v>
      </c>
      <c r="AX35" s="12">
        <v>0</v>
      </c>
      <c r="AY35" s="12">
        <v>7</v>
      </c>
      <c r="AZ35" s="12">
        <v>15</v>
      </c>
      <c r="BA35" s="12">
        <v>5</v>
      </c>
      <c r="BB35" s="12">
        <v>5</v>
      </c>
      <c r="BC35" s="12">
        <v>5</v>
      </c>
      <c r="BD35" s="12">
        <v>5</v>
      </c>
      <c r="BE35" s="12">
        <v>5</v>
      </c>
      <c r="BF35" s="24">
        <v>5</v>
      </c>
      <c r="BG35" s="29">
        <v>5</v>
      </c>
      <c r="BH35" s="12">
        <v>0</v>
      </c>
      <c r="BI35" s="12">
        <v>0</v>
      </c>
      <c r="BK35" s="11">
        <v>32</v>
      </c>
      <c r="BL35" s="12">
        <v>5</v>
      </c>
      <c r="BM35" s="12" t="s">
        <v>15</v>
      </c>
      <c r="BN35" s="12" t="s">
        <v>15</v>
      </c>
      <c r="BP35" s="11">
        <v>32</v>
      </c>
      <c r="BQ35" s="12">
        <v>3</v>
      </c>
      <c r="BR35" s="12">
        <v>0</v>
      </c>
      <c r="BS35" s="12">
        <v>0</v>
      </c>
      <c r="BU35" s="11">
        <v>32</v>
      </c>
      <c r="BV35" s="12">
        <v>372</v>
      </c>
      <c r="BW35" s="12">
        <v>0</v>
      </c>
      <c r="BX35" s="12">
        <v>0</v>
      </c>
      <c r="BZ35" s="11">
        <v>32</v>
      </c>
      <c r="CA35" s="12"/>
      <c r="CC35" s="11">
        <v>32</v>
      </c>
      <c r="CD35" s="12"/>
    </row>
    <row r="36" spans="1:82">
      <c r="G36" s="121"/>
      <c r="H36" s="21">
        <v>20</v>
      </c>
      <c r="I36" s="7">
        <f t="shared" ref="I36:I42" si="4">SUMIF(CA$3:CA$38,$H36,$CD$3:$CD$38)</f>
        <v>1</v>
      </c>
      <c r="K36" s="121"/>
      <c r="L36" s="121"/>
      <c r="M36" s="121"/>
      <c r="N36" s="121"/>
      <c r="O36" s="121"/>
      <c r="R36" s="11">
        <v>33</v>
      </c>
      <c r="S36" s="12" t="s">
        <v>15</v>
      </c>
      <c r="T36" s="12">
        <v>1</v>
      </c>
      <c r="U36" s="12">
        <v>1</v>
      </c>
      <c r="W36" s="11">
        <v>33</v>
      </c>
      <c r="X36" s="12">
        <v>0</v>
      </c>
      <c r="Y36" s="12">
        <v>2</v>
      </c>
      <c r="Z36" s="12">
        <v>2</v>
      </c>
      <c r="AB36" s="11">
        <v>33</v>
      </c>
      <c r="AC36" s="12">
        <v>0</v>
      </c>
      <c r="AD36" s="69">
        <v>1</v>
      </c>
      <c r="AE36" s="69">
        <v>1</v>
      </c>
      <c r="AG36" s="11">
        <v>33</v>
      </c>
      <c r="AH36" s="69">
        <v>0</v>
      </c>
      <c r="AI36" s="12">
        <v>0</v>
      </c>
      <c r="AJ36" s="69">
        <v>0</v>
      </c>
      <c r="AL36" s="11">
        <v>33</v>
      </c>
      <c r="AM36" s="69">
        <v>0</v>
      </c>
      <c r="AN36" s="69">
        <v>0</v>
      </c>
      <c r="AO36" s="120">
        <v>0</v>
      </c>
      <c r="AQ36" s="11">
        <v>33</v>
      </c>
      <c r="AR36" s="12" t="s">
        <v>15</v>
      </c>
      <c r="AT36" s="11">
        <v>33</v>
      </c>
      <c r="AU36" s="12">
        <v>0</v>
      </c>
      <c r="AW36" s="11">
        <v>33</v>
      </c>
      <c r="AX36" s="12">
        <v>46</v>
      </c>
      <c r="AY36" s="12">
        <v>0</v>
      </c>
      <c r="AZ36" s="12">
        <v>0</v>
      </c>
      <c r="BA36" s="12">
        <v>5</v>
      </c>
      <c r="BB36" s="12">
        <v>5</v>
      </c>
      <c r="BC36" s="12">
        <v>5</v>
      </c>
      <c r="BD36" s="12">
        <v>5</v>
      </c>
      <c r="BE36" s="12">
        <v>5</v>
      </c>
      <c r="BF36" s="24">
        <v>5</v>
      </c>
      <c r="BG36" s="29">
        <v>5</v>
      </c>
      <c r="BH36" s="12">
        <v>70</v>
      </c>
      <c r="BI36" s="12">
        <v>70</v>
      </c>
      <c r="BK36" s="11">
        <v>33</v>
      </c>
      <c r="BL36" s="12" t="s">
        <v>15</v>
      </c>
      <c r="BM36" s="12">
        <v>1</v>
      </c>
      <c r="BN36" s="12">
        <v>1</v>
      </c>
      <c r="BP36" s="11">
        <v>33</v>
      </c>
      <c r="BQ36" s="12">
        <v>0</v>
      </c>
      <c r="BR36" s="12">
        <v>2</v>
      </c>
      <c r="BS36" s="12">
        <v>2</v>
      </c>
      <c r="BU36" s="11">
        <v>33</v>
      </c>
      <c r="BV36" s="12">
        <v>0</v>
      </c>
      <c r="BW36" s="12">
        <v>1</v>
      </c>
      <c r="BX36" s="12">
        <v>1</v>
      </c>
      <c r="BZ36" s="11">
        <v>33</v>
      </c>
      <c r="CA36" s="12"/>
      <c r="CC36" s="11">
        <v>33</v>
      </c>
      <c r="CD36" s="12"/>
    </row>
    <row r="37" spans="1:82">
      <c r="A37" s="30" t="s">
        <v>117</v>
      </c>
      <c r="D37" s="119">
        <v>10</v>
      </c>
      <c r="E37" s="127" t="s">
        <v>18</v>
      </c>
      <c r="F37" s="119" t="s">
        <v>8</v>
      </c>
      <c r="G37" s="121"/>
      <c r="H37" s="21">
        <v>30</v>
      </c>
      <c r="I37" s="7">
        <f t="shared" si="4"/>
        <v>1</v>
      </c>
      <c r="K37" s="121"/>
      <c r="L37" s="121"/>
      <c r="M37" s="121"/>
      <c r="N37" s="121"/>
      <c r="O37" s="121"/>
      <c r="R37" s="11">
        <v>34</v>
      </c>
      <c r="S37" s="12">
        <v>10</v>
      </c>
      <c r="T37" s="12" t="s">
        <v>15</v>
      </c>
      <c r="U37" s="12" t="s">
        <v>15</v>
      </c>
      <c r="W37" s="11">
        <v>34</v>
      </c>
      <c r="X37" s="12">
        <v>4</v>
      </c>
      <c r="Y37" s="12">
        <v>0</v>
      </c>
      <c r="Z37" s="12">
        <v>0</v>
      </c>
      <c r="AB37" s="11">
        <v>34</v>
      </c>
      <c r="AC37" s="12">
        <v>1</v>
      </c>
      <c r="AD37" s="69">
        <v>0</v>
      </c>
      <c r="AE37" s="69">
        <v>0</v>
      </c>
      <c r="AG37" s="11">
        <v>34</v>
      </c>
      <c r="AH37" s="69">
        <v>1</v>
      </c>
      <c r="AI37" s="12">
        <v>1</v>
      </c>
      <c r="AJ37" s="69">
        <v>0</v>
      </c>
      <c r="AL37" s="11">
        <v>34</v>
      </c>
      <c r="AM37" s="69">
        <v>1</v>
      </c>
      <c r="AN37" s="69">
        <v>0</v>
      </c>
      <c r="AO37" s="120">
        <v>1</v>
      </c>
      <c r="AQ37" s="11">
        <v>34</v>
      </c>
      <c r="AR37" s="14" t="s">
        <v>6</v>
      </c>
      <c r="AT37" s="11">
        <v>34</v>
      </c>
      <c r="AU37" s="12">
        <v>7</v>
      </c>
      <c r="AW37" s="11">
        <v>34</v>
      </c>
      <c r="AX37" s="12">
        <v>11</v>
      </c>
      <c r="AY37" s="12">
        <v>0</v>
      </c>
      <c r="AZ37" s="12">
        <v>90</v>
      </c>
      <c r="BA37" s="12">
        <v>5</v>
      </c>
      <c r="BB37" s="12">
        <v>5</v>
      </c>
      <c r="BC37" s="12">
        <v>5</v>
      </c>
      <c r="BD37" s="12">
        <v>5</v>
      </c>
      <c r="BE37" s="12">
        <v>5</v>
      </c>
      <c r="BF37" s="24">
        <v>5</v>
      </c>
      <c r="BG37" s="29">
        <v>5</v>
      </c>
      <c r="BH37" s="12">
        <v>0</v>
      </c>
      <c r="BI37" s="12">
        <v>0</v>
      </c>
      <c r="BK37" s="11">
        <v>34</v>
      </c>
      <c r="BL37" s="12">
        <v>10</v>
      </c>
      <c r="BM37" s="12" t="s">
        <v>15</v>
      </c>
      <c r="BN37" s="12" t="s">
        <v>15</v>
      </c>
      <c r="BP37" s="11">
        <v>34</v>
      </c>
      <c r="BQ37" s="12">
        <v>4</v>
      </c>
      <c r="BR37" s="12">
        <v>0</v>
      </c>
      <c r="BS37" s="12">
        <v>0</v>
      </c>
      <c r="BU37" s="11">
        <v>34</v>
      </c>
      <c r="BV37" s="12">
        <v>3</v>
      </c>
      <c r="BW37" s="12">
        <v>0</v>
      </c>
      <c r="BX37" s="12">
        <v>0</v>
      </c>
      <c r="BZ37" s="11">
        <v>34</v>
      </c>
      <c r="CA37" s="12"/>
      <c r="CC37" s="11">
        <v>34</v>
      </c>
      <c r="CD37" s="12"/>
    </row>
    <row r="38" spans="1:82">
      <c r="D38" s="119"/>
      <c r="E38" s="119"/>
      <c r="F38" s="119"/>
      <c r="G38" s="121"/>
      <c r="H38" s="21">
        <v>50</v>
      </c>
      <c r="I38" s="7">
        <f t="shared" si="4"/>
        <v>1</v>
      </c>
      <c r="K38" s="121"/>
      <c r="L38" s="121"/>
      <c r="M38" s="121"/>
      <c r="N38" s="121"/>
      <c r="O38" s="121"/>
      <c r="R38" s="11">
        <v>35</v>
      </c>
      <c r="S38" s="12" t="s">
        <v>8</v>
      </c>
      <c r="T38" s="12">
        <v>5</v>
      </c>
      <c r="U38" s="12">
        <v>5</v>
      </c>
      <c r="W38" s="11">
        <v>35</v>
      </c>
      <c r="X38" s="12">
        <v>0</v>
      </c>
      <c r="Y38" s="12">
        <v>3</v>
      </c>
      <c r="Z38" s="12">
        <v>3</v>
      </c>
      <c r="AB38" s="11">
        <v>35</v>
      </c>
      <c r="AC38" s="12">
        <v>0</v>
      </c>
      <c r="AD38" s="69">
        <v>1</v>
      </c>
      <c r="AE38" s="69">
        <v>1</v>
      </c>
      <c r="AG38" s="11">
        <v>35</v>
      </c>
      <c r="AH38" s="69">
        <v>0</v>
      </c>
      <c r="AI38" s="12">
        <v>0</v>
      </c>
      <c r="AJ38" s="69">
        <v>0</v>
      </c>
      <c r="AL38" s="11">
        <v>35</v>
      </c>
      <c r="AM38" s="69">
        <v>0</v>
      </c>
      <c r="AN38" s="69">
        <v>0</v>
      </c>
      <c r="AO38" s="120">
        <v>0</v>
      </c>
      <c r="AQ38" s="11">
        <v>35</v>
      </c>
      <c r="AR38" s="12" t="s">
        <v>15</v>
      </c>
      <c r="AT38" s="11">
        <v>35</v>
      </c>
      <c r="AU38" s="12">
        <v>0</v>
      </c>
      <c r="AW38" s="11">
        <v>35</v>
      </c>
      <c r="AX38" s="12">
        <v>46</v>
      </c>
      <c r="AY38" s="12">
        <v>0</v>
      </c>
      <c r="AZ38" s="12">
        <v>0</v>
      </c>
      <c r="BA38" s="12">
        <v>5</v>
      </c>
      <c r="BB38" s="12">
        <v>5</v>
      </c>
      <c r="BC38" s="12">
        <v>5</v>
      </c>
      <c r="BD38" s="12">
        <v>5</v>
      </c>
      <c r="BE38" s="12">
        <v>5</v>
      </c>
      <c r="BF38" s="24">
        <v>5</v>
      </c>
      <c r="BG38" s="29">
        <v>5</v>
      </c>
      <c r="BH38" s="12">
        <v>70</v>
      </c>
      <c r="BI38" s="12">
        <v>70</v>
      </c>
      <c r="BK38" s="11">
        <v>35</v>
      </c>
      <c r="BL38" s="12" t="s">
        <v>8</v>
      </c>
      <c r="BM38" s="12">
        <v>5</v>
      </c>
      <c r="BN38" s="12">
        <v>5</v>
      </c>
      <c r="BP38" s="11">
        <v>35</v>
      </c>
      <c r="BQ38" s="12">
        <v>0</v>
      </c>
      <c r="BR38" s="12">
        <v>3</v>
      </c>
      <c r="BS38" s="12">
        <v>3</v>
      </c>
      <c r="BU38" s="11">
        <v>35</v>
      </c>
      <c r="BV38" s="12">
        <v>0</v>
      </c>
      <c r="BW38" s="12">
        <v>1</v>
      </c>
      <c r="BX38" s="12">
        <v>1</v>
      </c>
      <c r="BZ38" s="11">
        <v>35</v>
      </c>
      <c r="CA38" s="12"/>
      <c r="CC38" s="11">
        <v>35</v>
      </c>
      <c r="CD38" s="12"/>
    </row>
    <row r="39" spans="1:82">
      <c r="D39" s="119"/>
      <c r="E39" s="119"/>
      <c r="F39" s="119"/>
      <c r="G39" s="121"/>
      <c r="H39" s="21">
        <v>100</v>
      </c>
      <c r="I39" s="7">
        <f t="shared" si="4"/>
        <v>1</v>
      </c>
      <c r="K39" s="121"/>
      <c r="L39" s="121"/>
      <c r="M39" s="121"/>
      <c r="N39" s="121"/>
      <c r="O39" s="121"/>
      <c r="R39" s="11">
        <v>36</v>
      </c>
      <c r="S39" s="12"/>
      <c r="T39" s="12" t="s">
        <v>15</v>
      </c>
      <c r="U39" s="12" t="s">
        <v>15</v>
      </c>
      <c r="W39" s="11">
        <v>36</v>
      </c>
      <c r="X39" s="12"/>
      <c r="Y39" s="12">
        <v>0</v>
      </c>
      <c r="Z39" s="12">
        <v>0</v>
      </c>
      <c r="AB39" s="11">
        <v>36</v>
      </c>
      <c r="AC39" s="12"/>
      <c r="AD39" s="12">
        <v>0</v>
      </c>
      <c r="AE39" s="12">
        <v>0</v>
      </c>
      <c r="AG39" s="11">
        <v>36</v>
      </c>
      <c r="AH39" s="12"/>
      <c r="AI39" s="12">
        <v>1</v>
      </c>
      <c r="AJ39" s="12">
        <v>0</v>
      </c>
      <c r="AL39" s="11">
        <v>36</v>
      </c>
      <c r="AM39" s="12"/>
      <c r="AN39" s="12">
        <v>0</v>
      </c>
      <c r="AO39" s="12">
        <v>1</v>
      </c>
      <c r="AQ39" s="11">
        <v>36</v>
      </c>
      <c r="AR39" s="14" t="s">
        <v>40</v>
      </c>
      <c r="AS39" s="14"/>
      <c r="AT39" s="11">
        <v>36</v>
      </c>
      <c r="AU39" s="12">
        <v>11</v>
      </c>
      <c r="AW39" s="11">
        <v>36</v>
      </c>
      <c r="AX39" s="12">
        <v>0</v>
      </c>
      <c r="AY39" s="12">
        <v>20</v>
      </c>
      <c r="AZ39" s="12">
        <v>30</v>
      </c>
      <c r="BA39" s="12">
        <v>5</v>
      </c>
      <c r="BB39" s="12">
        <v>5</v>
      </c>
      <c r="BC39" s="12">
        <v>5</v>
      </c>
      <c r="BD39" s="12">
        <v>5</v>
      </c>
      <c r="BE39" s="12">
        <v>5</v>
      </c>
      <c r="BF39" s="24">
        <v>5</v>
      </c>
      <c r="BG39" s="29">
        <v>5</v>
      </c>
      <c r="BH39" s="12">
        <v>0</v>
      </c>
      <c r="BI39" s="12">
        <v>0</v>
      </c>
      <c r="BK39" s="11">
        <v>36</v>
      </c>
      <c r="BL39" s="12"/>
      <c r="BM39" s="12" t="s">
        <v>15</v>
      </c>
      <c r="BN39" s="12" t="s">
        <v>15</v>
      </c>
      <c r="BP39" s="11">
        <v>36</v>
      </c>
      <c r="BQ39" s="12"/>
      <c r="BR39" s="12">
        <v>0</v>
      </c>
      <c r="BS39" s="12">
        <v>0</v>
      </c>
      <c r="BU39" s="11">
        <v>36</v>
      </c>
      <c r="BV39" s="12"/>
      <c r="BW39" s="12">
        <v>0</v>
      </c>
      <c r="BX39" s="12">
        <v>0</v>
      </c>
      <c r="BZ39" s="11">
        <v>36</v>
      </c>
      <c r="CA39" s="12"/>
      <c r="CC39" s="11">
        <v>36</v>
      </c>
      <c r="CD39" s="12"/>
    </row>
    <row r="40" spans="1:82">
      <c r="A40" s="30" t="s">
        <v>46</v>
      </c>
      <c r="B40" s="1" t="s">
        <v>10</v>
      </c>
      <c r="C40" s="2" t="s">
        <v>11</v>
      </c>
      <c r="D40" s="3" t="s">
        <v>80</v>
      </c>
      <c r="E40" s="122" t="s">
        <v>13</v>
      </c>
      <c r="F40" s="4" t="s">
        <v>14</v>
      </c>
      <c r="G40" s="121"/>
      <c r="H40" s="21">
        <v>200</v>
      </c>
      <c r="I40" s="7">
        <f t="shared" si="4"/>
        <v>1</v>
      </c>
      <c r="K40" s="121"/>
      <c r="L40" s="121"/>
      <c r="M40" s="121"/>
      <c r="N40" s="121"/>
      <c r="O40" s="121"/>
      <c r="R40" s="11">
        <v>37</v>
      </c>
      <c r="S40" s="12"/>
      <c r="T40" s="12">
        <v>10</v>
      </c>
      <c r="U40" s="12">
        <v>10</v>
      </c>
      <c r="W40" s="11">
        <v>37</v>
      </c>
      <c r="X40" s="12"/>
      <c r="Y40" s="12">
        <v>4</v>
      </c>
      <c r="Z40" s="12">
        <v>4</v>
      </c>
      <c r="AB40" s="11">
        <v>37</v>
      </c>
      <c r="AC40" s="12"/>
      <c r="AD40" s="12">
        <v>0</v>
      </c>
      <c r="AE40" s="12">
        <v>0</v>
      </c>
      <c r="AG40" s="11">
        <v>37</v>
      </c>
      <c r="AH40" s="12"/>
      <c r="AI40" s="12">
        <v>0</v>
      </c>
      <c r="AJ40" s="12">
        <v>0</v>
      </c>
      <c r="AL40" s="11">
        <v>37</v>
      </c>
      <c r="AM40" s="12"/>
      <c r="AN40" s="12">
        <v>0</v>
      </c>
      <c r="AO40" s="12">
        <v>0</v>
      </c>
      <c r="AQ40" s="11">
        <v>37</v>
      </c>
      <c r="AR40" s="12" t="s">
        <v>15</v>
      </c>
      <c r="AS40" s="12"/>
      <c r="AT40" s="11">
        <v>37</v>
      </c>
      <c r="AU40" s="12">
        <v>0</v>
      </c>
      <c r="AW40" s="11">
        <v>37</v>
      </c>
      <c r="AX40" s="12">
        <v>46</v>
      </c>
      <c r="AY40" s="12">
        <v>0</v>
      </c>
      <c r="AZ40" s="12">
        <v>0</v>
      </c>
      <c r="BA40" s="12">
        <v>5</v>
      </c>
      <c r="BB40" s="12">
        <v>5</v>
      </c>
      <c r="BC40" s="12">
        <v>5</v>
      </c>
      <c r="BD40" s="12">
        <v>5</v>
      </c>
      <c r="BE40" s="12">
        <v>5</v>
      </c>
      <c r="BF40" s="24">
        <v>5</v>
      </c>
      <c r="BG40" s="29">
        <v>5</v>
      </c>
      <c r="BH40" s="12">
        <v>70</v>
      </c>
      <c r="BI40" s="12">
        <v>70</v>
      </c>
      <c r="BK40" s="11">
        <v>37</v>
      </c>
      <c r="BL40" s="12"/>
      <c r="BM40" s="12">
        <v>10</v>
      </c>
      <c r="BN40" s="12">
        <v>10</v>
      </c>
      <c r="BP40" s="11">
        <v>37</v>
      </c>
      <c r="BQ40" s="12"/>
      <c r="BR40" s="12">
        <v>4</v>
      </c>
      <c r="BS40" s="12">
        <v>4</v>
      </c>
      <c r="BU40" s="11">
        <v>37</v>
      </c>
      <c r="BV40" s="12"/>
      <c r="BW40" s="12">
        <v>0</v>
      </c>
      <c r="BX40" s="12">
        <v>12</v>
      </c>
      <c r="BZ40" s="11">
        <v>37</v>
      </c>
      <c r="CA40" s="12"/>
      <c r="CC40" s="11">
        <v>37</v>
      </c>
      <c r="CD40" s="12"/>
    </row>
    <row r="41" spans="1:82">
      <c r="A41" s="1" t="s">
        <v>19</v>
      </c>
      <c r="B41" s="1">
        <v>0</v>
      </c>
      <c r="C41" s="3" t="s">
        <v>25</v>
      </c>
      <c r="D41" s="3">
        <f>SUMIF(S$3:S$38,$A41,AM$3:AM$38)</f>
        <v>0</v>
      </c>
      <c r="E41" s="122">
        <f>SUMIF(T$3:T$52,$A41,AN$3:AN$52)</f>
        <v>0</v>
      </c>
      <c r="F41" s="4">
        <f>SUMIF(U$3:U$52,$A41,AO$3:AO$52)</f>
        <v>25</v>
      </c>
      <c r="G41" s="121"/>
      <c r="H41" s="21">
        <v>500</v>
      </c>
      <c r="I41" s="7">
        <f t="shared" si="4"/>
        <v>1</v>
      </c>
      <c r="K41" s="121"/>
      <c r="L41" s="121"/>
      <c r="M41" s="121"/>
      <c r="N41" s="121"/>
      <c r="O41" s="121"/>
      <c r="R41" s="11">
        <v>38</v>
      </c>
      <c r="S41" s="12"/>
      <c r="T41" s="12" t="s">
        <v>15</v>
      </c>
      <c r="U41" s="12" t="s">
        <v>15</v>
      </c>
      <c r="W41" s="11">
        <v>38</v>
      </c>
      <c r="X41" s="12"/>
      <c r="Y41" s="12">
        <v>0</v>
      </c>
      <c r="Z41" s="12">
        <v>0</v>
      </c>
      <c r="AB41" s="11">
        <v>38</v>
      </c>
      <c r="AC41" s="12"/>
      <c r="AD41" s="12">
        <v>0</v>
      </c>
      <c r="AE41" s="12">
        <v>0</v>
      </c>
      <c r="AG41" s="11">
        <v>38</v>
      </c>
      <c r="AH41" s="12"/>
      <c r="AI41" s="12">
        <v>1</v>
      </c>
      <c r="AJ41" s="12">
        <v>0</v>
      </c>
      <c r="AL41" s="11">
        <v>38</v>
      </c>
      <c r="AM41" s="12"/>
      <c r="AN41" s="12">
        <v>0</v>
      </c>
      <c r="AO41" s="12">
        <v>1</v>
      </c>
      <c r="AQ41" s="11">
        <v>38</v>
      </c>
      <c r="AR41" s="14" t="s">
        <v>9</v>
      </c>
      <c r="AS41" s="14"/>
      <c r="AT41" s="11">
        <v>38</v>
      </c>
      <c r="AU41" s="12">
        <v>8</v>
      </c>
      <c r="AW41" s="11">
        <v>38</v>
      </c>
      <c r="AX41" s="12">
        <v>0</v>
      </c>
      <c r="AY41" s="12">
        <v>22</v>
      </c>
      <c r="AZ41" s="12">
        <v>20</v>
      </c>
      <c r="BA41" s="12">
        <v>5</v>
      </c>
      <c r="BB41" s="12">
        <v>5</v>
      </c>
      <c r="BC41" s="12">
        <v>5</v>
      </c>
      <c r="BD41" s="12">
        <v>5</v>
      </c>
      <c r="BE41" s="12">
        <v>5</v>
      </c>
      <c r="BF41" s="24">
        <v>5</v>
      </c>
      <c r="BG41" s="29">
        <v>5</v>
      </c>
      <c r="BH41" s="12">
        <v>0</v>
      </c>
      <c r="BI41" s="12">
        <v>0</v>
      </c>
      <c r="BK41" s="11">
        <v>38</v>
      </c>
      <c r="BL41" s="12"/>
      <c r="BM41" s="12" t="s">
        <v>15</v>
      </c>
      <c r="BN41" s="12" t="s">
        <v>15</v>
      </c>
      <c r="BP41" s="11">
        <v>38</v>
      </c>
      <c r="BQ41" s="12"/>
      <c r="BR41" s="12">
        <v>0</v>
      </c>
      <c r="BS41" s="12">
        <v>0</v>
      </c>
      <c r="BU41" s="11">
        <v>38</v>
      </c>
      <c r="BV41" s="12"/>
      <c r="BW41" s="12">
        <v>0</v>
      </c>
      <c r="BX41" s="12">
        <v>0</v>
      </c>
      <c r="BZ41" s="11">
        <v>38</v>
      </c>
      <c r="CA41" s="12"/>
      <c r="CC41" s="11">
        <v>38</v>
      </c>
      <c r="CD41" s="12"/>
    </row>
    <row r="42" spans="1:82">
      <c r="A42" s="20">
        <v>0</v>
      </c>
      <c r="B42" s="20">
        <v>1</v>
      </c>
      <c r="C42" s="5">
        <v>0</v>
      </c>
      <c r="D42" s="37">
        <f t="shared" ref="D42:D52" si="5">SUMIF(S$3:S$38,$A42,AM$3:AM$38)</f>
        <v>0</v>
      </c>
      <c r="E42" s="121">
        <f t="shared" ref="E42:F52" si="6">SUMIF(T$3:T$52,$A42,AN$3:AN$52)</f>
        <v>0</v>
      </c>
      <c r="F42" s="7">
        <f t="shared" si="6"/>
        <v>0</v>
      </c>
      <c r="H42" s="22">
        <v>1000</v>
      </c>
      <c r="I42" s="96">
        <f t="shared" si="4"/>
        <v>1</v>
      </c>
      <c r="R42" s="11">
        <v>39</v>
      </c>
      <c r="S42" s="12"/>
      <c r="T42" s="12" t="s">
        <v>18</v>
      </c>
      <c r="U42" s="12" t="s">
        <v>18</v>
      </c>
      <c r="W42" s="11">
        <v>39</v>
      </c>
      <c r="X42" s="12"/>
      <c r="Y42" s="12">
        <v>5</v>
      </c>
      <c r="Z42" s="12">
        <v>5</v>
      </c>
      <c r="AB42" s="11">
        <v>39</v>
      </c>
      <c r="AC42" s="12"/>
      <c r="AD42" s="12">
        <v>0</v>
      </c>
      <c r="AE42" s="12">
        <v>0</v>
      </c>
      <c r="AG42" s="11">
        <v>39</v>
      </c>
      <c r="AH42" s="12"/>
      <c r="AI42" s="12">
        <v>0</v>
      </c>
      <c r="AJ42" s="12">
        <v>1</v>
      </c>
      <c r="AL42" s="11">
        <v>39</v>
      </c>
      <c r="AM42" s="12"/>
      <c r="AN42" s="12">
        <v>1</v>
      </c>
      <c r="AO42" s="12">
        <v>0</v>
      </c>
      <c r="AQ42" s="11">
        <v>39</v>
      </c>
      <c r="AR42" s="12" t="s">
        <v>15</v>
      </c>
      <c r="AS42" s="12"/>
      <c r="AT42" s="11">
        <v>39</v>
      </c>
      <c r="AU42" s="12">
        <v>0</v>
      </c>
      <c r="AW42" s="11">
        <v>39</v>
      </c>
      <c r="AX42" s="12">
        <v>46</v>
      </c>
      <c r="AY42" s="12">
        <v>0</v>
      </c>
      <c r="AZ42" s="12">
        <v>0</v>
      </c>
      <c r="BA42" s="12">
        <v>5</v>
      </c>
      <c r="BB42" s="12">
        <v>5</v>
      </c>
      <c r="BC42" s="12">
        <v>5</v>
      </c>
      <c r="BD42" s="12">
        <v>5</v>
      </c>
      <c r="BE42" s="12">
        <v>5</v>
      </c>
      <c r="BF42" s="24">
        <v>5</v>
      </c>
      <c r="BG42" s="29">
        <v>5</v>
      </c>
      <c r="BH42" s="12">
        <v>70</v>
      </c>
      <c r="BI42" s="12">
        <v>70</v>
      </c>
      <c r="BK42" s="11">
        <v>39</v>
      </c>
      <c r="BL42" s="12"/>
      <c r="BM42" s="12" t="s">
        <v>18</v>
      </c>
      <c r="BN42" s="12" t="s">
        <v>18</v>
      </c>
      <c r="BP42" s="11">
        <v>39</v>
      </c>
      <c r="BQ42" s="12"/>
      <c r="BR42" s="12">
        <v>5</v>
      </c>
      <c r="BS42" s="12">
        <v>5</v>
      </c>
      <c r="BU42" s="11">
        <v>39</v>
      </c>
      <c r="BV42" s="12"/>
      <c r="BW42" s="12">
        <v>0</v>
      </c>
      <c r="BX42" s="12">
        <v>10</v>
      </c>
      <c r="BZ42" s="11">
        <v>39</v>
      </c>
      <c r="CA42" s="12"/>
      <c r="CC42" s="11">
        <v>39</v>
      </c>
      <c r="CD42" s="12"/>
    </row>
    <row r="43" spans="1:82">
      <c r="A43" s="20">
        <v>1</v>
      </c>
      <c r="B43" s="20">
        <v>2</v>
      </c>
      <c r="C43" s="5">
        <v>1</v>
      </c>
      <c r="D43" s="6">
        <f t="shared" si="5"/>
        <v>0</v>
      </c>
      <c r="E43" s="121">
        <f t="shared" si="6"/>
        <v>0</v>
      </c>
      <c r="F43" s="7">
        <f t="shared" si="6"/>
        <v>0</v>
      </c>
      <c r="R43" s="11">
        <v>40</v>
      </c>
      <c r="S43" s="12"/>
      <c r="T43" s="12" t="s">
        <v>15</v>
      </c>
      <c r="U43" s="12" t="s">
        <v>15</v>
      </c>
      <c r="W43" s="11">
        <v>40</v>
      </c>
      <c r="X43" s="12"/>
      <c r="Y43" s="12">
        <v>0</v>
      </c>
      <c r="Z43" s="12">
        <v>0</v>
      </c>
      <c r="AB43" s="11">
        <v>40</v>
      </c>
      <c r="AC43" s="12"/>
      <c r="AD43" s="12">
        <v>0</v>
      </c>
      <c r="AE43" s="12">
        <v>0</v>
      </c>
      <c r="AG43" s="11">
        <v>40</v>
      </c>
      <c r="AH43" s="12"/>
      <c r="AI43" s="12">
        <v>1</v>
      </c>
      <c r="AJ43" s="12">
        <v>0</v>
      </c>
      <c r="AL43" s="11">
        <v>40</v>
      </c>
      <c r="AM43" s="12"/>
      <c r="AN43" s="12">
        <v>0</v>
      </c>
      <c r="AO43" s="12">
        <v>1</v>
      </c>
      <c r="AQ43" s="11">
        <v>40</v>
      </c>
      <c r="AR43" s="14"/>
      <c r="AS43" s="14"/>
      <c r="AT43" s="11">
        <v>40</v>
      </c>
      <c r="AU43" s="12"/>
      <c r="AW43" s="11">
        <v>40</v>
      </c>
      <c r="AX43" s="12"/>
      <c r="AY43" s="12"/>
      <c r="AZ43" s="12"/>
      <c r="BA43" s="12"/>
      <c r="BB43" s="12"/>
      <c r="BC43" s="12"/>
      <c r="BD43" s="12"/>
      <c r="BE43" s="12"/>
      <c r="BF43" s="24"/>
      <c r="BG43" s="29"/>
      <c r="BH43" s="12"/>
      <c r="BI43" s="12"/>
      <c r="BK43" s="11">
        <v>40</v>
      </c>
      <c r="BL43" s="12"/>
      <c r="BM43" s="12" t="s">
        <v>15</v>
      </c>
      <c r="BN43" s="12" t="s">
        <v>15</v>
      </c>
      <c r="BP43" s="11">
        <v>40</v>
      </c>
      <c r="BQ43" s="12"/>
      <c r="BR43" s="12">
        <v>0</v>
      </c>
      <c r="BS43" s="12">
        <v>0</v>
      </c>
      <c r="BU43" s="11">
        <v>40</v>
      </c>
      <c r="BV43" s="12"/>
      <c r="BW43" s="12">
        <v>0</v>
      </c>
      <c r="BX43" s="12">
        <v>0</v>
      </c>
      <c r="BZ43" s="11">
        <v>40</v>
      </c>
      <c r="CA43" s="12"/>
      <c r="CC43" s="11">
        <v>40</v>
      </c>
      <c r="CD43" s="12"/>
    </row>
    <row r="44" spans="1:82">
      <c r="A44" s="21">
        <v>5</v>
      </c>
      <c r="B44" s="21">
        <v>3</v>
      </c>
      <c r="C44" s="23">
        <v>5</v>
      </c>
      <c r="D44" s="6">
        <f t="shared" si="5"/>
        <v>0</v>
      </c>
      <c r="E44" s="121">
        <f t="shared" si="6"/>
        <v>0</v>
      </c>
      <c r="F44" s="7">
        <f t="shared" si="6"/>
        <v>0</v>
      </c>
      <c r="R44" s="11">
        <v>41</v>
      </c>
      <c r="S44" s="12"/>
      <c r="T44" s="12">
        <v>0</v>
      </c>
      <c r="U44" s="12">
        <v>0</v>
      </c>
      <c r="W44" s="11">
        <v>41</v>
      </c>
      <c r="X44" s="12"/>
      <c r="Y44" s="12">
        <v>1</v>
      </c>
      <c r="Z44" s="12">
        <v>1</v>
      </c>
      <c r="AB44" s="11">
        <v>41</v>
      </c>
      <c r="AC44" s="12"/>
      <c r="AD44" s="12">
        <v>1</v>
      </c>
      <c r="AE44" s="12">
        <v>1</v>
      </c>
      <c r="AG44" s="11">
        <v>41</v>
      </c>
      <c r="AH44" s="12"/>
      <c r="AI44" s="12">
        <v>0</v>
      </c>
      <c r="AJ44" s="12">
        <v>0</v>
      </c>
      <c r="AL44" s="11">
        <v>41</v>
      </c>
      <c r="AM44" s="12"/>
      <c r="AN44" s="12">
        <v>0</v>
      </c>
      <c r="AO44" s="12">
        <v>0</v>
      </c>
      <c r="AQ44" s="11">
        <v>41</v>
      </c>
      <c r="AR44" s="12"/>
      <c r="AS44" s="12"/>
      <c r="AT44" s="11">
        <v>41</v>
      </c>
      <c r="AU44" s="12"/>
      <c r="AW44" s="11">
        <v>41</v>
      </c>
      <c r="AX44" s="12"/>
      <c r="AY44" s="12"/>
      <c r="AZ44" s="12"/>
      <c r="BA44" s="12"/>
      <c r="BB44" s="12"/>
      <c r="BC44" s="12"/>
      <c r="BD44" s="12"/>
      <c r="BE44" s="12"/>
      <c r="BF44" s="24"/>
      <c r="BG44" s="29"/>
      <c r="BH44" s="12"/>
      <c r="BI44" s="12"/>
      <c r="BK44" s="11">
        <v>41</v>
      </c>
      <c r="BL44" s="12"/>
      <c r="BM44" s="12">
        <v>0</v>
      </c>
      <c r="BN44" s="12">
        <v>0</v>
      </c>
      <c r="BP44" s="11">
        <v>41</v>
      </c>
      <c r="BQ44" s="12"/>
      <c r="BR44" s="12">
        <v>1</v>
      </c>
      <c r="BS44" s="12">
        <v>1</v>
      </c>
      <c r="BU44" s="11">
        <v>41</v>
      </c>
      <c r="BV44" s="12"/>
      <c r="BW44" s="12">
        <v>1</v>
      </c>
      <c r="BX44" s="12">
        <v>1</v>
      </c>
      <c r="BZ44" s="11">
        <v>41</v>
      </c>
      <c r="CA44" s="12"/>
      <c r="CC44" s="11">
        <v>41</v>
      </c>
      <c r="CD44" s="12"/>
    </row>
    <row r="45" spans="1:82">
      <c r="A45" s="21">
        <v>10</v>
      </c>
      <c r="B45" s="21">
        <v>4</v>
      </c>
      <c r="C45" s="23">
        <v>10</v>
      </c>
      <c r="D45" s="6">
        <f t="shared" si="5"/>
        <v>6</v>
      </c>
      <c r="E45" s="101">
        <f t="shared" si="6"/>
        <v>0</v>
      </c>
      <c r="F45" s="126">
        <f t="shared" si="6"/>
        <v>0</v>
      </c>
      <c r="R45" s="11">
        <v>42</v>
      </c>
      <c r="S45" s="12"/>
      <c r="T45" s="12" t="s">
        <v>15</v>
      </c>
      <c r="U45" s="12" t="s">
        <v>15</v>
      </c>
      <c r="W45" s="11">
        <v>42</v>
      </c>
      <c r="X45" s="12"/>
      <c r="Y45" s="12">
        <v>0</v>
      </c>
      <c r="Z45" s="12">
        <v>0</v>
      </c>
      <c r="AB45" s="11">
        <v>42</v>
      </c>
      <c r="AC45" s="12"/>
      <c r="AD45" s="12">
        <v>0</v>
      </c>
      <c r="AE45" s="12">
        <v>0</v>
      </c>
      <c r="AG45" s="11">
        <v>42</v>
      </c>
      <c r="AH45" s="12"/>
      <c r="AI45" s="12">
        <v>1</v>
      </c>
      <c r="AJ45" s="12">
        <v>0</v>
      </c>
      <c r="AL45" s="11">
        <v>42</v>
      </c>
      <c r="AM45" s="12"/>
      <c r="AN45" s="12">
        <v>0</v>
      </c>
      <c r="AO45" s="12">
        <v>1</v>
      </c>
      <c r="AQ45" s="11">
        <v>42</v>
      </c>
      <c r="AR45" s="14"/>
      <c r="AS45" s="14"/>
      <c r="AT45" s="11">
        <v>42</v>
      </c>
      <c r="AU45" s="12"/>
      <c r="AW45" s="11">
        <v>42</v>
      </c>
      <c r="AX45" s="12"/>
      <c r="AY45" s="12"/>
      <c r="AZ45" s="12"/>
      <c r="BA45" s="12"/>
      <c r="BB45" s="12"/>
      <c r="BC45" s="12"/>
      <c r="BD45" s="12"/>
      <c r="BE45" s="12"/>
      <c r="BF45" s="24"/>
      <c r="BG45" s="29"/>
      <c r="BH45" s="12"/>
      <c r="BI45" s="12"/>
      <c r="BK45" s="11">
        <v>42</v>
      </c>
      <c r="BL45" s="12"/>
      <c r="BM45" s="12" t="s">
        <v>15</v>
      </c>
      <c r="BN45" s="12" t="s">
        <v>15</v>
      </c>
      <c r="BP45" s="11">
        <v>42</v>
      </c>
      <c r="BQ45" s="12"/>
      <c r="BR45" s="12">
        <v>0</v>
      </c>
      <c r="BS45" s="12">
        <v>0</v>
      </c>
      <c r="BU45" s="11">
        <v>42</v>
      </c>
      <c r="BV45" s="12"/>
      <c r="BW45" s="12">
        <v>0</v>
      </c>
      <c r="BX45" s="12">
        <v>0</v>
      </c>
      <c r="BZ45" s="11">
        <v>42</v>
      </c>
      <c r="CA45" s="12"/>
      <c r="CC45" s="11">
        <v>42</v>
      </c>
      <c r="CD45" s="12"/>
    </row>
    <row r="46" spans="1:82">
      <c r="A46" s="20" t="s">
        <v>20</v>
      </c>
      <c r="B46" s="20">
        <v>5</v>
      </c>
      <c r="C46" s="23" t="s">
        <v>29</v>
      </c>
      <c r="D46" s="37">
        <f t="shared" si="5"/>
        <v>0</v>
      </c>
      <c r="E46" s="101">
        <f t="shared" si="6"/>
        <v>5</v>
      </c>
      <c r="F46" s="126">
        <f t="shared" si="6"/>
        <v>0</v>
      </c>
      <c r="R46" s="11">
        <v>43</v>
      </c>
      <c r="S46" s="12"/>
      <c r="T46" s="12">
        <v>1</v>
      </c>
      <c r="U46" s="12">
        <v>1</v>
      </c>
      <c r="W46" s="11">
        <v>43</v>
      </c>
      <c r="X46" s="12"/>
      <c r="Y46" s="12">
        <v>2</v>
      </c>
      <c r="Z46" s="12">
        <v>2</v>
      </c>
      <c r="AB46" s="11">
        <v>43</v>
      </c>
      <c r="AC46" s="12"/>
      <c r="AD46" s="12">
        <v>1</v>
      </c>
      <c r="AE46" s="12">
        <v>1</v>
      </c>
      <c r="AG46" s="11">
        <v>43</v>
      </c>
      <c r="AH46" s="12"/>
      <c r="AI46" s="12">
        <v>0</v>
      </c>
      <c r="AJ46" s="12">
        <v>0</v>
      </c>
      <c r="AL46" s="11">
        <v>43</v>
      </c>
      <c r="AM46" s="12"/>
      <c r="AN46" s="12">
        <v>0</v>
      </c>
      <c r="AO46" s="12">
        <v>0</v>
      </c>
      <c r="AQ46" s="11">
        <v>43</v>
      </c>
      <c r="AR46" s="12"/>
      <c r="AS46" s="12"/>
      <c r="AT46" s="11">
        <v>43</v>
      </c>
      <c r="AU46" s="12"/>
      <c r="AW46" s="11">
        <v>43</v>
      </c>
      <c r="AX46" s="12"/>
      <c r="AY46" s="12"/>
      <c r="AZ46" s="12"/>
      <c r="BA46" s="12"/>
      <c r="BB46" s="12"/>
      <c r="BC46" s="12"/>
      <c r="BD46" s="12"/>
      <c r="BE46" s="12"/>
      <c r="BF46" s="24"/>
      <c r="BG46" s="29"/>
      <c r="BH46" s="12"/>
      <c r="BI46" s="12"/>
      <c r="BK46" s="11">
        <v>43</v>
      </c>
      <c r="BL46" s="12"/>
      <c r="BM46" s="12">
        <v>1</v>
      </c>
      <c r="BN46" s="12">
        <v>1</v>
      </c>
      <c r="BP46" s="11">
        <v>43</v>
      </c>
      <c r="BQ46" s="12"/>
      <c r="BR46" s="12">
        <v>2</v>
      </c>
      <c r="BS46" s="12">
        <v>2</v>
      </c>
      <c r="BU46" s="11">
        <v>43</v>
      </c>
      <c r="BV46" s="12"/>
      <c r="BW46" s="12">
        <v>1</v>
      </c>
      <c r="BX46" s="12">
        <v>1</v>
      </c>
      <c r="BZ46" s="11">
        <v>43</v>
      </c>
      <c r="CA46" s="12"/>
      <c r="CC46" s="11">
        <v>43</v>
      </c>
      <c r="CD46" s="12"/>
    </row>
    <row r="47" spans="1:82">
      <c r="A47" s="21" t="s">
        <v>21</v>
      </c>
      <c r="B47" s="21">
        <v>6</v>
      </c>
      <c r="C47" s="23" t="s">
        <v>26</v>
      </c>
      <c r="D47" s="37">
        <f t="shared" si="5"/>
        <v>0</v>
      </c>
      <c r="E47" s="59">
        <f t="shared" si="6"/>
        <v>0</v>
      </c>
      <c r="F47" s="38">
        <f t="shared" si="6"/>
        <v>0</v>
      </c>
      <c r="R47" s="11">
        <v>44</v>
      </c>
      <c r="S47" s="12"/>
      <c r="T47" s="12" t="s">
        <v>15</v>
      </c>
      <c r="U47" s="12" t="s">
        <v>15</v>
      </c>
      <c r="W47" s="11">
        <v>44</v>
      </c>
      <c r="X47" s="12"/>
      <c r="Y47" s="12">
        <v>0</v>
      </c>
      <c r="Z47" s="12">
        <v>0</v>
      </c>
      <c r="AB47" s="11">
        <v>44</v>
      </c>
      <c r="AC47" s="12"/>
      <c r="AD47" s="12">
        <v>0</v>
      </c>
      <c r="AE47" s="12">
        <v>0</v>
      </c>
      <c r="AG47" s="11">
        <v>44</v>
      </c>
      <c r="AH47" s="12"/>
      <c r="AI47" s="12">
        <v>1</v>
      </c>
      <c r="AJ47" s="12">
        <v>0</v>
      </c>
      <c r="AL47" s="11">
        <v>44</v>
      </c>
      <c r="AM47" s="12"/>
      <c r="AN47" s="12">
        <v>0</v>
      </c>
      <c r="AO47" s="12">
        <v>1</v>
      </c>
      <c r="AQ47" s="11">
        <v>44</v>
      </c>
      <c r="AR47" s="14"/>
      <c r="AS47" s="14"/>
      <c r="AT47" s="11">
        <v>44</v>
      </c>
      <c r="AU47" s="12"/>
      <c r="AW47" s="11">
        <v>44</v>
      </c>
      <c r="AX47" s="12"/>
      <c r="AY47" s="12"/>
      <c r="AZ47" s="12"/>
      <c r="BA47" s="12"/>
      <c r="BB47" s="12"/>
      <c r="BC47" s="12"/>
      <c r="BD47" s="12"/>
      <c r="BE47" s="12"/>
      <c r="BF47" s="24"/>
      <c r="BG47" s="29"/>
      <c r="BH47" s="12"/>
      <c r="BI47" s="12"/>
      <c r="BK47" s="11">
        <v>44</v>
      </c>
      <c r="BL47" s="12"/>
      <c r="BM47" s="12" t="s">
        <v>15</v>
      </c>
      <c r="BN47" s="12" t="s">
        <v>15</v>
      </c>
      <c r="BP47" s="11">
        <v>44</v>
      </c>
      <c r="BQ47" s="12"/>
      <c r="BR47" s="12">
        <v>0</v>
      </c>
      <c r="BS47" s="12">
        <v>0</v>
      </c>
      <c r="BU47" s="11">
        <v>44</v>
      </c>
      <c r="BV47" s="12"/>
      <c r="BW47" s="12">
        <v>0</v>
      </c>
      <c r="BX47" s="12">
        <v>0</v>
      </c>
      <c r="BZ47" s="11">
        <v>44</v>
      </c>
      <c r="CA47" s="12"/>
      <c r="CC47" s="11">
        <v>44</v>
      </c>
      <c r="CD47" s="12"/>
    </row>
    <row r="48" spans="1:82">
      <c r="A48" s="20" t="s">
        <v>22</v>
      </c>
      <c r="B48" s="20">
        <v>7</v>
      </c>
      <c r="C48" s="5" t="s">
        <v>27</v>
      </c>
      <c r="D48" s="37">
        <f t="shared" si="5"/>
        <v>0</v>
      </c>
      <c r="E48" s="59">
        <f t="shared" si="6"/>
        <v>0</v>
      </c>
      <c r="F48" s="38">
        <f t="shared" si="6"/>
        <v>0</v>
      </c>
      <c r="R48" s="11">
        <v>45</v>
      </c>
      <c r="S48" s="12"/>
      <c r="T48" s="12">
        <v>5</v>
      </c>
      <c r="U48" s="12">
        <v>5</v>
      </c>
      <c r="W48" s="11">
        <v>45</v>
      </c>
      <c r="X48" s="12"/>
      <c r="Y48" s="12">
        <v>3</v>
      </c>
      <c r="Z48" s="12">
        <v>3</v>
      </c>
      <c r="AB48" s="11">
        <v>45</v>
      </c>
      <c r="AC48" s="12"/>
      <c r="AD48" s="12">
        <v>1</v>
      </c>
      <c r="AE48" s="12">
        <v>1</v>
      </c>
      <c r="AG48" s="11">
        <v>45</v>
      </c>
      <c r="AH48" s="12"/>
      <c r="AI48" s="12">
        <v>0</v>
      </c>
      <c r="AJ48" s="12">
        <v>0</v>
      </c>
      <c r="AL48" s="11">
        <v>45</v>
      </c>
      <c r="AM48" s="12"/>
      <c r="AN48" s="12">
        <v>0</v>
      </c>
      <c r="AO48" s="12">
        <v>0</v>
      </c>
      <c r="AQ48" s="11">
        <v>45</v>
      </c>
      <c r="AR48" s="12"/>
      <c r="AS48" s="12"/>
      <c r="AT48" s="11">
        <v>45</v>
      </c>
      <c r="AU48" s="12"/>
      <c r="AW48" s="11">
        <v>45</v>
      </c>
      <c r="AX48" s="12"/>
      <c r="AY48" s="12"/>
      <c r="AZ48" s="12"/>
      <c r="BA48" s="12"/>
      <c r="BB48" s="12"/>
      <c r="BC48" s="12"/>
      <c r="BD48" s="12"/>
      <c r="BE48" s="12"/>
      <c r="BF48" s="24"/>
      <c r="BG48" s="29"/>
      <c r="BH48" s="12"/>
      <c r="BI48" s="12"/>
      <c r="BK48" s="11">
        <v>45</v>
      </c>
      <c r="BL48" s="12"/>
      <c r="BM48" s="12">
        <v>5</v>
      </c>
      <c r="BN48" s="12">
        <v>5</v>
      </c>
      <c r="BP48" s="11">
        <v>45</v>
      </c>
      <c r="BQ48" s="12"/>
      <c r="BR48" s="12">
        <v>3</v>
      </c>
      <c r="BS48" s="12">
        <v>3</v>
      </c>
      <c r="BU48" s="11">
        <v>45</v>
      </c>
      <c r="BV48" s="12"/>
      <c r="BW48" s="12">
        <v>1</v>
      </c>
      <c r="BX48" s="12">
        <v>1</v>
      </c>
      <c r="BZ48" s="11">
        <v>45</v>
      </c>
      <c r="CA48" s="12"/>
      <c r="CC48" s="11">
        <v>45</v>
      </c>
      <c r="CD48" s="12"/>
    </row>
    <row r="49" spans="1:82">
      <c r="A49" s="20" t="s">
        <v>23</v>
      </c>
      <c r="B49" s="20">
        <v>8</v>
      </c>
      <c r="C49" s="5" t="s">
        <v>28</v>
      </c>
      <c r="D49" s="37">
        <f t="shared" si="5"/>
        <v>0</v>
      </c>
      <c r="E49" s="59">
        <f t="shared" si="6"/>
        <v>0</v>
      </c>
      <c r="F49" s="38">
        <f t="shared" si="6"/>
        <v>0</v>
      </c>
      <c r="R49" s="11">
        <v>46</v>
      </c>
      <c r="S49" s="12"/>
      <c r="T49" s="12" t="s">
        <v>15</v>
      </c>
      <c r="U49" s="12" t="s">
        <v>15</v>
      </c>
      <c r="W49" s="11">
        <v>46</v>
      </c>
      <c r="X49" s="12"/>
      <c r="Y49" s="12">
        <v>0</v>
      </c>
      <c r="Z49" s="12">
        <v>0</v>
      </c>
      <c r="AB49" s="11">
        <v>46</v>
      </c>
      <c r="AC49" s="12"/>
      <c r="AD49" s="12">
        <v>0</v>
      </c>
      <c r="AE49" s="12">
        <v>0</v>
      </c>
      <c r="AG49" s="11">
        <v>46</v>
      </c>
      <c r="AH49" s="12"/>
      <c r="AI49" s="12">
        <v>1</v>
      </c>
      <c r="AJ49" s="12">
        <v>0</v>
      </c>
      <c r="AL49" s="11">
        <v>46</v>
      </c>
      <c r="AM49" s="12"/>
      <c r="AN49" s="12">
        <v>0</v>
      </c>
      <c r="AO49" s="12">
        <v>1</v>
      </c>
      <c r="AQ49" s="11">
        <v>46</v>
      </c>
      <c r="AR49" s="14"/>
      <c r="AS49" s="14"/>
      <c r="AT49" s="11">
        <v>46</v>
      </c>
      <c r="AU49" s="12"/>
      <c r="AW49" s="11">
        <v>46</v>
      </c>
      <c r="AX49" s="12"/>
      <c r="AY49" s="12"/>
      <c r="AZ49" s="12"/>
      <c r="BA49" s="12"/>
      <c r="BB49" s="12"/>
      <c r="BC49" s="12"/>
      <c r="BD49" s="12"/>
      <c r="BE49" s="12"/>
      <c r="BF49" s="24"/>
      <c r="BG49" s="29"/>
      <c r="BH49" s="12"/>
      <c r="BI49" s="12"/>
      <c r="BK49" s="11">
        <v>46</v>
      </c>
      <c r="BL49" s="12"/>
      <c r="BM49" s="12" t="s">
        <v>15</v>
      </c>
      <c r="BN49" s="12" t="s">
        <v>15</v>
      </c>
      <c r="BP49" s="11">
        <v>46</v>
      </c>
      <c r="BQ49" s="12"/>
      <c r="BR49" s="12">
        <v>0</v>
      </c>
      <c r="BS49" s="12">
        <v>0</v>
      </c>
      <c r="BU49" s="11">
        <v>46</v>
      </c>
      <c r="BV49" s="12"/>
      <c r="BW49" s="12">
        <v>0</v>
      </c>
      <c r="BX49" s="12">
        <v>0</v>
      </c>
      <c r="BZ49" s="11">
        <v>46</v>
      </c>
      <c r="CA49" s="12"/>
      <c r="CC49" s="11">
        <v>46</v>
      </c>
      <c r="CD49" s="12"/>
    </row>
    <row r="50" spans="1:82">
      <c r="A50" s="20" t="s">
        <v>24</v>
      </c>
      <c r="B50" s="20">
        <v>9</v>
      </c>
      <c r="C50" s="5" t="s">
        <v>16</v>
      </c>
      <c r="D50" s="37">
        <f t="shared" si="5"/>
        <v>0</v>
      </c>
      <c r="E50" s="59">
        <f t="shared" si="6"/>
        <v>0</v>
      </c>
      <c r="F50" s="38">
        <f t="shared" si="6"/>
        <v>0</v>
      </c>
      <c r="R50" s="11">
        <v>47</v>
      </c>
      <c r="S50" s="12"/>
      <c r="T50" s="12">
        <v>10</v>
      </c>
      <c r="U50" s="12">
        <v>10</v>
      </c>
      <c r="W50" s="11">
        <v>47</v>
      </c>
      <c r="X50" s="12"/>
      <c r="Y50" s="12">
        <v>4</v>
      </c>
      <c r="Z50" s="12">
        <v>4</v>
      </c>
      <c r="AB50" s="11">
        <v>47</v>
      </c>
      <c r="AC50" s="12"/>
      <c r="AD50" s="12">
        <v>0</v>
      </c>
      <c r="AE50" s="12">
        <v>0</v>
      </c>
      <c r="AG50" s="11">
        <v>47</v>
      </c>
      <c r="AH50" s="12"/>
      <c r="AI50" s="12">
        <v>0</v>
      </c>
      <c r="AJ50" s="12">
        <v>0</v>
      </c>
      <c r="AL50" s="11">
        <v>47</v>
      </c>
      <c r="AM50" s="12"/>
      <c r="AN50" s="12">
        <v>0</v>
      </c>
      <c r="AO50" s="12">
        <v>0</v>
      </c>
      <c r="AQ50" s="11">
        <v>47</v>
      </c>
      <c r="AR50" s="12"/>
      <c r="AS50" s="12"/>
      <c r="AT50" s="11">
        <v>47</v>
      </c>
      <c r="AU50" s="12"/>
      <c r="AW50" s="11">
        <v>47</v>
      </c>
      <c r="AX50" s="12"/>
      <c r="AY50" s="12"/>
      <c r="AZ50" s="12"/>
      <c r="BA50" s="12"/>
      <c r="BB50" s="12"/>
      <c r="BC50" s="12"/>
      <c r="BD50" s="12"/>
      <c r="BE50" s="12"/>
      <c r="BF50" s="24"/>
      <c r="BG50" s="29"/>
      <c r="BH50" s="12"/>
      <c r="BI50" s="12"/>
      <c r="BK50" s="11">
        <v>47</v>
      </c>
      <c r="BL50" s="12"/>
      <c r="BM50" s="12">
        <v>10</v>
      </c>
      <c r="BN50" s="12">
        <v>10</v>
      </c>
      <c r="BP50" s="11">
        <v>47</v>
      </c>
      <c r="BQ50" s="12"/>
      <c r="BR50" s="12">
        <v>4</v>
      </c>
      <c r="BS50" s="12">
        <v>4</v>
      </c>
      <c r="BU50" s="11">
        <v>47</v>
      </c>
      <c r="BV50" s="12"/>
      <c r="BW50" s="12">
        <v>0</v>
      </c>
      <c r="BX50" s="12">
        <v>12</v>
      </c>
      <c r="BZ50" s="11">
        <v>47</v>
      </c>
      <c r="CA50" s="12"/>
      <c r="CC50" s="11">
        <v>47</v>
      </c>
      <c r="CD50" s="12"/>
    </row>
    <row r="51" spans="1:82">
      <c r="A51" s="21" t="s">
        <v>35</v>
      </c>
      <c r="B51" s="21">
        <v>10</v>
      </c>
      <c r="C51" s="5" t="s">
        <v>37</v>
      </c>
      <c r="D51" s="37">
        <f t="shared" si="5"/>
        <v>0</v>
      </c>
      <c r="E51" s="59">
        <f t="shared" si="6"/>
        <v>0</v>
      </c>
      <c r="F51" s="38">
        <f t="shared" si="6"/>
        <v>0</v>
      </c>
      <c r="R51" s="11">
        <v>48</v>
      </c>
      <c r="S51" s="12"/>
      <c r="T51" s="12" t="s">
        <v>15</v>
      </c>
      <c r="U51" s="12" t="s">
        <v>15</v>
      </c>
      <c r="W51" s="11">
        <v>48</v>
      </c>
      <c r="X51" s="12"/>
      <c r="Y51" s="12">
        <v>0</v>
      </c>
      <c r="Z51" s="12">
        <v>0</v>
      </c>
      <c r="AB51" s="11">
        <v>48</v>
      </c>
      <c r="AC51" s="12"/>
      <c r="AD51" s="12">
        <v>0</v>
      </c>
      <c r="AE51" s="12">
        <v>0</v>
      </c>
      <c r="AG51" s="11">
        <v>48</v>
      </c>
      <c r="AH51" s="12"/>
      <c r="AI51" s="12">
        <v>1</v>
      </c>
      <c r="AJ51" s="12">
        <v>0</v>
      </c>
      <c r="AL51" s="11">
        <v>48</v>
      </c>
      <c r="AM51" s="12"/>
      <c r="AN51" s="12">
        <v>0</v>
      </c>
      <c r="AO51" s="12">
        <v>1</v>
      </c>
      <c r="AQ51" s="11">
        <v>48</v>
      </c>
      <c r="AR51" s="12"/>
      <c r="AS51" s="12"/>
      <c r="AT51" s="11">
        <v>48</v>
      </c>
      <c r="AU51" s="12"/>
      <c r="AW51" s="11">
        <v>48</v>
      </c>
      <c r="AX51" s="12"/>
      <c r="AY51" s="12"/>
      <c r="AZ51" s="12"/>
      <c r="BA51" s="12"/>
      <c r="BB51" s="12"/>
      <c r="BC51" s="12"/>
      <c r="BD51" s="12"/>
      <c r="BE51" s="12"/>
      <c r="BF51" s="24"/>
      <c r="BG51" s="29"/>
      <c r="BH51" s="12"/>
      <c r="BI51" s="12"/>
      <c r="BK51" s="11">
        <v>48</v>
      </c>
      <c r="BL51" s="12"/>
      <c r="BM51" s="12" t="s">
        <v>15</v>
      </c>
      <c r="BN51" s="12" t="s">
        <v>15</v>
      </c>
      <c r="BP51" s="11">
        <v>48</v>
      </c>
      <c r="BQ51" s="12"/>
      <c r="BR51" s="12">
        <v>0</v>
      </c>
      <c r="BS51" s="12">
        <v>0</v>
      </c>
      <c r="BU51" s="11">
        <v>48</v>
      </c>
      <c r="BV51" s="12"/>
      <c r="BW51" s="12">
        <v>0</v>
      </c>
      <c r="BX51" s="12">
        <v>0</v>
      </c>
      <c r="BZ51" s="11">
        <v>48</v>
      </c>
      <c r="CA51" s="12"/>
      <c r="CC51" s="11">
        <v>48</v>
      </c>
      <c r="CD51" s="12"/>
    </row>
    <row r="52" spans="1:82">
      <c r="A52" s="22" t="s">
        <v>39</v>
      </c>
      <c r="B52" s="22">
        <v>11</v>
      </c>
      <c r="C52" s="17" t="s">
        <v>38</v>
      </c>
      <c r="D52" s="60">
        <f t="shared" si="5"/>
        <v>0</v>
      </c>
      <c r="E52" s="39">
        <f t="shared" si="6"/>
        <v>0</v>
      </c>
      <c r="F52" s="40">
        <f t="shared" si="6"/>
        <v>0</v>
      </c>
      <c r="R52" s="11">
        <v>49</v>
      </c>
      <c r="S52" s="12"/>
      <c r="T52" s="12" t="s">
        <v>18</v>
      </c>
      <c r="U52" s="12" t="s">
        <v>18</v>
      </c>
      <c r="W52" s="11">
        <v>49</v>
      </c>
      <c r="X52" s="12"/>
      <c r="Y52" s="12">
        <v>5</v>
      </c>
      <c r="Z52" s="12">
        <v>5</v>
      </c>
      <c r="AB52" s="11">
        <v>49</v>
      </c>
      <c r="AC52" s="12"/>
      <c r="AD52" s="12">
        <v>0</v>
      </c>
      <c r="AE52" s="12">
        <v>0</v>
      </c>
      <c r="AG52" s="11">
        <v>49</v>
      </c>
      <c r="AH52" s="12"/>
      <c r="AI52" s="12">
        <v>0</v>
      </c>
      <c r="AJ52" s="12">
        <v>1</v>
      </c>
      <c r="AL52" s="11">
        <v>49</v>
      </c>
      <c r="AM52" s="12"/>
      <c r="AN52" s="12">
        <v>1</v>
      </c>
      <c r="AO52" s="12">
        <v>0</v>
      </c>
      <c r="AQ52" s="11">
        <v>49</v>
      </c>
      <c r="AR52" s="12"/>
      <c r="AS52" s="12"/>
      <c r="AT52" s="11">
        <v>49</v>
      </c>
      <c r="AU52" s="12"/>
      <c r="AW52" s="11">
        <v>49</v>
      </c>
      <c r="AX52" s="12"/>
      <c r="AY52" s="12"/>
      <c r="AZ52" s="12"/>
      <c r="BA52" s="12"/>
      <c r="BB52" s="12"/>
      <c r="BC52" s="12"/>
      <c r="BD52" s="12"/>
      <c r="BE52" s="12"/>
      <c r="BF52" s="24"/>
      <c r="BG52" s="29"/>
      <c r="BH52" s="12"/>
      <c r="BI52" s="12"/>
      <c r="BK52" s="11">
        <v>49</v>
      </c>
      <c r="BL52" s="12"/>
      <c r="BM52" s="12" t="s">
        <v>18</v>
      </c>
      <c r="BN52" s="12" t="s">
        <v>18</v>
      </c>
      <c r="BP52" s="11">
        <v>49</v>
      </c>
      <c r="BQ52" s="12"/>
      <c r="BR52" s="12">
        <v>5</v>
      </c>
      <c r="BS52" s="12">
        <v>5</v>
      </c>
      <c r="BU52" s="11">
        <v>49</v>
      </c>
      <c r="BV52" s="12"/>
      <c r="BW52" s="12">
        <v>0</v>
      </c>
      <c r="BX52" s="12">
        <v>10</v>
      </c>
      <c r="BZ52" s="11">
        <v>49</v>
      </c>
      <c r="CA52" s="12"/>
      <c r="CC52" s="11">
        <v>49</v>
      </c>
      <c r="CD52" s="12"/>
    </row>
    <row r="53" spans="1:82">
      <c r="D53" s="121">
        <f>SUM(D41:D52)</f>
        <v>6</v>
      </c>
      <c r="E53" s="121">
        <f>SUM(E41:E52)</f>
        <v>5</v>
      </c>
      <c r="F53" s="121">
        <f>SUM(F41:F52)</f>
        <v>25</v>
      </c>
      <c r="R53" s="11">
        <v>50</v>
      </c>
      <c r="S53" s="12"/>
      <c r="T53" s="12"/>
      <c r="U53" s="12"/>
      <c r="W53" s="11">
        <v>50</v>
      </c>
      <c r="X53" s="12"/>
      <c r="Y53" s="12"/>
      <c r="Z53" s="12"/>
      <c r="AB53" s="11">
        <v>50</v>
      </c>
      <c r="AC53" s="12"/>
      <c r="AD53" s="12"/>
      <c r="AE53" s="12"/>
      <c r="AG53" s="11">
        <v>50</v>
      </c>
      <c r="AH53" s="12"/>
      <c r="AI53" s="12"/>
      <c r="AJ53" s="12"/>
      <c r="AL53" s="11">
        <v>50</v>
      </c>
      <c r="AM53" s="12"/>
      <c r="AN53" s="12"/>
      <c r="AO53" s="12"/>
      <c r="AQ53" s="11">
        <v>50</v>
      </c>
      <c r="AR53" s="12"/>
      <c r="AS53" s="12"/>
      <c r="AT53" s="11">
        <v>50</v>
      </c>
      <c r="AU53" s="12"/>
      <c r="AW53" s="11">
        <v>50</v>
      </c>
      <c r="AX53" s="12"/>
      <c r="AY53" s="12"/>
      <c r="AZ53" s="12"/>
      <c r="BA53" s="12"/>
      <c r="BB53" s="12"/>
      <c r="BC53" s="12"/>
      <c r="BD53" s="12"/>
      <c r="BE53" s="12"/>
      <c r="BF53" s="24"/>
      <c r="BG53" s="29"/>
      <c r="BH53" s="12"/>
      <c r="BI53" s="12"/>
      <c r="BK53" s="11">
        <v>50</v>
      </c>
      <c r="BL53" s="12"/>
      <c r="BM53" s="12"/>
      <c r="BN53" s="12"/>
      <c r="BP53" s="11">
        <v>50</v>
      </c>
      <c r="BQ53" s="12"/>
      <c r="BR53" s="12"/>
      <c r="BS53" s="12"/>
      <c r="BU53" s="11">
        <v>50</v>
      </c>
      <c r="BV53" s="12"/>
      <c r="BW53" s="12"/>
      <c r="BX53" s="12"/>
      <c r="BZ53" s="11">
        <v>50</v>
      </c>
      <c r="CA53" s="12"/>
      <c r="CC53" s="11">
        <v>50</v>
      </c>
      <c r="CD53" s="12"/>
    </row>
    <row r="54" spans="1:82">
      <c r="R54" s="11">
        <v>51</v>
      </c>
      <c r="S54" s="12"/>
      <c r="T54" s="12"/>
      <c r="U54" s="12"/>
      <c r="W54" s="11">
        <v>51</v>
      </c>
      <c r="X54" s="12"/>
      <c r="Y54" s="12"/>
      <c r="Z54" s="12"/>
      <c r="AB54" s="11">
        <v>51</v>
      </c>
      <c r="AC54" s="12"/>
      <c r="AD54" s="12"/>
      <c r="AE54" s="12"/>
      <c r="AG54" s="11">
        <v>51</v>
      </c>
      <c r="AH54" s="12"/>
      <c r="AI54" s="12"/>
      <c r="AJ54" s="12"/>
      <c r="AL54" s="11">
        <v>51</v>
      </c>
      <c r="AM54" s="12"/>
      <c r="AN54" s="12"/>
      <c r="AO54" s="12"/>
      <c r="AQ54" s="11">
        <v>51</v>
      </c>
      <c r="AR54" s="12"/>
      <c r="AS54" s="12"/>
      <c r="AT54" s="11">
        <v>51</v>
      </c>
      <c r="AU54" s="12"/>
      <c r="AW54" s="11">
        <v>51</v>
      </c>
      <c r="AX54" s="12"/>
      <c r="AY54" s="12"/>
      <c r="AZ54" s="12"/>
      <c r="BA54" s="12"/>
      <c r="BB54" s="12"/>
      <c r="BC54" s="12"/>
      <c r="BD54" s="12"/>
      <c r="BE54" s="12"/>
      <c r="BF54" s="24"/>
      <c r="BG54" s="29"/>
      <c r="BH54" s="12"/>
      <c r="BI54" s="12"/>
      <c r="BK54" s="11">
        <v>51</v>
      </c>
      <c r="BL54" s="12"/>
      <c r="BM54" s="12"/>
      <c r="BN54" s="12"/>
      <c r="BP54" s="11">
        <v>51</v>
      </c>
      <c r="BQ54" s="12"/>
      <c r="BR54" s="12"/>
      <c r="BS54" s="12"/>
      <c r="BU54" s="11">
        <v>51</v>
      </c>
      <c r="BV54" s="12"/>
      <c r="BW54" s="12"/>
      <c r="BX54" s="12"/>
      <c r="BZ54" s="11">
        <v>51</v>
      </c>
      <c r="CA54" s="12"/>
      <c r="CC54" s="11">
        <v>51</v>
      </c>
      <c r="CD54" s="12"/>
    </row>
    <row r="55" spans="1:82" ht="16.8" thickBot="1">
      <c r="A55" s="31" t="s">
        <v>47</v>
      </c>
      <c r="R55" s="11">
        <v>52</v>
      </c>
      <c r="S55" s="12"/>
      <c r="T55" s="12"/>
      <c r="U55" s="12"/>
      <c r="W55" s="11">
        <v>52</v>
      </c>
      <c r="X55" s="12"/>
      <c r="Y55" s="12"/>
      <c r="Z55" s="12"/>
      <c r="AB55" s="11">
        <v>52</v>
      </c>
      <c r="AC55" s="12"/>
      <c r="AD55" s="12"/>
      <c r="AE55" s="12"/>
      <c r="AG55" s="11">
        <v>52</v>
      </c>
      <c r="AH55" s="12"/>
      <c r="AI55" s="12"/>
      <c r="AJ55" s="12"/>
      <c r="AL55" s="11">
        <v>52</v>
      </c>
      <c r="AM55" s="12"/>
      <c r="AN55" s="12"/>
      <c r="AO55" s="12"/>
      <c r="AQ55" s="11">
        <v>52</v>
      </c>
      <c r="AR55" s="12"/>
      <c r="AS55" s="12"/>
      <c r="AT55" s="11">
        <v>52</v>
      </c>
      <c r="AU55" s="12"/>
      <c r="AW55" s="11">
        <v>52</v>
      </c>
      <c r="AX55" s="12"/>
      <c r="AY55" s="12"/>
      <c r="AZ55" s="12"/>
      <c r="BA55" s="12"/>
      <c r="BB55" s="12"/>
      <c r="BC55" s="12"/>
      <c r="BD55" s="12"/>
      <c r="BE55" s="12"/>
      <c r="BF55" s="24"/>
      <c r="BG55" s="29"/>
      <c r="BH55" s="12"/>
      <c r="BI55" s="12"/>
      <c r="BK55" s="11">
        <v>52</v>
      </c>
      <c r="BL55" s="12"/>
      <c r="BM55" s="12"/>
      <c r="BN55" s="12"/>
      <c r="BP55" s="11">
        <v>52</v>
      </c>
      <c r="BQ55" s="12"/>
      <c r="BR55" s="12"/>
      <c r="BS55" s="12"/>
      <c r="BU55" s="11">
        <v>52</v>
      </c>
      <c r="BV55" s="12"/>
      <c r="BW55" s="12"/>
      <c r="BX55" s="12"/>
      <c r="BZ55" s="11">
        <v>52</v>
      </c>
      <c r="CA55" s="12"/>
      <c r="CC55" s="11">
        <v>52</v>
      </c>
      <c r="CD55" s="12"/>
    </row>
    <row r="56" spans="1:82">
      <c r="A56" s="30" t="s">
        <v>42</v>
      </c>
      <c r="B56" s="1" t="s">
        <v>10</v>
      </c>
      <c r="C56" s="42" t="s">
        <v>11</v>
      </c>
      <c r="D56" s="67" t="s">
        <v>56</v>
      </c>
      <c r="E56" s="52" t="s">
        <v>48</v>
      </c>
      <c r="F56" s="43" t="s">
        <v>49</v>
      </c>
      <c r="G56" s="44" t="s">
        <v>50</v>
      </c>
      <c r="H56" s="44" t="s">
        <v>51</v>
      </c>
      <c r="I56" s="44" t="s">
        <v>52</v>
      </c>
      <c r="J56" s="44" t="s">
        <v>53</v>
      </c>
      <c r="K56" s="44" t="s">
        <v>54</v>
      </c>
      <c r="L56" s="44" t="s">
        <v>55</v>
      </c>
      <c r="M56" s="45" t="s">
        <v>74</v>
      </c>
      <c r="N56" s="35" t="s">
        <v>75</v>
      </c>
      <c r="O56" s="36" t="s">
        <v>76</v>
      </c>
      <c r="R56" s="11">
        <v>53</v>
      </c>
      <c r="S56" s="12"/>
      <c r="T56" s="12"/>
      <c r="U56" s="12"/>
      <c r="W56" s="11">
        <v>53</v>
      </c>
      <c r="X56" s="12"/>
      <c r="Y56" s="12"/>
      <c r="Z56" s="12"/>
      <c r="AB56" s="11">
        <v>53</v>
      </c>
      <c r="AC56" s="12"/>
      <c r="AD56" s="12"/>
      <c r="AE56" s="12"/>
      <c r="AG56" s="11">
        <v>53</v>
      </c>
      <c r="AH56" s="12"/>
      <c r="AI56" s="12"/>
      <c r="AJ56" s="12"/>
      <c r="AL56" s="11">
        <v>53</v>
      </c>
      <c r="AM56" s="12"/>
      <c r="AN56" s="12"/>
      <c r="AO56" s="12"/>
      <c r="AQ56" s="11">
        <v>53</v>
      </c>
      <c r="AR56" s="12"/>
      <c r="AS56" s="12"/>
      <c r="AT56" s="11">
        <v>53</v>
      </c>
      <c r="AU56" s="12"/>
      <c r="AW56" s="11">
        <v>53</v>
      </c>
      <c r="AX56" s="12"/>
      <c r="AY56" s="12"/>
      <c r="AZ56" s="12"/>
      <c r="BA56" s="12"/>
      <c r="BB56" s="12"/>
      <c r="BC56" s="12"/>
      <c r="BD56" s="12"/>
      <c r="BE56" s="12"/>
      <c r="BF56" s="24"/>
      <c r="BG56" s="29"/>
      <c r="BH56" s="12"/>
      <c r="BI56" s="12"/>
      <c r="BK56" s="11">
        <v>53</v>
      </c>
      <c r="BL56" s="12"/>
      <c r="BM56" s="12"/>
      <c r="BN56" s="12"/>
      <c r="BP56" s="11">
        <v>53</v>
      </c>
      <c r="BQ56" s="12"/>
      <c r="BR56" s="12"/>
      <c r="BS56" s="12"/>
      <c r="BU56" s="11">
        <v>53</v>
      </c>
      <c r="BV56" s="12"/>
      <c r="BW56" s="12"/>
      <c r="BX56" s="12"/>
      <c r="BZ56" s="11">
        <v>53</v>
      </c>
      <c r="CA56" s="12"/>
      <c r="CC56" s="11">
        <v>53</v>
      </c>
      <c r="CD56" s="12"/>
    </row>
    <row r="57" spans="1:82">
      <c r="A57" s="1" t="s">
        <v>19</v>
      </c>
      <c r="B57" s="1">
        <v>0</v>
      </c>
      <c r="C57" s="3" t="s">
        <v>25</v>
      </c>
      <c r="D57" s="53">
        <f t="shared" ref="D57:O68" si="7">SUMIF($AR$3:$AR$42,$A57,AX$3:AX$42)</f>
        <v>932</v>
      </c>
      <c r="E57" s="122">
        <f t="shared" si="7"/>
        <v>0</v>
      </c>
      <c r="F57" s="122">
        <f t="shared" si="7"/>
        <v>0</v>
      </c>
      <c r="G57" s="3">
        <f t="shared" si="7"/>
        <v>100</v>
      </c>
      <c r="H57" s="122">
        <f t="shared" si="7"/>
        <v>100</v>
      </c>
      <c r="I57" s="122">
        <f t="shared" si="7"/>
        <v>100</v>
      </c>
      <c r="J57" s="122">
        <f t="shared" si="7"/>
        <v>100</v>
      </c>
      <c r="K57" s="122">
        <f t="shared" si="7"/>
        <v>100</v>
      </c>
      <c r="L57" s="122">
        <f t="shared" si="7"/>
        <v>100</v>
      </c>
      <c r="M57" s="46">
        <f t="shared" si="7"/>
        <v>100</v>
      </c>
      <c r="N57" s="122">
        <f t="shared" si="7"/>
        <v>1400</v>
      </c>
      <c r="O57" s="4">
        <f t="shared" si="7"/>
        <v>1400</v>
      </c>
      <c r="R57" s="11">
        <v>54</v>
      </c>
      <c r="S57" s="12"/>
      <c r="T57" s="12"/>
      <c r="U57" s="12"/>
      <c r="W57" s="11">
        <v>54</v>
      </c>
      <c r="X57" s="12"/>
      <c r="Y57" s="12"/>
      <c r="Z57" s="12"/>
      <c r="AB57" s="11">
        <v>54</v>
      </c>
      <c r="AC57" s="12"/>
      <c r="AD57" s="12"/>
      <c r="AE57" s="12"/>
      <c r="AG57" s="11">
        <v>54</v>
      </c>
      <c r="AH57" s="12"/>
      <c r="AI57" s="12"/>
      <c r="AJ57" s="12"/>
      <c r="AL57" s="11">
        <v>54</v>
      </c>
      <c r="AM57" s="12"/>
      <c r="AN57" s="12"/>
      <c r="AO57" s="12"/>
      <c r="AQ57" s="11">
        <v>54</v>
      </c>
      <c r="AR57" s="12"/>
      <c r="AS57" s="12"/>
      <c r="AT57" s="11">
        <v>54</v>
      </c>
      <c r="AU57" s="12"/>
      <c r="AW57" s="11">
        <v>54</v>
      </c>
      <c r="AX57" s="12"/>
      <c r="AY57" s="12"/>
      <c r="AZ57" s="12"/>
      <c r="BA57" s="12"/>
      <c r="BB57" s="12"/>
      <c r="BC57" s="12"/>
      <c r="BD57" s="12"/>
      <c r="BE57" s="12"/>
      <c r="BF57" s="24"/>
      <c r="BG57" s="29"/>
      <c r="BH57" s="12"/>
      <c r="BI57" s="12"/>
      <c r="BK57" s="11">
        <v>54</v>
      </c>
      <c r="BL57" s="12"/>
      <c r="BM57" s="12"/>
      <c r="BN57" s="12"/>
      <c r="BP57" s="11">
        <v>54</v>
      </c>
      <c r="BQ57" s="12"/>
      <c r="BR57" s="12"/>
      <c r="BS57" s="12"/>
      <c r="BU57" s="11">
        <v>54</v>
      </c>
      <c r="BV57" s="12"/>
      <c r="BW57" s="12"/>
      <c r="BX57" s="12"/>
      <c r="BZ57" s="11">
        <v>54</v>
      </c>
      <c r="CA57" s="12"/>
      <c r="CC57" s="11">
        <v>54</v>
      </c>
      <c r="CD57" s="12"/>
    </row>
    <row r="58" spans="1:82">
      <c r="A58" s="20">
        <v>0</v>
      </c>
      <c r="B58" s="20">
        <v>1</v>
      </c>
      <c r="C58" s="5">
        <v>0</v>
      </c>
      <c r="D58" s="54">
        <f t="shared" si="7"/>
        <v>0</v>
      </c>
      <c r="E58" s="59">
        <f t="shared" si="7"/>
        <v>0</v>
      </c>
      <c r="F58" s="38">
        <f t="shared" si="7"/>
        <v>0</v>
      </c>
      <c r="G58" s="37">
        <f t="shared" si="7"/>
        <v>0</v>
      </c>
      <c r="H58" s="59">
        <f t="shared" si="7"/>
        <v>0</v>
      </c>
      <c r="I58" s="59">
        <f t="shared" si="7"/>
        <v>0</v>
      </c>
      <c r="J58" s="59">
        <f t="shared" si="7"/>
        <v>0</v>
      </c>
      <c r="K58" s="59">
        <f t="shared" si="7"/>
        <v>0</v>
      </c>
      <c r="L58" s="59">
        <f t="shared" si="7"/>
        <v>0</v>
      </c>
      <c r="M58" s="47">
        <f t="shared" si="7"/>
        <v>0</v>
      </c>
      <c r="N58" s="59">
        <f t="shared" si="7"/>
        <v>0</v>
      </c>
      <c r="O58" s="38">
        <f t="shared" si="7"/>
        <v>0</v>
      </c>
      <c r="R58" s="11">
        <v>55</v>
      </c>
      <c r="S58" s="12"/>
      <c r="T58" s="12"/>
      <c r="U58" s="12"/>
      <c r="W58" s="11">
        <v>55</v>
      </c>
      <c r="X58" s="12"/>
      <c r="Y58" s="12"/>
      <c r="Z58" s="12"/>
      <c r="AB58" s="11">
        <v>55</v>
      </c>
      <c r="AC58" s="12"/>
      <c r="AD58" s="12"/>
      <c r="AE58" s="12"/>
      <c r="AG58" s="11">
        <v>55</v>
      </c>
      <c r="AH58" s="12"/>
      <c r="AI58" s="12"/>
      <c r="AJ58" s="12"/>
      <c r="AL58" s="11">
        <v>55</v>
      </c>
      <c r="AM58" s="12"/>
      <c r="AN58" s="12"/>
      <c r="AO58" s="12"/>
      <c r="AQ58" s="11">
        <v>55</v>
      </c>
      <c r="AR58" s="12"/>
      <c r="AS58" s="12"/>
      <c r="AT58" s="11">
        <v>55</v>
      </c>
      <c r="AU58" s="12"/>
      <c r="AW58" s="11">
        <v>55</v>
      </c>
      <c r="AX58" s="12"/>
      <c r="AY58" s="12"/>
      <c r="AZ58" s="12"/>
      <c r="BA58" s="12"/>
      <c r="BB58" s="12"/>
      <c r="BC58" s="12"/>
      <c r="BD58" s="12"/>
      <c r="BE58" s="12"/>
      <c r="BF58" s="24"/>
      <c r="BG58" s="29"/>
      <c r="BH58" s="12"/>
      <c r="BI58" s="12"/>
      <c r="BK58" s="11">
        <v>55</v>
      </c>
      <c r="BL58" s="12"/>
      <c r="BM58" s="12"/>
      <c r="BN58" s="12"/>
      <c r="BP58" s="11">
        <v>55</v>
      </c>
      <c r="BQ58" s="12"/>
      <c r="BR58" s="12"/>
      <c r="BS58" s="12"/>
      <c r="BU58" s="11">
        <v>55</v>
      </c>
      <c r="BV58" s="12"/>
      <c r="BW58" s="12"/>
      <c r="BX58" s="12"/>
      <c r="BZ58" s="11">
        <v>55</v>
      </c>
      <c r="CA58" s="12"/>
      <c r="CC58" s="11">
        <v>55</v>
      </c>
      <c r="CD58" s="12"/>
    </row>
    <row r="59" spans="1:82">
      <c r="A59" s="20">
        <v>1</v>
      </c>
      <c r="B59" s="20">
        <v>2</v>
      </c>
      <c r="C59" s="5">
        <v>1</v>
      </c>
      <c r="D59" s="54">
        <f t="shared" si="7"/>
        <v>0</v>
      </c>
      <c r="E59" s="59">
        <f t="shared" si="7"/>
        <v>0</v>
      </c>
      <c r="F59" s="38">
        <f t="shared" si="7"/>
        <v>0</v>
      </c>
      <c r="G59" s="37">
        <f t="shared" si="7"/>
        <v>0</v>
      </c>
      <c r="H59" s="59">
        <f t="shared" si="7"/>
        <v>0</v>
      </c>
      <c r="I59" s="59">
        <f t="shared" si="7"/>
        <v>0</v>
      </c>
      <c r="J59" s="59">
        <f t="shared" si="7"/>
        <v>0</v>
      </c>
      <c r="K59" s="59">
        <f t="shared" si="7"/>
        <v>0</v>
      </c>
      <c r="L59" s="59">
        <f t="shared" si="7"/>
        <v>0</v>
      </c>
      <c r="M59" s="47">
        <f t="shared" si="7"/>
        <v>0</v>
      </c>
      <c r="N59" s="59">
        <f t="shared" si="7"/>
        <v>0</v>
      </c>
      <c r="O59" s="38">
        <f t="shared" si="7"/>
        <v>0</v>
      </c>
      <c r="R59" s="11">
        <v>56</v>
      </c>
      <c r="S59" s="12"/>
      <c r="T59" s="12"/>
      <c r="U59" s="12"/>
      <c r="W59" s="11">
        <v>56</v>
      </c>
      <c r="X59" s="12"/>
      <c r="Y59" s="12"/>
      <c r="Z59" s="12"/>
      <c r="AB59" s="11">
        <v>56</v>
      </c>
      <c r="AC59" s="12"/>
      <c r="AD59" s="12"/>
      <c r="AE59" s="12"/>
      <c r="AG59" s="11">
        <v>56</v>
      </c>
      <c r="AH59" s="12"/>
      <c r="AI59" s="12"/>
      <c r="AJ59" s="12"/>
      <c r="AL59" s="11">
        <v>56</v>
      </c>
      <c r="AM59" s="12"/>
      <c r="AN59" s="12"/>
      <c r="AO59" s="12"/>
      <c r="AQ59" s="11">
        <v>56</v>
      </c>
      <c r="AR59" s="12"/>
      <c r="AS59" s="12"/>
      <c r="AT59" s="11">
        <v>56</v>
      </c>
      <c r="AU59" s="12"/>
      <c r="AW59" s="11">
        <v>56</v>
      </c>
      <c r="AX59" s="12"/>
      <c r="AY59" s="12"/>
      <c r="AZ59" s="12"/>
      <c r="BA59" s="12"/>
      <c r="BB59" s="12"/>
      <c r="BC59" s="12"/>
      <c r="BD59" s="12"/>
      <c r="BE59" s="12"/>
      <c r="BF59" s="24"/>
      <c r="BG59" s="29"/>
      <c r="BH59" s="12"/>
      <c r="BI59" s="12"/>
      <c r="BK59" s="11">
        <v>56</v>
      </c>
      <c r="BL59" s="12"/>
      <c r="BM59" s="12"/>
      <c r="BN59" s="12"/>
      <c r="BP59" s="11">
        <v>56</v>
      </c>
      <c r="BQ59" s="12"/>
      <c r="BR59" s="12"/>
      <c r="BS59" s="12"/>
      <c r="BU59" s="11">
        <v>56</v>
      </c>
      <c r="BV59" s="12"/>
      <c r="BW59" s="12"/>
      <c r="BX59" s="12"/>
      <c r="BZ59" s="11">
        <v>56</v>
      </c>
      <c r="CA59" s="12"/>
      <c r="CC59" s="11">
        <v>56</v>
      </c>
      <c r="CD59" s="12"/>
    </row>
    <row r="60" spans="1:82">
      <c r="A60" s="21">
        <v>5</v>
      </c>
      <c r="B60" s="21">
        <v>3</v>
      </c>
      <c r="C60" s="23">
        <v>5</v>
      </c>
      <c r="D60" s="54">
        <f t="shared" si="7"/>
        <v>0</v>
      </c>
      <c r="E60" s="59">
        <f t="shared" si="7"/>
        <v>0</v>
      </c>
      <c r="F60" s="38">
        <f t="shared" si="7"/>
        <v>0</v>
      </c>
      <c r="G60" s="37">
        <f t="shared" si="7"/>
        <v>0</v>
      </c>
      <c r="H60" s="59">
        <f t="shared" si="7"/>
        <v>0</v>
      </c>
      <c r="I60" s="59">
        <f t="shared" si="7"/>
        <v>0</v>
      </c>
      <c r="J60" s="59">
        <f t="shared" si="7"/>
        <v>0</v>
      </c>
      <c r="K60" s="59">
        <f t="shared" si="7"/>
        <v>0</v>
      </c>
      <c r="L60" s="59">
        <f t="shared" si="7"/>
        <v>0</v>
      </c>
      <c r="M60" s="47">
        <f t="shared" si="7"/>
        <v>0</v>
      </c>
      <c r="N60" s="59">
        <f t="shared" si="7"/>
        <v>0</v>
      </c>
      <c r="O60" s="38">
        <f t="shared" si="7"/>
        <v>0</v>
      </c>
      <c r="R60" s="11">
        <v>57</v>
      </c>
      <c r="S60" s="12"/>
      <c r="T60" s="12"/>
      <c r="U60" s="12"/>
      <c r="W60" s="11">
        <v>57</v>
      </c>
      <c r="X60" s="12"/>
      <c r="Y60" s="12"/>
      <c r="Z60" s="12"/>
      <c r="AB60" s="11">
        <v>57</v>
      </c>
      <c r="AC60" s="12"/>
      <c r="AD60" s="12"/>
      <c r="AE60" s="12"/>
      <c r="AG60" s="11">
        <v>57</v>
      </c>
      <c r="AH60" s="12"/>
      <c r="AI60" s="12"/>
      <c r="AJ60" s="12"/>
      <c r="AL60" s="11">
        <v>57</v>
      </c>
      <c r="AM60" s="12"/>
      <c r="AN60" s="12"/>
      <c r="AO60" s="12"/>
      <c r="AQ60" s="11">
        <v>57</v>
      </c>
      <c r="AR60" s="12"/>
      <c r="AS60" s="12"/>
      <c r="AT60" s="11">
        <v>57</v>
      </c>
      <c r="AU60" s="12"/>
      <c r="AW60" s="11">
        <v>57</v>
      </c>
      <c r="AX60" s="12"/>
      <c r="AY60" s="12"/>
      <c r="AZ60" s="12"/>
      <c r="BA60" s="12"/>
      <c r="BB60" s="12"/>
      <c r="BC60" s="12"/>
      <c r="BD60" s="12"/>
      <c r="BE60" s="12"/>
      <c r="BF60" s="24"/>
      <c r="BG60" s="29"/>
      <c r="BH60" s="12"/>
      <c r="BI60" s="12"/>
      <c r="BK60" s="11">
        <v>57</v>
      </c>
      <c r="BL60" s="12"/>
      <c r="BM60" s="12"/>
      <c r="BN60" s="12"/>
      <c r="BP60" s="11">
        <v>57</v>
      </c>
      <c r="BQ60" s="12"/>
      <c r="BR60" s="12"/>
      <c r="BS60" s="12"/>
      <c r="BU60" s="11">
        <v>57</v>
      </c>
      <c r="BV60" s="12"/>
      <c r="BW60" s="12"/>
      <c r="BX60" s="12"/>
      <c r="BZ60" s="11">
        <v>57</v>
      </c>
      <c r="CA60" s="12"/>
      <c r="CC60" s="11">
        <v>57</v>
      </c>
      <c r="CD60" s="12"/>
    </row>
    <row r="61" spans="1:82">
      <c r="A61" s="21">
        <v>10</v>
      </c>
      <c r="B61" s="21">
        <v>4</v>
      </c>
      <c r="C61" s="23">
        <v>10</v>
      </c>
      <c r="D61" s="54">
        <f t="shared" si="7"/>
        <v>0</v>
      </c>
      <c r="E61" s="59">
        <f t="shared" si="7"/>
        <v>0</v>
      </c>
      <c r="F61" s="38">
        <f t="shared" si="7"/>
        <v>0</v>
      </c>
      <c r="G61" s="37">
        <f t="shared" si="7"/>
        <v>0</v>
      </c>
      <c r="H61" s="59">
        <f t="shared" si="7"/>
        <v>0</v>
      </c>
      <c r="I61" s="59">
        <f t="shared" si="7"/>
        <v>0</v>
      </c>
      <c r="J61" s="59">
        <f t="shared" si="7"/>
        <v>0</v>
      </c>
      <c r="K61" s="59">
        <f t="shared" si="7"/>
        <v>0</v>
      </c>
      <c r="L61" s="59">
        <f t="shared" si="7"/>
        <v>0</v>
      </c>
      <c r="M61" s="47">
        <f t="shared" si="7"/>
        <v>0</v>
      </c>
      <c r="N61" s="59">
        <f t="shared" si="7"/>
        <v>0</v>
      </c>
      <c r="O61" s="38">
        <f t="shared" si="7"/>
        <v>0</v>
      </c>
      <c r="R61" s="11">
        <v>58</v>
      </c>
      <c r="S61" s="12"/>
      <c r="T61" s="12"/>
      <c r="U61" s="12"/>
      <c r="W61" s="11">
        <v>58</v>
      </c>
      <c r="X61" s="12"/>
      <c r="Y61" s="12"/>
      <c r="Z61" s="12"/>
      <c r="AB61" s="11">
        <v>58</v>
      </c>
      <c r="AC61" s="12"/>
      <c r="AD61" s="12"/>
      <c r="AE61" s="12"/>
      <c r="AG61" s="11">
        <v>58</v>
      </c>
      <c r="AH61" s="12"/>
      <c r="AI61" s="12"/>
      <c r="AJ61" s="12"/>
      <c r="AL61" s="11">
        <v>58</v>
      </c>
      <c r="AM61" s="12"/>
      <c r="AN61" s="12"/>
      <c r="AO61" s="12"/>
      <c r="AQ61" s="11">
        <v>58</v>
      </c>
      <c r="AR61" s="12"/>
      <c r="AS61" s="12"/>
      <c r="AT61" s="11">
        <v>58</v>
      </c>
      <c r="AU61" s="12"/>
      <c r="AW61" s="11">
        <v>58</v>
      </c>
      <c r="AX61" s="12"/>
      <c r="AY61" s="12"/>
      <c r="AZ61" s="12"/>
      <c r="BA61" s="12"/>
      <c r="BB61" s="12"/>
      <c r="BC61" s="12"/>
      <c r="BD61" s="12"/>
      <c r="BE61" s="12"/>
      <c r="BF61" s="24"/>
      <c r="BG61" s="29"/>
      <c r="BH61" s="12"/>
      <c r="BI61" s="12"/>
      <c r="BK61" s="11">
        <v>58</v>
      </c>
      <c r="BL61" s="12"/>
      <c r="BM61" s="12"/>
      <c r="BN61" s="12"/>
      <c r="BP61" s="11">
        <v>58</v>
      </c>
      <c r="BQ61" s="12"/>
      <c r="BR61" s="12"/>
      <c r="BS61" s="12"/>
      <c r="BU61" s="11">
        <v>58</v>
      </c>
      <c r="BV61" s="12"/>
      <c r="BW61" s="12"/>
      <c r="BX61" s="12"/>
      <c r="BZ61" s="11">
        <v>58</v>
      </c>
      <c r="CA61" s="12"/>
      <c r="CC61" s="11">
        <v>58</v>
      </c>
      <c r="CD61" s="12"/>
    </row>
    <row r="62" spans="1:82">
      <c r="A62" s="20" t="s">
        <v>20</v>
      </c>
      <c r="B62" s="20">
        <v>5</v>
      </c>
      <c r="C62" s="23" t="s">
        <v>29</v>
      </c>
      <c r="D62" s="54">
        <f t="shared" si="7"/>
        <v>0</v>
      </c>
      <c r="E62" s="59">
        <f t="shared" si="7"/>
        <v>0</v>
      </c>
      <c r="F62" s="38">
        <f t="shared" si="7"/>
        <v>0</v>
      </c>
      <c r="G62" s="37">
        <f t="shared" si="7"/>
        <v>0</v>
      </c>
      <c r="H62" s="59">
        <f t="shared" si="7"/>
        <v>0</v>
      </c>
      <c r="I62" s="59">
        <f t="shared" si="7"/>
        <v>0</v>
      </c>
      <c r="J62" s="59">
        <f t="shared" si="7"/>
        <v>0</v>
      </c>
      <c r="K62" s="59">
        <f t="shared" si="7"/>
        <v>0</v>
      </c>
      <c r="L62" s="59">
        <f t="shared" si="7"/>
        <v>0</v>
      </c>
      <c r="M62" s="47">
        <f t="shared" si="7"/>
        <v>0</v>
      </c>
      <c r="N62" s="59">
        <f t="shared" si="7"/>
        <v>0</v>
      </c>
      <c r="O62" s="38">
        <f t="shared" si="7"/>
        <v>0</v>
      </c>
      <c r="R62" s="11">
        <v>59</v>
      </c>
      <c r="S62" s="12"/>
      <c r="T62" s="12"/>
      <c r="U62" s="12"/>
      <c r="W62" s="11">
        <v>59</v>
      </c>
      <c r="X62" s="12"/>
      <c r="Y62" s="12"/>
      <c r="Z62" s="12"/>
      <c r="AB62" s="11">
        <v>59</v>
      </c>
      <c r="AC62" s="12"/>
      <c r="AD62" s="12"/>
      <c r="AE62" s="12"/>
      <c r="AG62" s="11">
        <v>59</v>
      </c>
      <c r="AH62" s="12"/>
      <c r="AI62" s="12"/>
      <c r="AJ62" s="12"/>
      <c r="AL62" s="11">
        <v>59</v>
      </c>
      <c r="AM62" s="12"/>
      <c r="AN62" s="12"/>
      <c r="AO62" s="12"/>
      <c r="AQ62" s="11">
        <v>59</v>
      </c>
      <c r="AR62" s="12"/>
      <c r="AS62" s="12"/>
      <c r="AT62" s="11">
        <v>59</v>
      </c>
      <c r="AU62" s="12"/>
      <c r="AW62" s="11">
        <v>59</v>
      </c>
      <c r="AX62" s="12"/>
      <c r="AY62" s="12"/>
      <c r="AZ62" s="12"/>
      <c r="BA62" s="12"/>
      <c r="BB62" s="12"/>
      <c r="BC62" s="12"/>
      <c r="BD62" s="12"/>
      <c r="BE62" s="12"/>
      <c r="BF62" s="24"/>
      <c r="BG62" s="29"/>
      <c r="BH62" s="12"/>
      <c r="BI62" s="12"/>
      <c r="BK62" s="11">
        <v>59</v>
      </c>
      <c r="BL62" s="12"/>
      <c r="BM62" s="12"/>
      <c r="BN62" s="12"/>
      <c r="BP62" s="11">
        <v>59</v>
      </c>
      <c r="BQ62" s="12"/>
      <c r="BR62" s="12"/>
      <c r="BS62" s="12"/>
      <c r="BU62" s="11">
        <v>59</v>
      </c>
      <c r="BV62" s="12"/>
      <c r="BW62" s="12"/>
      <c r="BX62" s="12"/>
      <c r="BZ62" s="11">
        <v>59</v>
      </c>
      <c r="CA62" s="12"/>
      <c r="CC62" s="11">
        <v>59</v>
      </c>
      <c r="CD62" s="12"/>
    </row>
    <row r="63" spans="1:82">
      <c r="A63" s="21" t="s">
        <v>21</v>
      </c>
      <c r="B63" s="21">
        <v>6</v>
      </c>
      <c r="C63" s="23" t="s">
        <v>26</v>
      </c>
      <c r="D63" s="55">
        <f t="shared" si="7"/>
        <v>38</v>
      </c>
      <c r="E63" s="121">
        <f t="shared" si="7"/>
        <v>0</v>
      </c>
      <c r="F63" s="7">
        <f t="shared" si="7"/>
        <v>360</v>
      </c>
      <c r="G63" s="6">
        <f t="shared" si="7"/>
        <v>20</v>
      </c>
      <c r="H63" s="121">
        <f t="shared" si="7"/>
        <v>20</v>
      </c>
      <c r="I63" s="121">
        <f t="shared" si="7"/>
        <v>20</v>
      </c>
      <c r="J63" s="121">
        <f t="shared" si="7"/>
        <v>20</v>
      </c>
      <c r="K63" s="121">
        <f t="shared" si="7"/>
        <v>20</v>
      </c>
      <c r="L63" s="121">
        <f t="shared" si="7"/>
        <v>20</v>
      </c>
      <c r="M63" s="48">
        <f t="shared" si="7"/>
        <v>20</v>
      </c>
      <c r="N63" s="121">
        <f t="shared" si="7"/>
        <v>0</v>
      </c>
      <c r="O63" s="7">
        <f t="shared" si="7"/>
        <v>0</v>
      </c>
      <c r="R63" s="11">
        <v>60</v>
      </c>
      <c r="S63" s="12"/>
      <c r="T63" s="12"/>
      <c r="U63" s="12"/>
      <c r="W63" s="11">
        <v>60</v>
      </c>
      <c r="X63" s="12"/>
      <c r="Y63" s="12"/>
      <c r="Z63" s="12"/>
      <c r="AB63" s="11">
        <v>60</v>
      </c>
      <c r="AC63" s="12"/>
      <c r="AD63" s="12"/>
      <c r="AE63" s="12"/>
      <c r="AG63" s="11">
        <v>60</v>
      </c>
      <c r="AH63" s="12"/>
      <c r="AI63" s="12"/>
      <c r="AJ63" s="12"/>
      <c r="AL63" s="11">
        <v>60</v>
      </c>
      <c r="AM63" s="12"/>
      <c r="AN63" s="12"/>
      <c r="AO63" s="12"/>
      <c r="AQ63" s="11">
        <v>60</v>
      </c>
      <c r="AR63" s="13"/>
      <c r="AS63" s="13"/>
      <c r="AT63" s="11">
        <v>60</v>
      </c>
      <c r="AU63" s="12"/>
      <c r="AW63" s="11">
        <v>60</v>
      </c>
      <c r="AX63" s="12"/>
      <c r="AY63" s="12"/>
      <c r="AZ63" s="12"/>
      <c r="BA63" s="12"/>
      <c r="BB63" s="12"/>
      <c r="BC63" s="12"/>
      <c r="BD63" s="12"/>
      <c r="BE63" s="12"/>
      <c r="BF63" s="24"/>
      <c r="BG63" s="29"/>
      <c r="BH63" s="12"/>
      <c r="BI63" s="12"/>
      <c r="BK63" s="11">
        <v>60</v>
      </c>
      <c r="BL63" s="12"/>
      <c r="BM63" s="12"/>
      <c r="BN63" s="12"/>
      <c r="BP63" s="11">
        <v>60</v>
      </c>
      <c r="BQ63" s="12"/>
      <c r="BR63" s="12"/>
      <c r="BS63" s="12"/>
      <c r="BU63" s="11">
        <v>60</v>
      </c>
      <c r="BV63" s="12"/>
      <c r="BW63" s="12"/>
      <c r="BX63" s="12"/>
      <c r="BZ63" s="11">
        <v>60</v>
      </c>
      <c r="CA63" s="12"/>
      <c r="CC63" s="11">
        <v>60</v>
      </c>
      <c r="CD63" s="12"/>
    </row>
    <row r="64" spans="1:82">
      <c r="A64" s="20" t="s">
        <v>22</v>
      </c>
      <c r="B64" s="20">
        <v>7</v>
      </c>
      <c r="C64" s="5" t="s">
        <v>27</v>
      </c>
      <c r="D64" s="55">
        <f t="shared" si="7"/>
        <v>45</v>
      </c>
      <c r="E64" s="121">
        <f t="shared" si="7"/>
        <v>0</v>
      </c>
      <c r="F64" s="7">
        <f t="shared" si="7"/>
        <v>450</v>
      </c>
      <c r="G64" s="6">
        <f t="shared" si="7"/>
        <v>20</v>
      </c>
      <c r="H64" s="121">
        <f t="shared" si="7"/>
        <v>20</v>
      </c>
      <c r="I64" s="121">
        <f t="shared" si="7"/>
        <v>20</v>
      </c>
      <c r="J64" s="121">
        <f t="shared" si="7"/>
        <v>20</v>
      </c>
      <c r="K64" s="121">
        <f t="shared" si="7"/>
        <v>20</v>
      </c>
      <c r="L64" s="121">
        <f t="shared" si="7"/>
        <v>20</v>
      </c>
      <c r="M64" s="48">
        <f t="shared" si="7"/>
        <v>20</v>
      </c>
      <c r="N64" s="121">
        <f t="shared" si="7"/>
        <v>0</v>
      </c>
      <c r="O64" s="7">
        <f t="shared" si="7"/>
        <v>0</v>
      </c>
      <c r="R64" s="11">
        <v>61</v>
      </c>
      <c r="S64" s="12"/>
      <c r="T64" s="13"/>
      <c r="U64" s="12"/>
      <c r="W64" s="11">
        <v>61</v>
      </c>
      <c r="X64" s="12"/>
      <c r="Y64" s="13"/>
      <c r="Z64" s="12"/>
      <c r="AB64" s="11">
        <v>61</v>
      </c>
      <c r="AC64" s="12"/>
      <c r="AD64" s="12"/>
      <c r="AE64" s="12"/>
      <c r="AG64" s="11">
        <v>61</v>
      </c>
      <c r="AH64" s="12"/>
      <c r="AI64" s="12"/>
      <c r="AJ64" s="12"/>
      <c r="AL64" s="11">
        <v>61</v>
      </c>
      <c r="AM64" s="12"/>
      <c r="AN64" s="12"/>
      <c r="AO64" s="12"/>
      <c r="AQ64" s="11">
        <v>61</v>
      </c>
      <c r="AR64" s="13"/>
      <c r="AS64" s="13"/>
      <c r="AT64" s="11">
        <v>61</v>
      </c>
      <c r="AU64" s="12"/>
      <c r="AW64" s="11">
        <v>61</v>
      </c>
      <c r="AX64" s="12"/>
      <c r="AY64" s="12"/>
      <c r="AZ64" s="12"/>
      <c r="BA64" s="12"/>
      <c r="BB64" s="12"/>
      <c r="BC64" s="12"/>
      <c r="BD64" s="12"/>
      <c r="BE64" s="12"/>
      <c r="BF64" s="24"/>
      <c r="BG64" s="29"/>
      <c r="BH64" s="12"/>
      <c r="BI64" s="12"/>
      <c r="BK64" s="11">
        <v>61</v>
      </c>
      <c r="BL64" s="12"/>
      <c r="BM64" s="13"/>
      <c r="BN64" s="12"/>
      <c r="BP64" s="11">
        <v>61</v>
      </c>
      <c r="BQ64" s="12"/>
      <c r="BR64" s="13"/>
      <c r="BS64" s="12"/>
      <c r="BU64" s="11">
        <v>61</v>
      </c>
      <c r="BV64" s="12"/>
      <c r="BW64" s="12"/>
      <c r="BX64" s="12"/>
      <c r="BZ64" s="11">
        <v>61</v>
      </c>
      <c r="CA64" s="12"/>
      <c r="CC64" s="11">
        <v>61</v>
      </c>
      <c r="CD64" s="12"/>
    </row>
    <row r="65" spans="1:82">
      <c r="A65" s="20" t="s">
        <v>23</v>
      </c>
      <c r="B65" s="20">
        <v>8</v>
      </c>
      <c r="C65" s="5" t="s">
        <v>28</v>
      </c>
      <c r="D65" s="55">
        <f t="shared" si="7"/>
        <v>0</v>
      </c>
      <c r="E65" s="121">
        <f t="shared" si="7"/>
        <v>90</v>
      </c>
      <c r="F65" s="7">
        <f t="shared" si="7"/>
        <v>30</v>
      </c>
      <c r="G65" s="6">
        <f t="shared" si="7"/>
        <v>20</v>
      </c>
      <c r="H65" s="121">
        <f t="shared" si="7"/>
        <v>20</v>
      </c>
      <c r="I65" s="121">
        <f t="shared" si="7"/>
        <v>20</v>
      </c>
      <c r="J65" s="121">
        <f t="shared" si="7"/>
        <v>20</v>
      </c>
      <c r="K65" s="121">
        <f t="shared" si="7"/>
        <v>20</v>
      </c>
      <c r="L65" s="121">
        <f t="shared" si="7"/>
        <v>20</v>
      </c>
      <c r="M65" s="48">
        <f t="shared" si="7"/>
        <v>20</v>
      </c>
      <c r="N65" s="121">
        <f t="shared" si="7"/>
        <v>0</v>
      </c>
      <c r="O65" s="7">
        <f t="shared" si="7"/>
        <v>0</v>
      </c>
      <c r="R65" s="11">
        <v>62</v>
      </c>
      <c r="S65" s="12"/>
      <c r="T65" s="13"/>
      <c r="U65" s="12"/>
      <c r="W65" s="11">
        <v>62</v>
      </c>
      <c r="X65" s="12"/>
      <c r="Y65" s="13"/>
      <c r="Z65" s="12"/>
      <c r="AB65" s="11">
        <v>62</v>
      </c>
      <c r="AC65" s="12"/>
      <c r="AD65" s="12"/>
      <c r="AE65" s="12"/>
      <c r="AG65" s="11">
        <v>62</v>
      </c>
      <c r="AH65" s="12"/>
      <c r="AI65" s="12"/>
      <c r="AJ65" s="12"/>
      <c r="AL65" s="11">
        <v>62</v>
      </c>
      <c r="AM65" s="12"/>
      <c r="AN65" s="12"/>
      <c r="AO65" s="12"/>
      <c r="AQ65" s="11">
        <v>62</v>
      </c>
      <c r="AR65" s="13"/>
      <c r="AS65" s="13"/>
      <c r="AT65" s="11">
        <v>62</v>
      </c>
      <c r="AU65" s="12"/>
      <c r="AW65" s="11">
        <v>62</v>
      </c>
      <c r="AX65" s="12"/>
      <c r="AY65" s="12"/>
      <c r="AZ65" s="12"/>
      <c r="BA65" s="12"/>
      <c r="BB65" s="12"/>
      <c r="BC65" s="12"/>
      <c r="BD65" s="12"/>
      <c r="BE65" s="12"/>
      <c r="BF65" s="24"/>
      <c r="BG65" s="29"/>
      <c r="BH65" s="12"/>
      <c r="BI65" s="12"/>
      <c r="BK65" s="11">
        <v>62</v>
      </c>
      <c r="BL65" s="12"/>
      <c r="BM65" s="13"/>
      <c r="BN65" s="12"/>
      <c r="BP65" s="11">
        <v>62</v>
      </c>
      <c r="BQ65" s="12"/>
      <c r="BR65" s="13"/>
      <c r="BS65" s="12"/>
      <c r="BU65" s="11">
        <v>62</v>
      </c>
      <c r="BV65" s="12"/>
      <c r="BW65" s="12"/>
      <c r="BX65" s="12"/>
      <c r="BZ65" s="11">
        <v>62</v>
      </c>
      <c r="CA65" s="12"/>
      <c r="CC65" s="11">
        <v>62</v>
      </c>
      <c r="CD65" s="12"/>
    </row>
    <row r="66" spans="1:82">
      <c r="A66" s="20" t="s">
        <v>24</v>
      </c>
      <c r="B66" s="20">
        <v>9</v>
      </c>
      <c r="C66" s="5" t="s">
        <v>16</v>
      </c>
      <c r="D66" s="55">
        <f t="shared" si="7"/>
        <v>1</v>
      </c>
      <c r="E66" s="121">
        <f t="shared" si="7"/>
        <v>30</v>
      </c>
      <c r="F66" s="7">
        <f t="shared" si="7"/>
        <v>70</v>
      </c>
      <c r="G66" s="6">
        <f t="shared" si="7"/>
        <v>20</v>
      </c>
      <c r="H66" s="121">
        <f t="shared" si="7"/>
        <v>20</v>
      </c>
      <c r="I66" s="121">
        <f t="shared" si="7"/>
        <v>20</v>
      </c>
      <c r="J66" s="121">
        <f t="shared" si="7"/>
        <v>20</v>
      </c>
      <c r="K66" s="121">
        <f t="shared" si="7"/>
        <v>20</v>
      </c>
      <c r="L66" s="121">
        <f t="shared" si="7"/>
        <v>20</v>
      </c>
      <c r="M66" s="48">
        <f t="shared" si="7"/>
        <v>20</v>
      </c>
      <c r="N66" s="121">
        <f t="shared" si="7"/>
        <v>0</v>
      </c>
      <c r="O66" s="7">
        <f t="shared" si="7"/>
        <v>0</v>
      </c>
      <c r="R66" s="11">
        <v>63</v>
      </c>
      <c r="S66" s="12"/>
      <c r="T66" s="13"/>
      <c r="U66" s="13"/>
      <c r="W66" s="11">
        <v>63</v>
      </c>
      <c r="X66" s="12"/>
      <c r="Y66" s="13"/>
      <c r="Z66" s="13"/>
      <c r="AB66" s="11">
        <v>63</v>
      </c>
      <c r="AC66" s="12"/>
      <c r="AD66" s="12"/>
      <c r="AE66" s="12"/>
      <c r="AG66" s="11">
        <v>63</v>
      </c>
      <c r="AH66" s="12"/>
      <c r="AI66" s="12"/>
      <c r="AJ66" s="12"/>
      <c r="AL66" s="11">
        <v>63</v>
      </c>
      <c r="AM66" s="12"/>
      <c r="AN66" s="12"/>
      <c r="AO66" s="12"/>
      <c r="AQ66" s="11">
        <v>63</v>
      </c>
      <c r="AR66" s="13"/>
      <c r="AS66" s="13"/>
      <c r="AT66" s="11">
        <v>63</v>
      </c>
      <c r="AU66" s="13"/>
      <c r="AW66" s="11">
        <v>63</v>
      </c>
      <c r="AX66" s="12"/>
      <c r="AY66" s="12"/>
      <c r="AZ66" s="12"/>
      <c r="BA66" s="12"/>
      <c r="BB66" s="12"/>
      <c r="BC66" s="12"/>
      <c r="BD66" s="12"/>
      <c r="BE66" s="12"/>
      <c r="BF66" s="24"/>
      <c r="BG66" s="29"/>
      <c r="BH66" s="12"/>
      <c r="BI66" s="12"/>
      <c r="BK66" s="11">
        <v>63</v>
      </c>
      <c r="BL66" s="12"/>
      <c r="BM66" s="13"/>
      <c r="BN66" s="13"/>
      <c r="BP66" s="11">
        <v>63</v>
      </c>
      <c r="BQ66" s="12"/>
      <c r="BR66" s="13"/>
      <c r="BS66" s="13"/>
      <c r="BU66" s="11">
        <v>63</v>
      </c>
      <c r="BV66" s="12"/>
      <c r="BW66" s="12"/>
      <c r="BX66" s="12"/>
      <c r="BZ66" s="11">
        <v>63</v>
      </c>
      <c r="CA66" s="12"/>
      <c r="CC66" s="11">
        <v>63</v>
      </c>
      <c r="CD66" s="12"/>
    </row>
    <row r="67" spans="1:82">
      <c r="A67" s="21" t="s">
        <v>35</v>
      </c>
      <c r="B67" s="21">
        <v>10</v>
      </c>
      <c r="C67" s="5" t="s">
        <v>37</v>
      </c>
      <c r="D67" s="55">
        <f t="shared" si="7"/>
        <v>0</v>
      </c>
      <c r="E67" s="121">
        <f t="shared" si="7"/>
        <v>0</v>
      </c>
      <c r="F67" s="7">
        <f t="shared" si="7"/>
        <v>0</v>
      </c>
      <c r="G67" s="6">
        <f t="shared" si="7"/>
        <v>0</v>
      </c>
      <c r="H67" s="121">
        <f t="shared" si="7"/>
        <v>0</v>
      </c>
      <c r="I67" s="121">
        <f t="shared" si="7"/>
        <v>0</v>
      </c>
      <c r="J67" s="121">
        <f t="shared" si="7"/>
        <v>0</v>
      </c>
      <c r="K67" s="121">
        <f t="shared" si="7"/>
        <v>0</v>
      </c>
      <c r="L67" s="121">
        <f t="shared" si="7"/>
        <v>0</v>
      </c>
      <c r="M67" s="48">
        <f t="shared" si="7"/>
        <v>0</v>
      </c>
      <c r="N67" s="121">
        <f t="shared" si="7"/>
        <v>0</v>
      </c>
      <c r="O67" s="7">
        <f t="shared" si="7"/>
        <v>0</v>
      </c>
      <c r="R67" s="11">
        <v>64</v>
      </c>
      <c r="S67" s="12"/>
      <c r="T67" s="13"/>
      <c r="U67" s="13"/>
      <c r="W67" s="11">
        <v>64</v>
      </c>
      <c r="X67" s="12"/>
      <c r="Y67" s="13"/>
      <c r="Z67" s="13"/>
      <c r="AB67" s="11">
        <v>64</v>
      </c>
      <c r="AC67" s="12"/>
      <c r="AD67" s="12"/>
      <c r="AE67" s="12"/>
      <c r="AG67" s="11">
        <v>64</v>
      </c>
      <c r="AH67" s="12"/>
      <c r="AI67" s="12"/>
      <c r="AJ67" s="12"/>
      <c r="AL67" s="11">
        <v>64</v>
      </c>
      <c r="AM67" s="12"/>
      <c r="AN67" s="12"/>
      <c r="AO67" s="12"/>
      <c r="AQ67" s="11">
        <v>64</v>
      </c>
      <c r="AR67" s="13"/>
      <c r="AS67" s="13"/>
      <c r="AT67" s="11">
        <v>64</v>
      </c>
      <c r="AU67" s="13"/>
      <c r="AW67" s="11">
        <v>64</v>
      </c>
      <c r="AX67" s="12"/>
      <c r="AY67" s="12"/>
      <c r="AZ67" s="12"/>
      <c r="BA67" s="12"/>
      <c r="BB67" s="12"/>
      <c r="BC67" s="12"/>
      <c r="BD67" s="12"/>
      <c r="BE67" s="12"/>
      <c r="BF67" s="24"/>
      <c r="BG67" s="29"/>
      <c r="BH67" s="12"/>
      <c r="BI67" s="12"/>
      <c r="BK67" s="11">
        <v>64</v>
      </c>
      <c r="BL67" s="12"/>
      <c r="BM67" s="13"/>
      <c r="BN67" s="13"/>
      <c r="BP67" s="11">
        <v>64</v>
      </c>
      <c r="BQ67" s="12"/>
      <c r="BR67" s="13"/>
      <c r="BS67" s="13"/>
      <c r="BU67" s="11">
        <v>64</v>
      </c>
      <c r="BV67" s="12"/>
      <c r="BW67" s="12"/>
      <c r="BX67" s="12"/>
      <c r="BZ67" s="11">
        <v>64</v>
      </c>
      <c r="CA67" s="12"/>
      <c r="CC67" s="11">
        <v>64</v>
      </c>
      <c r="CD67" s="12"/>
    </row>
    <row r="68" spans="1:82" ht="16.8" thickBot="1">
      <c r="A68" s="22" t="s">
        <v>39</v>
      </c>
      <c r="B68" s="22">
        <v>11</v>
      </c>
      <c r="C68" s="17" t="s">
        <v>38</v>
      </c>
      <c r="D68" s="56">
        <f t="shared" si="7"/>
        <v>2</v>
      </c>
      <c r="E68" s="50">
        <f t="shared" si="7"/>
        <v>80</v>
      </c>
      <c r="F68" s="57">
        <f t="shared" si="7"/>
        <v>90</v>
      </c>
      <c r="G68" s="49">
        <f t="shared" si="7"/>
        <v>20</v>
      </c>
      <c r="H68" s="50">
        <f t="shared" si="7"/>
        <v>20</v>
      </c>
      <c r="I68" s="50">
        <f t="shared" si="7"/>
        <v>20</v>
      </c>
      <c r="J68" s="50">
        <f t="shared" si="7"/>
        <v>20</v>
      </c>
      <c r="K68" s="50">
        <f t="shared" si="7"/>
        <v>20</v>
      </c>
      <c r="L68" s="50">
        <f t="shared" si="7"/>
        <v>20</v>
      </c>
      <c r="M68" s="51">
        <f t="shared" si="7"/>
        <v>20</v>
      </c>
      <c r="N68" s="39">
        <f t="shared" si="7"/>
        <v>0</v>
      </c>
      <c r="O68" s="40">
        <f t="shared" si="7"/>
        <v>0</v>
      </c>
      <c r="R68" s="11">
        <v>65</v>
      </c>
      <c r="S68" s="12"/>
      <c r="T68" s="13"/>
      <c r="U68" s="13"/>
      <c r="W68" s="11">
        <v>65</v>
      </c>
      <c r="X68" s="12"/>
      <c r="Y68" s="13"/>
      <c r="Z68" s="13"/>
      <c r="AB68" s="11">
        <v>65</v>
      </c>
      <c r="AC68" s="12"/>
      <c r="AD68" s="12"/>
      <c r="AE68" s="12"/>
      <c r="AG68" s="11">
        <v>65</v>
      </c>
      <c r="AH68" s="12"/>
      <c r="AI68" s="12"/>
      <c r="AJ68" s="12"/>
      <c r="AL68" s="11">
        <v>65</v>
      </c>
      <c r="AM68" s="12"/>
      <c r="AN68" s="12"/>
      <c r="AO68" s="12"/>
      <c r="AQ68" s="11">
        <v>65</v>
      </c>
      <c r="AR68" s="13"/>
      <c r="AS68" s="13"/>
      <c r="AT68" s="11">
        <v>65</v>
      </c>
      <c r="AU68" s="13"/>
      <c r="AW68" s="11">
        <v>65</v>
      </c>
      <c r="AX68" s="12"/>
      <c r="AY68" s="12"/>
      <c r="AZ68" s="12"/>
      <c r="BA68" s="12"/>
      <c r="BB68" s="12"/>
      <c r="BC68" s="12"/>
      <c r="BD68" s="12"/>
      <c r="BE68" s="12"/>
      <c r="BF68" s="24"/>
      <c r="BG68" s="29"/>
      <c r="BH68" s="12"/>
      <c r="BI68" s="12"/>
      <c r="BK68" s="11">
        <v>65</v>
      </c>
      <c r="BL68" s="12"/>
      <c r="BM68" s="13"/>
      <c r="BN68" s="13"/>
      <c r="BP68" s="11">
        <v>65</v>
      </c>
      <c r="BQ68" s="12"/>
      <c r="BR68" s="13"/>
      <c r="BS68" s="13"/>
      <c r="BU68" s="11">
        <v>65</v>
      </c>
      <c r="BV68" s="12"/>
      <c r="BW68" s="12"/>
      <c r="BX68" s="12"/>
      <c r="BZ68" s="11">
        <v>65</v>
      </c>
      <c r="CA68" s="12"/>
      <c r="CC68" s="11">
        <v>65</v>
      </c>
      <c r="CD68" s="12"/>
    </row>
    <row r="69" spans="1:82">
      <c r="D69" s="121">
        <f>SUM(D57:D68)</f>
        <v>1018</v>
      </c>
      <c r="E69" s="121">
        <f t="shared" ref="E69:O69" si="8">SUM(E57:E68)</f>
        <v>200</v>
      </c>
      <c r="F69" s="121">
        <f t="shared" si="8"/>
        <v>1000</v>
      </c>
      <c r="G69" s="121">
        <f t="shared" si="8"/>
        <v>200</v>
      </c>
      <c r="H69" s="121">
        <f t="shared" si="8"/>
        <v>200</v>
      </c>
      <c r="I69" s="121">
        <f t="shared" si="8"/>
        <v>200</v>
      </c>
      <c r="J69" s="121">
        <f t="shared" si="8"/>
        <v>200</v>
      </c>
      <c r="K69" s="121">
        <f t="shared" si="8"/>
        <v>200</v>
      </c>
      <c r="L69" s="121">
        <f t="shared" si="8"/>
        <v>200</v>
      </c>
      <c r="M69" s="121">
        <f t="shared" si="8"/>
        <v>200</v>
      </c>
      <c r="N69" s="121">
        <f t="shared" si="8"/>
        <v>1400</v>
      </c>
      <c r="O69" s="121">
        <f t="shared" si="8"/>
        <v>1400</v>
      </c>
      <c r="R69" s="11">
        <v>66</v>
      </c>
      <c r="S69" s="12"/>
      <c r="T69" s="13"/>
      <c r="U69" s="13"/>
      <c r="W69" s="11">
        <v>66</v>
      </c>
      <c r="X69" s="12"/>
      <c r="Y69" s="13"/>
      <c r="Z69" s="13"/>
      <c r="AB69" s="11">
        <v>66</v>
      </c>
      <c r="AC69" s="12"/>
      <c r="AD69" s="12"/>
      <c r="AE69" s="12"/>
      <c r="AG69" s="11">
        <v>66</v>
      </c>
      <c r="AH69" s="12"/>
      <c r="AI69" s="12"/>
      <c r="AJ69" s="12"/>
      <c r="AL69" s="11">
        <v>66</v>
      </c>
      <c r="AM69" s="12"/>
      <c r="AN69" s="12"/>
      <c r="AO69" s="12"/>
      <c r="AQ69" s="11">
        <v>66</v>
      </c>
      <c r="AR69" s="13"/>
      <c r="AS69" s="13"/>
      <c r="AT69" s="11">
        <v>66</v>
      </c>
      <c r="AU69" s="13"/>
      <c r="AW69" s="11">
        <v>66</v>
      </c>
      <c r="AX69" s="12"/>
      <c r="AY69" s="12"/>
      <c r="AZ69" s="12"/>
      <c r="BA69" s="12"/>
      <c r="BB69" s="12"/>
      <c r="BC69" s="12"/>
      <c r="BD69" s="12"/>
      <c r="BE69" s="12"/>
      <c r="BF69" s="24"/>
      <c r="BG69" s="29"/>
      <c r="BH69" s="12"/>
      <c r="BI69" s="12"/>
      <c r="BK69" s="11">
        <v>66</v>
      </c>
      <c r="BL69" s="12"/>
      <c r="BM69" s="13"/>
      <c r="BN69" s="13"/>
      <c r="BP69" s="11">
        <v>66</v>
      </c>
      <c r="BQ69" s="12"/>
      <c r="BR69" s="13"/>
      <c r="BS69" s="13"/>
      <c r="BU69" s="11">
        <v>66</v>
      </c>
      <c r="BV69" s="12"/>
      <c r="BW69" s="12"/>
      <c r="BX69" s="12"/>
      <c r="BZ69" s="11">
        <v>66</v>
      </c>
      <c r="CA69" s="12"/>
      <c r="CC69" s="11">
        <v>66</v>
      </c>
      <c r="CD69" s="12"/>
    </row>
    <row r="70" spans="1:82">
      <c r="R70" s="11">
        <v>67</v>
      </c>
      <c r="S70" s="12"/>
      <c r="T70" s="13"/>
      <c r="U70" s="13"/>
      <c r="W70" s="11">
        <v>67</v>
      </c>
      <c r="X70" s="12"/>
      <c r="Y70" s="13"/>
      <c r="Z70" s="13"/>
      <c r="AB70" s="11">
        <v>67</v>
      </c>
      <c r="AC70" s="12"/>
      <c r="AD70" s="12"/>
      <c r="AE70" s="12"/>
      <c r="AG70" s="11">
        <v>67</v>
      </c>
      <c r="AH70" s="12"/>
      <c r="AI70" s="12"/>
      <c r="AJ70" s="12"/>
      <c r="AL70" s="11">
        <v>67</v>
      </c>
      <c r="AM70" s="12"/>
      <c r="AN70" s="12"/>
      <c r="AO70" s="12"/>
      <c r="AQ70" s="11">
        <v>67</v>
      </c>
      <c r="AR70" s="13"/>
      <c r="AS70" s="13"/>
      <c r="AT70" s="11">
        <v>67</v>
      </c>
      <c r="AU70" s="13"/>
      <c r="AW70" s="11">
        <v>67</v>
      </c>
      <c r="AX70" s="12"/>
      <c r="AY70" s="12"/>
      <c r="AZ70" s="12"/>
      <c r="BA70" s="12"/>
      <c r="BB70" s="12"/>
      <c r="BC70" s="12"/>
      <c r="BD70" s="12"/>
      <c r="BE70" s="12"/>
      <c r="BF70" s="24"/>
      <c r="BG70" s="29"/>
      <c r="BH70" s="12"/>
      <c r="BI70" s="12"/>
      <c r="BK70" s="11">
        <v>67</v>
      </c>
      <c r="BL70" s="12"/>
      <c r="BM70" s="13"/>
      <c r="BN70" s="13"/>
      <c r="BP70" s="11">
        <v>67</v>
      </c>
      <c r="BQ70" s="12"/>
      <c r="BR70" s="13"/>
      <c r="BS70" s="13"/>
      <c r="BU70" s="11">
        <v>67</v>
      </c>
      <c r="BV70" s="12"/>
      <c r="BW70" s="12"/>
      <c r="BX70" s="12"/>
      <c r="BZ70" s="11">
        <v>67</v>
      </c>
      <c r="CA70" s="12"/>
      <c r="CC70" s="11">
        <v>67</v>
      </c>
      <c r="CD70" s="12"/>
    </row>
    <row r="71" spans="1:82">
      <c r="A71" s="31" t="s">
        <v>42</v>
      </c>
      <c r="R71" s="11">
        <v>68</v>
      </c>
      <c r="S71" s="12"/>
      <c r="T71" s="13"/>
      <c r="U71" s="13"/>
      <c r="W71" s="11">
        <v>68</v>
      </c>
      <c r="X71" s="12"/>
      <c r="Y71" s="13"/>
      <c r="Z71" s="13"/>
      <c r="AB71" s="11">
        <v>68</v>
      </c>
      <c r="AC71" s="12"/>
      <c r="AD71" s="12"/>
      <c r="AE71" s="12"/>
      <c r="AG71" s="11">
        <v>68</v>
      </c>
      <c r="AH71" s="12"/>
      <c r="AI71" s="12"/>
      <c r="AJ71" s="12"/>
      <c r="AL71" s="11">
        <v>68</v>
      </c>
      <c r="AM71" s="12"/>
      <c r="AN71" s="12"/>
      <c r="AO71" s="12"/>
      <c r="AQ71" s="11">
        <v>68</v>
      </c>
      <c r="AR71" s="13"/>
      <c r="AS71" s="13"/>
      <c r="AT71" s="11">
        <v>68</v>
      </c>
      <c r="AU71" s="13"/>
      <c r="AW71" s="11">
        <v>68</v>
      </c>
      <c r="AX71" s="12"/>
      <c r="AY71" s="12"/>
      <c r="AZ71" s="12"/>
      <c r="BA71" s="12"/>
      <c r="BB71" s="12"/>
      <c r="BC71" s="12"/>
      <c r="BD71" s="12"/>
      <c r="BE71" s="12"/>
      <c r="BF71" s="24"/>
      <c r="BG71" s="29"/>
      <c r="BH71" s="12"/>
      <c r="BI71" s="12"/>
      <c r="BK71" s="11">
        <v>68</v>
      </c>
      <c r="BL71" s="12"/>
      <c r="BM71" s="13"/>
      <c r="BN71" s="13"/>
      <c r="BP71" s="11">
        <v>68</v>
      </c>
      <c r="BQ71" s="12"/>
      <c r="BR71" s="13"/>
      <c r="BS71" s="13"/>
      <c r="BU71" s="11">
        <v>68</v>
      </c>
      <c r="BV71" s="12"/>
      <c r="BW71" s="12"/>
      <c r="BX71" s="12"/>
      <c r="BZ71" s="11">
        <v>68</v>
      </c>
      <c r="CA71" s="12"/>
      <c r="CC71" s="11">
        <v>68</v>
      </c>
      <c r="CD71" s="12"/>
    </row>
    <row r="72" spans="1:82">
      <c r="A72" s="30" t="s">
        <v>42</v>
      </c>
      <c r="B72" s="1" t="s">
        <v>86</v>
      </c>
      <c r="C72" s="2" t="s">
        <v>114</v>
      </c>
      <c r="D72" s="3" t="s">
        <v>80</v>
      </c>
      <c r="E72" s="122" t="s">
        <v>1</v>
      </c>
      <c r="F72" s="4" t="s">
        <v>2</v>
      </c>
      <c r="R72" s="11">
        <v>69</v>
      </c>
      <c r="S72" s="12"/>
      <c r="T72" s="13"/>
      <c r="U72" s="13"/>
      <c r="W72" s="11">
        <v>69</v>
      </c>
      <c r="X72" s="12"/>
      <c r="Y72" s="13"/>
      <c r="Z72" s="13"/>
      <c r="AB72" s="11">
        <v>69</v>
      </c>
      <c r="AC72" s="12"/>
      <c r="AD72" s="12"/>
      <c r="AE72" s="12"/>
      <c r="AG72" s="11">
        <v>69</v>
      </c>
      <c r="AH72" s="12"/>
      <c r="AI72" s="12"/>
      <c r="AJ72" s="12"/>
      <c r="AL72" s="11">
        <v>69</v>
      </c>
      <c r="AM72" s="12"/>
      <c r="AN72" s="12"/>
      <c r="AO72" s="12"/>
      <c r="AQ72" s="11">
        <v>69</v>
      </c>
      <c r="AR72" s="13"/>
      <c r="AS72" s="13"/>
      <c r="AT72" s="11">
        <v>69</v>
      </c>
      <c r="AU72" s="13"/>
      <c r="AW72" s="11">
        <v>69</v>
      </c>
      <c r="AX72" s="12"/>
      <c r="AY72" s="12"/>
      <c r="AZ72" s="12"/>
      <c r="BA72" s="12"/>
      <c r="BB72" s="12"/>
      <c r="BC72" s="12"/>
      <c r="BD72" s="12"/>
      <c r="BE72" s="12"/>
      <c r="BF72" s="24"/>
      <c r="BG72" s="29"/>
      <c r="BH72" s="12"/>
      <c r="BI72" s="12"/>
      <c r="BK72" s="11">
        <v>69</v>
      </c>
      <c r="BL72" s="12"/>
      <c r="BM72" s="13"/>
      <c r="BN72" s="13"/>
      <c r="BP72" s="11">
        <v>69</v>
      </c>
      <c r="BQ72" s="12"/>
      <c r="BR72" s="13"/>
      <c r="BS72" s="13"/>
      <c r="BU72" s="11">
        <v>69</v>
      </c>
      <c r="BV72" s="12"/>
      <c r="BW72" s="12"/>
      <c r="BX72" s="12"/>
      <c r="BZ72" s="11">
        <v>69</v>
      </c>
      <c r="CA72" s="12"/>
      <c r="CC72" s="11">
        <v>69</v>
      </c>
      <c r="CD72" s="12"/>
    </row>
    <row r="73" spans="1:82">
      <c r="A73" s="1" t="s">
        <v>19</v>
      </c>
      <c r="B73" s="1">
        <v>0</v>
      </c>
      <c r="C73" s="3" t="s">
        <v>25</v>
      </c>
      <c r="D73" s="3">
        <f>SUMIF(BL$3:BL$38,$A73,BV$3:BV$38)</f>
        <v>0</v>
      </c>
      <c r="E73" s="129">
        <f>SUMIF(BM$3:BM$52,$A73,BW$3:BW$52)</f>
        <v>0</v>
      </c>
      <c r="F73" s="4">
        <f>SUMIF(BN$3:BN$52,$A73,BX$3:BX$52)</f>
        <v>0</v>
      </c>
      <c r="R73" s="11">
        <v>70</v>
      </c>
      <c r="S73" s="12"/>
      <c r="T73" s="13"/>
      <c r="U73" s="13"/>
      <c r="W73" s="11">
        <v>70</v>
      </c>
      <c r="X73" s="12"/>
      <c r="Y73" s="13"/>
      <c r="Z73" s="13"/>
      <c r="AB73" s="11">
        <v>70</v>
      </c>
      <c r="AC73" s="12"/>
      <c r="AD73" s="12"/>
      <c r="AE73" s="12"/>
      <c r="AG73" s="11">
        <v>70</v>
      </c>
      <c r="AH73" s="12"/>
      <c r="AI73" s="12"/>
      <c r="AJ73" s="12"/>
      <c r="AL73" s="11">
        <v>70</v>
      </c>
      <c r="AM73" s="12"/>
      <c r="AN73" s="12"/>
      <c r="AO73" s="12"/>
      <c r="AQ73" s="11">
        <v>70</v>
      </c>
      <c r="AR73" s="13"/>
      <c r="AS73" s="13"/>
      <c r="AT73" s="11">
        <v>70</v>
      </c>
      <c r="AU73" s="13"/>
      <c r="AW73" s="11">
        <v>70</v>
      </c>
      <c r="AX73" s="12"/>
      <c r="AY73" s="12"/>
      <c r="AZ73" s="12"/>
      <c r="BA73" s="12"/>
      <c r="BB73" s="12"/>
      <c r="BC73" s="12"/>
      <c r="BD73" s="12"/>
      <c r="BE73" s="12"/>
      <c r="BF73" s="24"/>
      <c r="BG73" s="29"/>
      <c r="BH73" s="12"/>
      <c r="BI73" s="12"/>
      <c r="BK73" s="11">
        <v>70</v>
      </c>
      <c r="BL73" s="12"/>
      <c r="BM73" s="13"/>
      <c r="BN73" s="13"/>
      <c r="BP73" s="11">
        <v>70</v>
      </c>
      <c r="BQ73" s="12"/>
      <c r="BR73" s="13"/>
      <c r="BS73" s="13"/>
      <c r="BU73" s="11">
        <v>70</v>
      </c>
      <c r="BV73" s="12"/>
      <c r="BW73" s="12"/>
      <c r="BX73" s="12"/>
      <c r="BZ73" s="11">
        <v>70</v>
      </c>
      <c r="CA73" s="12"/>
      <c r="CC73" s="11">
        <v>70</v>
      </c>
      <c r="CD73" s="12"/>
    </row>
    <row r="74" spans="1:82">
      <c r="A74" s="20">
        <v>0</v>
      </c>
      <c r="B74" s="20">
        <v>1</v>
      </c>
      <c r="C74" s="5">
        <v>0</v>
      </c>
      <c r="D74" s="37">
        <f t="shared" ref="D74:D84" si="9">SUMIF(BL$3:BL$38,$A74,BV$3:BV$38)</f>
        <v>0</v>
      </c>
      <c r="E74" s="128">
        <f t="shared" ref="E74:F84" si="10">SUMIF(BM$3:BM$52,$A74,BW$3:BW$52)</f>
        <v>5</v>
      </c>
      <c r="F74" s="7">
        <f t="shared" si="10"/>
        <v>5</v>
      </c>
      <c r="R74" s="11">
        <v>71</v>
      </c>
      <c r="S74" s="12"/>
      <c r="T74" s="13"/>
      <c r="U74" s="13"/>
      <c r="W74" s="11">
        <v>71</v>
      </c>
      <c r="X74" s="12"/>
      <c r="Y74" s="13"/>
      <c r="Z74" s="13"/>
      <c r="AB74" s="11">
        <v>71</v>
      </c>
      <c r="AC74" s="12"/>
      <c r="AD74" s="12"/>
      <c r="AE74" s="12"/>
      <c r="AG74" s="11">
        <v>71</v>
      </c>
      <c r="AH74" s="12"/>
      <c r="AI74" s="12"/>
      <c r="AJ74" s="12"/>
      <c r="AL74" s="11">
        <v>71</v>
      </c>
      <c r="AM74" s="12"/>
      <c r="AN74" s="12"/>
      <c r="AO74" s="12"/>
      <c r="AQ74" s="11">
        <v>71</v>
      </c>
      <c r="AR74" s="13"/>
      <c r="AS74" s="13"/>
      <c r="AT74" s="11">
        <v>71</v>
      </c>
      <c r="AU74" s="13"/>
      <c r="AW74" s="11">
        <v>71</v>
      </c>
      <c r="AX74" s="12"/>
      <c r="AY74" s="12"/>
      <c r="AZ74" s="12"/>
      <c r="BA74" s="12"/>
      <c r="BB74" s="12"/>
      <c r="BC74" s="12"/>
      <c r="BD74" s="12"/>
      <c r="BE74" s="12"/>
      <c r="BF74" s="24"/>
      <c r="BG74" s="29"/>
      <c r="BH74" s="12"/>
      <c r="BI74" s="12"/>
      <c r="BK74" s="11">
        <v>71</v>
      </c>
      <c r="BL74" s="12"/>
      <c r="BM74" s="13"/>
      <c r="BN74" s="13"/>
      <c r="BP74" s="11">
        <v>71</v>
      </c>
      <c r="BQ74" s="12"/>
      <c r="BR74" s="13"/>
      <c r="BS74" s="13"/>
      <c r="BU74" s="11">
        <v>71</v>
      </c>
      <c r="BV74" s="12"/>
      <c r="BW74" s="12"/>
      <c r="BX74" s="12"/>
      <c r="BZ74" s="11">
        <v>71</v>
      </c>
      <c r="CA74" s="12"/>
      <c r="CC74" s="11">
        <v>71</v>
      </c>
      <c r="CD74" s="12"/>
    </row>
    <row r="75" spans="1:82">
      <c r="A75" s="20">
        <v>1</v>
      </c>
      <c r="B75" s="20">
        <v>2</v>
      </c>
      <c r="C75" s="5">
        <v>1</v>
      </c>
      <c r="D75" s="6">
        <f t="shared" si="9"/>
        <v>16218</v>
      </c>
      <c r="E75" s="128">
        <f t="shared" si="10"/>
        <v>5</v>
      </c>
      <c r="F75" s="7">
        <f t="shared" si="10"/>
        <v>5</v>
      </c>
      <c r="R75" s="11">
        <v>72</v>
      </c>
      <c r="S75" s="12"/>
      <c r="T75" s="13"/>
      <c r="U75" s="13"/>
      <c r="W75" s="11">
        <v>72</v>
      </c>
      <c r="X75" s="12"/>
      <c r="Y75" s="13"/>
      <c r="Z75" s="13"/>
      <c r="AB75" s="11">
        <v>72</v>
      </c>
      <c r="AC75" s="12"/>
      <c r="AD75" s="12"/>
      <c r="AE75" s="12"/>
      <c r="AG75" s="11">
        <v>72</v>
      </c>
      <c r="AH75" s="12"/>
      <c r="AI75" s="12"/>
      <c r="AJ75" s="12"/>
      <c r="AL75" s="11">
        <v>72</v>
      </c>
      <c r="AM75" s="12"/>
      <c r="AN75" s="12"/>
      <c r="AO75" s="12"/>
      <c r="AQ75" s="11">
        <v>72</v>
      </c>
      <c r="AR75" s="13"/>
      <c r="AS75" s="13"/>
      <c r="AT75" s="11">
        <v>72</v>
      </c>
      <c r="AU75" s="13"/>
      <c r="AW75" s="11">
        <v>72</v>
      </c>
      <c r="AX75" s="12"/>
      <c r="AY75" s="12"/>
      <c r="AZ75" s="12"/>
      <c r="BA75" s="12"/>
      <c r="BB75" s="12"/>
      <c r="BC75" s="12"/>
      <c r="BD75" s="12"/>
      <c r="BE75" s="12"/>
      <c r="BF75" s="24"/>
      <c r="BG75" s="29"/>
      <c r="BH75" s="12"/>
      <c r="BI75" s="12"/>
      <c r="BK75" s="11">
        <v>72</v>
      </c>
      <c r="BL75" s="12"/>
      <c r="BM75" s="13"/>
      <c r="BN75" s="13"/>
      <c r="BP75" s="11">
        <v>72</v>
      </c>
      <c r="BQ75" s="12"/>
      <c r="BR75" s="13"/>
      <c r="BS75" s="13"/>
      <c r="BU75" s="11">
        <v>72</v>
      </c>
      <c r="BV75" s="12"/>
      <c r="BW75" s="12"/>
      <c r="BX75" s="12"/>
      <c r="BZ75" s="11">
        <v>72</v>
      </c>
      <c r="CA75" s="12"/>
      <c r="CC75" s="11">
        <v>72</v>
      </c>
      <c r="CD75" s="12"/>
    </row>
    <row r="76" spans="1:82">
      <c r="A76" s="21">
        <v>5</v>
      </c>
      <c r="B76" s="21">
        <v>3</v>
      </c>
      <c r="C76" s="23">
        <v>5</v>
      </c>
      <c r="D76" s="6">
        <f t="shared" si="9"/>
        <v>2232</v>
      </c>
      <c r="E76" s="128">
        <f t="shared" si="10"/>
        <v>5</v>
      </c>
      <c r="F76" s="7">
        <f t="shared" si="10"/>
        <v>5</v>
      </c>
      <c r="R76" s="11">
        <v>73</v>
      </c>
      <c r="S76" s="12"/>
      <c r="T76" s="13"/>
      <c r="U76" s="13"/>
      <c r="W76" s="11">
        <v>73</v>
      </c>
      <c r="X76" s="12"/>
      <c r="Y76" s="13"/>
      <c r="Z76" s="13"/>
      <c r="AB76" s="11">
        <v>73</v>
      </c>
      <c r="AC76" s="12"/>
      <c r="AD76" s="12"/>
      <c r="AE76" s="12"/>
      <c r="AG76" s="11">
        <v>73</v>
      </c>
      <c r="AH76" s="12"/>
      <c r="AI76" s="12"/>
      <c r="AJ76" s="12"/>
      <c r="AL76" s="11">
        <v>73</v>
      </c>
      <c r="AM76" s="12"/>
      <c r="AN76" s="12"/>
      <c r="AO76" s="12"/>
      <c r="AQ76" s="11">
        <v>73</v>
      </c>
      <c r="AR76" s="13"/>
      <c r="AS76" s="13"/>
      <c r="AT76" s="11">
        <v>73</v>
      </c>
      <c r="AU76" s="13"/>
      <c r="AW76" s="11">
        <v>73</v>
      </c>
      <c r="AX76" s="12"/>
      <c r="AY76" s="12"/>
      <c r="AZ76" s="12"/>
      <c r="BA76" s="12"/>
      <c r="BB76" s="12"/>
      <c r="BC76" s="12"/>
      <c r="BD76" s="12"/>
      <c r="BE76" s="12"/>
      <c r="BF76" s="24"/>
      <c r="BG76" s="29"/>
      <c r="BH76" s="12"/>
      <c r="BI76" s="12"/>
      <c r="BK76" s="11">
        <v>73</v>
      </c>
      <c r="BL76" s="12"/>
      <c r="BM76" s="13"/>
      <c r="BN76" s="13"/>
      <c r="BP76" s="11">
        <v>73</v>
      </c>
      <c r="BQ76" s="12"/>
      <c r="BR76" s="13"/>
      <c r="BS76" s="13"/>
      <c r="BU76" s="11">
        <v>73</v>
      </c>
      <c r="BV76" s="12"/>
      <c r="BW76" s="12"/>
      <c r="BX76" s="12"/>
      <c r="BZ76" s="11">
        <v>73</v>
      </c>
      <c r="CA76" s="12"/>
      <c r="CC76" s="11">
        <v>73</v>
      </c>
      <c r="CD76" s="12"/>
    </row>
    <row r="77" spans="1:82">
      <c r="A77" s="21">
        <v>10</v>
      </c>
      <c r="B77" s="21">
        <v>4</v>
      </c>
      <c r="C77" s="23">
        <v>10</v>
      </c>
      <c r="D77" s="6">
        <f t="shared" si="9"/>
        <v>18</v>
      </c>
      <c r="E77" s="101">
        <f t="shared" si="10"/>
        <v>0</v>
      </c>
      <c r="F77" s="38">
        <f t="shared" si="10"/>
        <v>60</v>
      </c>
      <c r="R77" s="11">
        <v>74</v>
      </c>
      <c r="S77" s="12"/>
      <c r="T77" s="13"/>
      <c r="U77" s="13"/>
      <c r="W77" s="11">
        <v>74</v>
      </c>
      <c r="X77" s="12"/>
      <c r="Y77" s="13"/>
      <c r="Z77" s="13"/>
      <c r="AB77" s="11">
        <v>74</v>
      </c>
      <c r="AC77" s="12"/>
      <c r="AD77" s="12"/>
      <c r="AE77" s="12"/>
      <c r="AG77" s="11">
        <v>74</v>
      </c>
      <c r="AH77" s="12"/>
      <c r="AI77" s="12"/>
      <c r="AJ77" s="12"/>
      <c r="AL77" s="11">
        <v>74</v>
      </c>
      <c r="AM77" s="12"/>
      <c r="AN77" s="12"/>
      <c r="AO77" s="12"/>
      <c r="AQ77" s="11">
        <v>74</v>
      </c>
      <c r="AR77" s="13"/>
      <c r="AS77" s="13"/>
      <c r="AT77" s="11">
        <v>74</v>
      </c>
      <c r="AU77" s="13"/>
      <c r="AW77" s="11">
        <v>74</v>
      </c>
      <c r="AX77" s="12"/>
      <c r="AY77" s="12"/>
      <c r="AZ77" s="12"/>
      <c r="BA77" s="12"/>
      <c r="BB77" s="12"/>
      <c r="BC77" s="12"/>
      <c r="BD77" s="12"/>
      <c r="BE77" s="12"/>
      <c r="BF77" s="24"/>
      <c r="BG77" s="29"/>
      <c r="BH77" s="12"/>
      <c r="BI77" s="12"/>
      <c r="BK77" s="11">
        <v>74</v>
      </c>
      <c r="BL77" s="12"/>
      <c r="BM77" s="13"/>
      <c r="BN77" s="13"/>
      <c r="BP77" s="11">
        <v>74</v>
      </c>
      <c r="BQ77" s="12"/>
      <c r="BR77" s="13"/>
      <c r="BS77" s="13"/>
      <c r="BU77" s="11">
        <v>74</v>
      </c>
      <c r="BV77" s="12"/>
      <c r="BW77" s="12"/>
      <c r="BX77" s="12"/>
      <c r="BZ77" s="11">
        <v>74</v>
      </c>
      <c r="CA77" s="12"/>
      <c r="CC77" s="11">
        <v>74</v>
      </c>
      <c r="CD77" s="12"/>
    </row>
    <row r="78" spans="1:82">
      <c r="A78" s="20" t="s">
        <v>20</v>
      </c>
      <c r="B78" s="20">
        <v>5</v>
      </c>
      <c r="C78" s="23" t="s">
        <v>29</v>
      </c>
      <c r="D78" s="37">
        <f t="shared" si="9"/>
        <v>0</v>
      </c>
      <c r="E78" s="101">
        <f t="shared" si="10"/>
        <v>0</v>
      </c>
      <c r="F78" s="38">
        <f t="shared" si="10"/>
        <v>50</v>
      </c>
      <c r="R78" s="11">
        <v>75</v>
      </c>
      <c r="S78" s="12"/>
      <c r="T78" s="13"/>
      <c r="U78" s="13"/>
      <c r="W78" s="11">
        <v>75</v>
      </c>
      <c r="X78" s="12"/>
      <c r="Y78" s="13"/>
      <c r="Z78" s="13"/>
      <c r="AB78" s="11">
        <v>75</v>
      </c>
      <c r="AC78" s="12"/>
      <c r="AD78" s="12"/>
      <c r="AE78" s="12"/>
      <c r="AG78" s="11">
        <v>75</v>
      </c>
      <c r="AH78" s="12"/>
      <c r="AI78" s="12"/>
      <c r="AJ78" s="12"/>
      <c r="AL78" s="11">
        <v>75</v>
      </c>
      <c r="AM78" s="12"/>
      <c r="AN78" s="12"/>
      <c r="AO78" s="12"/>
      <c r="AQ78" s="11">
        <v>75</v>
      </c>
      <c r="AR78" s="13"/>
      <c r="AS78" s="13"/>
      <c r="AT78" s="11">
        <v>75</v>
      </c>
      <c r="AU78" s="13"/>
      <c r="AW78" s="11">
        <v>75</v>
      </c>
      <c r="AX78" s="12"/>
      <c r="AY78" s="12"/>
      <c r="AZ78" s="12"/>
      <c r="BA78" s="12"/>
      <c r="BB78" s="12"/>
      <c r="BC78" s="12"/>
      <c r="BD78" s="12"/>
      <c r="BE78" s="12"/>
      <c r="BF78" s="24"/>
      <c r="BG78" s="29"/>
      <c r="BH78" s="12"/>
      <c r="BI78" s="12"/>
      <c r="BK78" s="11">
        <v>75</v>
      </c>
      <c r="BL78" s="12"/>
      <c r="BM78" s="13"/>
      <c r="BN78" s="13"/>
      <c r="BP78" s="11">
        <v>75</v>
      </c>
      <c r="BQ78" s="12"/>
      <c r="BR78" s="13"/>
      <c r="BS78" s="13"/>
      <c r="BU78" s="11">
        <v>75</v>
      </c>
      <c r="BV78" s="12"/>
      <c r="BW78" s="12"/>
      <c r="BX78" s="12"/>
      <c r="BZ78" s="11">
        <v>75</v>
      </c>
      <c r="CA78" s="12"/>
      <c r="CC78" s="11">
        <v>75</v>
      </c>
      <c r="CD78" s="12"/>
    </row>
    <row r="79" spans="1:82">
      <c r="A79" s="21" t="s">
        <v>21</v>
      </c>
      <c r="B79" s="21">
        <v>6</v>
      </c>
      <c r="C79" s="23" t="s">
        <v>26</v>
      </c>
      <c r="D79" s="37">
        <f t="shared" si="9"/>
        <v>0</v>
      </c>
      <c r="E79" s="59">
        <f t="shared" si="10"/>
        <v>0</v>
      </c>
      <c r="F79" s="38">
        <f t="shared" si="10"/>
        <v>0</v>
      </c>
      <c r="R79" s="11">
        <v>76</v>
      </c>
      <c r="S79" s="12"/>
      <c r="T79" s="13"/>
      <c r="U79" s="13"/>
      <c r="W79" s="11">
        <v>76</v>
      </c>
      <c r="X79" s="12"/>
      <c r="Y79" s="13"/>
      <c r="Z79" s="13"/>
      <c r="AB79" s="11">
        <v>76</v>
      </c>
      <c r="AC79" s="12"/>
      <c r="AD79" s="12"/>
      <c r="AE79" s="12"/>
      <c r="AG79" s="11">
        <v>76</v>
      </c>
      <c r="AH79" s="12"/>
      <c r="AI79" s="12"/>
      <c r="AJ79" s="12"/>
      <c r="AL79" s="11">
        <v>76</v>
      </c>
      <c r="AM79" s="12"/>
      <c r="AN79" s="12"/>
      <c r="AO79" s="12"/>
      <c r="AQ79" s="11">
        <v>76</v>
      </c>
      <c r="AR79" s="13"/>
      <c r="AS79" s="13"/>
      <c r="AT79" s="11">
        <v>76</v>
      </c>
      <c r="AU79" s="13"/>
      <c r="AW79" s="11">
        <v>76</v>
      </c>
      <c r="AX79" s="12"/>
      <c r="AY79" s="12"/>
      <c r="AZ79" s="12"/>
      <c r="BA79" s="12"/>
      <c r="BB79" s="12"/>
      <c r="BC79" s="12"/>
      <c r="BD79" s="12"/>
      <c r="BE79" s="12"/>
      <c r="BF79" s="24"/>
      <c r="BG79" s="29"/>
      <c r="BH79" s="12"/>
      <c r="BI79" s="12"/>
      <c r="BK79" s="11">
        <v>76</v>
      </c>
      <c r="BL79" s="12"/>
      <c r="BM79" s="13"/>
      <c r="BN79" s="13"/>
      <c r="BP79" s="11">
        <v>76</v>
      </c>
      <c r="BQ79" s="12"/>
      <c r="BR79" s="13"/>
      <c r="BS79" s="13"/>
      <c r="BU79" s="11">
        <v>76</v>
      </c>
      <c r="BV79" s="12"/>
      <c r="BW79" s="12"/>
      <c r="BX79" s="12"/>
      <c r="BZ79" s="11">
        <v>76</v>
      </c>
      <c r="CA79" s="12"/>
      <c r="CC79" s="11">
        <v>76</v>
      </c>
      <c r="CD79" s="12"/>
    </row>
    <row r="80" spans="1:82">
      <c r="A80" s="20" t="s">
        <v>22</v>
      </c>
      <c r="B80" s="20">
        <v>7</v>
      </c>
      <c r="C80" s="5" t="s">
        <v>27</v>
      </c>
      <c r="D80" s="37">
        <f t="shared" si="9"/>
        <v>0</v>
      </c>
      <c r="E80" s="59">
        <f t="shared" si="10"/>
        <v>0</v>
      </c>
      <c r="F80" s="38">
        <f t="shared" si="10"/>
        <v>0</v>
      </c>
      <c r="R80" s="11">
        <v>77</v>
      </c>
      <c r="S80" s="12"/>
      <c r="T80" s="13"/>
      <c r="U80" s="13"/>
      <c r="W80" s="11">
        <v>77</v>
      </c>
      <c r="X80" s="12"/>
      <c r="Y80" s="13"/>
      <c r="Z80" s="13"/>
      <c r="AB80" s="11">
        <v>77</v>
      </c>
      <c r="AC80" s="12"/>
      <c r="AD80" s="12"/>
      <c r="AE80" s="12"/>
      <c r="AG80" s="11">
        <v>77</v>
      </c>
      <c r="AH80" s="12"/>
      <c r="AI80" s="12"/>
      <c r="AJ80" s="12"/>
      <c r="AL80" s="11">
        <v>77</v>
      </c>
      <c r="AM80" s="12"/>
      <c r="AN80" s="12"/>
      <c r="AO80" s="12"/>
      <c r="AQ80" s="11">
        <v>77</v>
      </c>
      <c r="AR80" s="13"/>
      <c r="AS80" s="13"/>
      <c r="AT80" s="11">
        <v>77</v>
      </c>
      <c r="AU80" s="13"/>
      <c r="AW80" s="11">
        <v>77</v>
      </c>
      <c r="AX80" s="12"/>
      <c r="AY80" s="12"/>
      <c r="AZ80" s="12"/>
      <c r="BA80" s="12"/>
      <c r="BB80" s="12"/>
      <c r="BC80" s="12"/>
      <c r="BD80" s="12"/>
      <c r="BE80" s="12"/>
      <c r="BF80" s="24"/>
      <c r="BG80" s="29"/>
      <c r="BH80" s="12"/>
      <c r="BI80" s="12"/>
      <c r="BK80" s="11">
        <v>77</v>
      </c>
      <c r="BL80" s="12"/>
      <c r="BM80" s="13"/>
      <c r="BN80" s="13"/>
      <c r="BP80" s="11">
        <v>77</v>
      </c>
      <c r="BQ80" s="12"/>
      <c r="BR80" s="13"/>
      <c r="BS80" s="13"/>
      <c r="BU80" s="11">
        <v>77</v>
      </c>
      <c r="BV80" s="12"/>
      <c r="BW80" s="12"/>
      <c r="BX80" s="12"/>
      <c r="BZ80" s="11">
        <v>77</v>
      </c>
      <c r="CA80" s="12"/>
      <c r="CC80" s="11">
        <v>77</v>
      </c>
      <c r="CD80" s="12"/>
    </row>
    <row r="81" spans="1:82">
      <c r="A81" s="20" t="s">
        <v>23</v>
      </c>
      <c r="B81" s="20">
        <v>8</v>
      </c>
      <c r="C81" s="5" t="s">
        <v>28</v>
      </c>
      <c r="D81" s="37">
        <f t="shared" si="9"/>
        <v>0</v>
      </c>
      <c r="E81" s="59">
        <f t="shared" si="10"/>
        <v>0</v>
      </c>
      <c r="F81" s="38">
        <f t="shared" si="10"/>
        <v>0</v>
      </c>
      <c r="R81" s="11">
        <v>78</v>
      </c>
      <c r="S81" s="12"/>
      <c r="T81" s="13"/>
      <c r="U81" s="13"/>
      <c r="W81" s="11">
        <v>78</v>
      </c>
      <c r="X81" s="12"/>
      <c r="Y81" s="13"/>
      <c r="Z81" s="13"/>
      <c r="AB81" s="11">
        <v>78</v>
      </c>
      <c r="AC81" s="12"/>
      <c r="AD81" s="12"/>
      <c r="AE81" s="12"/>
      <c r="AG81" s="11">
        <v>78</v>
      </c>
      <c r="AH81" s="12"/>
      <c r="AI81" s="12"/>
      <c r="AJ81" s="12"/>
      <c r="AL81" s="11">
        <v>78</v>
      </c>
      <c r="AM81" s="12"/>
      <c r="AN81" s="12"/>
      <c r="AO81" s="12"/>
      <c r="AQ81" s="11">
        <v>78</v>
      </c>
      <c r="AR81" s="13"/>
      <c r="AS81" s="13"/>
      <c r="AT81" s="11">
        <v>78</v>
      </c>
      <c r="AU81" s="13"/>
      <c r="AW81" s="11">
        <v>78</v>
      </c>
      <c r="AX81" s="12"/>
      <c r="AY81" s="12"/>
      <c r="AZ81" s="12"/>
      <c r="BA81" s="12"/>
      <c r="BB81" s="12"/>
      <c r="BC81" s="12"/>
      <c r="BD81" s="12"/>
      <c r="BE81" s="12"/>
      <c r="BF81" s="24"/>
      <c r="BG81" s="29"/>
      <c r="BH81" s="12"/>
      <c r="BI81" s="12"/>
      <c r="BK81" s="11">
        <v>78</v>
      </c>
      <c r="BL81" s="12"/>
      <c r="BM81" s="13"/>
      <c r="BN81" s="13"/>
      <c r="BP81" s="11">
        <v>78</v>
      </c>
      <c r="BQ81" s="12"/>
      <c r="BR81" s="13"/>
      <c r="BS81" s="13"/>
      <c r="BU81" s="11">
        <v>78</v>
      </c>
      <c r="BV81" s="12"/>
      <c r="BW81" s="12"/>
      <c r="BX81" s="12"/>
      <c r="BZ81" s="11">
        <v>78</v>
      </c>
      <c r="CA81" s="12"/>
      <c r="CC81" s="11">
        <v>78</v>
      </c>
      <c r="CD81" s="12"/>
    </row>
    <row r="82" spans="1:82">
      <c r="A82" s="20" t="s">
        <v>24</v>
      </c>
      <c r="B82" s="20">
        <v>9</v>
      </c>
      <c r="C82" s="5" t="s">
        <v>16</v>
      </c>
      <c r="D82" s="37">
        <f t="shared" si="9"/>
        <v>0</v>
      </c>
      <c r="E82" s="59">
        <f t="shared" si="10"/>
        <v>0</v>
      </c>
      <c r="F82" s="38">
        <f t="shared" si="10"/>
        <v>0</v>
      </c>
      <c r="R82" s="11">
        <v>79</v>
      </c>
      <c r="S82" s="12"/>
      <c r="T82" s="13"/>
      <c r="U82" s="13"/>
      <c r="W82" s="11">
        <v>79</v>
      </c>
      <c r="X82" s="12"/>
      <c r="Y82" s="13"/>
      <c r="Z82" s="13"/>
      <c r="AB82" s="11">
        <v>79</v>
      </c>
      <c r="AC82" s="12"/>
      <c r="AD82" s="12"/>
      <c r="AE82" s="12"/>
      <c r="AG82" s="11">
        <v>79</v>
      </c>
      <c r="AH82" s="12"/>
      <c r="AI82" s="12"/>
      <c r="AJ82" s="12"/>
      <c r="AL82" s="11">
        <v>79</v>
      </c>
      <c r="AM82" s="12"/>
      <c r="AN82" s="12"/>
      <c r="AO82" s="12"/>
      <c r="AQ82" s="11">
        <v>79</v>
      </c>
      <c r="AR82" s="13"/>
      <c r="AS82" s="13"/>
      <c r="AT82" s="11">
        <v>79</v>
      </c>
      <c r="AU82" s="13"/>
      <c r="AW82" s="11">
        <v>79</v>
      </c>
      <c r="AX82" s="12"/>
      <c r="AY82" s="12"/>
      <c r="AZ82" s="12"/>
      <c r="BA82" s="12"/>
      <c r="BB82" s="12"/>
      <c r="BC82" s="12"/>
      <c r="BD82" s="12"/>
      <c r="BE82" s="12"/>
      <c r="BF82" s="24"/>
      <c r="BG82" s="29"/>
      <c r="BH82" s="12"/>
      <c r="BI82" s="12"/>
      <c r="BK82" s="11">
        <v>79</v>
      </c>
      <c r="BL82" s="12"/>
      <c r="BM82" s="13"/>
      <c r="BN82" s="13"/>
      <c r="BP82" s="11">
        <v>79</v>
      </c>
      <c r="BQ82" s="12"/>
      <c r="BR82" s="13"/>
      <c r="BS82" s="13"/>
      <c r="BU82" s="11">
        <v>79</v>
      </c>
      <c r="BV82" s="12"/>
      <c r="BW82" s="12"/>
      <c r="BX82" s="12"/>
      <c r="BZ82" s="11">
        <v>79</v>
      </c>
      <c r="CA82" s="12"/>
      <c r="CC82" s="11">
        <v>79</v>
      </c>
      <c r="CD82" s="12"/>
    </row>
    <row r="83" spans="1:82">
      <c r="A83" s="21" t="s">
        <v>35</v>
      </c>
      <c r="B83" s="21">
        <v>10</v>
      </c>
      <c r="C83" s="5" t="s">
        <v>37</v>
      </c>
      <c r="D83" s="37">
        <f t="shared" si="9"/>
        <v>0</v>
      </c>
      <c r="E83" s="59">
        <f t="shared" si="10"/>
        <v>0</v>
      </c>
      <c r="F83" s="38">
        <f t="shared" si="10"/>
        <v>0</v>
      </c>
      <c r="R83" s="11">
        <v>80</v>
      </c>
      <c r="S83" s="12"/>
      <c r="T83" s="13"/>
      <c r="U83" s="13"/>
      <c r="W83" s="11">
        <v>80</v>
      </c>
      <c r="X83" s="12"/>
      <c r="Y83" s="13"/>
      <c r="Z83" s="13"/>
      <c r="AB83" s="11">
        <v>80</v>
      </c>
      <c r="AC83" s="12"/>
      <c r="AD83" s="12"/>
      <c r="AE83" s="12"/>
      <c r="AG83" s="11">
        <v>80</v>
      </c>
      <c r="AH83" s="12"/>
      <c r="AI83" s="12"/>
      <c r="AJ83" s="12"/>
      <c r="AL83" s="11">
        <v>80</v>
      </c>
      <c r="AM83" s="12"/>
      <c r="AN83" s="12"/>
      <c r="AO83" s="12"/>
      <c r="AQ83" s="11">
        <v>80</v>
      </c>
      <c r="AR83" s="13"/>
      <c r="AS83" s="13"/>
      <c r="AT83" s="11">
        <v>80</v>
      </c>
      <c r="AU83" s="13"/>
      <c r="AW83" s="11">
        <v>80</v>
      </c>
      <c r="AX83" s="12"/>
      <c r="AY83" s="12"/>
      <c r="AZ83" s="12"/>
      <c r="BA83" s="12"/>
      <c r="BB83" s="12"/>
      <c r="BC83" s="12"/>
      <c r="BD83" s="12"/>
      <c r="BE83" s="12"/>
      <c r="BF83" s="24"/>
      <c r="BG83" s="29"/>
      <c r="BH83" s="12"/>
      <c r="BI83" s="12"/>
      <c r="BK83" s="11">
        <v>80</v>
      </c>
      <c r="BL83" s="12"/>
      <c r="BM83" s="13"/>
      <c r="BN83" s="13"/>
      <c r="BP83" s="11">
        <v>80</v>
      </c>
      <c r="BQ83" s="12"/>
      <c r="BR83" s="13"/>
      <c r="BS83" s="13"/>
      <c r="BU83" s="11">
        <v>80</v>
      </c>
      <c r="BV83" s="12"/>
      <c r="BW83" s="12"/>
      <c r="BX83" s="12"/>
      <c r="BZ83" s="11">
        <v>80</v>
      </c>
      <c r="CA83" s="12"/>
      <c r="CC83" s="11">
        <v>80</v>
      </c>
      <c r="CD83" s="12"/>
    </row>
    <row r="84" spans="1:82">
      <c r="A84" s="22" t="s">
        <v>39</v>
      </c>
      <c r="B84" s="22">
        <v>11</v>
      </c>
      <c r="C84" s="17" t="s">
        <v>38</v>
      </c>
      <c r="D84" s="60">
        <f t="shared" si="9"/>
        <v>0</v>
      </c>
      <c r="E84" s="39">
        <f t="shared" si="10"/>
        <v>0</v>
      </c>
      <c r="F84" s="40">
        <f t="shared" si="10"/>
        <v>0</v>
      </c>
      <c r="R84" s="11">
        <v>81</v>
      </c>
      <c r="S84" s="12"/>
      <c r="T84" s="13"/>
      <c r="U84" s="13"/>
      <c r="W84" s="11">
        <v>81</v>
      </c>
      <c r="X84" s="12"/>
      <c r="Y84" s="13"/>
      <c r="Z84" s="13"/>
      <c r="AB84" s="11">
        <v>81</v>
      </c>
      <c r="AC84" s="12"/>
      <c r="AD84" s="12"/>
      <c r="AE84" s="12"/>
      <c r="AG84" s="11">
        <v>81</v>
      </c>
      <c r="AH84" s="12"/>
      <c r="AI84" s="12"/>
      <c r="AJ84" s="12"/>
      <c r="AL84" s="11">
        <v>81</v>
      </c>
      <c r="AM84" s="12"/>
      <c r="AN84" s="12"/>
      <c r="AO84" s="12"/>
      <c r="AQ84" s="11">
        <v>81</v>
      </c>
      <c r="AR84" s="13"/>
      <c r="AS84" s="13"/>
      <c r="AT84" s="11">
        <v>81</v>
      </c>
      <c r="AU84" s="13"/>
      <c r="AW84" s="11">
        <v>81</v>
      </c>
      <c r="AX84" s="12"/>
      <c r="AY84" s="12"/>
      <c r="AZ84" s="12"/>
      <c r="BA84" s="12"/>
      <c r="BB84" s="12"/>
      <c r="BC84" s="12"/>
      <c r="BD84" s="12"/>
      <c r="BE84" s="12"/>
      <c r="BF84" s="24"/>
      <c r="BG84" s="29"/>
      <c r="BH84" s="12"/>
      <c r="BI84" s="12"/>
      <c r="BK84" s="11">
        <v>81</v>
      </c>
      <c r="BL84" s="12"/>
      <c r="BM84" s="13"/>
      <c r="BN84" s="13"/>
      <c r="BP84" s="11">
        <v>81</v>
      </c>
      <c r="BQ84" s="12"/>
      <c r="BR84" s="13"/>
      <c r="BS84" s="13"/>
      <c r="BU84" s="11">
        <v>81</v>
      </c>
      <c r="BV84" s="12"/>
      <c r="BW84" s="12"/>
      <c r="BX84" s="12"/>
      <c r="BZ84" s="11">
        <v>81</v>
      </c>
      <c r="CA84" s="12"/>
      <c r="CC84" s="11">
        <v>81</v>
      </c>
      <c r="CD84" s="12"/>
    </row>
    <row r="85" spans="1:82">
      <c r="R85" s="11">
        <v>82</v>
      </c>
      <c r="S85" s="12"/>
      <c r="T85" s="13"/>
      <c r="U85" s="13"/>
      <c r="W85" s="11">
        <v>82</v>
      </c>
      <c r="X85" s="12"/>
      <c r="Y85" s="13"/>
      <c r="Z85" s="13"/>
      <c r="AB85" s="11">
        <v>82</v>
      </c>
      <c r="AC85" s="12"/>
      <c r="AD85" s="12"/>
      <c r="AE85" s="12"/>
      <c r="AG85" s="11">
        <v>82</v>
      </c>
      <c r="AH85" s="12"/>
      <c r="AI85" s="12"/>
      <c r="AJ85" s="12"/>
      <c r="AL85" s="11">
        <v>82</v>
      </c>
      <c r="AM85" s="12"/>
      <c r="AN85" s="12"/>
      <c r="AO85" s="12"/>
      <c r="AQ85" s="11">
        <v>82</v>
      </c>
      <c r="AR85" s="13"/>
      <c r="AS85" s="13"/>
      <c r="AT85" s="11">
        <v>82</v>
      </c>
      <c r="AU85" s="13"/>
      <c r="AW85" s="11">
        <v>82</v>
      </c>
      <c r="AX85" s="12"/>
      <c r="AY85" s="12"/>
      <c r="AZ85" s="12"/>
      <c r="BA85" s="12"/>
      <c r="BB85" s="12"/>
      <c r="BC85" s="12"/>
      <c r="BD85" s="12"/>
      <c r="BE85" s="12"/>
      <c r="BF85" s="24"/>
      <c r="BG85" s="29"/>
      <c r="BH85" s="12"/>
      <c r="BI85" s="12"/>
      <c r="BK85" s="11">
        <v>82</v>
      </c>
      <c r="BL85" s="12"/>
      <c r="BM85" s="13"/>
      <c r="BN85" s="13"/>
      <c r="BP85" s="11">
        <v>82</v>
      </c>
      <c r="BQ85" s="12"/>
      <c r="BR85" s="13"/>
      <c r="BS85" s="13"/>
      <c r="BU85" s="11">
        <v>82</v>
      </c>
      <c r="BV85" s="12"/>
      <c r="BW85" s="12"/>
      <c r="BX85" s="12"/>
      <c r="BZ85" s="11">
        <v>82</v>
      </c>
      <c r="CA85" s="12"/>
      <c r="CC85" s="11">
        <v>82</v>
      </c>
      <c r="CD85" s="12"/>
    </row>
    <row r="86" spans="1:82">
      <c r="R86" s="11">
        <v>83</v>
      </c>
      <c r="S86" s="12"/>
      <c r="T86" s="13"/>
      <c r="U86" s="13"/>
      <c r="W86" s="11">
        <v>83</v>
      </c>
      <c r="X86" s="12"/>
      <c r="Y86" s="13"/>
      <c r="Z86" s="13"/>
      <c r="AB86" s="11">
        <v>83</v>
      </c>
      <c r="AC86" s="12"/>
      <c r="AD86" s="12"/>
      <c r="AE86" s="12"/>
      <c r="AG86" s="11">
        <v>83</v>
      </c>
      <c r="AH86" s="12"/>
      <c r="AI86" s="12"/>
      <c r="AJ86" s="12"/>
      <c r="AL86" s="11">
        <v>83</v>
      </c>
      <c r="AM86" s="12"/>
      <c r="AN86" s="12"/>
      <c r="AO86" s="12"/>
      <c r="AQ86" s="11">
        <v>83</v>
      </c>
      <c r="AR86" s="13"/>
      <c r="AS86" s="13"/>
      <c r="AT86" s="11">
        <v>83</v>
      </c>
      <c r="AU86" s="13"/>
      <c r="AW86" s="11">
        <v>83</v>
      </c>
      <c r="AX86" s="12"/>
      <c r="AY86" s="12"/>
      <c r="AZ86" s="12"/>
      <c r="BA86" s="12"/>
      <c r="BB86" s="12"/>
      <c r="BC86" s="12"/>
      <c r="BD86" s="12"/>
      <c r="BE86" s="12"/>
      <c r="BF86" s="24"/>
      <c r="BG86" s="29"/>
      <c r="BH86" s="12"/>
      <c r="BI86" s="12"/>
      <c r="BK86" s="11">
        <v>83</v>
      </c>
      <c r="BL86" s="12"/>
      <c r="BM86" s="13"/>
      <c r="BN86" s="13"/>
      <c r="BP86" s="11">
        <v>83</v>
      </c>
      <c r="BQ86" s="12"/>
      <c r="BR86" s="13"/>
      <c r="BS86" s="13"/>
      <c r="BU86" s="11">
        <v>83</v>
      </c>
      <c r="BV86" s="12"/>
      <c r="BW86" s="12"/>
      <c r="BX86" s="12"/>
      <c r="BZ86" s="11">
        <v>83</v>
      </c>
      <c r="CA86" s="12"/>
      <c r="CC86" s="11">
        <v>83</v>
      </c>
      <c r="CD86" s="12"/>
    </row>
    <row r="87" spans="1:82">
      <c r="R87" s="11">
        <v>84</v>
      </c>
      <c r="S87" s="12"/>
      <c r="T87" s="13"/>
      <c r="U87" s="13"/>
      <c r="W87" s="11">
        <v>84</v>
      </c>
      <c r="X87" s="12"/>
      <c r="Y87" s="13"/>
      <c r="Z87" s="13"/>
      <c r="AB87" s="11">
        <v>84</v>
      </c>
      <c r="AC87" s="12"/>
      <c r="AD87" s="12"/>
      <c r="AE87" s="12"/>
      <c r="AG87" s="11">
        <v>84</v>
      </c>
      <c r="AH87" s="12"/>
      <c r="AI87" s="12"/>
      <c r="AJ87" s="12"/>
      <c r="AL87" s="11">
        <v>84</v>
      </c>
      <c r="AM87" s="12"/>
      <c r="AN87" s="12"/>
      <c r="AO87" s="12"/>
      <c r="AQ87" s="11">
        <v>84</v>
      </c>
      <c r="AR87" s="13"/>
      <c r="AS87" s="13"/>
      <c r="AT87" s="11">
        <v>84</v>
      </c>
      <c r="AU87" s="13"/>
      <c r="AW87" s="11">
        <v>84</v>
      </c>
      <c r="AX87" s="12"/>
      <c r="AY87" s="12"/>
      <c r="AZ87" s="12"/>
      <c r="BA87" s="12"/>
      <c r="BB87" s="12"/>
      <c r="BC87" s="12"/>
      <c r="BD87" s="12"/>
      <c r="BE87" s="12"/>
      <c r="BF87" s="24"/>
      <c r="BG87" s="29"/>
      <c r="BH87" s="12"/>
      <c r="BI87" s="12"/>
      <c r="BK87" s="11">
        <v>84</v>
      </c>
      <c r="BL87" s="12"/>
      <c r="BM87" s="13"/>
      <c r="BN87" s="13"/>
      <c r="BP87" s="11">
        <v>84</v>
      </c>
      <c r="BQ87" s="12"/>
      <c r="BR87" s="13"/>
      <c r="BS87" s="13"/>
      <c r="BU87" s="11">
        <v>84</v>
      </c>
      <c r="BV87" s="12"/>
      <c r="BW87" s="12"/>
      <c r="BX87" s="12"/>
      <c r="BZ87" s="11">
        <v>84</v>
      </c>
      <c r="CA87" s="12"/>
      <c r="CC87" s="11">
        <v>84</v>
      </c>
      <c r="CD87" s="12"/>
    </row>
    <row r="88" spans="1:82">
      <c r="R88" s="11">
        <v>85</v>
      </c>
      <c r="S88" s="12"/>
      <c r="T88" s="13"/>
      <c r="U88" s="13"/>
      <c r="W88" s="11">
        <v>85</v>
      </c>
      <c r="X88" s="12"/>
      <c r="Y88" s="13"/>
      <c r="Z88" s="13"/>
      <c r="AB88" s="11">
        <v>85</v>
      </c>
      <c r="AC88" s="12"/>
      <c r="AD88" s="12"/>
      <c r="AE88" s="12"/>
      <c r="AG88" s="11">
        <v>85</v>
      </c>
      <c r="AH88" s="12"/>
      <c r="AI88" s="12"/>
      <c r="AJ88" s="12"/>
      <c r="AL88" s="11">
        <v>85</v>
      </c>
      <c r="AM88" s="12"/>
      <c r="AN88" s="12"/>
      <c r="AO88" s="12"/>
      <c r="AQ88" s="11">
        <v>85</v>
      </c>
      <c r="AR88" s="13"/>
      <c r="AS88" s="13"/>
      <c r="AT88" s="11">
        <v>85</v>
      </c>
      <c r="AU88" s="13"/>
      <c r="AW88" s="11">
        <v>85</v>
      </c>
      <c r="AX88" s="12"/>
      <c r="AY88" s="12"/>
      <c r="AZ88" s="12"/>
      <c r="BA88" s="12"/>
      <c r="BB88" s="12"/>
      <c r="BC88" s="12"/>
      <c r="BD88" s="12"/>
      <c r="BE88" s="12"/>
      <c r="BF88" s="24"/>
      <c r="BG88" s="29"/>
      <c r="BH88" s="12"/>
      <c r="BI88" s="12"/>
      <c r="BK88" s="11">
        <v>85</v>
      </c>
      <c r="BL88" s="12"/>
      <c r="BM88" s="13"/>
      <c r="BN88" s="13"/>
      <c r="BP88" s="11">
        <v>85</v>
      </c>
      <c r="BQ88" s="12"/>
      <c r="BR88" s="13"/>
      <c r="BS88" s="13"/>
      <c r="BU88" s="11">
        <v>85</v>
      </c>
      <c r="BV88" s="12"/>
      <c r="BW88" s="12"/>
      <c r="BX88" s="12"/>
      <c r="BZ88" s="11">
        <v>85</v>
      </c>
      <c r="CA88" s="12"/>
      <c r="CC88" s="11">
        <v>85</v>
      </c>
      <c r="CD88" s="12"/>
    </row>
    <row r="89" spans="1:82">
      <c r="R89" s="11">
        <v>86</v>
      </c>
      <c r="S89" s="12"/>
      <c r="T89" s="13"/>
      <c r="U89" s="13"/>
      <c r="W89" s="11">
        <v>86</v>
      </c>
      <c r="X89" s="12"/>
      <c r="Y89" s="13"/>
      <c r="Z89" s="13"/>
      <c r="AB89" s="11">
        <v>86</v>
      </c>
      <c r="AC89" s="12"/>
      <c r="AD89" s="12"/>
      <c r="AE89" s="12"/>
      <c r="AG89" s="11">
        <v>86</v>
      </c>
      <c r="AH89" s="12"/>
      <c r="AI89" s="12"/>
      <c r="AJ89" s="12"/>
      <c r="AL89" s="11">
        <v>86</v>
      </c>
      <c r="AM89" s="12"/>
      <c r="AN89" s="12"/>
      <c r="AO89" s="12"/>
      <c r="AQ89" s="11">
        <v>86</v>
      </c>
      <c r="AR89" s="13"/>
      <c r="AS89" s="13"/>
      <c r="AT89" s="11">
        <v>86</v>
      </c>
      <c r="AU89" s="13"/>
      <c r="AW89" s="11">
        <v>86</v>
      </c>
      <c r="AX89" s="12"/>
      <c r="AY89" s="12"/>
      <c r="AZ89" s="12"/>
      <c r="BA89" s="12"/>
      <c r="BB89" s="12"/>
      <c r="BC89" s="12"/>
      <c r="BD89" s="12"/>
      <c r="BE89" s="12"/>
      <c r="BF89" s="24"/>
      <c r="BG89" s="29"/>
      <c r="BH89" s="12"/>
      <c r="BI89" s="12"/>
      <c r="BK89" s="11">
        <v>86</v>
      </c>
      <c r="BL89" s="12"/>
      <c r="BM89" s="13"/>
      <c r="BN89" s="13"/>
      <c r="BP89" s="11">
        <v>86</v>
      </c>
      <c r="BQ89" s="12"/>
      <c r="BR89" s="13"/>
      <c r="BS89" s="13"/>
      <c r="BU89" s="11">
        <v>86</v>
      </c>
      <c r="BV89" s="12"/>
      <c r="BW89" s="12"/>
      <c r="BX89" s="12"/>
      <c r="BZ89" s="11">
        <v>86</v>
      </c>
      <c r="CA89" s="12"/>
      <c r="CC89" s="11">
        <v>86</v>
      </c>
      <c r="CD89" s="12"/>
    </row>
    <row r="90" spans="1:82">
      <c r="R90" s="11">
        <v>87</v>
      </c>
      <c r="S90" s="12"/>
      <c r="T90" s="13"/>
      <c r="U90" s="13"/>
      <c r="W90" s="11">
        <v>87</v>
      </c>
      <c r="X90" s="12"/>
      <c r="Y90" s="13"/>
      <c r="Z90" s="13"/>
      <c r="AB90" s="11">
        <v>87</v>
      </c>
      <c r="AC90" s="12"/>
      <c r="AD90" s="12"/>
      <c r="AE90" s="12"/>
      <c r="AG90" s="11">
        <v>87</v>
      </c>
      <c r="AH90" s="12"/>
      <c r="AI90" s="12"/>
      <c r="AJ90" s="12"/>
      <c r="AL90" s="11">
        <v>87</v>
      </c>
      <c r="AM90" s="12"/>
      <c r="AN90" s="12"/>
      <c r="AO90" s="12"/>
      <c r="AQ90" s="11">
        <v>87</v>
      </c>
      <c r="AR90" s="13"/>
      <c r="AS90" s="13"/>
      <c r="AT90" s="11">
        <v>87</v>
      </c>
      <c r="AU90" s="13"/>
      <c r="AW90" s="11">
        <v>87</v>
      </c>
      <c r="AX90" s="12"/>
      <c r="AY90" s="12"/>
      <c r="AZ90" s="12"/>
      <c r="BA90" s="12"/>
      <c r="BB90" s="12"/>
      <c r="BC90" s="12"/>
      <c r="BD90" s="12"/>
      <c r="BE90" s="12"/>
      <c r="BF90" s="24"/>
      <c r="BG90" s="29"/>
      <c r="BH90" s="12"/>
      <c r="BI90" s="12"/>
      <c r="BK90" s="11">
        <v>87</v>
      </c>
      <c r="BL90" s="12"/>
      <c r="BM90" s="13"/>
      <c r="BN90" s="13"/>
      <c r="BP90" s="11">
        <v>87</v>
      </c>
      <c r="BQ90" s="12"/>
      <c r="BR90" s="13"/>
      <c r="BS90" s="13"/>
      <c r="BU90" s="11">
        <v>87</v>
      </c>
      <c r="BV90" s="12"/>
      <c r="BW90" s="12"/>
      <c r="BX90" s="12"/>
      <c r="BZ90" s="11">
        <v>87</v>
      </c>
      <c r="CA90" s="12"/>
      <c r="CC90" s="11">
        <v>87</v>
      </c>
      <c r="CD90" s="12"/>
    </row>
    <row r="91" spans="1:82">
      <c r="R91" s="11">
        <v>88</v>
      </c>
      <c r="S91" s="12"/>
      <c r="T91" s="13"/>
      <c r="U91" s="13"/>
      <c r="W91" s="11">
        <v>88</v>
      </c>
      <c r="X91" s="12"/>
      <c r="Y91" s="13"/>
      <c r="Z91" s="13"/>
      <c r="AB91" s="11">
        <v>88</v>
      </c>
      <c r="AC91" s="12"/>
      <c r="AD91" s="12"/>
      <c r="AE91" s="12"/>
      <c r="AG91" s="11">
        <v>88</v>
      </c>
      <c r="AH91" s="12"/>
      <c r="AI91" s="12"/>
      <c r="AJ91" s="12"/>
      <c r="AL91" s="11">
        <v>88</v>
      </c>
      <c r="AM91" s="12"/>
      <c r="AN91" s="12"/>
      <c r="AO91" s="12"/>
      <c r="AQ91" s="11">
        <v>88</v>
      </c>
      <c r="AR91" s="13"/>
      <c r="AS91" s="13"/>
      <c r="AT91" s="11">
        <v>88</v>
      </c>
      <c r="AU91" s="13"/>
      <c r="AW91" s="11">
        <v>88</v>
      </c>
      <c r="AX91" s="12"/>
      <c r="AY91" s="12"/>
      <c r="AZ91" s="12"/>
      <c r="BA91" s="12"/>
      <c r="BB91" s="12"/>
      <c r="BC91" s="12"/>
      <c r="BD91" s="12"/>
      <c r="BE91" s="12"/>
      <c r="BF91" s="24"/>
      <c r="BG91" s="29"/>
      <c r="BH91" s="12"/>
      <c r="BI91" s="12"/>
      <c r="BK91" s="11">
        <v>88</v>
      </c>
      <c r="BL91" s="12"/>
      <c r="BM91" s="13"/>
      <c r="BN91" s="13"/>
      <c r="BP91" s="11">
        <v>88</v>
      </c>
      <c r="BQ91" s="12"/>
      <c r="BR91" s="13"/>
      <c r="BS91" s="13"/>
      <c r="BU91" s="11">
        <v>88</v>
      </c>
      <c r="BV91" s="12"/>
      <c r="BW91" s="12"/>
      <c r="BX91" s="12"/>
      <c r="BZ91" s="11">
        <v>88</v>
      </c>
      <c r="CA91" s="12"/>
      <c r="CC91" s="11">
        <v>88</v>
      </c>
      <c r="CD91" s="12"/>
    </row>
    <row r="92" spans="1:82">
      <c r="R92" s="11">
        <v>89</v>
      </c>
      <c r="S92" s="12"/>
      <c r="T92" s="13"/>
      <c r="U92" s="13"/>
      <c r="W92" s="11">
        <v>89</v>
      </c>
      <c r="X92" s="12"/>
      <c r="Y92" s="13"/>
      <c r="Z92" s="13"/>
      <c r="AB92" s="11">
        <v>89</v>
      </c>
      <c r="AC92" s="12"/>
      <c r="AD92" s="12"/>
      <c r="AE92" s="12"/>
      <c r="AG92" s="11">
        <v>89</v>
      </c>
      <c r="AH92" s="12"/>
      <c r="AI92" s="12"/>
      <c r="AJ92" s="12"/>
      <c r="AL92" s="11">
        <v>89</v>
      </c>
      <c r="AM92" s="12"/>
      <c r="AN92" s="12"/>
      <c r="AO92" s="12"/>
      <c r="AQ92" s="11">
        <v>89</v>
      </c>
      <c r="AR92" s="13"/>
      <c r="AS92" s="13"/>
      <c r="AT92" s="11">
        <v>89</v>
      </c>
      <c r="AU92" s="13"/>
      <c r="AW92" s="11">
        <v>89</v>
      </c>
      <c r="AX92" s="12"/>
      <c r="AY92" s="12"/>
      <c r="AZ92" s="12"/>
      <c r="BA92" s="12"/>
      <c r="BB92" s="12"/>
      <c r="BC92" s="12"/>
      <c r="BD92" s="12"/>
      <c r="BE92" s="12"/>
      <c r="BF92" s="24"/>
      <c r="BG92" s="29"/>
      <c r="BH92" s="12"/>
      <c r="BI92" s="12"/>
      <c r="BK92" s="11">
        <v>89</v>
      </c>
      <c r="BL92" s="12"/>
      <c r="BM92" s="13"/>
      <c r="BN92" s="13"/>
      <c r="BP92" s="11">
        <v>89</v>
      </c>
      <c r="BQ92" s="12"/>
      <c r="BR92" s="13"/>
      <c r="BS92" s="13"/>
      <c r="BU92" s="11">
        <v>89</v>
      </c>
      <c r="BV92" s="12"/>
      <c r="BW92" s="12"/>
      <c r="BX92" s="12"/>
      <c r="BZ92" s="11">
        <v>89</v>
      </c>
      <c r="CA92" s="12"/>
      <c r="CC92" s="11">
        <v>89</v>
      </c>
      <c r="CD92" s="12"/>
    </row>
    <row r="93" spans="1:82">
      <c r="R93" s="11">
        <v>90</v>
      </c>
      <c r="S93" s="12"/>
      <c r="T93" s="13"/>
      <c r="U93" s="13"/>
      <c r="W93" s="11">
        <v>90</v>
      </c>
      <c r="X93" s="12"/>
      <c r="Y93" s="13"/>
      <c r="Z93" s="13"/>
      <c r="AB93" s="11">
        <v>90</v>
      </c>
      <c r="AC93" s="12"/>
      <c r="AD93" s="12"/>
      <c r="AE93" s="12"/>
      <c r="AG93" s="11">
        <v>90</v>
      </c>
      <c r="AH93" s="12"/>
      <c r="AI93" s="12"/>
      <c r="AJ93" s="12"/>
      <c r="AL93" s="11">
        <v>90</v>
      </c>
      <c r="AM93" s="12"/>
      <c r="AN93" s="12"/>
      <c r="AO93" s="12"/>
      <c r="AQ93" s="11">
        <v>90</v>
      </c>
      <c r="AR93" s="13"/>
      <c r="AS93" s="13"/>
      <c r="AT93" s="11">
        <v>90</v>
      </c>
      <c r="AU93" s="13"/>
      <c r="AW93" s="11">
        <v>90</v>
      </c>
      <c r="AX93" s="12"/>
      <c r="AY93" s="12"/>
      <c r="AZ93" s="12"/>
      <c r="BA93" s="12"/>
      <c r="BB93" s="12"/>
      <c r="BC93" s="12"/>
      <c r="BD93" s="12"/>
      <c r="BE93" s="12"/>
      <c r="BF93" s="24"/>
      <c r="BG93" s="29"/>
      <c r="BH93" s="12"/>
      <c r="BI93" s="12"/>
      <c r="BK93" s="11">
        <v>90</v>
      </c>
      <c r="BL93" s="12"/>
      <c r="BM93" s="13"/>
      <c r="BN93" s="13"/>
      <c r="BP93" s="11">
        <v>90</v>
      </c>
      <c r="BQ93" s="12"/>
      <c r="BR93" s="13"/>
      <c r="BS93" s="13"/>
      <c r="BU93" s="11">
        <v>90</v>
      </c>
      <c r="BV93" s="12"/>
      <c r="BW93" s="12"/>
      <c r="BX93" s="12"/>
      <c r="BZ93" s="11">
        <v>90</v>
      </c>
      <c r="CA93" s="12"/>
      <c r="CC93" s="11">
        <v>90</v>
      </c>
      <c r="CD93" s="12"/>
    </row>
    <row r="94" spans="1:82">
      <c r="R94" s="11">
        <v>91</v>
      </c>
      <c r="S94" s="12"/>
      <c r="T94" s="13"/>
      <c r="U94" s="13"/>
      <c r="W94" s="11">
        <v>91</v>
      </c>
      <c r="X94" s="12"/>
      <c r="Y94" s="13"/>
      <c r="Z94" s="13"/>
      <c r="AB94" s="11">
        <v>91</v>
      </c>
      <c r="AC94" s="12"/>
      <c r="AD94" s="12"/>
      <c r="AE94" s="12"/>
      <c r="AG94" s="11">
        <v>91</v>
      </c>
      <c r="AH94" s="12"/>
      <c r="AI94" s="12"/>
      <c r="AJ94" s="12"/>
      <c r="AL94" s="11">
        <v>91</v>
      </c>
      <c r="AM94" s="12"/>
      <c r="AN94" s="12"/>
      <c r="AO94" s="12"/>
      <c r="AQ94" s="11">
        <v>91</v>
      </c>
      <c r="AR94" s="13"/>
      <c r="AS94" s="13"/>
      <c r="AT94" s="11">
        <v>91</v>
      </c>
      <c r="AU94" s="13"/>
      <c r="AW94" s="11">
        <v>91</v>
      </c>
      <c r="AX94" s="12"/>
      <c r="AY94" s="12"/>
      <c r="AZ94" s="12"/>
      <c r="BA94" s="12"/>
      <c r="BB94" s="12"/>
      <c r="BC94" s="12"/>
      <c r="BD94" s="12"/>
      <c r="BE94" s="12"/>
      <c r="BF94" s="24"/>
      <c r="BG94" s="29"/>
      <c r="BH94" s="12"/>
      <c r="BI94" s="12"/>
      <c r="BK94" s="11">
        <v>91</v>
      </c>
      <c r="BL94" s="12"/>
      <c r="BM94" s="13"/>
      <c r="BN94" s="13"/>
      <c r="BP94" s="11">
        <v>91</v>
      </c>
      <c r="BQ94" s="12"/>
      <c r="BR94" s="13"/>
      <c r="BS94" s="13"/>
      <c r="BU94" s="11">
        <v>91</v>
      </c>
      <c r="BV94" s="12"/>
      <c r="BW94" s="12"/>
      <c r="BX94" s="12"/>
      <c r="BZ94" s="11">
        <v>91</v>
      </c>
      <c r="CA94" s="12"/>
      <c r="CC94" s="11">
        <v>91</v>
      </c>
      <c r="CD94" s="12"/>
    </row>
    <row r="95" spans="1:82">
      <c r="R95" s="11">
        <v>92</v>
      </c>
      <c r="S95" s="12"/>
      <c r="T95" s="13"/>
      <c r="U95" s="13"/>
      <c r="W95" s="11">
        <v>92</v>
      </c>
      <c r="X95" s="12"/>
      <c r="Y95" s="13"/>
      <c r="Z95" s="13"/>
      <c r="AB95" s="11">
        <v>92</v>
      </c>
      <c r="AC95" s="12"/>
      <c r="AD95" s="12"/>
      <c r="AE95" s="12"/>
      <c r="AG95" s="11">
        <v>92</v>
      </c>
      <c r="AH95" s="12"/>
      <c r="AI95" s="12"/>
      <c r="AJ95" s="12"/>
      <c r="AL95" s="11">
        <v>92</v>
      </c>
      <c r="AM95" s="12"/>
      <c r="AN95" s="12"/>
      <c r="AO95" s="12"/>
      <c r="AQ95" s="11">
        <v>92</v>
      </c>
      <c r="AR95" s="13"/>
      <c r="AS95" s="13"/>
      <c r="AT95" s="11">
        <v>92</v>
      </c>
      <c r="AU95" s="13"/>
      <c r="AW95" s="11">
        <v>92</v>
      </c>
      <c r="AX95" s="12"/>
      <c r="AY95" s="12"/>
      <c r="AZ95" s="12"/>
      <c r="BA95" s="12"/>
      <c r="BB95" s="12"/>
      <c r="BC95" s="12"/>
      <c r="BD95" s="12"/>
      <c r="BE95" s="12"/>
      <c r="BF95" s="24"/>
      <c r="BG95" s="29"/>
      <c r="BH95" s="12"/>
      <c r="BI95" s="12"/>
      <c r="BK95" s="11">
        <v>92</v>
      </c>
      <c r="BL95" s="12"/>
      <c r="BM95" s="13"/>
      <c r="BN95" s="13"/>
      <c r="BP95" s="11">
        <v>92</v>
      </c>
      <c r="BQ95" s="12"/>
      <c r="BR95" s="13"/>
      <c r="BS95" s="13"/>
      <c r="BU95" s="11">
        <v>92</v>
      </c>
      <c r="BV95" s="12"/>
      <c r="BW95" s="12"/>
      <c r="BX95" s="12"/>
      <c r="BZ95" s="11">
        <v>92</v>
      </c>
      <c r="CA95" s="12"/>
      <c r="CC95" s="11">
        <v>92</v>
      </c>
      <c r="CD95" s="12"/>
    </row>
    <row r="96" spans="1:82">
      <c r="R96" s="11">
        <v>93</v>
      </c>
      <c r="S96" s="12"/>
      <c r="T96" s="13"/>
      <c r="U96" s="13"/>
      <c r="W96" s="11">
        <v>93</v>
      </c>
      <c r="X96" s="12"/>
      <c r="Y96" s="13"/>
      <c r="Z96" s="13"/>
      <c r="AB96" s="11">
        <v>93</v>
      </c>
      <c r="AC96" s="12"/>
      <c r="AD96" s="12"/>
      <c r="AE96" s="12"/>
      <c r="AG96" s="11">
        <v>93</v>
      </c>
      <c r="AH96" s="12"/>
      <c r="AI96" s="12"/>
      <c r="AJ96" s="12"/>
      <c r="AL96" s="11">
        <v>93</v>
      </c>
      <c r="AM96" s="12"/>
      <c r="AN96" s="12"/>
      <c r="AO96" s="12"/>
      <c r="AQ96" s="11">
        <v>93</v>
      </c>
      <c r="AR96" s="13"/>
      <c r="AS96" s="13"/>
      <c r="AT96" s="11">
        <v>93</v>
      </c>
      <c r="AU96" s="13"/>
      <c r="AW96" s="11">
        <v>93</v>
      </c>
      <c r="AX96" s="12"/>
      <c r="AY96" s="12"/>
      <c r="AZ96" s="12"/>
      <c r="BA96" s="12"/>
      <c r="BB96" s="12"/>
      <c r="BC96" s="12"/>
      <c r="BD96" s="12"/>
      <c r="BE96" s="12"/>
      <c r="BF96" s="24"/>
      <c r="BG96" s="29"/>
      <c r="BH96" s="12"/>
      <c r="BI96" s="12"/>
      <c r="BK96" s="11">
        <v>93</v>
      </c>
      <c r="BL96" s="12"/>
      <c r="BM96" s="13"/>
      <c r="BN96" s="13"/>
      <c r="BP96" s="11">
        <v>93</v>
      </c>
      <c r="BQ96" s="12"/>
      <c r="BR96" s="13"/>
      <c r="BS96" s="13"/>
      <c r="BU96" s="11">
        <v>93</v>
      </c>
      <c r="BV96" s="12"/>
      <c r="BW96" s="12"/>
      <c r="BX96" s="12"/>
      <c r="BZ96" s="11">
        <v>93</v>
      </c>
      <c r="CA96" s="12"/>
      <c r="CC96" s="11">
        <v>93</v>
      </c>
      <c r="CD96" s="12"/>
    </row>
    <row r="97" spans="18:82">
      <c r="R97" s="11">
        <v>94</v>
      </c>
      <c r="S97" s="12"/>
      <c r="T97" s="13"/>
      <c r="U97" s="13"/>
      <c r="W97" s="11">
        <v>94</v>
      </c>
      <c r="X97" s="12"/>
      <c r="Y97" s="13"/>
      <c r="Z97" s="13"/>
      <c r="AB97" s="11">
        <v>94</v>
      </c>
      <c r="AC97" s="12"/>
      <c r="AD97" s="12"/>
      <c r="AE97" s="12"/>
      <c r="AG97" s="11">
        <v>94</v>
      </c>
      <c r="AH97" s="12"/>
      <c r="AI97" s="12"/>
      <c r="AJ97" s="12"/>
      <c r="AL97" s="11">
        <v>94</v>
      </c>
      <c r="AM97" s="12"/>
      <c r="AN97" s="12"/>
      <c r="AO97" s="12"/>
      <c r="AQ97" s="11">
        <v>94</v>
      </c>
      <c r="AR97" s="13"/>
      <c r="AS97" s="13"/>
      <c r="AT97" s="11">
        <v>94</v>
      </c>
      <c r="AU97" s="13"/>
      <c r="AW97" s="11">
        <v>94</v>
      </c>
      <c r="AX97" s="12"/>
      <c r="AY97" s="12"/>
      <c r="AZ97" s="12"/>
      <c r="BA97" s="12"/>
      <c r="BB97" s="12"/>
      <c r="BC97" s="12"/>
      <c r="BD97" s="12"/>
      <c r="BE97" s="12"/>
      <c r="BF97" s="24"/>
      <c r="BG97" s="29"/>
      <c r="BH97" s="12"/>
      <c r="BI97" s="12"/>
      <c r="BK97" s="11">
        <v>94</v>
      </c>
      <c r="BL97" s="12"/>
      <c r="BM97" s="13"/>
      <c r="BN97" s="13"/>
      <c r="BP97" s="11">
        <v>94</v>
      </c>
      <c r="BQ97" s="12"/>
      <c r="BR97" s="13"/>
      <c r="BS97" s="13"/>
      <c r="BU97" s="11">
        <v>94</v>
      </c>
      <c r="BV97" s="12"/>
      <c r="BW97" s="12"/>
      <c r="BX97" s="12"/>
      <c r="BZ97" s="11">
        <v>94</v>
      </c>
      <c r="CA97" s="12"/>
      <c r="CC97" s="11">
        <v>94</v>
      </c>
      <c r="CD97" s="12"/>
    </row>
    <row r="98" spans="18:82">
      <c r="R98" s="11">
        <v>95</v>
      </c>
      <c r="S98" s="12"/>
      <c r="T98" s="13"/>
      <c r="U98" s="13"/>
      <c r="W98" s="11">
        <v>95</v>
      </c>
      <c r="X98" s="12"/>
      <c r="Y98" s="13"/>
      <c r="Z98" s="13"/>
      <c r="AB98" s="11">
        <v>95</v>
      </c>
      <c r="AC98" s="12"/>
      <c r="AD98" s="12"/>
      <c r="AE98" s="12"/>
      <c r="AG98" s="11">
        <v>95</v>
      </c>
      <c r="AH98" s="12"/>
      <c r="AI98" s="12"/>
      <c r="AJ98" s="12"/>
      <c r="AL98" s="11">
        <v>95</v>
      </c>
      <c r="AM98" s="12"/>
      <c r="AN98" s="12"/>
      <c r="AO98" s="12"/>
      <c r="AQ98" s="11">
        <v>95</v>
      </c>
      <c r="AR98" s="13"/>
      <c r="AS98" s="13"/>
      <c r="AT98" s="11">
        <v>95</v>
      </c>
      <c r="AU98" s="13"/>
      <c r="AW98" s="11">
        <v>95</v>
      </c>
      <c r="AX98" s="12"/>
      <c r="AY98" s="12"/>
      <c r="AZ98" s="12"/>
      <c r="BA98" s="12"/>
      <c r="BB98" s="12"/>
      <c r="BC98" s="12"/>
      <c r="BD98" s="12"/>
      <c r="BE98" s="12"/>
      <c r="BF98" s="24"/>
      <c r="BG98" s="29"/>
      <c r="BH98" s="12"/>
      <c r="BI98" s="12"/>
      <c r="BK98" s="11">
        <v>95</v>
      </c>
      <c r="BL98" s="12"/>
      <c r="BM98" s="13"/>
      <c r="BN98" s="13"/>
      <c r="BP98" s="11">
        <v>95</v>
      </c>
      <c r="BQ98" s="12"/>
      <c r="BR98" s="13"/>
      <c r="BS98" s="13"/>
      <c r="BU98" s="11">
        <v>95</v>
      </c>
      <c r="BV98" s="12"/>
      <c r="BW98" s="12"/>
      <c r="BX98" s="12"/>
      <c r="BZ98" s="11">
        <v>95</v>
      </c>
      <c r="CA98" s="12"/>
      <c r="CC98" s="11">
        <v>95</v>
      </c>
      <c r="CD98" s="12"/>
    </row>
    <row r="99" spans="18:82">
      <c r="R99" s="11">
        <v>96</v>
      </c>
      <c r="S99" s="12"/>
      <c r="T99" s="13"/>
      <c r="U99" s="13"/>
      <c r="W99" s="11">
        <v>96</v>
      </c>
      <c r="X99" s="12"/>
      <c r="Y99" s="13"/>
      <c r="Z99" s="13"/>
      <c r="AB99" s="11">
        <v>96</v>
      </c>
      <c r="AC99" s="12"/>
      <c r="AD99" s="12"/>
      <c r="AE99" s="12"/>
      <c r="AG99" s="11">
        <v>96</v>
      </c>
      <c r="AH99" s="12"/>
      <c r="AI99" s="12"/>
      <c r="AJ99" s="12"/>
      <c r="AL99" s="11">
        <v>96</v>
      </c>
      <c r="AM99" s="12"/>
      <c r="AN99" s="12"/>
      <c r="AO99" s="12"/>
      <c r="AQ99" s="11">
        <v>96</v>
      </c>
      <c r="AR99" s="13"/>
      <c r="AS99" s="13"/>
      <c r="AT99" s="11">
        <v>96</v>
      </c>
      <c r="AU99" s="13"/>
      <c r="AW99" s="11">
        <v>96</v>
      </c>
      <c r="AX99" s="12"/>
      <c r="AY99" s="12"/>
      <c r="AZ99" s="12"/>
      <c r="BA99" s="12"/>
      <c r="BB99" s="12"/>
      <c r="BC99" s="12"/>
      <c r="BD99" s="12"/>
      <c r="BE99" s="12"/>
      <c r="BF99" s="24"/>
      <c r="BG99" s="29"/>
      <c r="BH99" s="12"/>
      <c r="BI99" s="12"/>
      <c r="BK99" s="11">
        <v>96</v>
      </c>
      <c r="BL99" s="12"/>
      <c r="BM99" s="13"/>
      <c r="BN99" s="13"/>
      <c r="BP99" s="11">
        <v>96</v>
      </c>
      <c r="BQ99" s="12"/>
      <c r="BR99" s="13"/>
      <c r="BS99" s="13"/>
      <c r="BU99" s="11">
        <v>96</v>
      </c>
      <c r="BV99" s="12"/>
      <c r="BW99" s="12"/>
      <c r="BX99" s="12"/>
      <c r="BZ99" s="11">
        <v>96</v>
      </c>
      <c r="CA99" s="12"/>
      <c r="CC99" s="11">
        <v>96</v>
      </c>
      <c r="CD99" s="12"/>
    </row>
    <row r="100" spans="18:82">
      <c r="R100" s="11">
        <v>97</v>
      </c>
      <c r="S100" s="12"/>
      <c r="T100" s="13"/>
      <c r="U100" s="13"/>
      <c r="W100" s="11">
        <v>97</v>
      </c>
      <c r="X100" s="12"/>
      <c r="Y100" s="13"/>
      <c r="Z100" s="13"/>
      <c r="AB100" s="11">
        <v>97</v>
      </c>
      <c r="AC100" s="12"/>
      <c r="AD100" s="12"/>
      <c r="AE100" s="12"/>
      <c r="AG100" s="11">
        <v>97</v>
      </c>
      <c r="AH100" s="12"/>
      <c r="AI100" s="12"/>
      <c r="AJ100" s="12"/>
      <c r="AL100" s="11">
        <v>97</v>
      </c>
      <c r="AM100" s="12"/>
      <c r="AN100" s="12"/>
      <c r="AO100" s="12"/>
      <c r="AQ100" s="11">
        <v>97</v>
      </c>
      <c r="AR100" s="13"/>
      <c r="AS100" s="13"/>
      <c r="AT100" s="11">
        <v>97</v>
      </c>
      <c r="AU100" s="13"/>
      <c r="AW100" s="11">
        <v>97</v>
      </c>
      <c r="AX100" s="12"/>
      <c r="AY100" s="12"/>
      <c r="AZ100" s="12"/>
      <c r="BA100" s="12"/>
      <c r="BB100" s="12"/>
      <c r="BC100" s="12"/>
      <c r="BD100" s="12"/>
      <c r="BE100" s="12"/>
      <c r="BF100" s="24"/>
      <c r="BG100" s="29"/>
      <c r="BH100" s="12"/>
      <c r="BI100" s="12"/>
      <c r="BK100" s="11">
        <v>97</v>
      </c>
      <c r="BL100" s="12"/>
      <c r="BM100" s="13"/>
      <c r="BN100" s="13"/>
      <c r="BP100" s="11">
        <v>97</v>
      </c>
      <c r="BQ100" s="12"/>
      <c r="BR100" s="13"/>
      <c r="BS100" s="13"/>
      <c r="BU100" s="11">
        <v>97</v>
      </c>
      <c r="BV100" s="12"/>
      <c r="BW100" s="12"/>
      <c r="BX100" s="12"/>
      <c r="BZ100" s="11">
        <v>97</v>
      </c>
      <c r="CA100" s="12"/>
      <c r="CC100" s="11">
        <v>97</v>
      </c>
      <c r="CD100" s="12"/>
    </row>
    <row r="101" spans="18:82">
      <c r="R101" s="11">
        <v>98</v>
      </c>
      <c r="S101" s="12"/>
      <c r="T101" s="13"/>
      <c r="U101" s="13"/>
      <c r="W101" s="11">
        <v>98</v>
      </c>
      <c r="X101" s="12"/>
      <c r="Y101" s="13"/>
      <c r="Z101" s="13"/>
      <c r="AB101" s="11">
        <v>98</v>
      </c>
      <c r="AC101" s="12"/>
      <c r="AD101" s="12"/>
      <c r="AE101" s="12"/>
      <c r="AG101" s="11">
        <v>98</v>
      </c>
      <c r="AH101" s="12"/>
      <c r="AI101" s="12"/>
      <c r="AJ101" s="12"/>
      <c r="AL101" s="11">
        <v>98</v>
      </c>
      <c r="AM101" s="12"/>
      <c r="AN101" s="12"/>
      <c r="AO101" s="12"/>
      <c r="AQ101" s="11">
        <v>98</v>
      </c>
      <c r="AR101" s="13"/>
      <c r="AS101" s="13"/>
      <c r="AT101" s="11">
        <v>98</v>
      </c>
      <c r="AU101" s="13"/>
      <c r="AW101" s="11">
        <v>98</v>
      </c>
      <c r="AX101" s="12"/>
      <c r="AY101" s="12"/>
      <c r="AZ101" s="12"/>
      <c r="BA101" s="12"/>
      <c r="BB101" s="12"/>
      <c r="BC101" s="12"/>
      <c r="BD101" s="12"/>
      <c r="BE101" s="12"/>
      <c r="BF101" s="24"/>
      <c r="BG101" s="29"/>
      <c r="BH101" s="12"/>
      <c r="BI101" s="12"/>
      <c r="BK101" s="11">
        <v>98</v>
      </c>
      <c r="BL101" s="12"/>
      <c r="BM101" s="13"/>
      <c r="BN101" s="13"/>
      <c r="BP101" s="11">
        <v>98</v>
      </c>
      <c r="BQ101" s="12"/>
      <c r="BR101" s="13"/>
      <c r="BS101" s="13"/>
      <c r="BU101" s="11">
        <v>98</v>
      </c>
      <c r="BV101" s="12"/>
      <c r="BW101" s="12"/>
      <c r="BX101" s="12"/>
      <c r="BZ101" s="11">
        <v>98</v>
      </c>
      <c r="CA101" s="12"/>
      <c r="CC101" s="11">
        <v>98</v>
      </c>
      <c r="CD101" s="12"/>
    </row>
    <row r="102" spans="18:82">
      <c r="R102" s="11">
        <v>99</v>
      </c>
      <c r="S102" s="12"/>
      <c r="T102" s="13"/>
      <c r="U102" s="13"/>
      <c r="W102" s="11">
        <v>99</v>
      </c>
      <c r="X102" s="12"/>
      <c r="Y102" s="13"/>
      <c r="Z102" s="13"/>
      <c r="AB102" s="11">
        <v>99</v>
      </c>
      <c r="AC102" s="12"/>
      <c r="AD102" s="12"/>
      <c r="AE102" s="12"/>
      <c r="AG102" s="11">
        <v>99</v>
      </c>
      <c r="AH102" s="12"/>
      <c r="AI102" s="12"/>
      <c r="AJ102" s="12"/>
      <c r="AL102" s="11">
        <v>99</v>
      </c>
      <c r="AM102" s="12"/>
      <c r="AN102" s="12"/>
      <c r="AO102" s="12"/>
      <c r="AQ102" s="11">
        <v>99</v>
      </c>
      <c r="AR102" s="13"/>
      <c r="AS102" s="13"/>
      <c r="AT102" s="11">
        <v>99</v>
      </c>
      <c r="AU102" s="13"/>
      <c r="AW102" s="11">
        <v>99</v>
      </c>
      <c r="AX102" s="12"/>
      <c r="AY102" s="12"/>
      <c r="AZ102" s="12"/>
      <c r="BA102" s="12"/>
      <c r="BB102" s="12"/>
      <c r="BC102" s="12"/>
      <c r="BD102" s="12"/>
      <c r="BE102" s="12"/>
      <c r="BF102" s="24"/>
      <c r="BG102" s="29"/>
      <c r="BH102" s="12"/>
      <c r="BI102" s="12"/>
      <c r="BK102" s="11">
        <v>99</v>
      </c>
      <c r="BL102" s="12"/>
      <c r="BM102" s="13"/>
      <c r="BN102" s="13"/>
      <c r="BP102" s="11">
        <v>99</v>
      </c>
      <c r="BQ102" s="12"/>
      <c r="BR102" s="13"/>
      <c r="BS102" s="13"/>
      <c r="BU102" s="11">
        <v>99</v>
      </c>
      <c r="BV102" s="12"/>
      <c r="BW102" s="12"/>
      <c r="BX102" s="12"/>
      <c r="BZ102" s="11">
        <v>99</v>
      </c>
      <c r="CA102" s="12"/>
      <c r="CC102" s="11">
        <v>99</v>
      </c>
      <c r="CD102" s="12"/>
    </row>
    <row r="103" spans="18:82">
      <c r="R103" s="11">
        <v>100</v>
      </c>
      <c r="S103" s="12"/>
      <c r="T103" s="13"/>
      <c r="U103" s="13"/>
      <c r="W103" s="11">
        <v>100</v>
      </c>
      <c r="X103" s="12"/>
      <c r="Y103" s="13"/>
      <c r="Z103" s="13"/>
      <c r="AB103" s="11">
        <v>100</v>
      </c>
      <c r="AC103" s="12"/>
      <c r="AD103" s="12"/>
      <c r="AE103" s="12"/>
      <c r="AG103" s="11">
        <v>100</v>
      </c>
      <c r="AH103" s="12"/>
      <c r="AI103" s="12"/>
      <c r="AJ103" s="12"/>
      <c r="AL103" s="11">
        <v>100</v>
      </c>
      <c r="AM103" s="12"/>
      <c r="AN103" s="12"/>
      <c r="AO103" s="12"/>
      <c r="AQ103" s="11">
        <v>100</v>
      </c>
      <c r="AR103" s="13"/>
      <c r="AS103" s="13"/>
      <c r="AT103" s="11">
        <v>100</v>
      </c>
      <c r="AU103" s="13"/>
      <c r="AW103" s="11">
        <v>100</v>
      </c>
      <c r="AX103" s="12"/>
      <c r="AY103" s="12"/>
      <c r="AZ103" s="12"/>
      <c r="BA103" s="12"/>
      <c r="BB103" s="12"/>
      <c r="BC103" s="12"/>
      <c r="BD103" s="12"/>
      <c r="BE103" s="12"/>
      <c r="BF103" s="24"/>
      <c r="BG103" s="29"/>
      <c r="BH103" s="12"/>
      <c r="BI103" s="12"/>
      <c r="BK103" s="11">
        <v>100</v>
      </c>
      <c r="BL103" s="12"/>
      <c r="BM103" s="13"/>
      <c r="BN103" s="13"/>
      <c r="BP103" s="11">
        <v>100</v>
      </c>
      <c r="BQ103" s="12"/>
      <c r="BR103" s="13"/>
      <c r="BS103" s="13"/>
      <c r="BU103" s="11">
        <v>100</v>
      </c>
      <c r="BV103" s="12"/>
      <c r="BW103" s="12"/>
      <c r="BX103" s="12"/>
      <c r="BZ103" s="11">
        <v>100</v>
      </c>
      <c r="CA103" s="12"/>
      <c r="CC103" s="11">
        <v>100</v>
      </c>
      <c r="CD103" s="12"/>
    </row>
    <row r="104" spans="18:82">
      <c r="BZ104"/>
      <c r="CA104"/>
      <c r="CD104"/>
    </row>
    <row r="111" spans="18:82">
      <c r="U111"/>
      <c r="AC111"/>
      <c r="AD111"/>
      <c r="AE111"/>
    </row>
    <row r="112" spans="18:82">
      <c r="U112" s="15"/>
      <c r="V112" s="15"/>
      <c r="W112" s="15"/>
      <c r="X112" s="15"/>
      <c r="Y112" s="15"/>
      <c r="Z112" s="15"/>
      <c r="AA112" s="15"/>
      <c r="AB112" s="15"/>
      <c r="AC112" s="15"/>
      <c r="AD112" s="15"/>
      <c r="AE112" s="15"/>
      <c r="AF112" s="15"/>
      <c r="AP112" s="15"/>
    </row>
    <row r="113" spans="9:42">
      <c r="V113" s="16"/>
      <c r="W113" s="16"/>
      <c r="X113" s="16"/>
      <c r="Y113" s="16"/>
      <c r="Z113" s="16"/>
      <c r="AA113" s="16"/>
      <c r="AB113" s="16"/>
      <c r="AF113" s="16"/>
      <c r="AP113" s="16"/>
    </row>
    <row r="126" spans="9:42">
      <c r="I126" s="34"/>
    </row>
  </sheetData>
  <mergeCells count="2">
    <mergeCell ref="J2:N2"/>
    <mergeCell ref="L5:N5"/>
  </mergeCells>
  <phoneticPr fontId="1" type="noConversion"/>
  <conditionalFormatting sqref="AF113">
    <cfRule type="cellIs" dxfId="191" priority="159" operator="equal">
      <formula>"E"</formula>
    </cfRule>
  </conditionalFormatting>
  <conditionalFormatting sqref="AB1">
    <cfRule type="cellIs" dxfId="190" priority="163" operator="equal">
      <formula>"E"</formula>
    </cfRule>
  </conditionalFormatting>
  <conditionalFormatting sqref="AB2:AB70">
    <cfRule type="cellIs" dxfId="189" priority="161" stopIfTrue="1" operator="equal">
      <formula>"WW"</formula>
    </cfRule>
    <cfRule type="cellIs" dxfId="188" priority="162" stopIfTrue="1" operator="equal">
      <formula>"C2"</formula>
    </cfRule>
  </conditionalFormatting>
  <conditionalFormatting sqref="AA113:AB113 AP113">
    <cfRule type="cellIs" dxfId="187" priority="160" operator="equal">
      <formula>"E"</formula>
    </cfRule>
  </conditionalFormatting>
  <conditionalFormatting sqref="J13">
    <cfRule type="dataBar" priority="15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{57FA19FE-7E37-472E-B56F-A22EC4B184CC}</x14:id>
        </ext>
      </extLst>
    </cfRule>
  </conditionalFormatting>
  <conditionalFormatting sqref="AL1">
    <cfRule type="cellIs" dxfId="186" priority="154" operator="equal">
      <formula>"E"</formula>
    </cfRule>
  </conditionalFormatting>
  <conditionalFormatting sqref="AG1">
    <cfRule type="cellIs" dxfId="185" priority="157" operator="equal">
      <formula>"E"</formula>
    </cfRule>
  </conditionalFormatting>
  <conditionalFormatting sqref="AG2:AG70">
    <cfRule type="cellIs" dxfId="184" priority="155" stopIfTrue="1" operator="equal">
      <formula>"WW"</formula>
    </cfRule>
    <cfRule type="cellIs" dxfId="183" priority="156" stopIfTrue="1" operator="equal">
      <formula>"C2"</formula>
    </cfRule>
  </conditionalFormatting>
  <conditionalFormatting sqref="AL2:AL70">
    <cfRule type="cellIs" dxfId="182" priority="152" stopIfTrue="1" operator="equal">
      <formula>"WW"</formula>
    </cfRule>
    <cfRule type="cellIs" dxfId="181" priority="153" stopIfTrue="1" operator="equal">
      <formula>"C2"</formula>
    </cfRule>
  </conditionalFormatting>
  <conditionalFormatting sqref="BA3:BA12 BA43:BA103">
    <cfRule type="cellIs" dxfId="180" priority="143" operator="equal">
      <formula>"E"</formula>
    </cfRule>
  </conditionalFormatting>
  <conditionalFormatting sqref="AZ2">
    <cfRule type="cellIs" dxfId="179" priority="144" operator="equal">
      <formula>"E"</formula>
    </cfRule>
  </conditionalFormatting>
  <conditionalFormatting sqref="BI2">
    <cfRule type="cellIs" dxfId="178" priority="116" operator="equal">
      <formula>"E"</formula>
    </cfRule>
  </conditionalFormatting>
  <conditionalFormatting sqref="BA2">
    <cfRule type="cellIs" dxfId="177" priority="142" operator="equal">
      <formula>"E"</formula>
    </cfRule>
  </conditionalFormatting>
  <conditionalFormatting sqref="BB43:BB103">
    <cfRule type="cellIs" dxfId="176" priority="141" operator="equal">
      <formula>"E"</formula>
    </cfRule>
  </conditionalFormatting>
  <conditionalFormatting sqref="BB2">
    <cfRule type="cellIs" dxfId="175" priority="140" operator="equal">
      <formula>"E"</formula>
    </cfRule>
  </conditionalFormatting>
  <conditionalFormatting sqref="BC43:BC103">
    <cfRule type="cellIs" dxfId="174" priority="139" operator="equal">
      <formula>"E"</formula>
    </cfRule>
  </conditionalFormatting>
  <conditionalFormatting sqref="BC2">
    <cfRule type="cellIs" dxfId="173" priority="138" operator="equal">
      <formula>"E"</formula>
    </cfRule>
  </conditionalFormatting>
  <conditionalFormatting sqref="BD43:BD103">
    <cfRule type="cellIs" dxfId="172" priority="137" operator="equal">
      <formula>"E"</formula>
    </cfRule>
  </conditionalFormatting>
  <conditionalFormatting sqref="BD2">
    <cfRule type="cellIs" dxfId="171" priority="136" operator="equal">
      <formula>"E"</formula>
    </cfRule>
  </conditionalFormatting>
  <conditionalFormatting sqref="BE43:BE103">
    <cfRule type="cellIs" dxfId="170" priority="135" operator="equal">
      <formula>"E"</formula>
    </cfRule>
  </conditionalFormatting>
  <conditionalFormatting sqref="BE2">
    <cfRule type="cellIs" dxfId="169" priority="134" operator="equal">
      <formula>"E"</formula>
    </cfRule>
  </conditionalFormatting>
  <conditionalFormatting sqref="BF43:BF103">
    <cfRule type="cellIs" dxfId="168" priority="133" operator="equal">
      <formula>"E"</formula>
    </cfRule>
  </conditionalFormatting>
  <conditionalFormatting sqref="BF2">
    <cfRule type="cellIs" dxfId="167" priority="132" operator="equal">
      <formula>"E"</formula>
    </cfRule>
  </conditionalFormatting>
  <conditionalFormatting sqref="BB3:BB12">
    <cfRule type="cellIs" dxfId="166" priority="131" operator="equal">
      <formula>"E"</formula>
    </cfRule>
  </conditionalFormatting>
  <conditionalFormatting sqref="BE3:BE12">
    <cfRule type="cellIs" dxfId="165" priority="130" operator="equal">
      <formula>"E"</formula>
    </cfRule>
  </conditionalFormatting>
  <conditionalFormatting sqref="BF3:BF12">
    <cfRule type="cellIs" dxfId="164" priority="129" operator="equal">
      <formula>"E"</formula>
    </cfRule>
  </conditionalFormatting>
  <conditionalFormatting sqref="BG43:BG103">
    <cfRule type="cellIs" dxfId="163" priority="128" operator="equal">
      <formula>"E"</formula>
    </cfRule>
  </conditionalFormatting>
  <conditionalFormatting sqref="BG2">
    <cfRule type="cellIs" dxfId="162" priority="127" operator="equal">
      <formula>"E"</formula>
    </cfRule>
  </conditionalFormatting>
  <conditionalFormatting sqref="BG3:BG12">
    <cfRule type="cellIs" dxfId="161" priority="126" operator="equal">
      <formula>"E"</formula>
    </cfRule>
  </conditionalFormatting>
  <conditionalFormatting sqref="BH43:BH103">
    <cfRule type="cellIs" dxfId="160" priority="125" operator="equal">
      <formula>"E"</formula>
    </cfRule>
  </conditionalFormatting>
  <conditionalFormatting sqref="BH2">
    <cfRule type="cellIs" dxfId="159" priority="124" operator="equal">
      <formula>"E"</formula>
    </cfRule>
  </conditionalFormatting>
  <conditionalFormatting sqref="BH3:BH12">
    <cfRule type="cellIs" dxfId="158" priority="123" operator="equal">
      <formula>"E"</formula>
    </cfRule>
  </conditionalFormatting>
  <conditionalFormatting sqref="BU1">
    <cfRule type="cellIs" dxfId="157" priority="122" operator="equal">
      <formula>"E"</formula>
    </cfRule>
  </conditionalFormatting>
  <conditionalFormatting sqref="AX3:AX103">
    <cfRule type="cellIs" dxfId="156" priority="119" operator="equal">
      <formula>"E"</formula>
    </cfRule>
  </conditionalFormatting>
  <conditionalFormatting sqref="AX2">
    <cfRule type="cellIs" dxfId="155" priority="118" operator="equal">
      <formula>"E"</formula>
    </cfRule>
  </conditionalFormatting>
  <conditionalFormatting sqref="BI43:BI103">
    <cfRule type="cellIs" dxfId="154" priority="117" operator="equal">
      <formula>"E"</formula>
    </cfRule>
  </conditionalFormatting>
  <conditionalFormatting sqref="BA13:BA22">
    <cfRule type="cellIs" dxfId="153" priority="113" operator="equal">
      <formula>"E"</formula>
    </cfRule>
  </conditionalFormatting>
  <conditionalFormatting sqref="BH13:BH22">
    <cfRule type="cellIs" dxfId="152" priority="108" operator="equal">
      <formula>"E"</formula>
    </cfRule>
  </conditionalFormatting>
  <conditionalFormatting sqref="BE23:BE32">
    <cfRule type="cellIs" dxfId="151" priority="103" operator="equal">
      <formula>"E"</formula>
    </cfRule>
  </conditionalFormatting>
  <conditionalFormatting sqref="AZ33:AZ42">
    <cfRule type="cellIs" dxfId="150" priority="98" operator="equal">
      <formula>"E"</formula>
    </cfRule>
  </conditionalFormatting>
  <conditionalFormatting sqref="BA33:BA42">
    <cfRule type="cellIs" dxfId="149" priority="97" operator="equal">
      <formula>"E"</formula>
    </cfRule>
  </conditionalFormatting>
  <conditionalFormatting sqref="BB33:BB42">
    <cfRule type="cellIs" dxfId="148" priority="96" operator="equal">
      <formula>"E"</formula>
    </cfRule>
  </conditionalFormatting>
  <conditionalFormatting sqref="BE33:BE42">
    <cfRule type="cellIs" dxfId="147" priority="95" operator="equal">
      <formula>"E"</formula>
    </cfRule>
  </conditionalFormatting>
  <conditionalFormatting sqref="BC23:BC32">
    <cfRule type="cellIs" dxfId="146" priority="83" operator="equal">
      <formula>"E"</formula>
    </cfRule>
  </conditionalFormatting>
  <conditionalFormatting sqref="BC33:BC42">
    <cfRule type="cellIs" dxfId="145" priority="82" operator="equal">
      <formula>"E"</formula>
    </cfRule>
  </conditionalFormatting>
  <conditionalFormatting sqref="BD3:BD12">
    <cfRule type="cellIs" dxfId="144" priority="81" operator="equal">
      <formula>"E"</formula>
    </cfRule>
  </conditionalFormatting>
  <conditionalFormatting sqref="BW1 BV2:BW1048576 BX1:BX1048576">
    <cfRule type="cellIs" dxfId="143" priority="151" operator="equal">
      <formula>"E"</formula>
    </cfRule>
  </conditionalFormatting>
  <conditionalFormatting sqref="AW1">
    <cfRule type="cellIs" dxfId="142" priority="150" operator="equal">
      <formula>"E"</formula>
    </cfRule>
  </conditionalFormatting>
  <conditionalFormatting sqref="AY3:AY103">
    <cfRule type="cellIs" dxfId="141" priority="149" operator="equal">
      <formula>"E"</formula>
    </cfRule>
  </conditionalFormatting>
  <conditionalFormatting sqref="AY2">
    <cfRule type="cellIs" dxfId="140" priority="148" operator="equal">
      <formula>"E"</formula>
    </cfRule>
  </conditionalFormatting>
  <conditionalFormatting sqref="AW2:AW70">
    <cfRule type="cellIs" dxfId="139" priority="146" stopIfTrue="1" operator="equal">
      <formula>"WW"</formula>
    </cfRule>
    <cfRule type="cellIs" dxfId="138" priority="147" stopIfTrue="1" operator="equal">
      <formula>"C2"</formula>
    </cfRule>
  </conditionalFormatting>
  <conditionalFormatting sqref="AZ3:AZ12 AZ43:AZ103">
    <cfRule type="cellIs" dxfId="137" priority="145" operator="equal">
      <formula>"E"</formula>
    </cfRule>
  </conditionalFormatting>
  <conditionalFormatting sqref="BU2:BU70">
    <cfRule type="cellIs" dxfId="136" priority="120" stopIfTrue="1" operator="equal">
      <formula>"WW"</formula>
    </cfRule>
    <cfRule type="cellIs" dxfId="135" priority="121" stopIfTrue="1" operator="equal">
      <formula>"C2"</formula>
    </cfRule>
  </conditionalFormatting>
  <conditionalFormatting sqref="BI3:BI12">
    <cfRule type="cellIs" dxfId="134" priority="115" operator="equal">
      <formula>"E"</formula>
    </cfRule>
  </conditionalFormatting>
  <conditionalFormatting sqref="AZ13:AZ22">
    <cfRule type="cellIs" dxfId="133" priority="114" operator="equal">
      <formula>"E"</formula>
    </cfRule>
  </conditionalFormatting>
  <conditionalFormatting sqref="BB13:BB22">
    <cfRule type="cellIs" dxfId="132" priority="112" operator="equal">
      <formula>"E"</formula>
    </cfRule>
  </conditionalFormatting>
  <conditionalFormatting sqref="BF13:BF22">
    <cfRule type="cellIs" dxfId="131" priority="110" operator="equal">
      <formula>"E"</formula>
    </cfRule>
  </conditionalFormatting>
  <conditionalFormatting sqref="BE13:BE22">
    <cfRule type="cellIs" dxfId="130" priority="111" operator="equal">
      <formula>"E"</formula>
    </cfRule>
  </conditionalFormatting>
  <conditionalFormatting sqref="BG13:BG22">
    <cfRule type="cellIs" dxfId="129" priority="109" operator="equal">
      <formula>"E"</formula>
    </cfRule>
  </conditionalFormatting>
  <conditionalFormatting sqref="BI13:BI22">
    <cfRule type="cellIs" dxfId="128" priority="107" operator="equal">
      <formula>"E"</formula>
    </cfRule>
  </conditionalFormatting>
  <conditionalFormatting sqref="AZ23:AZ32">
    <cfRule type="cellIs" dxfId="127" priority="106" operator="equal">
      <formula>"E"</formula>
    </cfRule>
  </conditionalFormatting>
  <conditionalFormatting sqref="BA23:BA32">
    <cfRule type="cellIs" dxfId="126" priority="105" operator="equal">
      <formula>"E"</formula>
    </cfRule>
  </conditionalFormatting>
  <conditionalFormatting sqref="BB23:BB32">
    <cfRule type="cellIs" dxfId="125" priority="104" operator="equal">
      <formula>"E"</formula>
    </cfRule>
  </conditionalFormatting>
  <conditionalFormatting sqref="BH23:BH32">
    <cfRule type="cellIs" dxfId="124" priority="100" operator="equal">
      <formula>"E"</formula>
    </cfRule>
  </conditionalFormatting>
  <conditionalFormatting sqref="BF23:BF32">
    <cfRule type="cellIs" dxfId="123" priority="102" operator="equal">
      <formula>"E"</formula>
    </cfRule>
  </conditionalFormatting>
  <conditionalFormatting sqref="BG23:BG32">
    <cfRule type="cellIs" dxfId="122" priority="101" operator="equal">
      <formula>"E"</formula>
    </cfRule>
  </conditionalFormatting>
  <conditionalFormatting sqref="BI23:BI32">
    <cfRule type="cellIs" dxfId="121" priority="99" operator="equal">
      <formula>"E"</formula>
    </cfRule>
  </conditionalFormatting>
  <conditionalFormatting sqref="BH33:BH42">
    <cfRule type="cellIs" dxfId="120" priority="92" operator="equal">
      <formula>"E"</formula>
    </cfRule>
  </conditionalFormatting>
  <conditionalFormatting sqref="BF33:BF42">
    <cfRule type="cellIs" dxfId="119" priority="94" operator="equal">
      <formula>"E"</formula>
    </cfRule>
  </conditionalFormatting>
  <conditionalFormatting sqref="BG33:BG42">
    <cfRule type="cellIs" dxfId="118" priority="93" operator="equal">
      <formula>"E"</formula>
    </cfRule>
  </conditionalFormatting>
  <conditionalFormatting sqref="BI33:BI42">
    <cfRule type="cellIs" dxfId="117" priority="91" operator="equal">
      <formula>"E"</formula>
    </cfRule>
  </conditionalFormatting>
  <conditionalFormatting sqref="CC1">
    <cfRule type="cellIs" dxfId="116" priority="90" operator="equal">
      <formula>"E"</formula>
    </cfRule>
  </conditionalFormatting>
  <conditionalFormatting sqref="CC2:CC70">
    <cfRule type="cellIs" dxfId="115" priority="87" stopIfTrue="1" operator="equal">
      <formula>"WW"</formula>
    </cfRule>
    <cfRule type="cellIs" dxfId="114" priority="88" stopIfTrue="1" operator="equal">
      <formula>"C2"</formula>
    </cfRule>
  </conditionalFormatting>
  <conditionalFormatting sqref="BC3:BC12">
    <cfRule type="cellIs" dxfId="113" priority="85" operator="equal">
      <formula>"E"</formula>
    </cfRule>
  </conditionalFormatting>
  <conditionalFormatting sqref="BC13:BC22">
    <cfRule type="cellIs" dxfId="112" priority="84" operator="equal">
      <formula>"E"</formula>
    </cfRule>
  </conditionalFormatting>
  <conditionalFormatting sqref="BD13:BD22">
    <cfRule type="cellIs" dxfId="111" priority="80" operator="equal">
      <formula>"E"</formula>
    </cfRule>
  </conditionalFormatting>
  <conditionalFormatting sqref="BD23:BD32">
    <cfRule type="cellIs" dxfId="110" priority="79" operator="equal">
      <formula>"E"</formula>
    </cfRule>
  </conditionalFormatting>
  <conditionalFormatting sqref="BD33:BD42">
    <cfRule type="cellIs" dxfId="109" priority="78" operator="equal">
      <formula>"E"</formula>
    </cfRule>
  </conditionalFormatting>
  <conditionalFormatting sqref="AD1:AE1">
    <cfRule type="cellIs" dxfId="108" priority="77" operator="equal">
      <formula>"E"</formula>
    </cfRule>
  </conditionalFormatting>
  <conditionalFormatting sqref="AC39:AE110 AC114:AE1048576 AC3:AC38">
    <cfRule type="cellIs" dxfId="107" priority="76" operator="equal">
      <formula>"E"</formula>
    </cfRule>
  </conditionalFormatting>
  <conditionalFormatting sqref="AC2:AE2">
    <cfRule type="cellIs" dxfId="106" priority="75" operator="equal">
      <formula>"E"</formula>
    </cfRule>
  </conditionalFormatting>
  <conditionalFormatting sqref="AC113:AE113">
    <cfRule type="cellIs" dxfId="105" priority="74" operator="equal">
      <formula>"E"</formula>
    </cfRule>
  </conditionalFormatting>
  <conditionalFormatting sqref="AE4:AE38">
    <cfRule type="cellIs" dxfId="104" priority="73" operator="equal">
      <formula>"E"</formula>
    </cfRule>
  </conditionalFormatting>
  <conditionalFormatting sqref="AD3:AD38 AE3">
    <cfRule type="cellIs" dxfId="103" priority="72" operator="equal">
      <formula>"E"</formula>
    </cfRule>
  </conditionalFormatting>
  <conditionalFormatting sqref="AI4:AI38">
    <cfRule type="cellIs" dxfId="102" priority="68" operator="equal">
      <formula>"E"</formula>
    </cfRule>
  </conditionalFormatting>
  <conditionalFormatting sqref="AJ4:AJ38">
    <cfRule type="cellIs" dxfId="101" priority="67" operator="equal">
      <formula>"E"</formula>
    </cfRule>
  </conditionalFormatting>
  <conditionalFormatting sqref="AI1:AJ1">
    <cfRule type="cellIs" dxfId="100" priority="71" operator="equal">
      <formula>"E"</formula>
    </cfRule>
  </conditionalFormatting>
  <conditionalFormatting sqref="AH39:AJ103">
    <cfRule type="cellIs" dxfId="99" priority="70" operator="equal">
      <formula>"E"</formula>
    </cfRule>
  </conditionalFormatting>
  <conditionalFormatting sqref="AH2:AJ2">
    <cfRule type="cellIs" dxfId="98" priority="69" operator="equal">
      <formula>"E"</formula>
    </cfRule>
  </conditionalFormatting>
  <conditionalFormatting sqref="AI3">
    <cfRule type="cellIs" dxfId="97" priority="66" operator="equal">
      <formula>"E"</formula>
    </cfRule>
  </conditionalFormatting>
  <conditionalFormatting sqref="AH3:AH38">
    <cfRule type="cellIs" dxfId="96" priority="65" operator="equal">
      <formula>"E"</formula>
    </cfRule>
  </conditionalFormatting>
  <conditionalFormatting sqref="AJ3">
    <cfRule type="cellIs" dxfId="95" priority="64" operator="equal">
      <formula>"E"</formula>
    </cfRule>
  </conditionalFormatting>
  <conditionalFormatting sqref="AN1:AO1">
    <cfRule type="cellIs" dxfId="94" priority="63" operator="equal">
      <formula>"E"</formula>
    </cfRule>
  </conditionalFormatting>
  <conditionalFormatting sqref="AM39:AO103">
    <cfRule type="cellIs" dxfId="93" priority="62" operator="equal">
      <formula>"E"</formula>
    </cfRule>
  </conditionalFormatting>
  <conditionalFormatting sqref="AM2:AO2">
    <cfRule type="cellIs" dxfId="92" priority="61" operator="equal">
      <formula>"E"</formula>
    </cfRule>
  </conditionalFormatting>
  <conditionalFormatting sqref="AO4:AO38">
    <cfRule type="cellIs" dxfId="91" priority="60" operator="equal">
      <formula>"E"</formula>
    </cfRule>
  </conditionalFormatting>
  <conditionalFormatting sqref="AM4:AN38">
    <cfRule type="cellIs" dxfId="90" priority="59" operator="equal">
      <formula>"E"</formula>
    </cfRule>
  </conditionalFormatting>
  <conditionalFormatting sqref="AM3:AN3">
    <cfRule type="cellIs" dxfId="89" priority="58" operator="equal">
      <formula>"E"</formula>
    </cfRule>
  </conditionalFormatting>
  <conditionalFormatting sqref="AO3">
    <cfRule type="cellIs" dxfId="88" priority="57" operator="equal">
      <formula>"E"</formula>
    </cfRule>
  </conditionalFormatting>
  <conditionalFormatting sqref="S1:U110 X2:Z2 S114:U1048576 S111:T113 X53:Z103 X39:X52">
    <cfRule type="cellIs" dxfId="87" priority="52" operator="equal">
      <formula>"E"</formula>
    </cfRule>
  </conditionalFormatting>
  <conditionalFormatting sqref="X3:Z38 Y39:Z52">
    <cfRule type="cellIs" dxfId="86" priority="51" operator="equal">
      <formula>"E"</formula>
    </cfRule>
  </conditionalFormatting>
  <conditionalFormatting sqref="R1:R70">
    <cfRule type="cellIs" dxfId="85" priority="53" stopIfTrue="1" operator="equal">
      <formula>"WW"</formula>
    </cfRule>
    <cfRule type="cellIs" dxfId="84" priority="164" stopIfTrue="1" operator="equal">
      <formula>"C2"</formula>
    </cfRule>
  </conditionalFormatting>
  <conditionalFormatting sqref="S3:U103">
    <cfRule type="cellIs" dxfId="83" priority="54" operator="equal">
      <formula>"M4"</formula>
    </cfRule>
    <cfRule type="cellIs" dxfId="82" priority="165" operator="equal">
      <formula>"M3"</formula>
    </cfRule>
    <cfRule type="cellIs" dxfId="81" priority="165" operator="equal">
      <formula>"M2"</formula>
    </cfRule>
    <cfRule type="cellIs" dxfId="80" priority="165" operator="equal">
      <formula>"M1"</formula>
    </cfRule>
  </conditionalFormatting>
  <conditionalFormatting sqref="W2:W70">
    <cfRule type="cellIs" dxfId="79" priority="55" stopIfTrue="1" operator="equal">
      <formula>"WW"</formula>
    </cfRule>
    <cfRule type="cellIs" dxfId="78" priority="166" stopIfTrue="1" operator="equal">
      <formula>"C2"</formula>
    </cfRule>
  </conditionalFormatting>
  <conditionalFormatting sqref="X53:Z103 X39:X52">
    <cfRule type="cellIs" dxfId="77" priority="56" operator="equal">
      <formula>"M4"</formula>
    </cfRule>
    <cfRule type="cellIs" dxfId="76" priority="167" operator="equal">
      <formula>"M3"</formula>
    </cfRule>
    <cfRule type="cellIs" dxfId="75" priority="167" operator="equal">
      <formula>"M2"</formula>
    </cfRule>
    <cfRule type="cellIs" dxfId="74" priority="167" operator="equal">
      <formula>"M1"</formula>
    </cfRule>
  </conditionalFormatting>
  <conditionalFormatting sqref="U113:Z113">
    <cfRule type="cellIs" dxfId="73" priority="50" operator="equal">
      <formula>"E"</formula>
    </cfRule>
  </conditionalFormatting>
  <conditionalFormatting sqref="X3:Z38 Y39:Z52">
    <cfRule type="cellIs" dxfId="72" priority="49" operator="equal">
      <formula>"M4"</formula>
    </cfRule>
    <cfRule type="cellIs" dxfId="71" priority="168" operator="equal">
      <formula>"M3"</formula>
    </cfRule>
    <cfRule type="cellIs" dxfId="70" priority="168" operator="equal">
      <formula>"M2"</formula>
    </cfRule>
    <cfRule type="cellIs" dxfId="69" priority="168" operator="equal">
      <formula>"M1"</formula>
    </cfRule>
  </conditionalFormatting>
  <conditionalFormatting sqref="AS39:AS103 AU2 AR1:AR1048576">
    <cfRule type="cellIs" dxfId="68" priority="47" operator="equal">
      <formula>"E"</formula>
    </cfRule>
  </conditionalFormatting>
  <conditionalFormatting sqref="AQ1">
    <cfRule type="cellIs" dxfId="67" priority="46" operator="equal">
      <formula>"E"</formula>
    </cfRule>
  </conditionalFormatting>
  <conditionalFormatting sqref="AT1">
    <cfRule type="cellIs" dxfId="66" priority="45" operator="equal">
      <formula>"E"</formula>
    </cfRule>
  </conditionalFormatting>
  <conditionalFormatting sqref="AS39:AS103 AR3:AR103">
    <cfRule type="cellIs" dxfId="65" priority="33" operator="equal">
      <formula>"RE"</formula>
    </cfRule>
    <cfRule type="cellIs" dxfId="64" priority="34" operator="equal">
      <formula>"3000"</formula>
    </cfRule>
    <cfRule type="cellIs" dxfId="63" priority="35" operator="equal">
      <formula>"300"</formula>
    </cfRule>
    <cfRule type="cellIs" dxfId="62" priority="36" operator="equal">
      <formula>"100"</formula>
    </cfRule>
    <cfRule type="cellIs" dxfId="61" priority="37" operator="equal">
      <formula>"50"</formula>
    </cfRule>
    <cfRule type="cellIs" dxfId="60" priority="38" operator="equal">
      <formula>"40"</formula>
    </cfRule>
    <cfRule type="cellIs" dxfId="59" priority="39" operator="equal">
      <formula>"20"</formula>
    </cfRule>
  </conditionalFormatting>
  <conditionalFormatting sqref="AR1 AR104:AR1048576">
    <cfRule type="cellIs" dxfId="58" priority="40" operator="equal">
      <formula>"M4"</formula>
    </cfRule>
    <cfRule type="cellIs" dxfId="57" priority="41" operator="equal">
      <formula>"M3"</formula>
    </cfRule>
    <cfRule type="cellIs" dxfId="56" priority="42" operator="equal">
      <formula>"M1"</formula>
    </cfRule>
    <cfRule type="cellIs" dxfId="55" priority="43" operator="equal">
      <formula>"M2"</formula>
    </cfRule>
    <cfRule type="cellIs" dxfId="54" priority="44" stopIfTrue="1" operator="between">
      <formula>"C1"</formula>
      <formula>"C2"</formula>
    </cfRule>
  </conditionalFormatting>
  <conditionalFormatting sqref="AQ2:AQ70">
    <cfRule type="cellIs" dxfId="53" priority="31" stopIfTrue="1" operator="equal">
      <formula>"WW"</formula>
    </cfRule>
    <cfRule type="cellIs" dxfId="52" priority="32" stopIfTrue="1" operator="equal">
      <formula>"C2"</formula>
    </cfRule>
  </conditionalFormatting>
  <conditionalFormatting sqref="AT2:AT70">
    <cfRule type="cellIs" dxfId="51" priority="29" stopIfTrue="1" operator="equal">
      <formula>"WW"</formula>
    </cfRule>
    <cfRule type="cellIs" dxfId="50" priority="30" stopIfTrue="1" operator="equal">
      <formula>"C2"</formula>
    </cfRule>
  </conditionalFormatting>
  <conditionalFormatting sqref="AU43:AU103">
    <cfRule type="cellIs" dxfId="49" priority="28" operator="equal">
      <formula>"E"</formula>
    </cfRule>
  </conditionalFormatting>
  <conditionalFormatting sqref="AU43:AU103">
    <cfRule type="cellIs" dxfId="48" priority="25" operator="equal">
      <formula>"M3"</formula>
    </cfRule>
    <cfRule type="cellIs" dxfId="47" priority="26" operator="equal">
      <formula>"M2"</formula>
    </cfRule>
    <cfRule type="cellIs" dxfId="46" priority="27" operator="equal">
      <formula>"M1"</formula>
    </cfRule>
    <cfRule type="cellIs" dxfId="45" priority="48" operator="equal">
      <formula>"M4"</formula>
    </cfRule>
  </conditionalFormatting>
  <conditionalFormatting sqref="AU3:AU42">
    <cfRule type="cellIs" dxfId="44" priority="24" operator="equal">
      <formula>"E"</formula>
    </cfRule>
  </conditionalFormatting>
  <conditionalFormatting sqref="AU3:AU42">
    <cfRule type="cellIs" dxfId="43" priority="23" operator="equal">
      <formula>"M4"</formula>
    </cfRule>
    <cfRule type="cellIs" dxfId="42" priority="169" operator="equal">
      <formula>"M3"</formula>
    </cfRule>
    <cfRule type="cellIs" dxfId="41" priority="169" operator="equal">
      <formula>"M2"</formula>
    </cfRule>
    <cfRule type="cellIs" dxfId="40" priority="169" operator="equal">
      <formula>"M1"</formula>
    </cfRule>
  </conditionalFormatting>
  <conditionalFormatting sqref="AU3:AU42">
    <cfRule type="cellIs" dxfId="39" priority="21" operator="equal">
      <formula>"RE"</formula>
    </cfRule>
    <cfRule type="cellIs" dxfId="38" priority="22" operator="equal">
      <formula>"20"</formula>
    </cfRule>
    <cfRule type="cellIs" dxfId="37" priority="170" operator="equal">
      <formula>"3000"</formula>
    </cfRule>
    <cfRule type="cellIs" dxfId="36" priority="170" operator="equal">
      <formula>"300"</formula>
    </cfRule>
    <cfRule type="cellIs" dxfId="35" priority="170" operator="equal">
      <formula>"100"</formula>
    </cfRule>
    <cfRule type="cellIs" dxfId="34" priority="170" operator="equal">
      <formula>"50"</formula>
    </cfRule>
    <cfRule type="cellIs" dxfId="33" priority="170" operator="equal">
      <formula>"40"</formula>
    </cfRule>
  </conditionalFormatting>
  <conditionalFormatting sqref="BL1:BN103">
    <cfRule type="cellIs" dxfId="32" priority="18" operator="equal">
      <formula>"E"</formula>
    </cfRule>
  </conditionalFormatting>
  <conditionalFormatting sqref="BQ2:BS2 BQ53:BS103 BQ39:BQ52">
    <cfRule type="cellIs" dxfId="31" priority="17" operator="equal">
      <formula>"E"</formula>
    </cfRule>
  </conditionalFormatting>
  <conditionalFormatting sqref="BK1:BK70">
    <cfRule type="cellIs" dxfId="30" priority="19" stopIfTrue="1" operator="equal">
      <formula>"WW"</formula>
    </cfRule>
    <cfRule type="cellIs" dxfId="29" priority="171" stopIfTrue="1" operator="equal">
      <formula>"C2"</formula>
    </cfRule>
  </conditionalFormatting>
  <conditionalFormatting sqref="BL3:BN103">
    <cfRule type="cellIs" dxfId="28" priority="20" operator="equal">
      <formula>"M4"</formula>
    </cfRule>
    <cfRule type="cellIs" dxfId="27" priority="172" operator="equal">
      <formula>"M3"</formula>
    </cfRule>
    <cfRule type="cellIs" dxfId="26" priority="172" operator="equal">
      <formula>"M2"</formula>
    </cfRule>
    <cfRule type="cellIs" dxfId="25" priority="172" operator="equal">
      <formula>"M1"</formula>
    </cfRule>
  </conditionalFormatting>
  <conditionalFormatting sqref="BP2:BP70">
    <cfRule type="cellIs" dxfId="24" priority="15" stopIfTrue="1" operator="equal">
      <formula>"WW"</formula>
    </cfRule>
    <cfRule type="cellIs" dxfId="23" priority="16" stopIfTrue="1" operator="equal">
      <formula>"C2"</formula>
    </cfRule>
  </conditionalFormatting>
  <conditionalFormatting sqref="BQ53:BS103 BQ39:BQ52">
    <cfRule type="cellIs" dxfId="22" priority="11" operator="equal">
      <formula>"M4"</formula>
    </cfRule>
    <cfRule type="cellIs" dxfId="21" priority="12" operator="equal">
      <formula>"M3"</formula>
    </cfRule>
    <cfRule type="cellIs" dxfId="20" priority="13" operator="equal">
      <formula>"M2"</formula>
    </cfRule>
    <cfRule type="cellIs" dxfId="19" priority="14" operator="equal">
      <formula>"M1"</formula>
    </cfRule>
  </conditionalFormatting>
  <conditionalFormatting sqref="BQ3:BS38 BR39:BS52">
    <cfRule type="cellIs" dxfId="18" priority="10" operator="equal">
      <formula>"E"</formula>
    </cfRule>
  </conditionalFormatting>
  <conditionalFormatting sqref="BR3:BS52">
    <cfRule type="cellIs" dxfId="17" priority="9" operator="equal">
      <formula>"M4"</formula>
    </cfRule>
    <cfRule type="cellIs" dxfId="16" priority="173" operator="equal">
      <formula>"M3"</formula>
    </cfRule>
    <cfRule type="cellIs" dxfId="15" priority="173" operator="equal">
      <formula>"M2"</formula>
    </cfRule>
    <cfRule type="cellIs" dxfId="14" priority="173" operator="equal">
      <formula>"M1"</formula>
    </cfRule>
  </conditionalFormatting>
  <conditionalFormatting sqref="BQ3:BS38 BR39:BS52">
    <cfRule type="cellIs" dxfId="13" priority="8" operator="equal">
      <formula>"M4"</formula>
    </cfRule>
    <cfRule type="cellIs" dxfId="12" priority="174" operator="equal">
      <formula>"M3"</formula>
    </cfRule>
    <cfRule type="cellIs" dxfId="11" priority="174" operator="equal">
      <formula>"M2"</formula>
    </cfRule>
    <cfRule type="cellIs" dxfId="10" priority="174" operator="equal">
      <formula>"M1"</formula>
    </cfRule>
  </conditionalFormatting>
  <conditionalFormatting sqref="BZ1:BZ70">
    <cfRule type="cellIs" dxfId="9" priority="4" stopIfTrue="1" operator="equal">
      <formula>"C2"</formula>
    </cfRule>
    <cfRule type="cellIs" dxfId="8" priority="5" stopIfTrue="1" operator="equal">
      <formula>"WW"</formula>
    </cfRule>
  </conditionalFormatting>
  <conditionalFormatting sqref="CA3:CA103">
    <cfRule type="cellIs" dxfId="7" priority="6" operator="equal">
      <formula>"M2"</formula>
    </cfRule>
    <cfRule type="cellIs" dxfId="6" priority="6" operator="equal">
      <formula>"M4"</formula>
    </cfRule>
    <cfRule type="cellIs" dxfId="5" priority="7" operator="equal">
      <formula>"M1"</formula>
    </cfRule>
    <cfRule type="cellIs" dxfId="4" priority="175" operator="equal">
      <formula>"M3"</formula>
    </cfRule>
  </conditionalFormatting>
  <conditionalFormatting sqref="CA1:CA103 CA105:CA1048576">
    <cfRule type="cellIs" dxfId="3" priority="176" operator="equal">
      <formula>"E"</formula>
    </cfRule>
  </conditionalFormatting>
  <conditionalFormatting sqref="CD2">
    <cfRule type="cellIs" dxfId="2" priority="3" operator="equal">
      <formula>"E"</formula>
    </cfRule>
  </conditionalFormatting>
  <conditionalFormatting sqref="CD11:CD103 CD105:CD1048576">
    <cfRule type="cellIs" dxfId="1" priority="2" operator="equal">
      <formula>"E"</formula>
    </cfRule>
  </conditionalFormatting>
  <conditionalFormatting sqref="CD3:CD10">
    <cfRule type="cellIs" dxfId="0" priority="1" operator="equal">
      <formula>"E"</formula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7FA19FE-7E37-472E-B56F-A22EC4B184C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J13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27</vt:i4>
      </vt:variant>
    </vt:vector>
  </HeadingPairs>
  <TitlesOfParts>
    <vt:vector size="27" baseType="lpstr">
      <vt:lpstr>Overview</vt:lpstr>
      <vt:lpstr>Extra_info</vt:lpstr>
      <vt:lpstr>Description</vt:lpstr>
      <vt:lpstr>Card_Info_NoExtra_testA</vt:lpstr>
      <vt:lpstr>Card_Info_NoExtra_testB</vt:lpstr>
      <vt:lpstr>Card_Bet1</vt:lpstr>
      <vt:lpstr>Sim_Mul_Bet1</vt:lpstr>
      <vt:lpstr>Card_Bet5</vt:lpstr>
      <vt:lpstr>Sim_Mul_Bet5</vt:lpstr>
      <vt:lpstr>Card_Bet10</vt:lpstr>
      <vt:lpstr>Sim_Mul_Bet10</vt:lpstr>
      <vt:lpstr>Card_Bet50</vt:lpstr>
      <vt:lpstr>Sim_Mul_Bet50</vt:lpstr>
      <vt:lpstr>Card_Bet100</vt:lpstr>
      <vt:lpstr>OP Jackpot</vt:lpstr>
      <vt:lpstr>Sim_Mul_Bet100</vt:lpstr>
      <vt:lpstr>bet1p_A</vt:lpstr>
      <vt:lpstr>bet1p_B</vt:lpstr>
      <vt:lpstr>bet5p_A</vt:lpstr>
      <vt:lpstr>bet5p_B</vt:lpstr>
      <vt:lpstr>bet10p_A</vt:lpstr>
      <vt:lpstr>bet10p_B</vt:lpstr>
      <vt:lpstr>bet50p_A</vt:lpstr>
      <vt:lpstr>bet50p_B</vt:lpstr>
      <vt:lpstr>bet100p_A</vt:lpstr>
      <vt:lpstr>bet100p_B</vt:lpstr>
      <vt:lpstr>bet100p_C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鍾皓東</dc:creator>
  <cp:lastModifiedBy>宏羲 沈</cp:lastModifiedBy>
  <dcterms:created xsi:type="dcterms:W3CDTF">2024-02-20T05:43:38Z</dcterms:created>
  <dcterms:modified xsi:type="dcterms:W3CDTF">2026-10-27T05:05:51Z</dcterms:modified>
</cp:coreProperties>
</file>