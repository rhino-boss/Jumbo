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腳本表_92A" sheetId="1" state="visible" r:id="rId1"/>
    <sheet xmlns:r="http://schemas.openxmlformats.org/officeDocument/2006/relationships" name="腳本表_92B" sheetId="2" state="visible" r:id="rId2"/>
    <sheet xmlns:r="http://schemas.openxmlformats.org/officeDocument/2006/relationships" name="腳本表_94A" sheetId="3" state="visible" r:id="rId3"/>
    <sheet xmlns:r="http://schemas.openxmlformats.org/officeDocument/2006/relationships" name="腳本表_94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urier New"/>
      <b val="1"/>
      <sz val="12"/>
    </font>
    <font>
      <name val="Courier New"/>
      <color rgb="FF7F7F00"/>
      <sz val="12"/>
    </font>
    <font>
      <name val="Courier New"/>
      <sz val="12"/>
    </font>
  </fonts>
  <fills count="5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D9D9D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3" borderId="1" pivotButton="0" quotePrefix="0" xfId="0"/>
    <xf numFmtId="0" fontId="3" fillId="0" borderId="1" pivotButton="0" quotePrefix="0" xfId="0"/>
    <xf numFmtId="10" fontId="3" fillId="0" borderId="1" pivotButton="0" quotePrefix="0" xfId="0"/>
    <xf numFmtId="0" fontId="3" fillId="4" borderId="1" pivotButton="0" quotePrefix="0" xfId="0"/>
    <xf numFmtId="10" fontId="3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.5" customWidth="1" min="1" max="1"/>
    <col width="90" customWidth="1" min="2" max="2"/>
    <col width="10" customWidth="1" min="3" max="3"/>
    <col width="15.125" customWidth="1" min="4" max="4"/>
    <col width="12.375" customWidth="1" min="5" max="5"/>
    <col width="7.125" customWidth="1" min="6" max="6"/>
    <col width="13.25" customWidth="1" min="7" max="7"/>
    <col width="14" customWidth="1" min="8" max="8"/>
    <col width="22" customWidth="1" min="9" max="9"/>
  </cols>
  <sheetData>
    <row r="1">
      <c r="A1" s="1" t="inlineStr">
        <is>
          <t>H027 宙斯 2500（101027）表演腳本表 — 92A 版（待填）</t>
        </is>
      </c>
    </row>
    <row r="2">
      <c r="A2" s="2" t="inlineStr">
        <is>
          <t>版本 7.4.0.0｜依《專案需知／腳本規範》｜RNG 錄好後必須在 92A 正式 Config 重放驗證，得分＝表列 Multi</t>
        </is>
      </c>
    </row>
    <row r="4">
      <c r="A4" s="3" t="inlineStr">
        <is>
          <t>一、新手體驗</t>
        </is>
      </c>
    </row>
    <row r="5">
      <c r="A5" s="4" t="inlineStr">
        <is>
          <t>腳本</t>
        </is>
      </c>
      <c r="B5" s="4" t="inlineStr">
        <is>
          <t>RNG</t>
        </is>
      </c>
      <c r="C5" s="4" t="inlineStr">
        <is>
          <t>Multi</t>
        </is>
      </c>
      <c r="D5" s="4" t="inlineStr">
        <is>
          <t>RTP</t>
        </is>
      </c>
      <c r="E5" s="4" t="inlineStr">
        <is>
          <t>抽選權重</t>
        </is>
      </c>
      <c r="F5" s="4" t="inlineStr">
        <is>
          <t>押注</t>
        </is>
      </c>
    </row>
    <row r="6">
      <c r="A6" s="5" t="inlineStr">
        <is>
          <t>新手體驗 NB Free Game A</t>
        </is>
      </c>
      <c r="B6" s="5" t="n"/>
      <c r="C6" s="5" t="n"/>
      <c r="D6" s="6">
        <f>IF(C6="","",C6/F6)</f>
        <v/>
      </c>
      <c r="E6" s="7" t="n">
        <v>1</v>
      </c>
      <c r="F6" s="5" t="n">
        <v>1</v>
      </c>
    </row>
    <row r="7">
      <c r="A7" s="5" t="inlineStr">
        <is>
          <t>新手體驗 NB Free Game B</t>
        </is>
      </c>
      <c r="B7" s="5" t="n"/>
      <c r="C7" s="5" t="n"/>
      <c r="D7" s="6">
        <f>IF(C7="","",C7/F7)</f>
        <v/>
      </c>
      <c r="E7" s="7" t="n">
        <v>1</v>
      </c>
      <c r="F7" s="5" t="n">
        <v>1</v>
      </c>
    </row>
    <row r="8">
      <c r="A8" s="5" t="inlineStr">
        <is>
          <t>新手體驗 NB Jackpot Game A</t>
        </is>
      </c>
      <c r="B8" s="5" t="n"/>
      <c r="C8" s="5" t="n"/>
      <c r="D8" s="6">
        <f>IF(C8="","",C8/F8)</f>
        <v/>
      </c>
      <c r="E8" s="7" t="n">
        <v>1</v>
      </c>
      <c r="F8" s="5" t="n">
        <v>1</v>
      </c>
    </row>
    <row r="9">
      <c r="A9" s="5" t="inlineStr">
        <is>
          <t>新手體驗 NB Jackpot Game B</t>
        </is>
      </c>
      <c r="B9" s="5" t="n"/>
      <c r="C9" s="5" t="n"/>
      <c r="D9" s="6">
        <f>IF(C9="","",C9/F9)</f>
        <v/>
      </c>
      <c r="E9" s="7" t="n">
        <v>1</v>
      </c>
      <c r="F9" s="5" t="n">
        <v>1</v>
      </c>
    </row>
    <row r="10">
      <c r="A10" s="5" t="inlineStr">
        <is>
          <t>新手體驗 EB Free Game A</t>
        </is>
      </c>
      <c r="B10" s="5" t="n"/>
      <c r="C10" s="5" t="n"/>
      <c r="D10" s="6">
        <f>IF(C10="","",C10/F10)</f>
        <v/>
      </c>
      <c r="E10" s="7" t="n">
        <v>1</v>
      </c>
      <c r="F10" s="5" t="n">
        <v>2</v>
      </c>
    </row>
    <row r="11">
      <c r="A11" s="5" t="inlineStr">
        <is>
          <t>新手體驗 EB Free Game B</t>
        </is>
      </c>
      <c r="B11" s="5" t="n"/>
      <c r="C11" s="5" t="n"/>
      <c r="D11" s="6">
        <f>IF(C11="","",C11/F11)</f>
        <v/>
      </c>
      <c r="E11" s="7" t="n">
        <v>1</v>
      </c>
      <c r="F11" s="5" t="n">
        <v>2</v>
      </c>
    </row>
    <row r="12">
      <c r="A12" s="5" t="inlineStr">
        <is>
          <t>新手體驗 EB Jackpot Game A</t>
        </is>
      </c>
      <c r="B12" s="5" t="n"/>
      <c r="C12" s="5" t="n"/>
      <c r="D12" s="6">
        <f>IF(C12="","",C12/F12)</f>
        <v/>
      </c>
      <c r="E12" s="7" t="n">
        <v>1</v>
      </c>
      <c r="F12" s="5" t="n">
        <v>2</v>
      </c>
    </row>
    <row r="13">
      <c r="A13" s="5" t="inlineStr">
        <is>
          <t>新手體驗 EB Jackpot Game B</t>
        </is>
      </c>
      <c r="B13" s="5" t="n"/>
      <c r="C13" s="5" t="n"/>
      <c r="D13" s="6">
        <f>IF(C13="","",C13/F13)</f>
        <v/>
      </c>
      <c r="E13" s="7" t="n">
        <v>1</v>
      </c>
      <c r="F13" s="5" t="n">
        <v>2</v>
      </c>
    </row>
    <row r="14">
      <c r="A14" s="2" t="inlineStr">
        <is>
          <t>• 抽選權重固定＝1；押注 NB＝1、EB＝2；RTP＝Multi÷押注。同名 A／B 兩支等權重擇一。</t>
        </is>
      </c>
    </row>
    <row r="15">
      <c r="A15" s="2" t="inlineStr">
        <is>
          <t>• Free Game 體驗＝觸發 4 顆以上 [C1] 進 FG（15 把）的完整表演；Jackpot Game 體驗＝OP Jackpot 12 選 3 小遊戲表演。</t>
        </is>
      </c>
    </row>
    <row r="16">
      <c r="A16" s="2" t="inlineStr">
        <is>
          <t>• 新手體驗不含 BF。新手權重在同一版（A 或 B）的 92／94 共用，RNG 可跨 92／94 共用（須各自重放確認）。</t>
        </is>
      </c>
    </row>
    <row r="18">
      <c r="A18" s="3" t="inlineStr">
        <is>
          <t>二、Buy Feature（押注 100）</t>
        </is>
      </c>
    </row>
    <row r="19">
      <c r="A19" s="4" t="inlineStr">
        <is>
          <t>腳本</t>
        </is>
      </c>
      <c r="B19" s="4" t="inlineStr">
        <is>
          <t>RNG</t>
        </is>
      </c>
      <c r="C19" s="4" t="inlineStr">
        <is>
          <t>Multi</t>
        </is>
      </c>
      <c r="D19" s="4" t="inlineStr">
        <is>
          <t>RTP</t>
        </is>
      </c>
      <c r="E19" s="4" t="inlineStr">
        <is>
          <t>抽選權重</t>
        </is>
      </c>
      <c r="F19" s="4" t="inlineStr">
        <is>
          <t>押注</t>
        </is>
      </c>
    </row>
    <row r="20">
      <c r="A20" s="5" t="inlineStr">
        <is>
          <t>Buy Feature A1 中Bet</t>
        </is>
      </c>
      <c r="B20" s="5" t="n"/>
      <c r="C20" s="5" t="n"/>
      <c r="D20" s="6">
        <f>IF(C20="","",C20/F20)</f>
        <v/>
      </c>
      <c r="E20" s="5" t="n"/>
      <c r="F20" s="5" t="n">
        <v>100</v>
      </c>
    </row>
    <row r="21">
      <c r="A21" s="5" t="inlineStr">
        <is>
          <t>Buy Feature A2 中Bet</t>
        </is>
      </c>
      <c r="B21" s="5" t="n"/>
      <c r="C21" s="5" t="n"/>
      <c r="D21" s="6">
        <f>IF(C21="","",C21/F21)</f>
        <v/>
      </c>
      <c r="E21" s="5" t="n"/>
      <c r="F21" s="5" t="n">
        <v>100</v>
      </c>
    </row>
    <row r="22">
      <c r="A22" s="5" t="inlineStr">
        <is>
          <t>Buy Feature A3 中Bet</t>
        </is>
      </c>
      <c r="B22" s="5" t="n"/>
      <c r="C22" s="5" t="n"/>
      <c r="D22" s="6">
        <f>IF(C22="","",C22/F22)</f>
        <v/>
      </c>
      <c r="E22" s="5" t="n"/>
      <c r="F22" s="5" t="n">
        <v>100</v>
      </c>
      <c r="H22" s="8">
        <f>IFERROR(SUMPRODUCT(D20:D22,E20:E22)/SUM(E20:E22),"")</f>
        <v/>
      </c>
      <c r="I22" s="9" t="inlineStr">
        <is>
          <t>← 中 Bet（92 版） 加權 RTP</t>
        </is>
      </c>
    </row>
    <row r="23">
      <c r="A23" s="5" t="inlineStr">
        <is>
          <t>Buy Feature A1 大Bet</t>
        </is>
      </c>
      <c r="B23" s="5" t="n"/>
      <c r="C23" s="5" t="n"/>
      <c r="D23" s="6">
        <f>IF(C23="","",C23/F23)</f>
        <v/>
      </c>
      <c r="E23" s="5" t="n"/>
      <c r="F23" s="5" t="n">
        <v>100</v>
      </c>
    </row>
    <row r="24">
      <c r="A24" s="5" t="inlineStr">
        <is>
          <t>Buy Feature A2 大Bet</t>
        </is>
      </c>
      <c r="B24" s="5" t="n"/>
      <c r="C24" s="5" t="n"/>
      <c r="D24" s="6">
        <f>IF(C24="","",C24/F24)</f>
        <v/>
      </c>
      <c r="E24" s="5" t="n"/>
      <c r="F24" s="5" t="n">
        <v>100</v>
      </c>
    </row>
    <row r="25">
      <c r="A25" s="5" t="inlineStr">
        <is>
          <t>Buy Feature A3 大Bet</t>
        </is>
      </c>
      <c r="B25" s="5" t="n"/>
      <c r="C25" s="5" t="n"/>
      <c r="D25" s="6">
        <f>IF(C25="","",C25/F25)</f>
        <v/>
      </c>
      <c r="E25" s="5" t="n"/>
      <c r="F25" s="5" t="n">
        <v>100</v>
      </c>
      <c r="H25" s="8">
        <f>IFERROR(SUMPRODUCT(D23:D25,E23:E25)/SUM(E23:E25),"")</f>
        <v/>
      </c>
      <c r="I25" s="9" t="inlineStr">
        <is>
          <t>← 大 Bet（92_Bet100） 加權 RTP</t>
        </is>
      </c>
    </row>
    <row r="26">
      <c r="A26" s="5" t="inlineStr">
        <is>
          <t>Buy Feature B1 中Bet</t>
        </is>
      </c>
      <c r="B26" s="5" t="n"/>
      <c r="C26" s="5" t="n"/>
      <c r="D26" s="6">
        <f>IF(C26="","",C26/F26)</f>
        <v/>
      </c>
      <c r="E26" s="5" t="n"/>
      <c r="F26" s="5" t="n">
        <v>100</v>
      </c>
    </row>
    <row r="27">
      <c r="A27" s="5" t="inlineStr">
        <is>
          <t>Buy Feature B2 中Bet</t>
        </is>
      </c>
      <c r="B27" s="5" t="n"/>
      <c r="C27" s="5" t="n"/>
      <c r="D27" s="6">
        <f>IF(C27="","",C27/F27)</f>
        <v/>
      </c>
      <c r="E27" s="5" t="n"/>
      <c r="F27" s="5" t="n">
        <v>100</v>
      </c>
    </row>
    <row r="28">
      <c r="A28" s="5" t="inlineStr">
        <is>
          <t>Buy Feature B3 中Bet</t>
        </is>
      </c>
      <c r="B28" s="5" t="n"/>
      <c r="C28" s="5" t="n"/>
      <c r="D28" s="6">
        <f>IF(C28="","",C28/F28)</f>
        <v/>
      </c>
      <c r="E28" s="5" t="n"/>
      <c r="F28" s="5" t="n">
        <v>100</v>
      </c>
      <c r="H28" s="8">
        <f>IFERROR(SUMPRODUCT(D26:D28,E26:E28)/SUM(E26:E28),"")</f>
        <v/>
      </c>
      <c r="I28" s="9" t="inlineStr">
        <is>
          <t>← 中 Bet（92 版） 加權 RTP</t>
        </is>
      </c>
    </row>
    <row r="29">
      <c r="A29" s="5" t="inlineStr">
        <is>
          <t>Buy Feature B1 大Bet</t>
        </is>
      </c>
      <c r="B29" s="5" t="n"/>
      <c r="C29" s="5" t="n"/>
      <c r="D29" s="6">
        <f>IF(C29="","",C29/F29)</f>
        <v/>
      </c>
      <c r="E29" s="5" t="n"/>
      <c r="F29" s="5" t="n">
        <v>100</v>
      </c>
    </row>
    <row r="30">
      <c r="A30" s="5" t="inlineStr">
        <is>
          <t>Buy Feature B2 大Bet</t>
        </is>
      </c>
      <c r="B30" s="5" t="n"/>
      <c r="C30" s="5" t="n"/>
      <c r="D30" s="6">
        <f>IF(C30="","",C30/F30)</f>
        <v/>
      </c>
      <c r="E30" s="5" t="n"/>
      <c r="F30" s="5" t="n">
        <v>100</v>
      </c>
    </row>
    <row r="31">
      <c r="A31" s="5" t="inlineStr">
        <is>
          <t>Buy Feature B3 大Bet</t>
        </is>
      </c>
      <c r="B31" s="5" t="n"/>
      <c r="C31" s="5" t="n"/>
      <c r="D31" s="6">
        <f>IF(C31="","",C31/F31)</f>
        <v/>
      </c>
      <c r="E31" s="5" t="n"/>
      <c r="F31" s="5" t="n">
        <v>100</v>
      </c>
      <c r="H31" s="8">
        <f>IFERROR(SUMPRODUCT(D29:D31,E29:E31)/SUM(E29:E31),"")</f>
        <v/>
      </c>
      <c r="I31" s="9" t="inlineStr">
        <is>
          <t>← 大 Bet（92_Bet100） 加權 RTP</t>
        </is>
      </c>
    </row>
    <row r="32">
      <c r="A32" s="2" t="inlineStr">
        <is>
          <t>• 三檔＝高／中／低 RTP；權重必須滿足 Σ(RTP×權重)÷Σ(權重)＝96.00%（H 欄自動驗算，小數 2 位精確）。</t>
        </is>
      </c>
    </row>
    <row r="33">
      <c r="A33" s="2" t="inlineStr">
        <is>
          <t>• RTP＝Multi÷100；A／B 兩組為表演變化：先等權重抽 A／B，再依權重抽 1～3。</t>
        </is>
      </c>
    </row>
    <row r="34">
      <c r="A34" s="2" t="inlineStr">
        <is>
          <t>• 押注分層：小 Bet（&lt; $2）用 94 版；中 Bet（$2～$100）用 92 版；大 Bet（&gt; $100）用 92_Bet100。</t>
        </is>
      </c>
    </row>
    <row r="36">
      <c r="A36" s="3" t="inlineStr">
        <is>
          <t>三、新手 NB Free Spin 系統（FG 15 把）</t>
        </is>
      </c>
    </row>
    <row r="37">
      <c r="A37" s="4" t="inlineStr">
        <is>
          <t>腳本</t>
        </is>
      </c>
      <c r="B37" s="4" t="inlineStr">
        <is>
          <t>RNG</t>
        </is>
      </c>
      <c r="C37" s="4" t="inlineStr">
        <is>
          <t>Multi</t>
        </is>
      </c>
      <c r="D37" s="4" t="inlineStr">
        <is>
          <t>RTP</t>
        </is>
      </c>
      <c r="E37" s="4" t="inlineStr">
        <is>
          <t>抽選權重</t>
        </is>
      </c>
      <c r="F37" s="4" t="inlineStr">
        <is>
          <t>押注</t>
        </is>
      </c>
    </row>
    <row r="38">
      <c r="A38" s="5" t="n"/>
      <c r="B38" s="5" t="n"/>
      <c r="C38" s="5" t="n"/>
      <c r="D38" s="6">
        <f>IF(C38="","",C38/F38)</f>
        <v/>
      </c>
      <c r="E38" s="5" t="n"/>
      <c r="F38" s="5" t="n"/>
    </row>
    <row r="39">
      <c r="A39" s="5" t="n"/>
      <c r="B39" s="5" t="n"/>
      <c r="C39" s="5" t="n"/>
      <c r="D39" s="6">
        <f>IF(C39="","",C39/F39)</f>
        <v/>
      </c>
      <c r="E39" s="5" t="n"/>
      <c r="F39" s="5" t="n"/>
    </row>
    <row r="40">
      <c r="A40" s="5" t="n"/>
      <c r="B40" s="5" t="n"/>
      <c r="C40" s="5" t="n"/>
      <c r="D40" s="6">
        <f>IF(C40="","",C40/F40)</f>
        <v/>
      </c>
      <c r="E40" s="5" t="n"/>
      <c r="F40" s="5" t="n"/>
    </row>
    <row r="41">
      <c r="A41" s="2" t="inlineStr">
        <is>
          <t>• 本節排法與支數由負責人另行排定（宙斯 FG 15 把，與規範的 10 把範例不同）。</t>
        </is>
      </c>
    </row>
    <row r="43">
      <c r="A43" s="1" t="inlineStr">
        <is>
          <t>合計：新手體驗 8＋Buy Feature 12＋Free Spin 系統（待排）</t>
        </is>
      </c>
    </row>
    <row r="45">
      <c r="A45" s="9" t="inlineStr">
        <is>
          <t>□ 每支 RNG 已在 92A 正式 Config 重放驗證，結果＝表列 Multi</t>
        </is>
      </c>
    </row>
    <row r="46">
      <c r="A46" s="9" t="inlineStr">
        <is>
          <t>□ BF 各組加權整合＝96.00%（小數 2 位精確）</t>
        </is>
      </c>
    </row>
    <row r="47">
      <c r="A47" s="9" t="inlineStr">
        <is>
          <t>□ 新手體驗 NB／EB 各 Free Game A／B、Jackpot Game A／B 齊全，權重＝1</t>
        </is>
      </c>
    </row>
    <row r="48">
      <c r="A48" s="9" t="inlineStr">
        <is>
          <t>□ 腳本倍率未超上限（92 版一般：BG 250x、FG 20,000x；大 Bet（92_Bet100）：BG 140x、FG／BF 1,000x）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.5" customWidth="1" min="1" max="1"/>
    <col width="90" customWidth="1" min="2" max="2"/>
    <col width="10" customWidth="1" min="3" max="3"/>
    <col width="15.125" customWidth="1" min="4" max="4"/>
    <col width="12.375" customWidth="1" min="5" max="5"/>
    <col width="7.125" customWidth="1" min="6" max="6"/>
    <col width="13.25" customWidth="1" min="7" max="7"/>
    <col width="14" customWidth="1" min="8" max="8"/>
    <col width="22" customWidth="1" min="9" max="9"/>
  </cols>
  <sheetData>
    <row r="1">
      <c r="A1" s="1" t="inlineStr">
        <is>
          <t>H027 宙斯 2500（101027）表演腳本表 — 92B 版（待填）</t>
        </is>
      </c>
    </row>
    <row r="2">
      <c r="A2" s="2" t="inlineStr">
        <is>
          <t>版本 7.4.0.0｜依《專案需知／腳本規範》｜RNG 錄好後必須在 92B 正式 Config 重放驗證，得分＝表列 Multi</t>
        </is>
      </c>
    </row>
    <row r="4">
      <c r="A4" s="3" t="inlineStr">
        <is>
          <t>一、新手體驗</t>
        </is>
      </c>
    </row>
    <row r="5">
      <c r="A5" s="4" t="inlineStr">
        <is>
          <t>腳本</t>
        </is>
      </c>
      <c r="B5" s="4" t="inlineStr">
        <is>
          <t>RNG</t>
        </is>
      </c>
      <c r="C5" s="4" t="inlineStr">
        <is>
          <t>Multi</t>
        </is>
      </c>
      <c r="D5" s="4" t="inlineStr">
        <is>
          <t>RTP</t>
        </is>
      </c>
      <c r="E5" s="4" t="inlineStr">
        <is>
          <t>抽選權重</t>
        </is>
      </c>
      <c r="F5" s="4" t="inlineStr">
        <is>
          <t>押注</t>
        </is>
      </c>
    </row>
    <row r="6">
      <c r="A6" s="5" t="inlineStr">
        <is>
          <t>新手體驗 NB Free Game A</t>
        </is>
      </c>
      <c r="B6" s="5" t="n"/>
      <c r="C6" s="5" t="n"/>
      <c r="D6" s="6">
        <f>IF(C6="","",C6/F6)</f>
        <v/>
      </c>
      <c r="E6" s="7" t="n">
        <v>1</v>
      </c>
      <c r="F6" s="5" t="n">
        <v>1</v>
      </c>
    </row>
    <row r="7">
      <c r="A7" s="5" t="inlineStr">
        <is>
          <t>新手體驗 NB Free Game B</t>
        </is>
      </c>
      <c r="B7" s="5" t="n"/>
      <c r="C7" s="5" t="n"/>
      <c r="D7" s="6">
        <f>IF(C7="","",C7/F7)</f>
        <v/>
      </c>
      <c r="E7" s="7" t="n">
        <v>1</v>
      </c>
      <c r="F7" s="5" t="n">
        <v>1</v>
      </c>
    </row>
    <row r="8">
      <c r="A8" s="5" t="inlineStr">
        <is>
          <t>新手體驗 NB Jackpot Game A</t>
        </is>
      </c>
      <c r="B8" s="5" t="n"/>
      <c r="C8" s="5" t="n"/>
      <c r="D8" s="6">
        <f>IF(C8="","",C8/F8)</f>
        <v/>
      </c>
      <c r="E8" s="7" t="n">
        <v>1</v>
      </c>
      <c r="F8" s="5" t="n">
        <v>1</v>
      </c>
    </row>
    <row r="9">
      <c r="A9" s="5" t="inlineStr">
        <is>
          <t>新手體驗 NB Jackpot Game B</t>
        </is>
      </c>
      <c r="B9" s="5" t="n"/>
      <c r="C9" s="5" t="n"/>
      <c r="D9" s="6">
        <f>IF(C9="","",C9/F9)</f>
        <v/>
      </c>
      <c r="E9" s="7" t="n">
        <v>1</v>
      </c>
      <c r="F9" s="5" t="n">
        <v>1</v>
      </c>
    </row>
    <row r="10">
      <c r="A10" s="5" t="inlineStr">
        <is>
          <t>新手體驗 EB Free Game A</t>
        </is>
      </c>
      <c r="B10" s="5" t="n"/>
      <c r="C10" s="5" t="n"/>
      <c r="D10" s="6">
        <f>IF(C10="","",C10/F10)</f>
        <v/>
      </c>
      <c r="E10" s="7" t="n">
        <v>1</v>
      </c>
      <c r="F10" s="5" t="n">
        <v>2</v>
      </c>
    </row>
    <row r="11">
      <c r="A11" s="5" t="inlineStr">
        <is>
          <t>新手體驗 EB Free Game B</t>
        </is>
      </c>
      <c r="B11" s="5" t="n"/>
      <c r="C11" s="5" t="n"/>
      <c r="D11" s="6">
        <f>IF(C11="","",C11/F11)</f>
        <v/>
      </c>
      <c r="E11" s="7" t="n">
        <v>1</v>
      </c>
      <c r="F11" s="5" t="n">
        <v>2</v>
      </c>
    </row>
    <row r="12">
      <c r="A12" s="5" t="inlineStr">
        <is>
          <t>新手體驗 EB Jackpot Game A</t>
        </is>
      </c>
      <c r="B12" s="5" t="n"/>
      <c r="C12" s="5" t="n"/>
      <c r="D12" s="6">
        <f>IF(C12="","",C12/F12)</f>
        <v/>
      </c>
      <c r="E12" s="7" t="n">
        <v>1</v>
      </c>
      <c r="F12" s="5" t="n">
        <v>2</v>
      </c>
    </row>
    <row r="13">
      <c r="A13" s="5" t="inlineStr">
        <is>
          <t>新手體驗 EB Jackpot Game B</t>
        </is>
      </c>
      <c r="B13" s="5" t="n"/>
      <c r="C13" s="5" t="n"/>
      <c r="D13" s="6">
        <f>IF(C13="","",C13/F13)</f>
        <v/>
      </c>
      <c r="E13" s="7" t="n">
        <v>1</v>
      </c>
      <c r="F13" s="5" t="n">
        <v>2</v>
      </c>
    </row>
    <row r="14">
      <c r="A14" s="2" t="inlineStr">
        <is>
          <t>• 抽選權重固定＝1；押注 NB＝1、EB＝2；RTP＝Multi÷押注。同名 A／B 兩支等權重擇一。</t>
        </is>
      </c>
    </row>
    <row r="15">
      <c r="A15" s="2" t="inlineStr">
        <is>
          <t>• Free Game 體驗＝觸發 4 顆以上 [C1] 進 FG（15 把）的完整表演；Jackpot Game 體驗＝OP Jackpot 12 選 3 小遊戲表演。</t>
        </is>
      </c>
    </row>
    <row r="16">
      <c r="A16" s="2" t="inlineStr">
        <is>
          <t>• 新手體驗不含 BF。新手權重在同一版（A 或 B）的 92／94 共用，RNG 可跨 92／94 共用（須各自重放確認）。</t>
        </is>
      </c>
    </row>
    <row r="18">
      <c r="A18" s="3" t="inlineStr">
        <is>
          <t>二、Buy Feature（押注 100）</t>
        </is>
      </c>
    </row>
    <row r="19">
      <c r="A19" s="4" t="inlineStr">
        <is>
          <t>腳本</t>
        </is>
      </c>
      <c r="B19" s="4" t="inlineStr">
        <is>
          <t>RNG</t>
        </is>
      </c>
      <c r="C19" s="4" t="inlineStr">
        <is>
          <t>Multi</t>
        </is>
      </c>
      <c r="D19" s="4" t="inlineStr">
        <is>
          <t>RTP</t>
        </is>
      </c>
      <c r="E19" s="4" t="inlineStr">
        <is>
          <t>抽選權重</t>
        </is>
      </c>
      <c r="F19" s="4" t="inlineStr">
        <is>
          <t>押注</t>
        </is>
      </c>
    </row>
    <row r="20">
      <c r="A20" s="5" t="inlineStr">
        <is>
          <t>Buy Feature A1 中Bet</t>
        </is>
      </c>
      <c r="B20" s="5" t="n"/>
      <c r="C20" s="5" t="n"/>
      <c r="D20" s="6">
        <f>IF(C20="","",C20/F20)</f>
        <v/>
      </c>
      <c r="E20" s="5" t="n"/>
      <c r="F20" s="5" t="n">
        <v>100</v>
      </c>
    </row>
    <row r="21">
      <c r="A21" s="5" t="inlineStr">
        <is>
          <t>Buy Feature A2 中Bet</t>
        </is>
      </c>
      <c r="B21" s="5" t="n"/>
      <c r="C21" s="5" t="n"/>
      <c r="D21" s="6">
        <f>IF(C21="","",C21/F21)</f>
        <v/>
      </c>
      <c r="E21" s="5" t="n"/>
      <c r="F21" s="5" t="n">
        <v>100</v>
      </c>
    </row>
    <row r="22">
      <c r="A22" s="5" t="inlineStr">
        <is>
          <t>Buy Feature A3 中Bet</t>
        </is>
      </c>
      <c r="B22" s="5" t="n"/>
      <c r="C22" s="5" t="n"/>
      <c r="D22" s="6">
        <f>IF(C22="","",C22/F22)</f>
        <v/>
      </c>
      <c r="E22" s="5" t="n"/>
      <c r="F22" s="5" t="n">
        <v>100</v>
      </c>
      <c r="H22" s="8">
        <f>IFERROR(SUMPRODUCT(D20:D22,E20:E22)/SUM(E20:E22),"")</f>
        <v/>
      </c>
      <c r="I22" s="9" t="inlineStr">
        <is>
          <t>← 中 Bet（92 版） 加權 RTP</t>
        </is>
      </c>
    </row>
    <row r="23">
      <c r="A23" s="5" t="inlineStr">
        <is>
          <t>Buy Feature A1 大Bet</t>
        </is>
      </c>
      <c r="B23" s="5" t="n"/>
      <c r="C23" s="5" t="n"/>
      <c r="D23" s="6">
        <f>IF(C23="","",C23/F23)</f>
        <v/>
      </c>
      <c r="E23" s="5" t="n"/>
      <c r="F23" s="5" t="n">
        <v>100</v>
      </c>
    </row>
    <row r="24">
      <c r="A24" s="5" t="inlineStr">
        <is>
          <t>Buy Feature A2 大Bet</t>
        </is>
      </c>
      <c r="B24" s="5" t="n"/>
      <c r="C24" s="5" t="n"/>
      <c r="D24" s="6">
        <f>IF(C24="","",C24/F24)</f>
        <v/>
      </c>
      <c r="E24" s="5" t="n"/>
      <c r="F24" s="5" t="n">
        <v>100</v>
      </c>
    </row>
    <row r="25">
      <c r="A25" s="5" t="inlineStr">
        <is>
          <t>Buy Feature A3 大Bet</t>
        </is>
      </c>
      <c r="B25" s="5" t="n"/>
      <c r="C25" s="5" t="n"/>
      <c r="D25" s="6">
        <f>IF(C25="","",C25/F25)</f>
        <v/>
      </c>
      <c r="E25" s="5" t="n"/>
      <c r="F25" s="5" t="n">
        <v>100</v>
      </c>
      <c r="H25" s="8">
        <f>IFERROR(SUMPRODUCT(D23:D25,E23:E25)/SUM(E23:E25),"")</f>
        <v/>
      </c>
      <c r="I25" s="9" t="inlineStr">
        <is>
          <t>← 大 Bet（92_Bet100） 加權 RTP</t>
        </is>
      </c>
    </row>
    <row r="26">
      <c r="A26" s="5" t="inlineStr">
        <is>
          <t>Buy Feature B1 中Bet</t>
        </is>
      </c>
      <c r="B26" s="5" t="n"/>
      <c r="C26" s="5" t="n"/>
      <c r="D26" s="6">
        <f>IF(C26="","",C26/F26)</f>
        <v/>
      </c>
      <c r="E26" s="5" t="n"/>
      <c r="F26" s="5" t="n">
        <v>100</v>
      </c>
    </row>
    <row r="27">
      <c r="A27" s="5" t="inlineStr">
        <is>
          <t>Buy Feature B2 中Bet</t>
        </is>
      </c>
      <c r="B27" s="5" t="n"/>
      <c r="C27" s="5" t="n"/>
      <c r="D27" s="6">
        <f>IF(C27="","",C27/F27)</f>
        <v/>
      </c>
      <c r="E27" s="5" t="n"/>
      <c r="F27" s="5" t="n">
        <v>100</v>
      </c>
    </row>
    <row r="28">
      <c r="A28" s="5" t="inlineStr">
        <is>
          <t>Buy Feature B3 中Bet</t>
        </is>
      </c>
      <c r="B28" s="5" t="n"/>
      <c r="C28" s="5" t="n"/>
      <c r="D28" s="6">
        <f>IF(C28="","",C28/F28)</f>
        <v/>
      </c>
      <c r="E28" s="5" t="n"/>
      <c r="F28" s="5" t="n">
        <v>100</v>
      </c>
      <c r="H28" s="8">
        <f>IFERROR(SUMPRODUCT(D26:D28,E26:E28)/SUM(E26:E28),"")</f>
        <v/>
      </c>
      <c r="I28" s="9" t="inlineStr">
        <is>
          <t>← 中 Bet（92 版） 加權 RTP</t>
        </is>
      </c>
    </row>
    <row r="29">
      <c r="A29" s="5" t="inlineStr">
        <is>
          <t>Buy Feature B1 大Bet</t>
        </is>
      </c>
      <c r="B29" s="5" t="n"/>
      <c r="C29" s="5" t="n"/>
      <c r="D29" s="6">
        <f>IF(C29="","",C29/F29)</f>
        <v/>
      </c>
      <c r="E29" s="5" t="n"/>
      <c r="F29" s="5" t="n">
        <v>100</v>
      </c>
    </row>
    <row r="30">
      <c r="A30" s="5" t="inlineStr">
        <is>
          <t>Buy Feature B2 大Bet</t>
        </is>
      </c>
      <c r="B30" s="5" t="n"/>
      <c r="C30" s="5" t="n"/>
      <c r="D30" s="6">
        <f>IF(C30="","",C30/F30)</f>
        <v/>
      </c>
      <c r="E30" s="5" t="n"/>
      <c r="F30" s="5" t="n">
        <v>100</v>
      </c>
    </row>
    <row r="31">
      <c r="A31" s="5" t="inlineStr">
        <is>
          <t>Buy Feature B3 大Bet</t>
        </is>
      </c>
      <c r="B31" s="5" t="n"/>
      <c r="C31" s="5" t="n"/>
      <c r="D31" s="6">
        <f>IF(C31="","",C31/F31)</f>
        <v/>
      </c>
      <c r="E31" s="5" t="n"/>
      <c r="F31" s="5" t="n">
        <v>100</v>
      </c>
      <c r="H31" s="8">
        <f>IFERROR(SUMPRODUCT(D29:D31,E29:E31)/SUM(E29:E31),"")</f>
        <v/>
      </c>
      <c r="I31" s="9" t="inlineStr">
        <is>
          <t>← 大 Bet（92_Bet100） 加權 RTP</t>
        </is>
      </c>
    </row>
    <row r="32">
      <c r="A32" s="2" t="inlineStr">
        <is>
          <t>• 三檔＝高／中／低 RTP；權重必須滿足 Σ(RTP×權重)÷Σ(權重)＝96.00%（H 欄自動驗算，小數 2 位精確）。</t>
        </is>
      </c>
    </row>
    <row r="33">
      <c r="A33" s="2" t="inlineStr">
        <is>
          <t>• RTP＝Multi÷100；A／B 兩組為表演變化：先等權重抽 A／B，再依權重抽 1～3。</t>
        </is>
      </c>
    </row>
    <row r="34">
      <c r="A34" s="2" t="inlineStr">
        <is>
          <t>• 押注分層：小 Bet（&lt; $2）用 94 版；中 Bet（$2～$100）用 92 版；大 Bet（&gt; $100）用 92_Bet100。</t>
        </is>
      </c>
    </row>
    <row r="36">
      <c r="A36" s="3" t="inlineStr">
        <is>
          <t>三、新手 NB Free Spin 系統（FG 15 把）</t>
        </is>
      </c>
    </row>
    <row r="37">
      <c r="A37" s="4" t="inlineStr">
        <is>
          <t>腳本</t>
        </is>
      </c>
      <c r="B37" s="4" t="inlineStr">
        <is>
          <t>RNG</t>
        </is>
      </c>
      <c r="C37" s="4" t="inlineStr">
        <is>
          <t>Multi</t>
        </is>
      </c>
      <c r="D37" s="4" t="inlineStr">
        <is>
          <t>RTP</t>
        </is>
      </c>
      <c r="E37" s="4" t="inlineStr">
        <is>
          <t>抽選權重</t>
        </is>
      </c>
      <c r="F37" s="4" t="inlineStr">
        <is>
          <t>押注</t>
        </is>
      </c>
    </row>
    <row r="38">
      <c r="A38" s="5" t="n"/>
      <c r="B38" s="5" t="n"/>
      <c r="C38" s="5" t="n"/>
      <c r="D38" s="6">
        <f>IF(C38="","",C38/F38)</f>
        <v/>
      </c>
      <c r="E38" s="5" t="n"/>
      <c r="F38" s="5" t="n"/>
    </row>
    <row r="39">
      <c r="A39" s="5" t="n"/>
      <c r="B39" s="5" t="n"/>
      <c r="C39" s="5" t="n"/>
      <c r="D39" s="6">
        <f>IF(C39="","",C39/F39)</f>
        <v/>
      </c>
      <c r="E39" s="5" t="n"/>
      <c r="F39" s="5" t="n"/>
    </row>
    <row r="40">
      <c r="A40" s="5" t="n"/>
      <c r="B40" s="5" t="n"/>
      <c r="C40" s="5" t="n"/>
      <c r="D40" s="6">
        <f>IF(C40="","",C40/F40)</f>
        <v/>
      </c>
      <c r="E40" s="5" t="n"/>
      <c r="F40" s="5" t="n"/>
    </row>
    <row r="41">
      <c r="A41" s="2" t="inlineStr">
        <is>
          <t>• 本節排法與支數由負責人另行排定（宙斯 FG 15 把，與規範的 10 把範例不同）。</t>
        </is>
      </c>
    </row>
    <row r="43">
      <c r="A43" s="1" t="inlineStr">
        <is>
          <t>合計：新手體驗 8＋Buy Feature 12＋Free Spin 系統（待排）</t>
        </is>
      </c>
    </row>
    <row r="45">
      <c r="A45" s="9" t="inlineStr">
        <is>
          <t>□ 每支 RNG 已在 92B 正式 Config 重放驗證，結果＝表列 Multi</t>
        </is>
      </c>
    </row>
    <row r="46">
      <c r="A46" s="9" t="inlineStr">
        <is>
          <t>□ BF 各組加權整合＝96.00%（小數 2 位精確）</t>
        </is>
      </c>
    </row>
    <row r="47">
      <c r="A47" s="9" t="inlineStr">
        <is>
          <t>□ 新手體驗 NB／EB 各 Free Game A／B、Jackpot Game A／B 齊全，權重＝1</t>
        </is>
      </c>
    </row>
    <row r="48">
      <c r="A48" s="9" t="inlineStr">
        <is>
          <t>□ 腳本倍率未超上限（92 版一般：BG 2,000x、FG 20,000x；大 Bet（92_Bet100）：BG 200x、FG／BF 1,000x）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.5" customWidth="1" min="1" max="1"/>
    <col width="90" customWidth="1" min="2" max="2"/>
    <col width="10" customWidth="1" min="3" max="3"/>
    <col width="15.125" customWidth="1" min="4" max="4"/>
    <col width="12.375" customWidth="1" min="5" max="5"/>
    <col width="7.125" customWidth="1" min="6" max="6"/>
    <col width="13.25" customWidth="1" min="7" max="7"/>
    <col width="14" customWidth="1" min="8" max="8"/>
    <col width="22" customWidth="1" min="9" max="9"/>
  </cols>
  <sheetData>
    <row r="1">
      <c r="A1" s="1" t="inlineStr">
        <is>
          <t>H027 宙斯 2500（101027）表演腳本表 — 94A 版（待填）</t>
        </is>
      </c>
    </row>
    <row r="2">
      <c r="A2" s="2" t="inlineStr">
        <is>
          <t>版本 7.4.0.0｜依《專案需知／腳本規範》｜RNG 錄好後必須在 94A 正式 Config 重放驗證，得分＝表列 Multi</t>
        </is>
      </c>
    </row>
    <row r="4">
      <c r="A4" s="3" t="inlineStr">
        <is>
          <t>一、新手體驗</t>
        </is>
      </c>
    </row>
    <row r="5">
      <c r="A5" s="4" t="inlineStr">
        <is>
          <t>腳本</t>
        </is>
      </c>
      <c r="B5" s="4" t="inlineStr">
        <is>
          <t>RNG</t>
        </is>
      </c>
      <c r="C5" s="4" t="inlineStr">
        <is>
          <t>Multi</t>
        </is>
      </c>
      <c r="D5" s="4" t="inlineStr">
        <is>
          <t>RTP</t>
        </is>
      </c>
      <c r="E5" s="4" t="inlineStr">
        <is>
          <t>抽選權重</t>
        </is>
      </c>
      <c r="F5" s="4" t="inlineStr">
        <is>
          <t>押注</t>
        </is>
      </c>
    </row>
    <row r="6">
      <c r="A6" s="5" t="inlineStr">
        <is>
          <t>新手體驗 NB Free Game A</t>
        </is>
      </c>
      <c r="B6" s="5" t="n"/>
      <c r="C6" s="5" t="n"/>
      <c r="D6" s="6">
        <f>IF(C6="","",C6/F6)</f>
        <v/>
      </c>
      <c r="E6" s="7" t="n">
        <v>1</v>
      </c>
      <c r="F6" s="5" t="n">
        <v>1</v>
      </c>
    </row>
    <row r="7">
      <c r="A7" s="5" t="inlineStr">
        <is>
          <t>新手體驗 NB Free Game B</t>
        </is>
      </c>
      <c r="B7" s="5" t="n"/>
      <c r="C7" s="5" t="n"/>
      <c r="D7" s="6">
        <f>IF(C7="","",C7/F7)</f>
        <v/>
      </c>
      <c r="E7" s="7" t="n">
        <v>1</v>
      </c>
      <c r="F7" s="5" t="n">
        <v>1</v>
      </c>
    </row>
    <row r="8">
      <c r="A8" s="5" t="inlineStr">
        <is>
          <t>新手體驗 NB Jackpot Game A</t>
        </is>
      </c>
      <c r="B8" s="5" t="n"/>
      <c r="C8" s="5" t="n"/>
      <c r="D8" s="6">
        <f>IF(C8="","",C8/F8)</f>
        <v/>
      </c>
      <c r="E8" s="7" t="n">
        <v>1</v>
      </c>
      <c r="F8" s="5" t="n">
        <v>1</v>
      </c>
    </row>
    <row r="9">
      <c r="A9" s="5" t="inlineStr">
        <is>
          <t>新手體驗 NB Jackpot Game B</t>
        </is>
      </c>
      <c r="B9" s="5" t="n"/>
      <c r="C9" s="5" t="n"/>
      <c r="D9" s="6">
        <f>IF(C9="","",C9/F9)</f>
        <v/>
      </c>
      <c r="E9" s="7" t="n">
        <v>1</v>
      </c>
      <c r="F9" s="5" t="n">
        <v>1</v>
      </c>
    </row>
    <row r="10">
      <c r="A10" s="5" t="inlineStr">
        <is>
          <t>新手體驗 EB Free Game A</t>
        </is>
      </c>
      <c r="B10" s="5" t="n"/>
      <c r="C10" s="5" t="n"/>
      <c r="D10" s="6">
        <f>IF(C10="","",C10/F10)</f>
        <v/>
      </c>
      <c r="E10" s="7" t="n">
        <v>1</v>
      </c>
      <c r="F10" s="5" t="n">
        <v>2</v>
      </c>
    </row>
    <row r="11">
      <c r="A11" s="5" t="inlineStr">
        <is>
          <t>新手體驗 EB Free Game B</t>
        </is>
      </c>
      <c r="B11" s="5" t="n"/>
      <c r="C11" s="5" t="n"/>
      <c r="D11" s="6">
        <f>IF(C11="","",C11/F11)</f>
        <v/>
      </c>
      <c r="E11" s="7" t="n">
        <v>1</v>
      </c>
      <c r="F11" s="5" t="n">
        <v>2</v>
      </c>
    </row>
    <row r="12">
      <c r="A12" s="5" t="inlineStr">
        <is>
          <t>新手體驗 EB Jackpot Game A</t>
        </is>
      </c>
      <c r="B12" s="5" t="n"/>
      <c r="C12" s="5" t="n"/>
      <c r="D12" s="6">
        <f>IF(C12="","",C12/F12)</f>
        <v/>
      </c>
      <c r="E12" s="7" t="n">
        <v>1</v>
      </c>
      <c r="F12" s="5" t="n">
        <v>2</v>
      </c>
    </row>
    <row r="13">
      <c r="A13" s="5" t="inlineStr">
        <is>
          <t>新手體驗 EB Jackpot Game B</t>
        </is>
      </c>
      <c r="B13" s="5" t="n"/>
      <c r="C13" s="5" t="n"/>
      <c r="D13" s="6">
        <f>IF(C13="","",C13/F13)</f>
        <v/>
      </c>
      <c r="E13" s="7" t="n">
        <v>1</v>
      </c>
      <c r="F13" s="5" t="n">
        <v>2</v>
      </c>
    </row>
    <row r="14">
      <c r="A14" s="2" t="inlineStr">
        <is>
          <t>• 抽選權重固定＝1；押注 NB＝1、EB＝2；RTP＝Multi÷押注。同名 A／B 兩支等權重擇一。</t>
        </is>
      </c>
    </row>
    <row r="15">
      <c r="A15" s="2" t="inlineStr">
        <is>
          <t>• Free Game 體驗＝觸發 4 顆以上 [C1] 進 FG（15 把）的完整表演；Jackpot Game 體驗＝OP Jackpot 12 選 3 小遊戲表演。</t>
        </is>
      </c>
    </row>
    <row r="16">
      <c r="A16" s="2" t="inlineStr">
        <is>
          <t>• 新手體驗不含 BF。新手權重在同一版（A 或 B）的 92／94 共用，RNG 可跨 92／94 共用（須各自重放確認）。</t>
        </is>
      </c>
    </row>
    <row r="18">
      <c r="A18" s="3" t="inlineStr">
        <is>
          <t>二、Buy Feature（押注 100）</t>
        </is>
      </c>
    </row>
    <row r="19">
      <c r="A19" s="4" t="inlineStr">
        <is>
          <t>腳本</t>
        </is>
      </c>
      <c r="B19" s="4" t="inlineStr">
        <is>
          <t>RNG</t>
        </is>
      </c>
      <c r="C19" s="4" t="inlineStr">
        <is>
          <t>Multi</t>
        </is>
      </c>
      <c r="D19" s="4" t="inlineStr">
        <is>
          <t>RTP</t>
        </is>
      </c>
      <c r="E19" s="4" t="inlineStr">
        <is>
          <t>抽選權重</t>
        </is>
      </c>
      <c r="F19" s="4" t="inlineStr">
        <is>
          <t>押注</t>
        </is>
      </c>
    </row>
    <row r="20">
      <c r="A20" s="5" t="inlineStr">
        <is>
          <t>Buy Feature A1</t>
        </is>
      </c>
      <c r="B20" s="5" t="n"/>
      <c r="C20" s="5" t="n"/>
      <c r="D20" s="6">
        <f>IF(C20="","",C20/F20)</f>
        <v/>
      </c>
      <c r="E20" s="5" t="n"/>
      <c r="F20" s="5" t="n">
        <v>100</v>
      </c>
    </row>
    <row r="21">
      <c r="A21" s="5" t="inlineStr">
        <is>
          <t>Buy Feature A2</t>
        </is>
      </c>
      <c r="B21" s="5" t="n"/>
      <c r="C21" s="5" t="n"/>
      <c r="D21" s="6">
        <f>IF(C21="","",C21/F21)</f>
        <v/>
      </c>
      <c r="E21" s="5" t="n"/>
      <c r="F21" s="5" t="n">
        <v>100</v>
      </c>
    </row>
    <row r="22">
      <c r="A22" s="5" t="inlineStr">
        <is>
          <t>Buy Feature A3</t>
        </is>
      </c>
      <c r="B22" s="5" t="n"/>
      <c r="C22" s="5" t="n"/>
      <c r="D22" s="6">
        <f>IF(C22="","",C22/F22)</f>
        <v/>
      </c>
      <c r="E22" s="5" t="n"/>
      <c r="F22" s="5" t="n">
        <v>100</v>
      </c>
      <c r="H22" s="8">
        <f>IFERROR(SUMPRODUCT(D20:D22,E20:E22)/SUM(E20:E22),"")</f>
        <v/>
      </c>
      <c r="I22" s="9" t="inlineStr">
        <is>
          <t>← 小 Bet（94 版） 加權 RTP</t>
        </is>
      </c>
    </row>
    <row r="23">
      <c r="A23" s="5" t="inlineStr">
        <is>
          <t>Buy Feature B1</t>
        </is>
      </c>
      <c r="B23" s="5" t="n"/>
      <c r="C23" s="5" t="n"/>
      <c r="D23" s="6">
        <f>IF(C23="","",C23/F23)</f>
        <v/>
      </c>
      <c r="E23" s="5" t="n"/>
      <c r="F23" s="5" t="n">
        <v>100</v>
      </c>
    </row>
    <row r="24">
      <c r="A24" s="5" t="inlineStr">
        <is>
          <t>Buy Feature B2</t>
        </is>
      </c>
      <c r="B24" s="5" t="n"/>
      <c r="C24" s="5" t="n"/>
      <c r="D24" s="6">
        <f>IF(C24="","",C24/F24)</f>
        <v/>
      </c>
      <c r="E24" s="5" t="n"/>
      <c r="F24" s="5" t="n">
        <v>100</v>
      </c>
    </row>
    <row r="25">
      <c r="A25" s="5" t="inlineStr">
        <is>
          <t>Buy Feature B3</t>
        </is>
      </c>
      <c r="B25" s="5" t="n"/>
      <c r="C25" s="5" t="n"/>
      <c r="D25" s="6">
        <f>IF(C25="","",C25/F25)</f>
        <v/>
      </c>
      <c r="E25" s="5" t="n"/>
      <c r="F25" s="5" t="n">
        <v>100</v>
      </c>
      <c r="H25" s="8">
        <f>IFERROR(SUMPRODUCT(D23:D25,E23:E25)/SUM(E23:E25),"")</f>
        <v/>
      </c>
      <c r="I25" s="9" t="inlineStr">
        <is>
          <t>← 小 Bet（94 版） 加權 RTP</t>
        </is>
      </c>
    </row>
    <row r="26">
      <c r="A26" s="2" t="inlineStr">
        <is>
          <t>• 三檔＝高／中／低 RTP；權重必須滿足 Σ(RTP×權重)÷Σ(權重)＝96.00%（H 欄自動驗算，小數 2 位精確）。</t>
        </is>
      </c>
    </row>
    <row r="27">
      <c r="A27" s="2" t="inlineStr">
        <is>
          <t>• RTP＝Multi÷100；A／B 兩組為表演變化：先等權重抽 A／B，再依權重抽 1～3。</t>
        </is>
      </c>
    </row>
    <row r="28">
      <c r="A28" s="2" t="inlineStr">
        <is>
          <t>• 押注分層：小 Bet（&lt; $2）用 94 版；中 Bet（$2～$100）用 92 版；大 Bet（&gt; $100）用 92_Bet100。</t>
        </is>
      </c>
    </row>
    <row r="30">
      <c r="A30" s="3" t="inlineStr">
        <is>
          <t>三、新手 NB Free Spin 系統（FG 15 把）</t>
        </is>
      </c>
    </row>
    <row r="31">
      <c r="A31" s="4" t="inlineStr">
        <is>
          <t>腳本</t>
        </is>
      </c>
      <c r="B31" s="4" t="inlineStr">
        <is>
          <t>RNG</t>
        </is>
      </c>
      <c r="C31" s="4" t="inlineStr">
        <is>
          <t>Multi</t>
        </is>
      </c>
      <c r="D31" s="4" t="inlineStr">
        <is>
          <t>RTP</t>
        </is>
      </c>
      <c r="E31" s="4" t="inlineStr">
        <is>
          <t>抽選權重</t>
        </is>
      </c>
      <c r="F31" s="4" t="inlineStr">
        <is>
          <t>押注</t>
        </is>
      </c>
    </row>
    <row r="32">
      <c r="A32" s="5" t="n"/>
      <c r="B32" s="5" t="n"/>
      <c r="C32" s="5" t="n"/>
      <c r="D32" s="6">
        <f>IF(C32="","",C32/F32)</f>
        <v/>
      </c>
      <c r="E32" s="5" t="n"/>
      <c r="F32" s="5" t="n"/>
    </row>
    <row r="33">
      <c r="A33" s="5" t="n"/>
      <c r="B33" s="5" t="n"/>
      <c r="C33" s="5" t="n"/>
      <c r="D33" s="6">
        <f>IF(C33="","",C33/F33)</f>
        <v/>
      </c>
      <c r="E33" s="5" t="n"/>
      <c r="F33" s="5" t="n"/>
    </row>
    <row r="34">
      <c r="A34" s="5" t="n"/>
      <c r="B34" s="5" t="n"/>
      <c r="C34" s="5" t="n"/>
      <c r="D34" s="6">
        <f>IF(C34="","",C34/F34)</f>
        <v/>
      </c>
      <c r="E34" s="5" t="n"/>
      <c r="F34" s="5" t="n"/>
    </row>
    <row r="35">
      <c r="A35" s="2" t="inlineStr">
        <is>
          <t>• 本節排法與支數由負責人另行排定（宙斯 FG 15 把，與規範的 10 把範例不同）。</t>
        </is>
      </c>
    </row>
    <row r="37">
      <c r="A37" s="1" t="inlineStr">
        <is>
          <t>合計：新手體驗 8＋Buy Feature 6＋Free Spin 系統（待排）</t>
        </is>
      </c>
    </row>
    <row r="39">
      <c r="A39" s="9" t="inlineStr">
        <is>
          <t>□ 每支 RNG 已在 94A 正式 Config 重放驗證，結果＝表列 Multi</t>
        </is>
      </c>
    </row>
    <row r="40">
      <c r="A40" s="9" t="inlineStr">
        <is>
          <t>□ BF 各組加權整合＝96.00%（小數 2 位精確）</t>
        </is>
      </c>
    </row>
    <row r="41">
      <c r="A41" s="9" t="inlineStr">
        <is>
          <t>□ 新手體驗 NB／EB 各 Free Game A／B、Jackpot Game A／B 齊全，權重＝1</t>
        </is>
      </c>
    </row>
    <row r="42">
      <c r="A42" s="9" t="inlineStr">
        <is>
          <t>□ 腳本倍率未超上限（94 版一般：BG 250x、FG 20,000x）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.5" customWidth="1" min="1" max="1"/>
    <col width="90" customWidth="1" min="2" max="2"/>
    <col width="10" customWidth="1" min="3" max="3"/>
    <col width="15.125" customWidth="1" min="4" max="4"/>
    <col width="12.375" customWidth="1" min="5" max="5"/>
    <col width="7.125" customWidth="1" min="6" max="6"/>
    <col width="13.25" customWidth="1" min="7" max="7"/>
    <col width="14" customWidth="1" min="8" max="8"/>
    <col width="22" customWidth="1" min="9" max="9"/>
  </cols>
  <sheetData>
    <row r="1">
      <c r="A1" s="1" t="inlineStr">
        <is>
          <t>H027 宙斯 2500（101027）表演腳本表 — 94B 版（待填）</t>
        </is>
      </c>
    </row>
    <row r="2">
      <c r="A2" s="2" t="inlineStr">
        <is>
          <t>版本 7.4.0.0｜依《專案需知／腳本規範》｜RNG 錄好後必須在 94B 正式 Config 重放驗證，得分＝表列 Multi</t>
        </is>
      </c>
    </row>
    <row r="4">
      <c r="A4" s="3" t="inlineStr">
        <is>
          <t>一、新手體驗</t>
        </is>
      </c>
    </row>
    <row r="5">
      <c r="A5" s="4" t="inlineStr">
        <is>
          <t>腳本</t>
        </is>
      </c>
      <c r="B5" s="4" t="inlineStr">
        <is>
          <t>RNG</t>
        </is>
      </c>
      <c r="C5" s="4" t="inlineStr">
        <is>
          <t>Multi</t>
        </is>
      </c>
      <c r="D5" s="4" t="inlineStr">
        <is>
          <t>RTP</t>
        </is>
      </c>
      <c r="E5" s="4" t="inlineStr">
        <is>
          <t>抽選權重</t>
        </is>
      </c>
      <c r="F5" s="4" t="inlineStr">
        <is>
          <t>押注</t>
        </is>
      </c>
    </row>
    <row r="6">
      <c r="A6" s="5" t="inlineStr">
        <is>
          <t>新手體驗 NB Free Game A</t>
        </is>
      </c>
      <c r="B6" s="5" t="n"/>
      <c r="C6" s="5" t="n"/>
      <c r="D6" s="6">
        <f>IF(C6="","",C6/F6)</f>
        <v/>
      </c>
      <c r="E6" s="7" t="n">
        <v>1</v>
      </c>
      <c r="F6" s="5" t="n">
        <v>1</v>
      </c>
    </row>
    <row r="7">
      <c r="A7" s="5" t="inlineStr">
        <is>
          <t>新手體驗 NB Free Game B</t>
        </is>
      </c>
      <c r="B7" s="5" t="n"/>
      <c r="C7" s="5" t="n"/>
      <c r="D7" s="6">
        <f>IF(C7="","",C7/F7)</f>
        <v/>
      </c>
      <c r="E7" s="7" t="n">
        <v>1</v>
      </c>
      <c r="F7" s="5" t="n">
        <v>1</v>
      </c>
    </row>
    <row r="8">
      <c r="A8" s="5" t="inlineStr">
        <is>
          <t>新手體驗 NB Jackpot Game A</t>
        </is>
      </c>
      <c r="B8" s="5" t="n"/>
      <c r="C8" s="5" t="n"/>
      <c r="D8" s="6">
        <f>IF(C8="","",C8/F8)</f>
        <v/>
      </c>
      <c r="E8" s="7" t="n">
        <v>1</v>
      </c>
      <c r="F8" s="5" t="n">
        <v>1</v>
      </c>
    </row>
    <row r="9">
      <c r="A9" s="5" t="inlineStr">
        <is>
          <t>新手體驗 NB Jackpot Game B</t>
        </is>
      </c>
      <c r="B9" s="5" t="n"/>
      <c r="C9" s="5" t="n"/>
      <c r="D9" s="6">
        <f>IF(C9="","",C9/F9)</f>
        <v/>
      </c>
      <c r="E9" s="7" t="n">
        <v>1</v>
      </c>
      <c r="F9" s="5" t="n">
        <v>1</v>
      </c>
    </row>
    <row r="10">
      <c r="A10" s="5" t="inlineStr">
        <is>
          <t>新手體驗 EB Free Game A</t>
        </is>
      </c>
      <c r="B10" s="5" t="n"/>
      <c r="C10" s="5" t="n"/>
      <c r="D10" s="6">
        <f>IF(C10="","",C10/F10)</f>
        <v/>
      </c>
      <c r="E10" s="7" t="n">
        <v>1</v>
      </c>
      <c r="F10" s="5" t="n">
        <v>2</v>
      </c>
    </row>
    <row r="11">
      <c r="A11" s="5" t="inlineStr">
        <is>
          <t>新手體驗 EB Free Game B</t>
        </is>
      </c>
      <c r="B11" s="5" t="n"/>
      <c r="C11" s="5" t="n"/>
      <c r="D11" s="6">
        <f>IF(C11="","",C11/F11)</f>
        <v/>
      </c>
      <c r="E11" s="7" t="n">
        <v>1</v>
      </c>
      <c r="F11" s="5" t="n">
        <v>2</v>
      </c>
    </row>
    <row r="12">
      <c r="A12" s="5" t="inlineStr">
        <is>
          <t>新手體驗 EB Jackpot Game A</t>
        </is>
      </c>
      <c r="B12" s="5" t="n"/>
      <c r="C12" s="5" t="n"/>
      <c r="D12" s="6">
        <f>IF(C12="","",C12/F12)</f>
        <v/>
      </c>
      <c r="E12" s="7" t="n">
        <v>1</v>
      </c>
      <c r="F12" s="5" t="n">
        <v>2</v>
      </c>
    </row>
    <row r="13">
      <c r="A13" s="5" t="inlineStr">
        <is>
          <t>新手體驗 EB Jackpot Game B</t>
        </is>
      </c>
      <c r="B13" s="5" t="n"/>
      <c r="C13" s="5" t="n"/>
      <c r="D13" s="6">
        <f>IF(C13="","",C13/F13)</f>
        <v/>
      </c>
      <c r="E13" s="7" t="n">
        <v>1</v>
      </c>
      <c r="F13" s="5" t="n">
        <v>2</v>
      </c>
    </row>
    <row r="14">
      <c r="A14" s="2" t="inlineStr">
        <is>
          <t>• 抽選權重固定＝1；押注 NB＝1、EB＝2；RTP＝Multi÷押注。同名 A／B 兩支等權重擇一。</t>
        </is>
      </c>
    </row>
    <row r="15">
      <c r="A15" s="2" t="inlineStr">
        <is>
          <t>• Free Game 體驗＝觸發 4 顆以上 [C1] 進 FG（15 把）的完整表演；Jackpot Game 體驗＝OP Jackpot 12 選 3 小遊戲表演。</t>
        </is>
      </c>
    </row>
    <row r="16">
      <c r="A16" s="2" t="inlineStr">
        <is>
          <t>• 新手體驗不含 BF。新手權重在同一版（A 或 B）的 92／94 共用，RNG 可跨 92／94 共用（須各自重放確認）。</t>
        </is>
      </c>
    </row>
    <row r="18">
      <c r="A18" s="3" t="inlineStr">
        <is>
          <t>二、Buy Feature（押注 100）</t>
        </is>
      </c>
    </row>
    <row r="19">
      <c r="A19" s="4" t="inlineStr">
        <is>
          <t>腳本</t>
        </is>
      </c>
      <c r="B19" s="4" t="inlineStr">
        <is>
          <t>RNG</t>
        </is>
      </c>
      <c r="C19" s="4" t="inlineStr">
        <is>
          <t>Multi</t>
        </is>
      </c>
      <c r="D19" s="4" t="inlineStr">
        <is>
          <t>RTP</t>
        </is>
      </c>
      <c r="E19" s="4" t="inlineStr">
        <is>
          <t>抽選權重</t>
        </is>
      </c>
      <c r="F19" s="4" t="inlineStr">
        <is>
          <t>押注</t>
        </is>
      </c>
    </row>
    <row r="20">
      <c r="A20" s="5" t="inlineStr">
        <is>
          <t>Buy Feature A1</t>
        </is>
      </c>
      <c r="B20" s="5" t="n"/>
      <c r="C20" s="5" t="n"/>
      <c r="D20" s="6">
        <f>IF(C20="","",C20/F20)</f>
        <v/>
      </c>
      <c r="E20" s="5" t="n"/>
      <c r="F20" s="5" t="n">
        <v>100</v>
      </c>
    </row>
    <row r="21">
      <c r="A21" s="5" t="inlineStr">
        <is>
          <t>Buy Feature A2</t>
        </is>
      </c>
      <c r="B21" s="5" t="n"/>
      <c r="C21" s="5" t="n"/>
      <c r="D21" s="6">
        <f>IF(C21="","",C21/F21)</f>
        <v/>
      </c>
      <c r="E21" s="5" t="n"/>
      <c r="F21" s="5" t="n">
        <v>100</v>
      </c>
    </row>
    <row r="22">
      <c r="A22" s="5" t="inlineStr">
        <is>
          <t>Buy Feature A3</t>
        </is>
      </c>
      <c r="B22" s="5" t="n"/>
      <c r="C22" s="5" t="n"/>
      <c r="D22" s="6">
        <f>IF(C22="","",C22/F22)</f>
        <v/>
      </c>
      <c r="E22" s="5" t="n"/>
      <c r="F22" s="5" t="n">
        <v>100</v>
      </c>
      <c r="H22" s="8">
        <f>IFERROR(SUMPRODUCT(D20:D22,E20:E22)/SUM(E20:E22),"")</f>
        <v/>
      </c>
      <c r="I22" s="9" t="inlineStr">
        <is>
          <t>← 小 Bet（94 版） 加權 RTP</t>
        </is>
      </c>
    </row>
    <row r="23">
      <c r="A23" s="5" t="inlineStr">
        <is>
          <t>Buy Feature B1</t>
        </is>
      </c>
      <c r="B23" s="5" t="n"/>
      <c r="C23" s="5" t="n"/>
      <c r="D23" s="6">
        <f>IF(C23="","",C23/F23)</f>
        <v/>
      </c>
      <c r="E23" s="5" t="n"/>
      <c r="F23" s="5" t="n">
        <v>100</v>
      </c>
    </row>
    <row r="24">
      <c r="A24" s="5" t="inlineStr">
        <is>
          <t>Buy Feature B2</t>
        </is>
      </c>
      <c r="B24" s="5" t="n"/>
      <c r="C24" s="5" t="n"/>
      <c r="D24" s="6">
        <f>IF(C24="","",C24/F24)</f>
        <v/>
      </c>
      <c r="E24" s="5" t="n"/>
      <c r="F24" s="5" t="n">
        <v>100</v>
      </c>
    </row>
    <row r="25">
      <c r="A25" s="5" t="inlineStr">
        <is>
          <t>Buy Feature B3</t>
        </is>
      </c>
      <c r="B25" s="5" t="n"/>
      <c r="C25" s="5" t="n"/>
      <c r="D25" s="6">
        <f>IF(C25="","",C25/F25)</f>
        <v/>
      </c>
      <c r="E25" s="5" t="n"/>
      <c r="F25" s="5" t="n">
        <v>100</v>
      </c>
      <c r="H25" s="8">
        <f>IFERROR(SUMPRODUCT(D23:D25,E23:E25)/SUM(E23:E25),"")</f>
        <v/>
      </c>
      <c r="I25" s="9" t="inlineStr">
        <is>
          <t>← 小 Bet（94 版） 加權 RTP</t>
        </is>
      </c>
    </row>
    <row r="26">
      <c r="A26" s="2" t="inlineStr">
        <is>
          <t>• 三檔＝高／中／低 RTP；權重必須滿足 Σ(RTP×權重)÷Σ(權重)＝96.00%（H 欄自動驗算，小數 2 位精確）。</t>
        </is>
      </c>
    </row>
    <row r="27">
      <c r="A27" s="2" t="inlineStr">
        <is>
          <t>• RTP＝Multi÷100；A／B 兩組為表演變化：先等權重抽 A／B，再依權重抽 1～3。</t>
        </is>
      </c>
    </row>
    <row r="28">
      <c r="A28" s="2" t="inlineStr">
        <is>
          <t>• 押注分層：小 Bet（&lt; $2）用 94 版；中 Bet（$2～$100）用 92 版；大 Bet（&gt; $100）用 92_Bet100。</t>
        </is>
      </c>
    </row>
    <row r="30">
      <c r="A30" s="3" t="inlineStr">
        <is>
          <t>三、新手 NB Free Spin 系統（FG 15 把）</t>
        </is>
      </c>
    </row>
    <row r="31">
      <c r="A31" s="4" t="inlineStr">
        <is>
          <t>腳本</t>
        </is>
      </c>
      <c r="B31" s="4" t="inlineStr">
        <is>
          <t>RNG</t>
        </is>
      </c>
      <c r="C31" s="4" t="inlineStr">
        <is>
          <t>Multi</t>
        </is>
      </c>
      <c r="D31" s="4" t="inlineStr">
        <is>
          <t>RTP</t>
        </is>
      </c>
      <c r="E31" s="4" t="inlineStr">
        <is>
          <t>抽選權重</t>
        </is>
      </c>
      <c r="F31" s="4" t="inlineStr">
        <is>
          <t>押注</t>
        </is>
      </c>
    </row>
    <row r="32">
      <c r="A32" s="5" t="n"/>
      <c r="B32" s="5" t="n"/>
      <c r="C32" s="5" t="n"/>
      <c r="D32" s="6">
        <f>IF(C32="","",C32/F32)</f>
        <v/>
      </c>
      <c r="E32" s="5" t="n"/>
      <c r="F32" s="5" t="n"/>
    </row>
    <row r="33">
      <c r="A33" s="5" t="n"/>
      <c r="B33" s="5" t="n"/>
      <c r="C33" s="5" t="n"/>
      <c r="D33" s="6">
        <f>IF(C33="","",C33/F33)</f>
        <v/>
      </c>
      <c r="E33" s="5" t="n"/>
      <c r="F33" s="5" t="n"/>
    </row>
    <row r="34">
      <c r="A34" s="5" t="n"/>
      <c r="B34" s="5" t="n"/>
      <c r="C34" s="5" t="n"/>
      <c r="D34" s="6">
        <f>IF(C34="","",C34/F34)</f>
        <v/>
      </c>
      <c r="E34" s="5" t="n"/>
      <c r="F34" s="5" t="n"/>
    </row>
    <row r="35">
      <c r="A35" s="2" t="inlineStr">
        <is>
          <t>• 本節排法與支數由負責人另行排定（宙斯 FG 15 把，與規範的 10 把範例不同）。</t>
        </is>
      </c>
    </row>
    <row r="37">
      <c r="A37" s="1" t="inlineStr">
        <is>
          <t>合計：新手體驗 8＋Buy Feature 6＋Free Spin 系統（待排）</t>
        </is>
      </c>
    </row>
    <row r="39">
      <c r="A39" s="9" t="inlineStr">
        <is>
          <t>□ 每支 RNG 已在 94B 正式 Config 重放驗證，結果＝表列 Multi</t>
        </is>
      </c>
    </row>
    <row r="40">
      <c r="A40" s="9" t="inlineStr">
        <is>
          <t>□ BF 各組加權整合＝96.00%（小數 2 位精確）</t>
        </is>
      </c>
    </row>
    <row r="41">
      <c r="A41" s="9" t="inlineStr">
        <is>
          <t>□ 新手體驗 NB／EB 各 Free Game A／B、Jackpot Game A／B 齊全，權重＝1</t>
        </is>
      </c>
    </row>
    <row r="42">
      <c r="A42" s="9" t="inlineStr">
        <is>
          <t>□ 腳本倍率未超上限（94 版一般：BG 2,000x、FG 20,000x）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2026-10-19T05:51:30Z</dcterms:created>
  <dcterms:modified xmlns:dcterms="http://purl.org/dc/terms/" xmlns:xsi="http://www.w3.org/2001/XMLSchema-instance" xsi:type="dcterms:W3CDTF">2026-10-19T05:51:30Z</dcterms:modified>
</cp:coreProperties>
</file>