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7_宙斯 2500\文件\"/>
    </mc:Choice>
  </mc:AlternateContent>
  <xr:revisionPtr revIDLastSave="0" documentId="13_ncr:1_{4BDE5717-F651-479D-94FC-4C5C9B338D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腳本表_92A" sheetId="1" r:id="rId1"/>
    <sheet name="腳本表_92B" sheetId="2" r:id="rId2"/>
    <sheet name="腳本表_94A" sheetId="3" r:id="rId3"/>
    <sheet name="腳本表_94B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5" i="1"/>
  <c r="D24" i="1"/>
  <c r="D23" i="1"/>
  <c r="D20" i="1"/>
  <c r="D34" i="4"/>
  <c r="D33" i="4"/>
  <c r="D32" i="4"/>
  <c r="D25" i="4"/>
  <c r="D24" i="4"/>
  <c r="D23" i="4"/>
  <c r="D22" i="4"/>
  <c r="D21" i="4"/>
  <c r="D20" i="4"/>
  <c r="D13" i="4"/>
  <c r="D12" i="4"/>
  <c r="D11" i="4"/>
  <c r="D10" i="4"/>
  <c r="D9" i="4"/>
  <c r="D8" i="4"/>
  <c r="D7" i="4"/>
  <c r="D6" i="4"/>
  <c r="D34" i="3"/>
  <c r="D33" i="3"/>
  <c r="D32" i="3"/>
  <c r="D25" i="3"/>
  <c r="D24" i="3"/>
  <c r="D23" i="3"/>
  <c r="D22" i="3"/>
  <c r="D21" i="3"/>
  <c r="D20" i="3"/>
  <c r="D13" i="3"/>
  <c r="D12" i="3"/>
  <c r="D11" i="3"/>
  <c r="D10" i="3"/>
  <c r="D9" i="3"/>
  <c r="D8" i="3"/>
  <c r="D7" i="3"/>
  <c r="D6" i="3"/>
  <c r="D40" i="2"/>
  <c r="D39" i="2"/>
  <c r="D38" i="2"/>
  <c r="D31" i="2"/>
  <c r="D30" i="2"/>
  <c r="D29" i="2"/>
  <c r="D28" i="2"/>
  <c r="D27" i="2"/>
  <c r="D26" i="2"/>
  <c r="D25" i="2"/>
  <c r="D24" i="2"/>
  <c r="D23" i="2"/>
  <c r="D22" i="2"/>
  <c r="D21" i="2"/>
  <c r="D20" i="2"/>
  <c r="D13" i="2"/>
  <c r="D12" i="2"/>
  <c r="D11" i="2"/>
  <c r="D10" i="2"/>
  <c r="D9" i="2"/>
  <c r="D8" i="2"/>
  <c r="D7" i="2"/>
  <c r="D6" i="2"/>
  <c r="D40" i="1"/>
  <c r="D39" i="1"/>
  <c r="D38" i="1"/>
  <c r="D22" i="1"/>
  <c r="D21" i="1"/>
  <c r="D13" i="1"/>
  <c r="D12" i="1"/>
  <c r="D11" i="1"/>
  <c r="D10" i="1"/>
  <c r="D9" i="1"/>
  <c r="D8" i="1"/>
  <c r="D7" i="1"/>
  <c r="D6" i="1"/>
  <c r="H31" i="1" l="1"/>
  <c r="H25" i="3"/>
  <c r="H31" i="2"/>
  <c r="H25" i="1"/>
  <c r="H22" i="2"/>
  <c r="H28" i="1"/>
  <c r="H25" i="2"/>
  <c r="H25" i="4"/>
  <c r="H22" i="3"/>
  <c r="H28" i="2"/>
  <c r="H22" i="4"/>
  <c r="H22" i="1"/>
</calcChain>
</file>

<file path=xl/sharedStrings.xml><?xml version="1.0" encoding="utf-8"?>
<sst xmlns="http://schemas.openxmlformats.org/spreadsheetml/2006/main" count="232" uniqueCount="68">
  <si>
    <t>H027 宙斯 2500（101027）表演腳本表 — 92A 版（待填）</t>
  </si>
  <si>
    <t>版本 7.4.0.0｜依《專案需知／腳本規範》｜RNG 錄好後必須在 92A 正式 Config 重放驗證，得分＝表列 Multi</t>
  </si>
  <si>
    <t>一、新手體驗</t>
  </si>
  <si>
    <t>腳本</t>
  </si>
  <si>
    <t>RNG</t>
  </si>
  <si>
    <t>Multi</t>
  </si>
  <si>
    <t>RTP</t>
  </si>
  <si>
    <t>抽選權重</t>
  </si>
  <si>
    <t>押注</t>
  </si>
  <si>
    <t>新手體驗 NB Free Game A</t>
  </si>
  <si>
    <t>新手體驗 NB Free Game B</t>
  </si>
  <si>
    <t>新手體驗 NB Jackpot Game A</t>
  </si>
  <si>
    <t>新手體驗 NB Jackpot Game B</t>
  </si>
  <si>
    <t>新手體驗 EB Free Game A</t>
  </si>
  <si>
    <t>新手體驗 EB Free Game B</t>
  </si>
  <si>
    <t>新手體驗 EB Jackpot Game A</t>
  </si>
  <si>
    <t>新手體驗 EB Jackpot Game B</t>
  </si>
  <si>
    <t>• 抽選權重固定＝1；押注 NB＝1、EB＝2；RTP＝Multi÷押注。同名 A／B 兩支等權重擇一。</t>
  </si>
  <si>
    <t>• Free Game 體驗＝觸發 4 顆以上 [C1] 進 FG（15 把）的完整表演；Jackpot Game 體驗＝OP Jackpot 12 選 3 小遊戲表演。</t>
  </si>
  <si>
    <t>• 新手體驗不含 BF。新手權重在同一版（A 或 B）的 92／94 共用，RNG 可跨 92／94 共用（須各自重放確認）。</t>
  </si>
  <si>
    <t>二、Buy Feature（押注 100）</t>
  </si>
  <si>
    <t>Buy Feature A1 中Bet</t>
  </si>
  <si>
    <t>Buy Feature A2 中Bet</t>
  </si>
  <si>
    <t>Buy Feature A3 中Bet</t>
  </si>
  <si>
    <t>← 中 Bet（92 版） 加權 RTP</t>
  </si>
  <si>
    <t>Buy Feature A1 大Bet</t>
  </si>
  <si>
    <t>Buy Feature A2 大Bet</t>
  </si>
  <si>
    <t>Buy Feature A3 大Bet</t>
  </si>
  <si>
    <t>← 大 Bet（92_Bet100） 加權 RTP</t>
  </si>
  <si>
    <t>Buy Feature B1 中Bet</t>
  </si>
  <si>
    <t>Buy Feature B2 中Bet</t>
  </si>
  <si>
    <t>Buy Feature B3 中Bet</t>
  </si>
  <si>
    <t>Buy Feature B1 大Bet</t>
  </si>
  <si>
    <t>Buy Feature B2 大Bet</t>
  </si>
  <si>
    <t>Buy Feature B3 大Bet</t>
  </si>
  <si>
    <t>• 三檔＝高／中／低 RTP；權重必須滿足 Σ(RTP×權重)÷Σ(權重)＝96.00%（H 欄自動驗算，小數 2 位精確）。</t>
  </si>
  <si>
    <t>• RTP＝Multi÷100；A／B 兩組為表演變化：先等權重抽 A／B，再依權重抽 1～3。</t>
  </si>
  <si>
    <t>• 押注分層：小 Bet（&lt; $2）用 94 版；中 Bet（$2～$100）用 92 版；大 Bet（&gt; $100）用 92_Bet100。</t>
  </si>
  <si>
    <t>三、新手 NB Free Spin 系統（FG 15 把）</t>
  </si>
  <si>
    <t>• 本節排法與支數由負責人另行排定（宙斯 FG 15 把，與規範的 10 把範例不同）。</t>
  </si>
  <si>
    <t>合計：新手體驗 8＋Buy Feature 12＋Free Spin 系統（待排）</t>
  </si>
  <si>
    <t>□ 每支 RNG 已在 92A 正式 Config 重放驗證，結果＝表列 Multi</t>
  </si>
  <si>
    <t>□ BF 各組加權整合＝96.00%（小數 2 位精確）</t>
  </si>
  <si>
    <t>□ 新手體驗 NB／EB 各 Free Game A／B、Jackpot Game A／B 齊全，權重＝1</t>
  </si>
  <si>
    <t>□ 腳本倍率未超上限（92 版一般：BG 250x、FG 20,000x；大 Bet（92_Bet100）：BG 140x、FG／BF 1,000x）</t>
  </si>
  <si>
    <t>H027 宙斯 2500（101027）表演腳本表 — 92B 版（待填）</t>
  </si>
  <si>
    <t>版本 7.4.0.0｜依《專案需知／腳本規範》｜RNG 錄好後必須在 92B 正式 Config 重放驗證，得分＝表列 Multi</t>
  </si>
  <si>
    <t>□ 每支 RNG 已在 92B 正式 Config 重放驗證，結果＝表列 Multi</t>
  </si>
  <si>
    <t>□ 腳本倍率未超上限（92 版一般：BG 2,000x、FG 20,000x；大 Bet（92_Bet100）：BG 200x、FG／BF 1,000x）</t>
  </si>
  <si>
    <t>H027 宙斯 2500（101027）表演腳本表 — 94A 版（待填）</t>
  </si>
  <si>
    <t>版本 7.4.0.0｜依《專案需知／腳本規範》｜RNG 錄好後必須在 94A 正式 Config 重放驗證，得分＝表列 Multi</t>
  </si>
  <si>
    <t>Buy Feature A1</t>
  </si>
  <si>
    <t>Buy Feature A2</t>
  </si>
  <si>
    <t>Buy Feature A3</t>
  </si>
  <si>
    <t>← 小 Bet（94 版） 加權 RTP</t>
  </si>
  <si>
    <t>Buy Feature B1</t>
  </si>
  <si>
    <t>Buy Feature B2</t>
  </si>
  <si>
    <t>Buy Feature B3</t>
  </si>
  <si>
    <t>合計：新手體驗 8＋Buy Feature 6＋Free Spin 系統（待排）</t>
  </si>
  <si>
    <t>□ 每支 RNG 已在 94A 正式 Config 重放驗證，結果＝表列 Multi</t>
  </si>
  <si>
    <t>□ 腳本倍率未超上限（94 版一般：BG 250x、FG 20,000x）</t>
  </si>
  <si>
    <t>H027 宙斯 2500（101027）表演腳本表 — 94B 版（待填）</t>
  </si>
  <si>
    <t>版本 7.4.0.0｜依《專案需知／腳本規範》｜RNG 錄好後必須在 94B 正式 Config 重放驗證，得分＝表列 Multi</t>
  </si>
  <si>
    <t>□ 每支 RNG 已在 94B 正式 Config 重放驗證，結果＝表列 Multi</t>
  </si>
  <si>
    <t>□ 腳本倍率未超上限（94 版一般：BG 2,000x、FG 20,000x）</t>
  </si>
  <si>
    <t>687145065,5,2,10,20,102,7,8762384731,8,8,3,0,8,9,6,7,0,2,0,3,0,0,119,102,158,38,110,141,55,174,72,110,116,113,80,24,8,59,91,160,6117417615,153,153,123,76,184,2,4135,1422,81,115,107,178,129,56,1438,2312,163,58,109,59,190,114,3968,5584,117,63,174,148,8,35,51,74,90,45,5,105,90,86,105,28,84,4,24,154,63,29,8,5,7783,9178,120,22,152,40,80,20,67,158,111,166,95,13,6148,4535,3766503518,31,15,37,115,149,35,9957,6470,6811349627,14,104,113,60,136,21,2,101,135,80,147,75,2365,9448,970,9649</t>
    <phoneticPr fontId="4" type="noConversion"/>
  </si>
  <si>
    <t>655599182,1,12,6,25,75,10,4140247044,14,4,6,0,7,6,4,3,3,2,0,3,0,1,60,67,113,73,72,154,1986,6454,51,52,44,57,132,107,9080,3752,3622,9727,104,106,62,20,136,116,5071,7546,123,160,172,6,75,129,51,65,104,115,115,104,14,46,39,161,98,21,2181527411,128,133,140,51,73,182,23,176,153,25,59,28,89,26,75,167,37,31,2884,6871,101,92,81,91,11,60,1808,7770,7132,4852,114,43,142,130,147,36,56,135,125,121,60,71,138,30,130,128,35,156,6348,5957,1007,7012,25,173,105,145,75,126,9348,6952,93,76,80,63,173,38</t>
    <phoneticPr fontId="4" type="noConversion"/>
  </si>
  <si>
    <t>655599182,13,10,11,16,172,19,2186147777,7,12,10,3,1,6,2,5,4,0,3,2,1,0,11,37,123,136,20,170,4497,9128,68,97,14,111,84,173,4428,1652,11,145,75,113,155,1,151,93,3,154,78,40,4063,5728,63,123,34,155,74,69,69,162,56,133,153,32,1208,1689,7671,2251,73,33,28,42,85,80,168,7,45,104,22,146,5474591210,125,25,18,147,53,74,133,174,32,94,52,169,1768,2681,108,113,28,163,108,66,7190,4378,56,30,106,29,80,183,29,157,6,163,115,156,675,1903,36,87,99,97,44,101,948,7730,9956,1645,5,90,147,17,48,106,602,8423,4453,4119,5764,6312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</si>
</sst>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新細明體"/>
      <family val="2"/>
      <scheme val="minor"/>
    </font>
    <font>
      <b/>
      <sz val="12"/>
      <name val="Courier New"/>
    </font>
    <font>
      <sz val="12"/>
      <color rgb="FF7F7F00"/>
      <name val="Courier New"/>
    </font>
    <font>
      <sz val="12"/>
      <name val="Courier New"/>
    </font>
    <font>
      <sz val="9"/>
      <name val="新細明體"/>
      <family val="3"/>
      <charset val="136"/>
      <scheme val="minor"/>
    </font>
    <font>
      <sz val="12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1" xfId="0" applyFont="1" applyFill="1" applyBorder="1"/>
    <xf numFmtId="0" fontId="3" fillId="0" borderId="1" xfId="0" applyFont="1" applyBorder="1"/>
    <xf numFmtId="10" fontId="3" fillId="0" borderId="1" xfId="0" applyNumberFormat="1" applyFont="1" applyBorder="1"/>
    <xf numFmtId="0" fontId="3" fillId="4" borderId="1" xfId="0" applyFont="1" applyFill="1" applyBorder="1"/>
    <xf numFmtId="10" fontId="3" fillId="0" borderId="0" xfId="0" applyNumberFormat="1" applyFont="1"/>
    <xf numFmtId="0" fontId="3" fillId="0" borderId="0" xfId="0" applyFont="1"/>
    <xf numFmtId="0" fontId="5" fillId="0" borderId="1" xfId="0" applyFont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pane ySplit="3" topLeftCell="A9" activePane="bottomLeft" state="frozen"/>
      <selection pane="bottomLeft" activeCell="K22" sqref="K22"/>
    </sheetView>
  </sheetViews>
  <sheetFormatPr defaultRowHeight="15"/>
  <cols>
    <col min="1" max="1" width="42.5" customWidth="1"/>
    <col min="2" max="2" width="31.375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>
      <c r="A1" s="1" t="s">
        <v>0</v>
      </c>
    </row>
    <row r="2" spans="1:6" ht="15.6">
      <c r="A2" s="2" t="s">
        <v>1</v>
      </c>
    </row>
    <row r="4" spans="1:6" ht="16.2">
      <c r="A4" s="3" t="s">
        <v>2</v>
      </c>
    </row>
    <row r="5" spans="1:6" ht="16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>
      <c r="A6" s="5" t="s">
        <v>9</v>
      </c>
      <c r="B6" s="5"/>
      <c r="C6" s="5"/>
      <c r="D6" s="6" t="str">
        <f t="shared" ref="D6:D13" si="0">IF(C6="","",C6/F6)</f>
        <v/>
      </c>
      <c r="E6" s="7">
        <v>1</v>
      </c>
      <c r="F6" s="5">
        <v>1</v>
      </c>
    </row>
    <row r="7" spans="1:6" ht="15.6">
      <c r="A7" s="5" t="s">
        <v>10</v>
      </c>
      <c r="B7" s="5"/>
      <c r="C7" s="5"/>
      <c r="D7" s="6" t="str">
        <f t="shared" si="0"/>
        <v/>
      </c>
      <c r="E7" s="7">
        <v>1</v>
      </c>
      <c r="F7" s="5">
        <v>1</v>
      </c>
    </row>
    <row r="8" spans="1:6" ht="15.6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>
      <c r="A9" s="5" t="s">
        <v>12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>
      <c r="A10" s="5" t="s">
        <v>13</v>
      </c>
      <c r="B10" s="5"/>
      <c r="C10" s="5"/>
      <c r="D10" s="6" t="str">
        <f t="shared" si="0"/>
        <v/>
      </c>
      <c r="E10" s="7">
        <v>1</v>
      </c>
      <c r="F10" s="5">
        <v>2</v>
      </c>
    </row>
    <row r="11" spans="1:6" ht="15.6">
      <c r="A11" s="5" t="s">
        <v>14</v>
      </c>
      <c r="B11" s="5"/>
      <c r="C11" s="5"/>
      <c r="D11" s="6" t="str">
        <f t="shared" si="0"/>
        <v/>
      </c>
      <c r="E11" s="7">
        <v>1</v>
      </c>
      <c r="F11" s="5">
        <v>2</v>
      </c>
    </row>
    <row r="12" spans="1:6" ht="15.6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>
      <c r="A14" s="2" t="s">
        <v>17</v>
      </c>
    </row>
    <row r="15" spans="1:6" ht="15.6">
      <c r="A15" s="2" t="s">
        <v>18</v>
      </c>
    </row>
    <row r="16" spans="1:6" ht="15.6">
      <c r="A16" s="2" t="s">
        <v>19</v>
      </c>
    </row>
    <row r="18" spans="1:9" ht="16.2">
      <c r="A18" s="3" t="s">
        <v>20</v>
      </c>
    </row>
    <row r="19" spans="1:9" ht="16.2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>
      <c r="A20" s="5" t="s">
        <v>21</v>
      </c>
      <c r="B20" s="10" t="s">
        <v>65</v>
      </c>
      <c r="C20" s="5">
        <v>99.95</v>
      </c>
      <c r="D20" s="6">
        <f>C20/100</f>
        <v>0.99950000000000006</v>
      </c>
      <c r="E20" s="5">
        <v>1055</v>
      </c>
      <c r="F20" s="5">
        <v>100</v>
      </c>
    </row>
    <row r="21" spans="1:9" ht="15.6">
      <c r="A21" s="5" t="s">
        <v>22</v>
      </c>
      <c r="B21" s="10" t="s">
        <v>66</v>
      </c>
      <c r="C21" s="5">
        <v>85.4</v>
      </c>
      <c r="D21" s="6">
        <f t="shared" ref="D20:D31" si="1">IF(C21="","",C21/F21)</f>
        <v>0.85400000000000009</v>
      </c>
      <c r="E21" s="5">
        <v>190</v>
      </c>
      <c r="F21" s="5">
        <v>100</v>
      </c>
    </row>
    <row r="22" spans="1:9" ht="15.6">
      <c r="A22" s="5" t="s">
        <v>23</v>
      </c>
      <c r="B22" s="10" t="s">
        <v>67</v>
      </c>
      <c r="C22" s="5">
        <v>92.2</v>
      </c>
      <c r="D22" s="6">
        <f t="shared" si="1"/>
        <v>0.92200000000000004</v>
      </c>
      <c r="E22" s="5">
        <v>190</v>
      </c>
      <c r="F22" s="5">
        <v>100</v>
      </c>
      <c r="H22" s="8">
        <f>IFERROR(SUMPRODUCT(D20:D22,E20:E22)/SUM(E20:E22),"")</f>
        <v>0.96997386759581894</v>
      </c>
      <c r="I22" s="9" t="s">
        <v>24</v>
      </c>
    </row>
    <row r="23" spans="1:9" ht="15.6">
      <c r="A23" s="5" t="s">
        <v>25</v>
      </c>
      <c r="B23" s="10" t="s">
        <v>65</v>
      </c>
      <c r="C23" s="5">
        <v>99.95</v>
      </c>
      <c r="D23" s="6">
        <f>C23/100</f>
        <v>0.99950000000000006</v>
      </c>
      <c r="E23" s="5">
        <v>1055</v>
      </c>
      <c r="F23" s="5">
        <v>100</v>
      </c>
    </row>
    <row r="24" spans="1:9" ht="15.6">
      <c r="A24" s="5" t="s">
        <v>26</v>
      </c>
      <c r="B24" s="10" t="s">
        <v>66</v>
      </c>
      <c r="C24" s="5">
        <v>85.4</v>
      </c>
      <c r="D24" s="6">
        <f t="shared" ref="D24:D25" si="2">IF(C24="","",C24/F24)</f>
        <v>0.85400000000000009</v>
      </c>
      <c r="E24" s="5">
        <v>190</v>
      </c>
      <c r="F24" s="5">
        <v>100</v>
      </c>
    </row>
    <row r="25" spans="1:9" ht="15.6">
      <c r="A25" s="5" t="s">
        <v>27</v>
      </c>
      <c r="B25" s="10" t="s">
        <v>67</v>
      </c>
      <c r="C25" s="5">
        <v>92.2</v>
      </c>
      <c r="D25" s="6">
        <f t="shared" si="2"/>
        <v>0.92200000000000004</v>
      </c>
      <c r="E25" s="5">
        <v>190</v>
      </c>
      <c r="F25" s="5">
        <v>100</v>
      </c>
      <c r="H25" s="8">
        <f>IFERROR(SUMPRODUCT(D23:D25,E23:E25)/SUM(E23:E25),"")</f>
        <v>0.96997386759581894</v>
      </c>
      <c r="I25" s="9" t="s">
        <v>28</v>
      </c>
    </row>
    <row r="26" spans="1:9" ht="15.6">
      <c r="A26" s="5" t="s">
        <v>29</v>
      </c>
      <c r="B26" s="10" t="s">
        <v>65</v>
      </c>
      <c r="C26" s="5">
        <v>99.95</v>
      </c>
      <c r="D26" s="6">
        <f>C26/100</f>
        <v>0.99950000000000006</v>
      </c>
      <c r="E26" s="5">
        <v>1055</v>
      </c>
      <c r="F26" s="5">
        <v>100</v>
      </c>
    </row>
    <row r="27" spans="1:9" ht="15.6">
      <c r="A27" s="5" t="s">
        <v>30</v>
      </c>
      <c r="B27" s="10" t="s">
        <v>66</v>
      </c>
      <c r="C27" s="5">
        <v>85.4</v>
      </c>
      <c r="D27" s="6">
        <f t="shared" ref="D27:D28" si="3">IF(C27="","",C27/F27)</f>
        <v>0.85400000000000009</v>
      </c>
      <c r="E27" s="5">
        <v>190</v>
      </c>
      <c r="F27" s="5">
        <v>100</v>
      </c>
    </row>
    <row r="28" spans="1:9" ht="15.6">
      <c r="A28" s="5" t="s">
        <v>31</v>
      </c>
      <c r="B28" s="10" t="s">
        <v>67</v>
      </c>
      <c r="C28" s="5">
        <v>92.2</v>
      </c>
      <c r="D28" s="6">
        <f t="shared" si="3"/>
        <v>0.92200000000000004</v>
      </c>
      <c r="E28" s="5">
        <v>190</v>
      </c>
      <c r="F28" s="5">
        <v>100</v>
      </c>
      <c r="H28" s="8">
        <f>IFERROR(SUMPRODUCT(D26:D28,E26:E28)/SUM(E26:E28),"")</f>
        <v>0.96997386759581894</v>
      </c>
      <c r="I28" s="9" t="s">
        <v>24</v>
      </c>
    </row>
    <row r="29" spans="1:9" ht="15.6">
      <c r="A29" s="5" t="s">
        <v>32</v>
      </c>
      <c r="B29" s="10" t="s">
        <v>65</v>
      </c>
      <c r="C29" s="5">
        <v>99.95</v>
      </c>
      <c r="D29" s="6">
        <f>C29/100</f>
        <v>0.99950000000000006</v>
      </c>
      <c r="E29" s="5">
        <v>1055</v>
      </c>
      <c r="F29" s="5">
        <v>100</v>
      </c>
    </row>
    <row r="30" spans="1:9" ht="15.6">
      <c r="A30" s="5" t="s">
        <v>33</v>
      </c>
      <c r="B30" s="10" t="s">
        <v>66</v>
      </c>
      <c r="C30" s="5">
        <v>85.4</v>
      </c>
      <c r="D30" s="6">
        <f t="shared" ref="D30:D31" si="4">IF(C30="","",C30/F30)</f>
        <v>0.85400000000000009</v>
      </c>
      <c r="E30" s="5">
        <v>190</v>
      </c>
      <c r="F30" s="5">
        <v>100</v>
      </c>
    </row>
    <row r="31" spans="1:9" ht="15.6">
      <c r="A31" s="5" t="s">
        <v>34</v>
      </c>
      <c r="B31" s="10" t="s">
        <v>67</v>
      </c>
      <c r="C31" s="5">
        <v>92.2</v>
      </c>
      <c r="D31" s="6">
        <f t="shared" si="4"/>
        <v>0.92200000000000004</v>
      </c>
      <c r="E31" s="5">
        <v>190</v>
      </c>
      <c r="F31" s="5">
        <v>100</v>
      </c>
      <c r="H31" s="8">
        <f>IFERROR(SUMPRODUCT(D29:D31,E29:E31)/SUM(E29:E31),"")</f>
        <v>0.96997386759581894</v>
      </c>
      <c r="I31" s="9" t="s">
        <v>28</v>
      </c>
    </row>
    <row r="32" spans="1:9" ht="15.6">
      <c r="A32" s="2" t="s">
        <v>35</v>
      </c>
    </row>
    <row r="33" spans="1:6" ht="15.6">
      <c r="A33" s="2" t="s">
        <v>36</v>
      </c>
    </row>
    <row r="34" spans="1:6" ht="15.6">
      <c r="A34" s="2" t="s">
        <v>37</v>
      </c>
    </row>
    <row r="36" spans="1:6" ht="16.2">
      <c r="A36" s="3" t="s">
        <v>38</v>
      </c>
    </row>
    <row r="37" spans="1:6" ht="16.2">
      <c r="A37" s="4" t="s">
        <v>3</v>
      </c>
      <c r="B37" s="4" t="s">
        <v>4</v>
      </c>
      <c r="C37" s="4" t="s">
        <v>5</v>
      </c>
      <c r="D37" s="4" t="s">
        <v>6</v>
      </c>
      <c r="E37" s="4" t="s">
        <v>7</v>
      </c>
      <c r="F37" s="4" t="s">
        <v>8</v>
      </c>
    </row>
    <row r="38" spans="1:6" ht="15.6">
      <c r="A38" s="5"/>
      <c r="B38" s="5"/>
      <c r="C38" s="5"/>
      <c r="D38" s="6" t="str">
        <f>IF(C38="","",C38/F38)</f>
        <v/>
      </c>
      <c r="E38" s="5"/>
      <c r="F38" s="5"/>
    </row>
    <row r="39" spans="1:6" ht="15.6">
      <c r="A39" s="5"/>
      <c r="B39" s="5"/>
      <c r="C39" s="5"/>
      <c r="D39" s="6" t="str">
        <f>IF(C39="","",C39/F39)</f>
        <v/>
      </c>
      <c r="E39" s="5"/>
      <c r="F39" s="5"/>
    </row>
    <row r="40" spans="1:6" ht="15.6">
      <c r="A40" s="5"/>
      <c r="B40" s="5"/>
      <c r="C40" s="5"/>
      <c r="D40" s="6" t="str">
        <f>IF(C40="","",C40/F40)</f>
        <v/>
      </c>
      <c r="E40" s="5"/>
      <c r="F40" s="5"/>
    </row>
    <row r="41" spans="1:6" ht="15.6">
      <c r="A41" s="2" t="s">
        <v>39</v>
      </c>
    </row>
    <row r="43" spans="1:6" ht="16.2">
      <c r="A43" s="1" t="s">
        <v>40</v>
      </c>
    </row>
    <row r="45" spans="1:6" ht="15.6">
      <c r="A45" s="9" t="s">
        <v>41</v>
      </c>
    </row>
    <row r="46" spans="1:6" ht="15.6">
      <c r="A46" s="9" t="s">
        <v>42</v>
      </c>
    </row>
    <row r="47" spans="1:6" ht="15.6">
      <c r="A47" s="9" t="s">
        <v>43</v>
      </c>
    </row>
    <row r="48" spans="1:6" ht="15.6">
      <c r="A48" s="9" t="s">
        <v>44</v>
      </c>
    </row>
  </sheetData>
  <phoneticPr fontId="4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42.5" customWidth="1"/>
    <col min="2" max="2" width="90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>
      <c r="A1" s="1" t="s">
        <v>45</v>
      </c>
    </row>
    <row r="2" spans="1:6" ht="15.6">
      <c r="A2" s="2" t="s">
        <v>46</v>
      </c>
    </row>
    <row r="4" spans="1:6" ht="16.2">
      <c r="A4" s="3" t="s">
        <v>2</v>
      </c>
    </row>
    <row r="5" spans="1:6" ht="16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>
      <c r="A6" s="5" t="s">
        <v>9</v>
      </c>
      <c r="B6" s="5"/>
      <c r="C6" s="5"/>
      <c r="D6" s="6" t="str">
        <f t="shared" ref="D6:D13" si="0">IF(C6="","",C6/F6)</f>
        <v/>
      </c>
      <c r="E6" s="7">
        <v>1</v>
      </c>
      <c r="F6" s="5">
        <v>1</v>
      </c>
    </row>
    <row r="7" spans="1:6" ht="15.6">
      <c r="A7" s="5" t="s">
        <v>10</v>
      </c>
      <c r="B7" s="5"/>
      <c r="C7" s="5"/>
      <c r="D7" s="6" t="str">
        <f t="shared" si="0"/>
        <v/>
      </c>
      <c r="E7" s="7">
        <v>1</v>
      </c>
      <c r="F7" s="5">
        <v>1</v>
      </c>
    </row>
    <row r="8" spans="1:6" ht="15.6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>
      <c r="A9" s="5" t="s">
        <v>12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>
      <c r="A10" s="5" t="s">
        <v>13</v>
      </c>
      <c r="B10" s="5"/>
      <c r="C10" s="5"/>
      <c r="D10" s="6" t="str">
        <f t="shared" si="0"/>
        <v/>
      </c>
      <c r="E10" s="7">
        <v>1</v>
      </c>
      <c r="F10" s="5">
        <v>2</v>
      </c>
    </row>
    <row r="11" spans="1:6" ht="15.6">
      <c r="A11" s="5" t="s">
        <v>14</v>
      </c>
      <c r="B11" s="5"/>
      <c r="C11" s="5"/>
      <c r="D11" s="6" t="str">
        <f t="shared" si="0"/>
        <v/>
      </c>
      <c r="E11" s="7">
        <v>1</v>
      </c>
      <c r="F11" s="5">
        <v>2</v>
      </c>
    </row>
    <row r="12" spans="1:6" ht="15.6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>
      <c r="A14" s="2" t="s">
        <v>17</v>
      </c>
    </row>
    <row r="15" spans="1:6" ht="15.6">
      <c r="A15" s="2" t="s">
        <v>18</v>
      </c>
    </row>
    <row r="16" spans="1:6" ht="15.6">
      <c r="A16" s="2" t="s">
        <v>19</v>
      </c>
    </row>
    <row r="18" spans="1:9" ht="16.2">
      <c r="A18" s="3" t="s">
        <v>20</v>
      </c>
    </row>
    <row r="19" spans="1:9" ht="16.2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>
      <c r="A20" s="5" t="s">
        <v>21</v>
      </c>
      <c r="B20" s="5"/>
      <c r="C20" s="5"/>
      <c r="D20" s="6" t="str">
        <f t="shared" ref="D20:D31" si="1">IF(C20="","",C20/F20)</f>
        <v/>
      </c>
      <c r="E20" s="5"/>
      <c r="F20" s="5">
        <v>100</v>
      </c>
    </row>
    <row r="21" spans="1:9" ht="15.6">
      <c r="A21" s="5" t="s">
        <v>22</v>
      </c>
      <c r="B21" s="5"/>
      <c r="C21" s="5"/>
      <c r="D21" s="6" t="str">
        <f t="shared" si="1"/>
        <v/>
      </c>
      <c r="E21" s="5"/>
      <c r="F21" s="5">
        <v>100</v>
      </c>
    </row>
    <row r="22" spans="1:9" ht="15.6">
      <c r="A22" s="5" t="s">
        <v>23</v>
      </c>
      <c r="B22" s="5"/>
      <c r="C22" s="5"/>
      <c r="D22" s="6" t="str">
        <f t="shared" si="1"/>
        <v/>
      </c>
      <c r="E22" s="5"/>
      <c r="F22" s="5">
        <v>100</v>
      </c>
      <c r="H22" s="8" t="str">
        <f>IFERROR(SUMPRODUCT(D20:D22,E20:E22)/SUM(E20:E22),"")</f>
        <v/>
      </c>
      <c r="I22" s="9" t="s">
        <v>24</v>
      </c>
    </row>
    <row r="23" spans="1:9" ht="15.6">
      <c r="A23" s="5" t="s">
        <v>25</v>
      </c>
      <c r="B23" s="5"/>
      <c r="C23" s="5"/>
      <c r="D23" s="6" t="str">
        <f t="shared" si="1"/>
        <v/>
      </c>
      <c r="E23" s="5"/>
      <c r="F23" s="5">
        <v>100</v>
      </c>
    </row>
    <row r="24" spans="1:9" ht="15.6">
      <c r="A24" s="5" t="s">
        <v>26</v>
      </c>
      <c r="B24" s="5"/>
      <c r="C24" s="5"/>
      <c r="D24" s="6" t="str">
        <f t="shared" si="1"/>
        <v/>
      </c>
      <c r="E24" s="5"/>
      <c r="F24" s="5">
        <v>100</v>
      </c>
    </row>
    <row r="25" spans="1:9" ht="15.6">
      <c r="A25" s="5" t="s">
        <v>27</v>
      </c>
      <c r="B25" s="5"/>
      <c r="C25" s="5"/>
      <c r="D25" s="6" t="str">
        <f t="shared" si="1"/>
        <v/>
      </c>
      <c r="E25" s="5"/>
      <c r="F25" s="5">
        <v>100</v>
      </c>
      <c r="H25" s="8" t="str">
        <f>IFERROR(SUMPRODUCT(D23:D25,E23:E25)/SUM(E23:E25),"")</f>
        <v/>
      </c>
      <c r="I25" s="9" t="s">
        <v>28</v>
      </c>
    </row>
    <row r="26" spans="1:9" ht="15.6">
      <c r="A26" s="5" t="s">
        <v>29</v>
      </c>
      <c r="B26" s="5"/>
      <c r="C26" s="5"/>
      <c r="D26" s="6" t="str">
        <f t="shared" si="1"/>
        <v/>
      </c>
      <c r="E26" s="5"/>
      <c r="F26" s="5">
        <v>100</v>
      </c>
    </row>
    <row r="27" spans="1:9" ht="15.6">
      <c r="A27" s="5" t="s">
        <v>30</v>
      </c>
      <c r="B27" s="5"/>
      <c r="C27" s="5"/>
      <c r="D27" s="6" t="str">
        <f t="shared" si="1"/>
        <v/>
      </c>
      <c r="E27" s="5"/>
      <c r="F27" s="5">
        <v>100</v>
      </c>
    </row>
    <row r="28" spans="1:9" ht="15.6">
      <c r="A28" s="5" t="s">
        <v>31</v>
      </c>
      <c r="B28" s="5"/>
      <c r="C28" s="5"/>
      <c r="D28" s="6" t="str">
        <f t="shared" si="1"/>
        <v/>
      </c>
      <c r="E28" s="5"/>
      <c r="F28" s="5">
        <v>100</v>
      </c>
      <c r="H28" s="8" t="str">
        <f>IFERROR(SUMPRODUCT(D26:D28,E26:E28)/SUM(E26:E28),"")</f>
        <v/>
      </c>
      <c r="I28" s="9" t="s">
        <v>24</v>
      </c>
    </row>
    <row r="29" spans="1:9" ht="15.6">
      <c r="A29" s="5" t="s">
        <v>32</v>
      </c>
      <c r="B29" s="5"/>
      <c r="C29" s="5"/>
      <c r="D29" s="6" t="str">
        <f t="shared" si="1"/>
        <v/>
      </c>
      <c r="E29" s="5"/>
      <c r="F29" s="5">
        <v>100</v>
      </c>
    </row>
    <row r="30" spans="1:9" ht="15.6">
      <c r="A30" s="5" t="s">
        <v>33</v>
      </c>
      <c r="B30" s="5"/>
      <c r="C30" s="5"/>
      <c r="D30" s="6" t="str">
        <f t="shared" si="1"/>
        <v/>
      </c>
      <c r="E30" s="5"/>
      <c r="F30" s="5">
        <v>100</v>
      </c>
    </row>
    <row r="31" spans="1:9" ht="15.6">
      <c r="A31" s="5" t="s">
        <v>34</v>
      </c>
      <c r="B31" s="5"/>
      <c r="C31" s="5"/>
      <c r="D31" s="6" t="str">
        <f t="shared" si="1"/>
        <v/>
      </c>
      <c r="E31" s="5"/>
      <c r="F31" s="5">
        <v>100</v>
      </c>
      <c r="H31" s="8" t="str">
        <f>IFERROR(SUMPRODUCT(D29:D31,E29:E31)/SUM(E29:E31),"")</f>
        <v/>
      </c>
      <c r="I31" s="9" t="s">
        <v>28</v>
      </c>
    </row>
    <row r="32" spans="1:9" ht="15.6">
      <c r="A32" s="2" t="s">
        <v>35</v>
      </c>
    </row>
    <row r="33" spans="1:6" ht="15.6">
      <c r="A33" s="2" t="s">
        <v>36</v>
      </c>
    </row>
    <row r="34" spans="1:6" ht="15.6">
      <c r="A34" s="2" t="s">
        <v>37</v>
      </c>
    </row>
    <row r="36" spans="1:6" ht="16.2">
      <c r="A36" s="3" t="s">
        <v>38</v>
      </c>
    </row>
    <row r="37" spans="1:6" ht="16.2">
      <c r="A37" s="4" t="s">
        <v>3</v>
      </c>
      <c r="B37" s="4" t="s">
        <v>4</v>
      </c>
      <c r="C37" s="4" t="s">
        <v>5</v>
      </c>
      <c r="D37" s="4" t="s">
        <v>6</v>
      </c>
      <c r="E37" s="4" t="s">
        <v>7</v>
      </c>
      <c r="F37" s="4" t="s">
        <v>8</v>
      </c>
    </row>
    <row r="38" spans="1:6" ht="15.6">
      <c r="A38" s="5"/>
      <c r="B38" s="5"/>
      <c r="C38" s="5"/>
      <c r="D38" s="6" t="str">
        <f>IF(C38="","",C38/F38)</f>
        <v/>
      </c>
      <c r="E38" s="5"/>
      <c r="F38" s="5"/>
    </row>
    <row r="39" spans="1:6" ht="15.6">
      <c r="A39" s="5"/>
      <c r="B39" s="5"/>
      <c r="C39" s="5"/>
      <c r="D39" s="6" t="str">
        <f>IF(C39="","",C39/F39)</f>
        <v/>
      </c>
      <c r="E39" s="5"/>
      <c r="F39" s="5"/>
    </row>
    <row r="40" spans="1:6" ht="15.6">
      <c r="A40" s="5"/>
      <c r="B40" s="5"/>
      <c r="C40" s="5"/>
      <c r="D40" s="6" t="str">
        <f>IF(C40="","",C40/F40)</f>
        <v/>
      </c>
      <c r="E40" s="5"/>
      <c r="F40" s="5"/>
    </row>
    <row r="41" spans="1:6" ht="15.6">
      <c r="A41" s="2" t="s">
        <v>39</v>
      </c>
    </row>
    <row r="43" spans="1:6" ht="16.2">
      <c r="A43" s="1" t="s">
        <v>40</v>
      </c>
    </row>
    <row r="45" spans="1:6" ht="15.6">
      <c r="A45" s="9" t="s">
        <v>47</v>
      </c>
    </row>
    <row r="46" spans="1:6" ht="15.6">
      <c r="A46" s="9" t="s">
        <v>42</v>
      </c>
    </row>
    <row r="47" spans="1:6" ht="15.6">
      <c r="A47" s="9" t="s">
        <v>43</v>
      </c>
    </row>
    <row r="48" spans="1:6" ht="15.6">
      <c r="A48" s="9" t="s">
        <v>48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42.5" customWidth="1"/>
    <col min="2" max="2" width="90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>
      <c r="A1" s="1" t="s">
        <v>49</v>
      </c>
    </row>
    <row r="2" spans="1:6" ht="15.6">
      <c r="A2" s="2" t="s">
        <v>50</v>
      </c>
    </row>
    <row r="4" spans="1:6" ht="16.2">
      <c r="A4" s="3" t="s">
        <v>2</v>
      </c>
    </row>
    <row r="5" spans="1:6" ht="16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>
      <c r="A6" s="5" t="s">
        <v>9</v>
      </c>
      <c r="B6" s="5"/>
      <c r="C6" s="5"/>
      <c r="D6" s="6" t="str">
        <f t="shared" ref="D6:D13" si="0">IF(C6="","",C6/F6)</f>
        <v/>
      </c>
      <c r="E6" s="7">
        <v>1</v>
      </c>
      <c r="F6" s="5">
        <v>1</v>
      </c>
    </row>
    <row r="7" spans="1:6" ht="15.6">
      <c r="A7" s="5" t="s">
        <v>10</v>
      </c>
      <c r="B7" s="5"/>
      <c r="C7" s="5"/>
      <c r="D7" s="6" t="str">
        <f t="shared" si="0"/>
        <v/>
      </c>
      <c r="E7" s="7">
        <v>1</v>
      </c>
      <c r="F7" s="5">
        <v>1</v>
      </c>
    </row>
    <row r="8" spans="1:6" ht="15.6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>
      <c r="A9" s="5" t="s">
        <v>12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>
      <c r="A10" s="5" t="s">
        <v>13</v>
      </c>
      <c r="B10" s="5"/>
      <c r="C10" s="5"/>
      <c r="D10" s="6" t="str">
        <f t="shared" si="0"/>
        <v/>
      </c>
      <c r="E10" s="7">
        <v>1</v>
      </c>
      <c r="F10" s="5">
        <v>2</v>
      </c>
    </row>
    <row r="11" spans="1:6" ht="15.6">
      <c r="A11" s="5" t="s">
        <v>14</v>
      </c>
      <c r="B11" s="5"/>
      <c r="C11" s="5"/>
      <c r="D11" s="6" t="str">
        <f t="shared" si="0"/>
        <v/>
      </c>
      <c r="E11" s="7">
        <v>1</v>
      </c>
      <c r="F11" s="5">
        <v>2</v>
      </c>
    </row>
    <row r="12" spans="1:6" ht="15.6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>
      <c r="A14" s="2" t="s">
        <v>17</v>
      </c>
    </row>
    <row r="15" spans="1:6" ht="15.6">
      <c r="A15" s="2" t="s">
        <v>18</v>
      </c>
    </row>
    <row r="16" spans="1:6" ht="15.6">
      <c r="A16" s="2" t="s">
        <v>19</v>
      </c>
    </row>
    <row r="18" spans="1:9" ht="16.2">
      <c r="A18" s="3" t="s">
        <v>20</v>
      </c>
    </row>
    <row r="19" spans="1:9" ht="16.2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>
      <c r="A20" s="5" t="s">
        <v>51</v>
      </c>
      <c r="B20" s="5"/>
      <c r="C20" s="5"/>
      <c r="D20" s="6" t="str">
        <f t="shared" ref="D20:D25" si="1">IF(C20="","",C20/F20)</f>
        <v/>
      </c>
      <c r="E20" s="5"/>
      <c r="F20" s="5">
        <v>100</v>
      </c>
    </row>
    <row r="21" spans="1:9" ht="15.6">
      <c r="A21" s="5" t="s">
        <v>52</v>
      </c>
      <c r="B21" s="5"/>
      <c r="C21" s="5"/>
      <c r="D21" s="6" t="str">
        <f t="shared" si="1"/>
        <v/>
      </c>
      <c r="E21" s="5"/>
      <c r="F21" s="5">
        <v>100</v>
      </c>
    </row>
    <row r="22" spans="1:9" ht="15.6">
      <c r="A22" s="5" t="s">
        <v>53</v>
      </c>
      <c r="B22" s="5"/>
      <c r="C22" s="5"/>
      <c r="D22" s="6" t="str">
        <f t="shared" si="1"/>
        <v/>
      </c>
      <c r="E22" s="5"/>
      <c r="F22" s="5">
        <v>100</v>
      </c>
      <c r="H22" s="8" t="str">
        <f>IFERROR(SUMPRODUCT(D20:D22,E20:E22)/SUM(E20:E22),"")</f>
        <v/>
      </c>
      <c r="I22" s="9" t="s">
        <v>54</v>
      </c>
    </row>
    <row r="23" spans="1:9" ht="15.6">
      <c r="A23" s="5" t="s">
        <v>55</v>
      </c>
      <c r="B23" s="5"/>
      <c r="C23" s="5"/>
      <c r="D23" s="6" t="str">
        <f t="shared" si="1"/>
        <v/>
      </c>
      <c r="E23" s="5"/>
      <c r="F23" s="5">
        <v>100</v>
      </c>
    </row>
    <row r="24" spans="1:9" ht="15.6">
      <c r="A24" s="5" t="s">
        <v>56</v>
      </c>
      <c r="B24" s="5"/>
      <c r="C24" s="5"/>
      <c r="D24" s="6" t="str">
        <f t="shared" si="1"/>
        <v/>
      </c>
      <c r="E24" s="5"/>
      <c r="F24" s="5">
        <v>100</v>
      </c>
    </row>
    <row r="25" spans="1:9" ht="15.6">
      <c r="A25" s="5" t="s">
        <v>57</v>
      </c>
      <c r="B25" s="5"/>
      <c r="C25" s="5"/>
      <c r="D25" s="6" t="str">
        <f t="shared" si="1"/>
        <v/>
      </c>
      <c r="E25" s="5"/>
      <c r="F25" s="5">
        <v>100</v>
      </c>
      <c r="H25" s="8" t="str">
        <f>IFERROR(SUMPRODUCT(D23:D25,E23:E25)/SUM(E23:E25),"")</f>
        <v/>
      </c>
      <c r="I25" s="9" t="s">
        <v>54</v>
      </c>
    </row>
    <row r="26" spans="1:9" ht="15.6">
      <c r="A26" s="2" t="s">
        <v>35</v>
      </c>
    </row>
    <row r="27" spans="1:9" ht="15.6">
      <c r="A27" s="2" t="s">
        <v>36</v>
      </c>
    </row>
    <row r="28" spans="1:9" ht="15.6">
      <c r="A28" s="2" t="s">
        <v>37</v>
      </c>
    </row>
    <row r="30" spans="1:9" ht="16.2">
      <c r="A30" s="3" t="s">
        <v>38</v>
      </c>
    </row>
    <row r="31" spans="1:9" ht="16.2">
      <c r="A31" s="4" t="s">
        <v>3</v>
      </c>
      <c r="B31" s="4" t="s">
        <v>4</v>
      </c>
      <c r="C31" s="4" t="s">
        <v>5</v>
      </c>
      <c r="D31" s="4" t="s">
        <v>6</v>
      </c>
      <c r="E31" s="4" t="s">
        <v>7</v>
      </c>
      <c r="F31" s="4" t="s">
        <v>8</v>
      </c>
    </row>
    <row r="32" spans="1:9" ht="15.6">
      <c r="A32" s="5"/>
      <c r="B32" s="5"/>
      <c r="C32" s="5"/>
      <c r="D32" s="6" t="str">
        <f>IF(C32="","",C32/F32)</f>
        <v/>
      </c>
      <c r="E32" s="5"/>
      <c r="F32" s="5"/>
    </row>
    <row r="33" spans="1:6" ht="15.6">
      <c r="A33" s="5"/>
      <c r="B33" s="5"/>
      <c r="C33" s="5"/>
      <c r="D33" s="6" t="str">
        <f>IF(C33="","",C33/F33)</f>
        <v/>
      </c>
      <c r="E33" s="5"/>
      <c r="F33" s="5"/>
    </row>
    <row r="34" spans="1:6" ht="15.6">
      <c r="A34" s="5"/>
      <c r="B34" s="5"/>
      <c r="C34" s="5"/>
      <c r="D34" s="6" t="str">
        <f>IF(C34="","",C34/F34)</f>
        <v/>
      </c>
      <c r="E34" s="5"/>
      <c r="F34" s="5"/>
    </row>
    <row r="35" spans="1:6" ht="15.6">
      <c r="A35" s="2" t="s">
        <v>39</v>
      </c>
    </row>
    <row r="37" spans="1:6" ht="16.2">
      <c r="A37" s="1" t="s">
        <v>58</v>
      </c>
    </row>
    <row r="39" spans="1:6" ht="15.6">
      <c r="A39" s="9" t="s">
        <v>59</v>
      </c>
    </row>
    <row r="40" spans="1:6" ht="15.6">
      <c r="A40" s="9" t="s">
        <v>42</v>
      </c>
    </row>
    <row r="41" spans="1:6" ht="15.6">
      <c r="A41" s="9" t="s">
        <v>43</v>
      </c>
    </row>
    <row r="42" spans="1:6" ht="15.6">
      <c r="A42" s="9" t="s">
        <v>60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42.5" customWidth="1"/>
    <col min="2" max="2" width="90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>
      <c r="A1" s="1" t="s">
        <v>61</v>
      </c>
    </row>
    <row r="2" spans="1:6" ht="15.6">
      <c r="A2" s="2" t="s">
        <v>62</v>
      </c>
    </row>
    <row r="4" spans="1:6" ht="16.2">
      <c r="A4" s="3" t="s">
        <v>2</v>
      </c>
    </row>
    <row r="5" spans="1:6" ht="16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>
      <c r="A6" s="5" t="s">
        <v>9</v>
      </c>
      <c r="B6" s="5"/>
      <c r="C6" s="5"/>
      <c r="D6" s="6" t="str">
        <f t="shared" ref="D6:D13" si="0">IF(C6="","",C6/F6)</f>
        <v/>
      </c>
      <c r="E6" s="7">
        <v>1</v>
      </c>
      <c r="F6" s="5">
        <v>1</v>
      </c>
    </row>
    <row r="7" spans="1:6" ht="15.6">
      <c r="A7" s="5" t="s">
        <v>10</v>
      </c>
      <c r="B7" s="5"/>
      <c r="C7" s="5"/>
      <c r="D7" s="6" t="str">
        <f t="shared" si="0"/>
        <v/>
      </c>
      <c r="E7" s="7">
        <v>1</v>
      </c>
      <c r="F7" s="5">
        <v>1</v>
      </c>
    </row>
    <row r="8" spans="1:6" ht="15.6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>
      <c r="A9" s="5" t="s">
        <v>12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>
      <c r="A10" s="5" t="s">
        <v>13</v>
      </c>
      <c r="B10" s="5"/>
      <c r="C10" s="5"/>
      <c r="D10" s="6" t="str">
        <f t="shared" si="0"/>
        <v/>
      </c>
      <c r="E10" s="7">
        <v>1</v>
      </c>
      <c r="F10" s="5">
        <v>2</v>
      </c>
    </row>
    <row r="11" spans="1:6" ht="15.6">
      <c r="A11" s="5" t="s">
        <v>14</v>
      </c>
      <c r="B11" s="5"/>
      <c r="C11" s="5"/>
      <c r="D11" s="6" t="str">
        <f t="shared" si="0"/>
        <v/>
      </c>
      <c r="E11" s="7">
        <v>1</v>
      </c>
      <c r="F11" s="5">
        <v>2</v>
      </c>
    </row>
    <row r="12" spans="1:6" ht="15.6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>
      <c r="A14" s="2" t="s">
        <v>17</v>
      </c>
    </row>
    <row r="15" spans="1:6" ht="15.6">
      <c r="A15" s="2" t="s">
        <v>18</v>
      </c>
    </row>
    <row r="16" spans="1:6" ht="15.6">
      <c r="A16" s="2" t="s">
        <v>19</v>
      </c>
    </row>
    <row r="18" spans="1:9" ht="16.2">
      <c r="A18" s="3" t="s">
        <v>20</v>
      </c>
    </row>
    <row r="19" spans="1:9" ht="16.2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>
      <c r="A20" s="5" t="s">
        <v>51</v>
      </c>
      <c r="B20" s="5"/>
      <c r="C20" s="5"/>
      <c r="D20" s="6" t="str">
        <f t="shared" ref="D20:D25" si="1">IF(C20="","",C20/F20)</f>
        <v/>
      </c>
      <c r="E20" s="5"/>
      <c r="F20" s="5">
        <v>100</v>
      </c>
    </row>
    <row r="21" spans="1:9" ht="15.6">
      <c r="A21" s="5" t="s">
        <v>52</v>
      </c>
      <c r="B21" s="5"/>
      <c r="C21" s="5"/>
      <c r="D21" s="6" t="str">
        <f t="shared" si="1"/>
        <v/>
      </c>
      <c r="E21" s="5"/>
      <c r="F21" s="5">
        <v>100</v>
      </c>
    </row>
    <row r="22" spans="1:9" ht="15.6">
      <c r="A22" s="5" t="s">
        <v>53</v>
      </c>
      <c r="B22" s="5"/>
      <c r="C22" s="5"/>
      <c r="D22" s="6" t="str">
        <f t="shared" si="1"/>
        <v/>
      </c>
      <c r="E22" s="5"/>
      <c r="F22" s="5">
        <v>100</v>
      </c>
      <c r="H22" s="8" t="str">
        <f>IFERROR(SUMPRODUCT(D20:D22,E20:E22)/SUM(E20:E22),"")</f>
        <v/>
      </c>
      <c r="I22" s="9" t="s">
        <v>54</v>
      </c>
    </row>
    <row r="23" spans="1:9" ht="15.6">
      <c r="A23" s="5" t="s">
        <v>55</v>
      </c>
      <c r="B23" s="5"/>
      <c r="C23" s="5"/>
      <c r="D23" s="6" t="str">
        <f t="shared" si="1"/>
        <v/>
      </c>
      <c r="E23" s="5"/>
      <c r="F23" s="5">
        <v>100</v>
      </c>
    </row>
    <row r="24" spans="1:9" ht="15.6">
      <c r="A24" s="5" t="s">
        <v>56</v>
      </c>
      <c r="B24" s="5"/>
      <c r="C24" s="5"/>
      <c r="D24" s="6" t="str">
        <f t="shared" si="1"/>
        <v/>
      </c>
      <c r="E24" s="5"/>
      <c r="F24" s="5">
        <v>100</v>
      </c>
    </row>
    <row r="25" spans="1:9" ht="15.6">
      <c r="A25" s="5" t="s">
        <v>57</v>
      </c>
      <c r="B25" s="5"/>
      <c r="C25" s="5"/>
      <c r="D25" s="6" t="str">
        <f t="shared" si="1"/>
        <v/>
      </c>
      <c r="E25" s="5"/>
      <c r="F25" s="5">
        <v>100</v>
      </c>
      <c r="H25" s="8" t="str">
        <f>IFERROR(SUMPRODUCT(D23:D25,E23:E25)/SUM(E23:E25),"")</f>
        <v/>
      </c>
      <c r="I25" s="9" t="s">
        <v>54</v>
      </c>
    </row>
    <row r="26" spans="1:9" ht="15.6">
      <c r="A26" s="2" t="s">
        <v>35</v>
      </c>
    </row>
    <row r="27" spans="1:9" ht="15.6">
      <c r="A27" s="2" t="s">
        <v>36</v>
      </c>
    </row>
    <row r="28" spans="1:9" ht="15.6">
      <c r="A28" s="2" t="s">
        <v>37</v>
      </c>
    </row>
    <row r="30" spans="1:9" ht="16.2">
      <c r="A30" s="3" t="s">
        <v>38</v>
      </c>
    </row>
    <row r="31" spans="1:9" ht="16.2">
      <c r="A31" s="4" t="s">
        <v>3</v>
      </c>
      <c r="B31" s="4" t="s">
        <v>4</v>
      </c>
      <c r="C31" s="4" t="s">
        <v>5</v>
      </c>
      <c r="D31" s="4" t="s">
        <v>6</v>
      </c>
      <c r="E31" s="4" t="s">
        <v>7</v>
      </c>
      <c r="F31" s="4" t="s">
        <v>8</v>
      </c>
    </row>
    <row r="32" spans="1:9" ht="15.6">
      <c r="A32" s="5"/>
      <c r="B32" s="5"/>
      <c r="C32" s="5"/>
      <c r="D32" s="6" t="str">
        <f>IF(C32="","",C32/F32)</f>
        <v/>
      </c>
      <c r="E32" s="5"/>
      <c r="F32" s="5"/>
    </row>
    <row r="33" spans="1:6" ht="15.6">
      <c r="A33" s="5"/>
      <c r="B33" s="5"/>
      <c r="C33" s="5"/>
      <c r="D33" s="6" t="str">
        <f>IF(C33="","",C33/F33)</f>
        <v/>
      </c>
      <c r="E33" s="5"/>
      <c r="F33" s="5"/>
    </row>
    <row r="34" spans="1:6" ht="15.6">
      <c r="A34" s="5"/>
      <c r="B34" s="5"/>
      <c r="C34" s="5"/>
      <c r="D34" s="6" t="str">
        <f>IF(C34="","",C34/F34)</f>
        <v/>
      </c>
      <c r="E34" s="5"/>
      <c r="F34" s="5"/>
    </row>
    <row r="35" spans="1:6" ht="15.6">
      <c r="A35" s="2" t="s">
        <v>39</v>
      </c>
    </row>
    <row r="37" spans="1:6" ht="16.2">
      <c r="A37" s="1" t="s">
        <v>58</v>
      </c>
    </row>
    <row r="39" spans="1:6" ht="15.6">
      <c r="A39" s="9" t="s">
        <v>63</v>
      </c>
    </row>
    <row r="40" spans="1:6" ht="15.6">
      <c r="A40" s="9" t="s">
        <v>42</v>
      </c>
    </row>
    <row r="41" spans="1:6" ht="15.6">
      <c r="A41" s="9" t="s">
        <v>43</v>
      </c>
    </row>
    <row r="42" spans="1:6" ht="15.6">
      <c r="A42" s="9" t="s">
        <v>64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腳本表_92A</vt:lpstr>
      <vt:lpstr>腳本表_92B</vt:lpstr>
      <vt:lpstr>腳本表_94A</vt:lpstr>
      <vt:lpstr>腳本表_94B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2026-10-19T05:51:30Z</dcterms:created>
  <dcterms:modified xsi:type="dcterms:W3CDTF">2026-10-19T10:02:38Z</dcterms:modified>
</cp:coreProperties>
</file>