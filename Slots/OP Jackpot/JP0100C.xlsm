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VN\Slot\IGaming\Jackpot\00_OP\"/>
    </mc:Choice>
  </mc:AlternateContent>
  <xr:revisionPtr revIDLastSave="0" documentId="13_ncr:1_{A4F808C7-61FE-44A7-A9AE-0CE977817605}" xr6:coauthVersionLast="47" xr6:coauthVersionMax="47" xr10:uidLastSave="{00000000-0000-0000-0000-000000000000}"/>
  <bookViews>
    <workbookView xWindow="-28920" yWindow="60" windowWidth="29040" windowHeight="1572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29" i="36" l="1"/>
  <c r="R45" i="36"/>
  <c r="R32" i="36"/>
  <c r="R18" i="36"/>
  <c r="R138" i="36" l="1"/>
  <c r="R137" i="36"/>
  <c r="R136" i="36"/>
  <c r="R135" i="36"/>
  <c r="R134" i="36"/>
  <c r="R133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T3" i="36" l="1" a="1"/>
  <c r="T3" i="36" s="1"/>
  <c r="S3" i="36" a="1"/>
  <c r="S3" i="36" s="1"/>
  <c r="D6" i="8" l="1"/>
  <c r="R3" i="36" l="1"/>
  <c r="C3" i="93" a="1"/>
  <c r="C3" i="93" s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J30" i="94" l="1" a="1"/>
  <c r="J30" i="94" s="1"/>
  <c r="I30" i="94" a="1"/>
  <c r="I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<sst xmlns="http://schemas.openxmlformats.org/spreadsheetml/2006/main" count="696" uniqueCount="70">
  <si>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</si>
  <si>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</si>
  <si>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</si>
  <si>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</si>
  <si>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</si>
  <si>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</si>
  <si>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</si>
  <si>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</si>
  <si>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</si>
  <si>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</si>
  <si>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</si>
  <si>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</si>
  <si>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</si>
  <si>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</si>
  <si>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</si>
  <si>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</si>
  <si>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</si>
  <si>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</si>
  <si>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</si>
  <si>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</si>
  <si>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</si>
  <si>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</si>
  <si>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</si>
  <si>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</si>
  <si>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</si>
  <si>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</si>
  <si>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</si>
  <si>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</si>
  <si>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</si>
  <si>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</si>
  <si>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</si>
  <si>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</si>
  <si>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</si>
  <si>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</si>
  <si>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</si>
  <si>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</si>
  <si>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</si>
  <si>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</si>
  <si>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</si>
  <si>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</si>
  <si>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</si>
  <si>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</si>
  <si>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</si>
  <si>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</si>
  <si>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</si>
  <si>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</si>
  <si>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</si>
  <si>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</si>
  <si>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</si>
  <si>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</si>
  <si>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</si>
  <si>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</si>
  <si>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</si>
  <si>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</si>
  <si>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</si>
  <si>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</si>
  <si>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</si>
  <si>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</si>
  <si>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</si>
  <si>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</si>
  <si>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</si>
  <si>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</si>
  <si>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</si>
  <si>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</si>
  <si>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</si>
  <si>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JP0100C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</si>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</sst>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5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0" fontId="12" fillId="0" borderId="0" xfId="0" applyNumberFormat="1" applyFont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85" fontId="4" fillId="0" borderId="0" xfId="0" applyNumberFormat="1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29"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  <dxf>
      <font>
        <color theme="0" tint="-0.24994659260841701"/>
      </font>
      <numFmt numFmtId="186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O19" sqref="O19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47</v>
      </c>
      <c r="C3" s="73" t="s">
        <v>65</v>
      </c>
    </row>
    <row r="4" spans="2:7">
      <c r="B4" s="45" t="s">
        <v>0</v>
      </c>
      <c r="C4" s="74" t="s">
        <v>69</v>
      </c>
    </row>
    <row r="6" spans="2:7">
      <c r="B6" s="45" t="s">
        <v>41</v>
      </c>
      <c r="C6" s="63">
        <v>11</v>
      </c>
      <c r="D6" s="79" t="str">
        <f>VLOOKUP(C6, Parameter_List!A:B, 2, 0)</f>
        <v>Club</v>
      </c>
    </row>
    <row r="7" spans="2:7">
      <c r="B7" s="45" t="s">
        <v>48</v>
      </c>
      <c r="C7" s="63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5" t="s">
        <v>43</v>
      </c>
      <c r="C15" s="66" t="s">
        <v>53</v>
      </c>
      <c r="D15" s="66" t="s">
        <v>50</v>
      </c>
      <c r="E15" s="55" t="s">
        <v>49</v>
      </c>
      <c r="F15" s="66" t="s">
        <v>51</v>
      </c>
      <c r="G15" s="66" t="s">
        <v>52</v>
      </c>
    </row>
    <row r="16" spans="2:7">
      <c r="B16" s="64" t="s">
        <v>32</v>
      </c>
      <c r="C16" s="69" cm="1">
        <f t="array" ref="C16:C19">Setting!D25:D28</f>
        <v>12000</v>
      </c>
      <c r="D16" s="67" cm="1">
        <f t="array" ref="D16:D19">_xlfn.ANCHORARRAY(F16)-_xlfn.ANCHORARRAY(E16)</f>
        <v>0</v>
      </c>
      <c r="E16" s="67" cm="1">
        <f t="array" ref="E16:E19">Setting!C17:C20</f>
        <v>0</v>
      </c>
      <c r="F16" s="67" cm="1">
        <f t="array" ref="F16:F19">Setting!C9:C12</f>
        <v>0</v>
      </c>
      <c r="G16" s="78" t="e" cm="1">
        <f t="array" ref="G16:G17">Calculate!J8:J9</f>
        <v>#DIV/0!</v>
      </c>
    </row>
    <row r="17" spans="2:7">
      <c r="B17" s="12" t="s">
        <v>25</v>
      </c>
      <c r="C17" s="68">
        <v>5000</v>
      </c>
      <c r="D17" s="57">
        <v>0</v>
      </c>
      <c r="E17" s="57">
        <v>0</v>
      </c>
      <c r="F17" s="57">
        <v>0</v>
      </c>
      <c r="G17" s="37" t="e">
        <v>#DIV/0!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7">
        <f>SUM(_xlfn.ANCHORARRAY(D16))</f>
        <v>1.9999999999999997E-2</v>
      </c>
      <c r="E20" s="77">
        <f>SUM(_xlfn.ANCHORARRAY(E16))</f>
        <v>0</v>
      </c>
      <c r="F20" s="77">
        <f>SUM(_xlfn.ANCHORARRAY(F16))</f>
        <v>1.9999999999999997E-2</v>
      </c>
    </row>
    <row r="22" spans="2:7">
      <c r="B22" s="2" t="s">
        <v>54</v>
      </c>
    </row>
    <row r="23" spans="2:7">
      <c r="B23" s="65" t="s">
        <v>57</v>
      </c>
      <c r="C23" s="65" t="s">
        <v>58</v>
      </c>
      <c r="D23" s="66" t="s">
        <v>54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0.60000000000000009</v>
      </c>
      <c r="D24" s="58">
        <f ca="1">OFFSET(Calculate!$A$1, 7+11*(B24-1), 10)</f>
        <v>245.09803921568627</v>
      </c>
    </row>
    <row r="25" spans="2:7">
      <c r="B25" s="37">
        <v>2</v>
      </c>
      <c r="C25" s="68">
        <v>1.2000000000000002</v>
      </c>
      <c r="D25" s="58">
        <f ca="1">OFFSET(Calculate!$A$1, 7+11*(B25-1), 10)</f>
        <v>245.09803921568627</v>
      </c>
    </row>
    <row r="26" spans="2:7">
      <c r="B26" s="37">
        <v>3</v>
      </c>
      <c r="C26" s="68">
        <v>3</v>
      </c>
      <c r="D26" s="58">
        <f ca="1">OFFSET(Calculate!$A$1, 7+11*(B26-1), 10)</f>
        <v>245.0980392156863</v>
      </c>
    </row>
    <row r="27" spans="2:7">
      <c r="B27" s="37">
        <v>4</v>
      </c>
      <c r="C27" s="68">
        <v>6</v>
      </c>
      <c r="D27" s="58">
        <f ca="1">OFFSET(Calculate!$A$1, 7+11*(B27-1), 10)</f>
        <v>245.0980392156863</v>
      </c>
    </row>
    <row r="28" spans="2:7">
      <c r="B28" s="37">
        <v>5</v>
      </c>
      <c r="C28" s="68">
        <v>7.1999999999999993</v>
      </c>
      <c r="D28" s="58">
        <f ca="1">OFFSET(Calculate!$A$1, 7+11*(B28-1), 10)</f>
        <v>245.0980392156863</v>
      </c>
    </row>
    <row r="29" spans="2:7">
      <c r="B29" s="37">
        <v>6</v>
      </c>
      <c r="C29" s="68">
        <v>9</v>
      </c>
      <c r="D29" s="58">
        <f ca="1">OFFSET(Calculate!$A$1, 7+11*(B29-1), 10)</f>
        <v>245.0980392156863</v>
      </c>
    </row>
    <row r="30" spans="2:7">
      <c r="B30" s="37">
        <v>7</v>
      </c>
      <c r="C30" s="68">
        <v>12</v>
      </c>
      <c r="D30" s="58">
        <f ca="1">OFFSET(Calculate!$A$1, 7+11*(B30-1), 10)</f>
        <v>245.0980392156863</v>
      </c>
    </row>
    <row r="31" spans="2:7">
      <c r="B31" s="37">
        <v>8</v>
      </c>
      <c r="C31" s="68">
        <v>15</v>
      </c>
      <c r="D31" s="58">
        <f ca="1">OFFSET(Calculate!$A$1, 7+11*(B31-1), 10)</f>
        <v>245.0980392156863</v>
      </c>
    </row>
    <row r="32" spans="2:7">
      <c r="B32" s="37">
        <v>9</v>
      </c>
      <c r="C32" s="68">
        <v>18</v>
      </c>
      <c r="D32" s="58">
        <f ca="1">OFFSET(Calculate!$A$1, 7+11*(B32-1), 10)</f>
        <v>245.0980392156863</v>
      </c>
    </row>
    <row r="33" spans="2:4">
      <c r="B33" s="37">
        <v>10</v>
      </c>
      <c r="C33" s="68">
        <v>21</v>
      </c>
      <c r="D33" s="58">
        <f ca="1">OFFSET(Calculate!$A$1, 7+11*(B33-1), 10)</f>
        <v>245.0980392156863</v>
      </c>
    </row>
    <row r="34" spans="2:4">
      <c r="B34" s="37">
        <v>11</v>
      </c>
      <c r="C34" s="68">
        <v>24</v>
      </c>
      <c r="D34" s="58">
        <f ca="1">OFFSET(Calculate!$A$1, 7+11*(B34-1), 10)</f>
        <v>245.0980392156863</v>
      </c>
    </row>
    <row r="35" spans="2:4">
      <c r="B35" s="37">
        <v>12</v>
      </c>
      <c r="C35" s="68">
        <v>27</v>
      </c>
      <c r="D35" s="58">
        <f ca="1">OFFSET(Calculate!$A$1, 7+11*(B35-1), 10)</f>
        <v>245.0980392156863</v>
      </c>
    </row>
    <row r="36" spans="2:4">
      <c r="B36" s="37">
        <v>13</v>
      </c>
      <c r="C36" s="68">
        <v>30</v>
      </c>
      <c r="D36" s="58">
        <f ca="1">OFFSET(Calculate!$A$1, 7+11*(B36-1), 10)</f>
        <v>245.0980392156863</v>
      </c>
    </row>
    <row r="37" spans="2:4">
      <c r="B37" s="37">
        <v>14</v>
      </c>
      <c r="C37" s="68">
        <v>36</v>
      </c>
      <c r="D37" s="58">
        <f ca="1">OFFSET(Calculate!$A$1, 7+11*(B37-1), 10)</f>
        <v>245.0980392156863</v>
      </c>
    </row>
    <row r="38" spans="2:4">
      <c r="B38" s="37">
        <v>15</v>
      </c>
      <c r="C38" s="68">
        <v>42</v>
      </c>
      <c r="D38" s="58">
        <f ca="1">OFFSET(Calculate!$A$1, 7+11*(B38-1), 10)</f>
        <v>245.0980392156863</v>
      </c>
    </row>
    <row r="39" spans="2:4">
      <c r="B39" s="37">
        <v>16</v>
      </c>
      <c r="C39" s="68">
        <v>48</v>
      </c>
      <c r="D39" s="58">
        <f ca="1">OFFSET(Calculate!$A$1, 7+11*(B39-1), 10)</f>
        <v>245.0980392156863</v>
      </c>
    </row>
    <row r="40" spans="2:4">
      <c r="B40" s="37">
        <v>17</v>
      </c>
      <c r="C40" s="68">
        <v>54</v>
      </c>
      <c r="D40" s="58">
        <f ca="1">OFFSET(Calculate!$A$1, 7+11*(B40-1), 10)</f>
        <v>245.0980392156863</v>
      </c>
    </row>
    <row r="41" spans="2:4">
      <c r="B41" s="37">
        <v>18</v>
      </c>
      <c r="C41" s="68">
        <v>60</v>
      </c>
      <c r="D41" s="58">
        <f ca="1">OFFSET(Calculate!$A$1, 7+11*(B41-1), 10)</f>
        <v>245.0980392156863</v>
      </c>
    </row>
    <row r="42" spans="2:4">
      <c r="B42" s="37">
        <v>19</v>
      </c>
      <c r="C42" s="68">
        <v>90</v>
      </c>
      <c r="D42" s="58">
        <f ca="1">OFFSET(Calculate!$A$1, 7+11*(B42-1), 10)</f>
        <v>245.0980392156863</v>
      </c>
    </row>
    <row r="43" spans="2:4">
      <c r="B43" s="37">
        <v>20</v>
      </c>
      <c r="C43" s="68">
        <v>120</v>
      </c>
      <c r="D43" s="58">
        <f ca="1">OFFSET(Calculate!$A$1, 7+11*(B43-1), 10)</f>
        <v>245.0980392156863</v>
      </c>
    </row>
    <row r="44" spans="2:4">
      <c r="B44" s="37">
        <v>21</v>
      </c>
      <c r="C44" s="68">
        <v>180</v>
      </c>
      <c r="D44" s="58">
        <f ca="1">OFFSET(Calculate!$A$1, 7+11*(B44-1), 10)</f>
        <v>245.0980392156863</v>
      </c>
    </row>
    <row r="45" spans="2:4">
      <c r="B45" s="37">
        <v>22</v>
      </c>
      <c r="C45" s="68">
        <v>300</v>
      </c>
      <c r="D45" s="58">
        <f ca="1">OFFSET(Calculate!$A$1, 7+11*(B45-1), 10)</f>
        <v>245.0980392156863</v>
      </c>
    </row>
    <row r="46" spans="2:4">
      <c r="B46" s="37">
        <v>23</v>
      </c>
      <c r="C46" s="68">
        <v>600</v>
      </c>
      <c r="D46" s="58">
        <f ca="1">OFFSET(Calculate!$A$1, 7+11*(B46-1), 10)</f>
        <v>245.0980392156863</v>
      </c>
    </row>
    <row r="47" spans="2:4">
      <c r="B47" s="37">
        <v>24</v>
      </c>
      <c r="C47" s="68">
        <v>900</v>
      </c>
      <c r="D47" s="58">
        <f ca="1">OFFSET(Calculate!$A$1, 7+11*(B47-1), 10)</f>
        <v>245.0980392156863</v>
      </c>
    </row>
    <row r="48" spans="2:4">
      <c r="B48" s="37">
        <v>25</v>
      </c>
      <c r="C48" s="68">
        <v>1800</v>
      </c>
      <c r="D48" s="58">
        <f ca="1">OFFSET(Calculate!$A$1, 7+11*(B48-1), 10)</f>
        <v>245.0980392156863</v>
      </c>
    </row>
    <row r="49" spans="2:4">
      <c r="B49" s="37">
        <v>26</v>
      </c>
      <c r="C49" s="68">
        <v>3000</v>
      </c>
      <c r="D49" s="58">
        <f ca="1">OFFSET(Calculate!$A$1, 7+11*(B49-1), 10)</f>
        <v>245.0980392156863</v>
      </c>
    </row>
    <row r="50" spans="2:4">
      <c r="B50" s="37">
        <v>27</v>
      </c>
      <c r="C50" s="68">
        <v>4500</v>
      </c>
      <c r="D50" s="58">
        <f ca="1">OFFSET(Calculate!$A$1, 7+11*(B50-1), 10)</f>
        <v>245.0980392156863</v>
      </c>
    </row>
    <row r="51" spans="2:4">
      <c r="B51" s="37">
        <v>28</v>
      </c>
      <c r="C51" s="68">
        <v>6000</v>
      </c>
      <c r="D51" s="58">
        <f ca="1">OFFSET(Calculate!$A$1, 7+11*(B51-1), 10)</f>
        <v>245.0980392156863</v>
      </c>
    </row>
    <row r="52" spans="2:4">
      <c r="B52" s="37">
        <v>29</v>
      </c>
      <c r="C52" s="68">
        <v>9000</v>
      </c>
      <c r="D52" s="58">
        <f ca="1">OFFSET(Calculate!$A$1, 7+11*(B52-1), 10)</f>
        <v>245.0980392156863</v>
      </c>
    </row>
    <row r="53" spans="2:4">
      <c r="B53" s="37">
        <v>30</v>
      </c>
      <c r="C53" s="68">
        <v>15000</v>
      </c>
      <c r="D53" s="58">
        <f ca="1">OFFSET(Calculate!$A$1, 7+11*(B53-1), 10)</f>
        <v>245.0980392156863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T212"/>
  <sheetViews>
    <sheetView zoomScale="85" zoomScaleNormal="85" workbookViewId="0">
      <pane ySplit="2" topLeftCell="A8" activePane="bottomLeft" state="frozen"/>
      <selection pane="bottomLeft" activeCell="E130" sqref="E50:K130"/>
    </sheetView>
  </sheetViews>
  <sheetFormatPr defaultColWidth="8.6640625" defaultRowHeight="15.6"/>
  <cols>
    <col min="1" max="1" width="24.5" style="76" bestFit="1" customWidth="1"/>
    <col min="2" max="2" width="8.75" style="76" customWidth="1"/>
    <col min="3" max="3" width="6.6640625" style="76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7.25" style="59" bestFit="1" customWidth="1"/>
    <col min="20" max="20" width="5.4140625" style="59" bestFit="1" customWidth="1"/>
    <col min="21" max="16384" width="8.6640625" style="59"/>
  </cols>
  <sheetData>
    <row r="1" spans="1:20" ht="15.6" customHeight="1">
      <c r="A1" s="105" t="s">
        <v>42</v>
      </c>
      <c r="B1" s="106" t="s">
        <v>36</v>
      </c>
      <c r="C1" s="106" t="s">
        <v>30</v>
      </c>
      <c r="D1" s="106" t="s">
        <v>15</v>
      </c>
      <c r="E1" s="106" t="s">
        <v>31</v>
      </c>
      <c r="F1" s="106" t="s">
        <v>33</v>
      </c>
      <c r="G1" s="106"/>
      <c r="H1" s="106"/>
      <c r="I1" s="106"/>
      <c r="J1" s="106" t="s">
        <v>34</v>
      </c>
      <c r="K1" s="106"/>
      <c r="L1" s="106"/>
      <c r="M1" s="106"/>
      <c r="N1" s="106" t="s">
        <v>35</v>
      </c>
      <c r="O1" s="106"/>
      <c r="P1" s="106"/>
      <c r="Q1" s="106"/>
      <c r="S1" s="107" t="s">
        <v>68</v>
      </c>
      <c r="T1" s="109" t="s">
        <v>31</v>
      </c>
    </row>
    <row r="2" spans="1:20">
      <c r="A2" s="105"/>
      <c r="B2" s="106"/>
      <c r="C2" s="106"/>
      <c r="D2" s="106"/>
      <c r="E2" s="106"/>
      <c r="F2" s="104" t="s">
        <v>32</v>
      </c>
      <c r="G2" s="104" t="s">
        <v>25</v>
      </c>
      <c r="H2" s="104" t="s">
        <v>18</v>
      </c>
      <c r="I2" s="104" t="s">
        <v>19</v>
      </c>
      <c r="J2" s="104" t="s">
        <v>32</v>
      </c>
      <c r="K2" s="104" t="s">
        <v>25</v>
      </c>
      <c r="L2" s="104" t="s">
        <v>18</v>
      </c>
      <c r="M2" s="104" t="s">
        <v>19</v>
      </c>
      <c r="N2" s="104" t="s">
        <v>37</v>
      </c>
      <c r="O2" s="104" t="s">
        <v>38</v>
      </c>
      <c r="P2" s="104" t="s">
        <v>39</v>
      </c>
      <c r="Q2" s="104" t="s">
        <v>40</v>
      </c>
      <c r="S2" s="108"/>
      <c r="T2" s="108"/>
    </row>
    <row r="3" spans="1:20" ht="15.6" customHeight="1">
      <c r="A3" s="85">
        <v>1</v>
      </c>
      <c r="B3" s="73" t="s">
        <v>44</v>
      </c>
      <c r="C3" s="73">
        <v>2E-3</v>
      </c>
      <c r="D3" s="80">
        <v>100</v>
      </c>
      <c r="E3" s="83">
        <v>1</v>
      </c>
      <c r="F3" s="81">
        <v>3.5000000000000001E-3</v>
      </c>
      <c r="G3" s="81">
        <v>5.0000000000000001E-3</v>
      </c>
      <c r="H3" s="81">
        <v>8.0000000000000002E-3</v>
      </c>
      <c r="I3" s="81">
        <v>2.35E-2</v>
      </c>
      <c r="J3" s="81">
        <v>3.5000000000000001E-3</v>
      </c>
      <c r="K3" s="81">
        <v>5.0000000000000001E-3</v>
      </c>
      <c r="L3" s="81">
        <v>0</v>
      </c>
      <c r="M3" s="81">
        <v>0</v>
      </c>
      <c r="N3" s="82">
        <v>100000</v>
      </c>
      <c r="O3" s="82">
        <v>10000</v>
      </c>
      <c r="P3" s="82">
        <v>50</v>
      </c>
      <c r="Q3" s="82">
        <v>10</v>
      </c>
      <c r="R3" s="86">
        <f t="shared" ref="R3:R69" si="0">SUM(F3:I3)</f>
        <v>0.04</v>
      </c>
      <c r="S3" s="75" cm="1">
        <f t="array" ref="S3:S14">_xlfn.LET(_xlpm.x, _xlfn.UNIQUE(A:A), _xlpm.y, IF(_xlpm.x=0, "", _xlpm.x), _xlfn._xlws.SORT(_xlfn._xlws.FILTER(_xlpm.y, ISNUMBER(_xlpm.y))))</f>
        <v>1</v>
      </c>
      <c r="T3" s="75" cm="1">
        <f t="array" ref="T3:T16">_xlfn.LET(_xlpm.x, _xlfn.UNIQUE(E:E), _xlpm.y, IF(_xlpm.x=0, "", _xlpm.x), _xlfn._xlws.SORT(_xlfn._xlws.FILTER(_xlpm.y, ISNUMBER(_xlpm.y))))</f>
        <v>1</v>
      </c>
    </row>
    <row r="4" spans="1:20" ht="15.6" customHeight="1">
      <c r="A4" s="85">
        <v>1</v>
      </c>
      <c r="B4" s="73" t="s">
        <v>44</v>
      </c>
      <c r="C4" s="73">
        <v>2E-3</v>
      </c>
      <c r="D4" s="80">
        <v>100</v>
      </c>
      <c r="E4" s="83">
        <v>1.25</v>
      </c>
      <c r="F4" s="81">
        <v>3.5000000000000001E-3</v>
      </c>
      <c r="G4" s="81">
        <v>5.0000000000000001E-3</v>
      </c>
      <c r="H4" s="81">
        <v>8.0000000000000002E-3</v>
      </c>
      <c r="I4" s="81">
        <v>2.35E-2</v>
      </c>
      <c r="J4" s="81">
        <v>3.5000000000000001E-3</v>
      </c>
      <c r="K4" s="81">
        <v>5.0000000000000001E-3</v>
      </c>
      <c r="L4" s="81">
        <v>0</v>
      </c>
      <c r="M4" s="81">
        <v>0</v>
      </c>
      <c r="N4" s="82">
        <v>100000</v>
      </c>
      <c r="O4" s="82">
        <v>10000</v>
      </c>
      <c r="P4" s="82">
        <v>50</v>
      </c>
      <c r="Q4" s="82">
        <v>10</v>
      </c>
      <c r="R4" s="86">
        <f t="shared" si="0"/>
        <v>0.04</v>
      </c>
      <c r="S4" s="75">
        <v>2</v>
      </c>
      <c r="T4" s="75">
        <v>1.25</v>
      </c>
    </row>
    <row r="5" spans="1:20" ht="15.6" customHeight="1">
      <c r="A5" s="85">
        <v>1</v>
      </c>
      <c r="B5" s="73" t="s">
        <v>44</v>
      </c>
      <c r="C5" s="73">
        <v>2E-3</v>
      </c>
      <c r="D5" s="80">
        <v>100</v>
      </c>
      <c r="E5" s="83">
        <v>1.5</v>
      </c>
      <c r="F5" s="81">
        <v>3.5000000000000001E-3</v>
      </c>
      <c r="G5" s="81">
        <v>5.0000000000000001E-3</v>
      </c>
      <c r="H5" s="81">
        <v>8.0000000000000002E-3</v>
      </c>
      <c r="I5" s="81">
        <v>2.35E-2</v>
      </c>
      <c r="J5" s="81">
        <v>3.5000000000000001E-3</v>
      </c>
      <c r="K5" s="81">
        <v>5.0000000000000001E-3</v>
      </c>
      <c r="L5" s="81">
        <v>0</v>
      </c>
      <c r="M5" s="81">
        <v>0</v>
      </c>
      <c r="N5" s="82">
        <v>100000</v>
      </c>
      <c r="O5" s="82">
        <v>10000</v>
      </c>
      <c r="P5" s="82">
        <v>50</v>
      </c>
      <c r="Q5" s="82">
        <v>10</v>
      </c>
      <c r="R5" s="86">
        <f t="shared" si="0"/>
        <v>0.04</v>
      </c>
      <c r="S5" s="75">
        <v>3</v>
      </c>
      <c r="T5" s="75">
        <v>1.5</v>
      </c>
    </row>
    <row r="6" spans="1:20" ht="15.6" customHeight="1">
      <c r="A6" s="85">
        <v>1</v>
      </c>
      <c r="B6" s="73" t="s">
        <v>44</v>
      </c>
      <c r="C6" s="73">
        <v>2E-3</v>
      </c>
      <c r="D6" s="80">
        <v>100</v>
      </c>
      <c r="E6" s="83">
        <v>2</v>
      </c>
      <c r="F6" s="81">
        <v>3.5000000000000001E-3</v>
      </c>
      <c r="G6" s="81">
        <v>5.0000000000000001E-3</v>
      </c>
      <c r="H6" s="81">
        <v>8.0000000000000002E-3</v>
      </c>
      <c r="I6" s="81">
        <v>2.35E-2</v>
      </c>
      <c r="J6" s="81">
        <v>3.5000000000000001E-3</v>
      </c>
      <c r="K6" s="81">
        <v>5.0000000000000001E-3</v>
      </c>
      <c r="L6" s="81">
        <v>0</v>
      </c>
      <c r="M6" s="81">
        <v>0</v>
      </c>
      <c r="N6" s="82">
        <v>100000</v>
      </c>
      <c r="O6" s="82">
        <v>10000</v>
      </c>
      <c r="P6" s="82">
        <v>50</v>
      </c>
      <c r="Q6" s="82">
        <v>10</v>
      </c>
      <c r="R6" s="86">
        <f t="shared" si="0"/>
        <v>0.04</v>
      </c>
      <c r="S6" s="75">
        <v>11</v>
      </c>
      <c r="T6" s="75">
        <v>2</v>
      </c>
    </row>
    <row r="7" spans="1:20" ht="15.6" customHeight="1">
      <c r="A7" s="85">
        <v>1</v>
      </c>
      <c r="B7" s="73" t="s">
        <v>44</v>
      </c>
      <c r="C7" s="73">
        <v>2E-3</v>
      </c>
      <c r="D7" s="80">
        <v>100</v>
      </c>
      <c r="E7" s="83">
        <v>8</v>
      </c>
      <c r="F7" s="81">
        <v>3.5000000000000001E-3</v>
      </c>
      <c r="G7" s="81">
        <v>5.0000000000000001E-3</v>
      </c>
      <c r="H7" s="81">
        <v>0.03</v>
      </c>
      <c r="I7" s="81">
        <v>1.5E-3</v>
      </c>
      <c r="J7" s="81">
        <v>3.5000000000000001E-3</v>
      </c>
      <c r="K7" s="81">
        <v>5.0000000000000001E-3</v>
      </c>
      <c r="L7" s="81">
        <v>0</v>
      </c>
      <c r="M7" s="81">
        <v>0</v>
      </c>
      <c r="N7" s="82">
        <v>100000</v>
      </c>
      <c r="O7" s="82">
        <v>10000</v>
      </c>
      <c r="P7" s="82">
        <v>50</v>
      </c>
      <c r="Q7" s="82">
        <v>10</v>
      </c>
      <c r="R7" s="86">
        <f t="shared" si="0"/>
        <v>0.04</v>
      </c>
      <c r="S7" s="75">
        <v>21</v>
      </c>
      <c r="T7" s="75">
        <v>3</v>
      </c>
    </row>
    <row r="8" spans="1:20" ht="15.6" customHeight="1">
      <c r="A8" s="85">
        <v>1</v>
      </c>
      <c r="B8" s="73" t="s">
        <v>44</v>
      </c>
      <c r="C8" s="73">
        <v>2E-3</v>
      </c>
      <c r="D8" s="80">
        <v>100</v>
      </c>
      <c r="E8" s="83">
        <v>40.5</v>
      </c>
      <c r="F8" s="81">
        <v>3.5000000000000001E-3</v>
      </c>
      <c r="G8" s="81">
        <v>5.0000000000000001E-3</v>
      </c>
      <c r="H8" s="81">
        <v>8.0000000000000002E-3</v>
      </c>
      <c r="I8" s="81">
        <v>2.35E-2</v>
      </c>
      <c r="J8" s="81">
        <v>3.5000000000000001E-3</v>
      </c>
      <c r="K8" s="81">
        <v>5.0000000000000001E-3</v>
      </c>
      <c r="L8" s="81">
        <v>0</v>
      </c>
      <c r="M8" s="81">
        <v>0</v>
      </c>
      <c r="N8" s="82">
        <v>100000</v>
      </c>
      <c r="O8" s="82">
        <v>10000</v>
      </c>
      <c r="P8" s="82">
        <v>50</v>
      </c>
      <c r="Q8" s="82">
        <v>10</v>
      </c>
      <c r="R8" s="86">
        <f t="shared" si="0"/>
        <v>0.04</v>
      </c>
      <c r="S8" s="75">
        <v>22</v>
      </c>
      <c r="T8" s="75">
        <v>8</v>
      </c>
    </row>
    <row r="9" spans="1:20" ht="15.6" customHeight="1">
      <c r="A9" s="85">
        <v>1</v>
      </c>
      <c r="B9" s="73" t="s">
        <v>44</v>
      </c>
      <c r="C9" s="73">
        <v>2E-3</v>
      </c>
      <c r="D9" s="80">
        <v>100</v>
      </c>
      <c r="E9" s="83">
        <v>50</v>
      </c>
      <c r="F9" s="81">
        <v>3.5000000000000001E-3</v>
      </c>
      <c r="G9" s="81">
        <v>5.0000000000000001E-3</v>
      </c>
      <c r="H9" s="81">
        <v>5.0000000000000001E-3</v>
      </c>
      <c r="I9" s="81">
        <v>2.6499999999999999E-2</v>
      </c>
      <c r="J9" s="81">
        <v>3.5000000000000001E-3</v>
      </c>
      <c r="K9" s="81">
        <v>5.0000000000000001E-3</v>
      </c>
      <c r="L9" s="81">
        <v>0</v>
      </c>
      <c r="M9" s="81">
        <v>0</v>
      </c>
      <c r="N9" s="82">
        <v>100000</v>
      </c>
      <c r="O9" s="82">
        <v>10000</v>
      </c>
      <c r="P9" s="82">
        <v>50</v>
      </c>
      <c r="Q9" s="82">
        <v>10</v>
      </c>
      <c r="R9" s="86">
        <f t="shared" si="0"/>
        <v>0.04</v>
      </c>
      <c r="S9" s="75">
        <v>23</v>
      </c>
      <c r="T9" s="75">
        <v>40.5</v>
      </c>
    </row>
    <row r="10" spans="1:20" ht="15.6" customHeight="1">
      <c r="A10" s="85">
        <v>1</v>
      </c>
      <c r="B10" s="73" t="s">
        <v>44</v>
      </c>
      <c r="C10" s="73">
        <v>2E-3</v>
      </c>
      <c r="D10" s="80">
        <v>100</v>
      </c>
      <c r="E10" s="83">
        <v>75</v>
      </c>
      <c r="F10" s="81">
        <v>3.5000000000000001E-3</v>
      </c>
      <c r="G10" s="81">
        <v>5.0000000000000001E-3</v>
      </c>
      <c r="H10" s="81">
        <v>5.0000000000000001E-3</v>
      </c>
      <c r="I10" s="81">
        <v>2.6499999999999999E-2</v>
      </c>
      <c r="J10" s="81">
        <v>3.5000000000000001E-3</v>
      </c>
      <c r="K10" s="81">
        <v>5.0000000000000001E-3</v>
      </c>
      <c r="L10" s="81">
        <v>0</v>
      </c>
      <c r="M10" s="81">
        <v>0</v>
      </c>
      <c r="N10" s="82">
        <v>100000</v>
      </c>
      <c r="O10" s="82">
        <v>10000</v>
      </c>
      <c r="P10" s="82">
        <v>75</v>
      </c>
      <c r="Q10" s="82">
        <v>15</v>
      </c>
      <c r="R10" s="86">
        <f t="shared" si="0"/>
        <v>0.04</v>
      </c>
      <c r="S10" s="75">
        <v>24</v>
      </c>
      <c r="T10" s="75">
        <v>50</v>
      </c>
    </row>
    <row r="11" spans="1:20" ht="15.6" customHeight="1">
      <c r="A11" s="85">
        <v>1</v>
      </c>
      <c r="B11" s="73" t="s">
        <v>44</v>
      </c>
      <c r="C11" s="73">
        <v>2E-3</v>
      </c>
      <c r="D11" s="80">
        <v>100</v>
      </c>
      <c r="E11" s="83">
        <v>100</v>
      </c>
      <c r="F11" s="81">
        <v>3.5000000000000001E-3</v>
      </c>
      <c r="G11" s="81">
        <v>5.0000000000000001E-3</v>
      </c>
      <c r="H11" s="81">
        <v>2.6499999999999999E-2</v>
      </c>
      <c r="I11" s="81">
        <v>5.0000000000000001E-3</v>
      </c>
      <c r="J11" s="81">
        <v>3.5000000000000001E-3</v>
      </c>
      <c r="K11" s="81">
        <v>5.0000000000000001E-3</v>
      </c>
      <c r="L11" s="81">
        <v>0</v>
      </c>
      <c r="M11" s="81">
        <v>0</v>
      </c>
      <c r="N11" s="82">
        <v>100000</v>
      </c>
      <c r="O11" s="82">
        <v>10000</v>
      </c>
      <c r="P11" s="82">
        <v>100</v>
      </c>
      <c r="Q11" s="82">
        <v>20</v>
      </c>
      <c r="R11" s="86">
        <f t="shared" si="0"/>
        <v>0.04</v>
      </c>
      <c r="S11" s="75">
        <v>25</v>
      </c>
      <c r="T11" s="75">
        <v>75</v>
      </c>
    </row>
    <row r="12" spans="1:20" ht="15.6" customHeight="1">
      <c r="A12" s="85">
        <v>1</v>
      </c>
      <c r="B12" s="73" t="s">
        <v>44</v>
      </c>
      <c r="C12" s="73">
        <v>2E-3</v>
      </c>
      <c r="D12" s="80">
        <v>100</v>
      </c>
      <c r="E12" s="83">
        <v>250</v>
      </c>
      <c r="F12" s="81">
        <v>3.5000000000000001E-3</v>
      </c>
      <c r="G12" s="81">
        <v>5.0000000000000001E-3</v>
      </c>
      <c r="H12" s="81">
        <v>9.9999999999999985E-3</v>
      </c>
      <c r="I12" s="81">
        <v>2.1499999999999998E-2</v>
      </c>
      <c r="J12" s="81">
        <v>3.5000000000000001E-3</v>
      </c>
      <c r="K12" s="81">
        <v>5.0000000000000001E-3</v>
      </c>
      <c r="L12" s="81">
        <v>0</v>
      </c>
      <c r="M12" s="81">
        <v>0</v>
      </c>
      <c r="N12" s="82">
        <v>100000</v>
      </c>
      <c r="O12" s="82">
        <v>10000</v>
      </c>
      <c r="P12" s="82">
        <v>100</v>
      </c>
      <c r="Q12" s="82">
        <v>20</v>
      </c>
      <c r="R12" s="86">
        <f t="shared" si="0"/>
        <v>3.9999999999999994E-2</v>
      </c>
      <c r="S12" s="75">
        <v>26</v>
      </c>
      <c r="T12" s="75">
        <v>100</v>
      </c>
    </row>
    <row r="13" spans="1:20" ht="15.6" customHeight="1">
      <c r="A13" s="85">
        <v>1</v>
      </c>
      <c r="B13" s="73" t="s">
        <v>44</v>
      </c>
      <c r="C13" s="73">
        <v>2E-3</v>
      </c>
      <c r="D13" s="80">
        <v>100</v>
      </c>
      <c r="E13" s="83">
        <v>500</v>
      </c>
      <c r="F13" s="81">
        <v>3.5000000000000001E-3</v>
      </c>
      <c r="G13" s="81">
        <v>5.0000000000000001E-3</v>
      </c>
      <c r="H13" s="81">
        <v>9.9999999999999985E-3</v>
      </c>
      <c r="I13" s="81">
        <v>2.1499999999999998E-2</v>
      </c>
      <c r="J13" s="81">
        <v>3.5000000000000001E-3</v>
      </c>
      <c r="K13" s="81">
        <v>5.0000000000000001E-3</v>
      </c>
      <c r="L13" s="81">
        <v>0</v>
      </c>
      <c r="M13" s="81">
        <v>0</v>
      </c>
      <c r="N13" s="82">
        <v>100000</v>
      </c>
      <c r="O13" s="82">
        <v>10000</v>
      </c>
      <c r="P13" s="82">
        <v>500</v>
      </c>
      <c r="Q13" s="82">
        <v>100</v>
      </c>
      <c r="R13" s="86">
        <f t="shared" si="0"/>
        <v>3.9999999999999994E-2</v>
      </c>
      <c r="S13" s="75">
        <v>27</v>
      </c>
      <c r="T13" s="75">
        <v>120</v>
      </c>
    </row>
    <row r="14" spans="1:20" s="2" customFormat="1">
      <c r="A14" s="91">
        <v>2</v>
      </c>
      <c r="B14" s="92" t="s">
        <v>66</v>
      </c>
      <c r="C14" s="92">
        <v>2E-3</v>
      </c>
      <c r="D14" s="93">
        <v>100</v>
      </c>
      <c r="E14" s="96">
        <v>1</v>
      </c>
      <c r="F14" s="94">
        <v>0</v>
      </c>
      <c r="G14" s="94">
        <v>0</v>
      </c>
      <c r="H14" s="94">
        <v>8.0000000000000002E-3</v>
      </c>
      <c r="I14" s="94">
        <v>1.1999999999999999E-2</v>
      </c>
      <c r="J14" s="94">
        <v>0</v>
      </c>
      <c r="K14" s="94">
        <v>0</v>
      </c>
      <c r="L14" s="94">
        <v>0</v>
      </c>
      <c r="M14" s="94">
        <v>0</v>
      </c>
      <c r="N14" s="95">
        <v>100000</v>
      </c>
      <c r="O14" s="95">
        <v>20000</v>
      </c>
      <c r="P14" s="95">
        <v>50</v>
      </c>
      <c r="Q14" s="95">
        <v>10</v>
      </c>
      <c r="R14" s="86">
        <f t="shared" si="0"/>
        <v>1.9999999999999997E-2</v>
      </c>
      <c r="S14" s="75">
        <v>28</v>
      </c>
      <c r="T14" s="75">
        <v>250</v>
      </c>
    </row>
    <row r="15" spans="1:20" s="2" customFormat="1">
      <c r="A15" s="91">
        <v>2</v>
      </c>
      <c r="B15" s="92" t="s">
        <v>66</v>
      </c>
      <c r="C15" s="92">
        <v>2E-3</v>
      </c>
      <c r="D15" s="93">
        <v>100</v>
      </c>
      <c r="E15" s="96">
        <v>1.25</v>
      </c>
      <c r="F15" s="94">
        <v>0</v>
      </c>
      <c r="G15" s="94">
        <v>0</v>
      </c>
      <c r="H15" s="94">
        <v>8.0000000000000002E-3</v>
      </c>
      <c r="I15" s="94">
        <v>1.1999999999999999E-2</v>
      </c>
      <c r="J15" s="94">
        <v>0</v>
      </c>
      <c r="K15" s="94">
        <v>0</v>
      </c>
      <c r="L15" s="94">
        <v>0</v>
      </c>
      <c r="M15" s="94">
        <v>0</v>
      </c>
      <c r="N15" s="95">
        <v>100000</v>
      </c>
      <c r="O15" s="95">
        <v>20000</v>
      </c>
      <c r="P15" s="95">
        <v>50</v>
      </c>
      <c r="Q15" s="95">
        <v>10</v>
      </c>
      <c r="R15" s="86">
        <f t="shared" si="0"/>
        <v>1.9999999999999997E-2</v>
      </c>
      <c r="S15" s="75"/>
      <c r="T15" s="75">
        <v>300</v>
      </c>
    </row>
    <row r="16" spans="1:20" s="2" customFormat="1">
      <c r="A16" s="91">
        <v>2</v>
      </c>
      <c r="B16" s="92" t="s">
        <v>66</v>
      </c>
      <c r="C16" s="92">
        <v>2E-3</v>
      </c>
      <c r="D16" s="93">
        <v>100</v>
      </c>
      <c r="E16" s="96">
        <v>1.5</v>
      </c>
      <c r="F16" s="94">
        <v>0</v>
      </c>
      <c r="G16" s="94">
        <v>0</v>
      </c>
      <c r="H16" s="94">
        <v>8.0000000000000002E-3</v>
      </c>
      <c r="I16" s="94">
        <v>1.1999999999999999E-2</v>
      </c>
      <c r="J16" s="94">
        <v>0</v>
      </c>
      <c r="K16" s="94">
        <v>0</v>
      </c>
      <c r="L16" s="94">
        <v>0</v>
      </c>
      <c r="M16" s="94">
        <v>0</v>
      </c>
      <c r="N16" s="95">
        <v>100000</v>
      </c>
      <c r="O16" s="95">
        <v>20000</v>
      </c>
      <c r="P16" s="95">
        <v>50</v>
      </c>
      <c r="Q16" s="95">
        <v>10</v>
      </c>
      <c r="R16" s="86">
        <f t="shared" si="0"/>
        <v>1.9999999999999997E-2</v>
      </c>
      <c r="S16" s="75"/>
      <c r="T16" s="75">
        <v>500</v>
      </c>
    </row>
    <row r="17" spans="1:20" s="2" customFormat="1">
      <c r="A17" s="91">
        <v>2</v>
      </c>
      <c r="B17" s="92" t="s">
        <v>66</v>
      </c>
      <c r="C17" s="92">
        <v>2E-3</v>
      </c>
      <c r="D17" s="93">
        <v>100</v>
      </c>
      <c r="E17" s="96">
        <v>2</v>
      </c>
      <c r="F17" s="94">
        <v>0</v>
      </c>
      <c r="G17" s="94">
        <v>0</v>
      </c>
      <c r="H17" s="94">
        <v>8.0000000000000002E-3</v>
      </c>
      <c r="I17" s="94">
        <v>1.1999999999999999E-2</v>
      </c>
      <c r="J17" s="94">
        <v>0</v>
      </c>
      <c r="K17" s="94">
        <v>0</v>
      </c>
      <c r="L17" s="94">
        <v>0</v>
      </c>
      <c r="M17" s="94">
        <v>0</v>
      </c>
      <c r="N17" s="95">
        <v>100000</v>
      </c>
      <c r="O17" s="95">
        <v>20000</v>
      </c>
      <c r="P17" s="95">
        <v>50</v>
      </c>
      <c r="Q17" s="95">
        <v>10</v>
      </c>
      <c r="R17" s="86">
        <f t="shared" si="0"/>
        <v>1.9999999999999997E-2</v>
      </c>
      <c r="S17" s="75"/>
      <c r="T17" s="75"/>
    </row>
    <row r="18" spans="1:20" s="2" customFormat="1">
      <c r="A18" s="91">
        <v>2</v>
      </c>
      <c r="B18" s="92" t="s">
        <v>66</v>
      </c>
      <c r="C18" s="92">
        <v>2E-3</v>
      </c>
      <c r="D18" s="93">
        <v>100</v>
      </c>
      <c r="E18" s="96">
        <v>3</v>
      </c>
      <c r="F18" s="94">
        <v>0</v>
      </c>
      <c r="G18" s="94">
        <v>0</v>
      </c>
      <c r="H18" s="94">
        <v>8.0000000000000002E-3</v>
      </c>
      <c r="I18" s="94">
        <v>1.1999999999999999E-2</v>
      </c>
      <c r="J18" s="94">
        <v>0</v>
      </c>
      <c r="K18" s="94">
        <v>0</v>
      </c>
      <c r="L18" s="94">
        <v>0</v>
      </c>
      <c r="M18" s="94">
        <v>0</v>
      </c>
      <c r="N18" s="95">
        <v>100000</v>
      </c>
      <c r="O18" s="95">
        <v>20000</v>
      </c>
      <c r="P18" s="95">
        <v>50</v>
      </c>
      <c r="Q18" s="95">
        <v>10</v>
      </c>
      <c r="R18" s="86">
        <f t="shared" ref="R18" si="1">SUM(F18:I18)</f>
        <v>1.9999999999999997E-2</v>
      </c>
      <c r="S18" s="75"/>
      <c r="T18" s="75"/>
    </row>
    <row r="19" spans="1:20" s="2" customFormat="1">
      <c r="A19" s="91">
        <v>2</v>
      </c>
      <c r="B19" s="92" t="s">
        <v>66</v>
      </c>
      <c r="C19" s="92">
        <v>2E-3</v>
      </c>
      <c r="D19" s="93">
        <v>100</v>
      </c>
      <c r="E19" s="96">
        <v>8</v>
      </c>
      <c r="F19" s="94">
        <v>0</v>
      </c>
      <c r="G19" s="94">
        <v>0</v>
      </c>
      <c r="H19" s="94">
        <v>1.9E-2</v>
      </c>
      <c r="I19" s="94">
        <v>1E-3</v>
      </c>
      <c r="J19" s="94">
        <v>0</v>
      </c>
      <c r="K19" s="94">
        <v>0</v>
      </c>
      <c r="L19" s="94">
        <v>0</v>
      </c>
      <c r="M19" s="94">
        <v>0</v>
      </c>
      <c r="N19" s="95">
        <v>100000</v>
      </c>
      <c r="O19" s="95">
        <v>20000</v>
      </c>
      <c r="P19" s="95">
        <v>50</v>
      </c>
      <c r="Q19" s="95">
        <v>10</v>
      </c>
      <c r="R19" s="86">
        <f t="shared" si="0"/>
        <v>0.02</v>
      </c>
    </row>
    <row r="20" spans="1:20" s="2" customFormat="1">
      <c r="A20" s="91">
        <v>2</v>
      </c>
      <c r="B20" s="92" t="s">
        <v>66</v>
      </c>
      <c r="C20" s="92">
        <v>2E-3</v>
      </c>
      <c r="D20" s="93">
        <v>100</v>
      </c>
      <c r="E20" s="96">
        <v>40.5</v>
      </c>
      <c r="F20" s="94">
        <v>0</v>
      </c>
      <c r="G20" s="94">
        <v>0</v>
      </c>
      <c r="H20" s="94">
        <v>0.01</v>
      </c>
      <c r="I20" s="94">
        <v>0.03</v>
      </c>
      <c r="J20" s="94">
        <v>0</v>
      </c>
      <c r="K20" s="94">
        <v>0</v>
      </c>
      <c r="L20" s="94">
        <v>0</v>
      </c>
      <c r="M20" s="94">
        <v>0</v>
      </c>
      <c r="N20" s="95">
        <v>100000</v>
      </c>
      <c r="O20" s="95">
        <v>20000</v>
      </c>
      <c r="P20" s="95">
        <v>50</v>
      </c>
      <c r="Q20" s="95">
        <v>10</v>
      </c>
      <c r="R20" s="86">
        <f t="shared" si="0"/>
        <v>0.04</v>
      </c>
    </row>
    <row r="21" spans="1:20" s="2" customFormat="1">
      <c r="A21" s="91">
        <v>2</v>
      </c>
      <c r="B21" s="92" t="s">
        <v>66</v>
      </c>
      <c r="C21" s="92">
        <v>2E-3</v>
      </c>
      <c r="D21" s="93">
        <v>100</v>
      </c>
      <c r="E21" s="96">
        <v>50</v>
      </c>
      <c r="F21" s="94">
        <v>0</v>
      </c>
      <c r="G21" s="94">
        <v>0</v>
      </c>
      <c r="H21" s="94">
        <v>1.6E-2</v>
      </c>
      <c r="I21" s="94">
        <v>2.4E-2</v>
      </c>
      <c r="J21" s="94">
        <v>0</v>
      </c>
      <c r="K21" s="94">
        <v>0</v>
      </c>
      <c r="L21" s="94">
        <v>0</v>
      </c>
      <c r="M21" s="94">
        <v>0</v>
      </c>
      <c r="N21" s="95">
        <v>100000</v>
      </c>
      <c r="O21" s="95">
        <v>20000</v>
      </c>
      <c r="P21" s="95">
        <v>50</v>
      </c>
      <c r="Q21" s="95">
        <v>10</v>
      </c>
      <c r="R21" s="86">
        <f t="shared" si="0"/>
        <v>0.04</v>
      </c>
    </row>
    <row r="22" spans="1:20" s="2" customFormat="1">
      <c r="A22" s="91">
        <v>2</v>
      </c>
      <c r="B22" s="92" t="s">
        <v>66</v>
      </c>
      <c r="C22" s="92">
        <v>2E-3</v>
      </c>
      <c r="D22" s="93">
        <v>100</v>
      </c>
      <c r="E22" s="96">
        <v>75</v>
      </c>
      <c r="F22" s="94">
        <v>0</v>
      </c>
      <c r="G22" s="94">
        <v>0</v>
      </c>
      <c r="H22" s="94">
        <v>1.6E-2</v>
      </c>
      <c r="I22" s="94">
        <v>2.4E-2</v>
      </c>
      <c r="J22" s="94">
        <v>0</v>
      </c>
      <c r="K22" s="94">
        <v>0</v>
      </c>
      <c r="L22" s="94">
        <v>0</v>
      </c>
      <c r="M22" s="94">
        <v>0</v>
      </c>
      <c r="N22" s="95">
        <v>100000</v>
      </c>
      <c r="O22" s="95">
        <v>20000</v>
      </c>
      <c r="P22" s="95">
        <v>75</v>
      </c>
      <c r="Q22" s="95">
        <v>15</v>
      </c>
      <c r="R22" s="86">
        <f t="shared" si="0"/>
        <v>0.04</v>
      </c>
    </row>
    <row r="23" spans="1:20" s="2" customFormat="1">
      <c r="A23" s="91">
        <v>2</v>
      </c>
      <c r="B23" s="92" t="s">
        <v>66</v>
      </c>
      <c r="C23" s="92">
        <v>2E-3</v>
      </c>
      <c r="D23" s="93">
        <v>100</v>
      </c>
      <c r="E23" s="96">
        <v>100</v>
      </c>
      <c r="F23" s="94">
        <v>0</v>
      </c>
      <c r="G23" s="94">
        <v>0</v>
      </c>
      <c r="H23" s="94">
        <v>0.02</v>
      </c>
      <c r="I23" s="94">
        <v>0.02</v>
      </c>
      <c r="J23" s="94">
        <v>0</v>
      </c>
      <c r="K23" s="94">
        <v>0</v>
      </c>
      <c r="L23" s="94">
        <v>0</v>
      </c>
      <c r="M23" s="94">
        <v>0</v>
      </c>
      <c r="N23" s="95">
        <v>100000</v>
      </c>
      <c r="O23" s="95">
        <v>20000</v>
      </c>
      <c r="P23" s="95">
        <v>100</v>
      </c>
      <c r="Q23" s="95">
        <v>20</v>
      </c>
      <c r="R23" s="86">
        <f t="shared" si="0"/>
        <v>0.04</v>
      </c>
    </row>
    <row r="24" spans="1:20" s="2" customFormat="1">
      <c r="A24" s="91">
        <v>2</v>
      </c>
      <c r="B24" s="92" t="s">
        <v>66</v>
      </c>
      <c r="C24" s="92">
        <v>2E-3</v>
      </c>
      <c r="D24" s="93">
        <v>100</v>
      </c>
      <c r="E24" s="96">
        <v>120</v>
      </c>
      <c r="F24" s="94">
        <v>0</v>
      </c>
      <c r="G24" s="94">
        <v>0</v>
      </c>
      <c r="H24" s="94">
        <v>0.02</v>
      </c>
      <c r="I24" s="94">
        <v>0.02</v>
      </c>
      <c r="J24" s="94">
        <v>0</v>
      </c>
      <c r="K24" s="94">
        <v>0</v>
      </c>
      <c r="L24" s="94">
        <v>0</v>
      </c>
      <c r="M24" s="94">
        <v>0</v>
      </c>
      <c r="N24" s="95">
        <v>100000</v>
      </c>
      <c r="O24" s="95">
        <v>20000</v>
      </c>
      <c r="P24" s="95">
        <v>100</v>
      </c>
      <c r="Q24" s="95">
        <v>20</v>
      </c>
      <c r="R24" s="86">
        <f t="shared" si="0"/>
        <v>0.04</v>
      </c>
    </row>
    <row r="25" spans="1:20" s="2" customFormat="1">
      <c r="A25" s="91">
        <v>2</v>
      </c>
      <c r="B25" s="92" t="s">
        <v>66</v>
      </c>
      <c r="C25" s="92">
        <v>2E-3</v>
      </c>
      <c r="D25" s="93">
        <v>100</v>
      </c>
      <c r="E25" s="96">
        <v>250</v>
      </c>
      <c r="F25" s="94">
        <v>0</v>
      </c>
      <c r="G25" s="94">
        <v>0</v>
      </c>
      <c r="H25" s="94">
        <v>0.02</v>
      </c>
      <c r="I25" s="94">
        <v>0.02</v>
      </c>
      <c r="J25" s="94">
        <v>0</v>
      </c>
      <c r="K25" s="94">
        <v>0</v>
      </c>
      <c r="L25" s="94">
        <v>0</v>
      </c>
      <c r="M25" s="94">
        <v>0</v>
      </c>
      <c r="N25" s="95">
        <v>100000</v>
      </c>
      <c r="O25" s="95">
        <v>20000</v>
      </c>
      <c r="P25" s="95">
        <v>250</v>
      </c>
      <c r="Q25" s="95">
        <v>50</v>
      </c>
      <c r="R25" s="86">
        <f t="shared" si="0"/>
        <v>0.04</v>
      </c>
    </row>
    <row r="26" spans="1:20" s="2" customFormat="1">
      <c r="A26" s="91">
        <v>2</v>
      </c>
      <c r="B26" s="92" t="s">
        <v>66</v>
      </c>
      <c r="C26" s="92">
        <v>2E-3</v>
      </c>
      <c r="D26" s="93">
        <v>100</v>
      </c>
      <c r="E26" s="96">
        <v>300</v>
      </c>
      <c r="F26" s="94">
        <v>0</v>
      </c>
      <c r="G26" s="94">
        <v>0</v>
      </c>
      <c r="H26" s="94">
        <v>0.02</v>
      </c>
      <c r="I26" s="94">
        <v>0.02</v>
      </c>
      <c r="J26" s="94">
        <v>0</v>
      </c>
      <c r="K26" s="94">
        <v>0</v>
      </c>
      <c r="L26" s="94">
        <v>0</v>
      </c>
      <c r="M26" s="94">
        <v>0</v>
      </c>
      <c r="N26" s="95">
        <v>100000</v>
      </c>
      <c r="O26" s="95">
        <v>20000</v>
      </c>
      <c r="P26" s="95">
        <v>300</v>
      </c>
      <c r="Q26" s="95">
        <v>60</v>
      </c>
      <c r="R26" s="86">
        <f t="shared" si="0"/>
        <v>0.04</v>
      </c>
    </row>
    <row r="27" spans="1:20" s="2" customFormat="1">
      <c r="A27" s="91">
        <v>2</v>
      </c>
      <c r="B27" s="92" t="s">
        <v>66</v>
      </c>
      <c r="C27" s="92">
        <v>2E-3</v>
      </c>
      <c r="D27" s="93">
        <v>100</v>
      </c>
      <c r="E27" s="96">
        <v>500</v>
      </c>
      <c r="F27" s="94">
        <v>0</v>
      </c>
      <c r="G27" s="94">
        <v>0</v>
      </c>
      <c r="H27" s="94">
        <v>0.02</v>
      </c>
      <c r="I27" s="94">
        <v>0.02</v>
      </c>
      <c r="J27" s="94">
        <v>0</v>
      </c>
      <c r="K27" s="94">
        <v>0</v>
      </c>
      <c r="L27" s="94">
        <v>0</v>
      </c>
      <c r="M27" s="94">
        <v>0</v>
      </c>
      <c r="N27" s="95">
        <v>100000</v>
      </c>
      <c r="O27" s="95">
        <v>20000</v>
      </c>
      <c r="P27" s="95">
        <v>500</v>
      </c>
      <c r="Q27" s="95">
        <v>100</v>
      </c>
      <c r="R27" s="86">
        <f t="shared" si="0"/>
        <v>0.04</v>
      </c>
    </row>
    <row r="28" spans="1:20" s="2" customFormat="1">
      <c r="A28" s="97">
        <v>3</v>
      </c>
      <c r="B28" s="98" t="s">
        <v>67</v>
      </c>
      <c r="C28" s="98">
        <v>2E-3</v>
      </c>
      <c r="D28" s="99">
        <v>100</v>
      </c>
      <c r="E28" s="100">
        <v>1</v>
      </c>
      <c r="F28" s="101">
        <v>0</v>
      </c>
      <c r="G28" s="101">
        <v>0</v>
      </c>
      <c r="H28" s="101">
        <v>8.0000000000000002E-3</v>
      </c>
      <c r="I28" s="101">
        <v>1.1999999999999999E-2</v>
      </c>
      <c r="J28" s="101">
        <v>0</v>
      </c>
      <c r="K28" s="101">
        <v>0</v>
      </c>
      <c r="L28" s="101">
        <v>0</v>
      </c>
      <c r="M28" s="101">
        <v>0</v>
      </c>
      <c r="N28" s="102">
        <v>1000000</v>
      </c>
      <c r="O28" s="102">
        <v>100000</v>
      </c>
      <c r="P28" s="102">
        <v>50</v>
      </c>
      <c r="Q28" s="102">
        <v>10</v>
      </c>
      <c r="R28" s="86">
        <f t="shared" si="0"/>
        <v>1.9999999999999997E-2</v>
      </c>
    </row>
    <row r="29" spans="1:20" s="2" customFormat="1">
      <c r="A29" s="97">
        <v>3</v>
      </c>
      <c r="B29" s="98" t="s">
        <v>67</v>
      </c>
      <c r="C29" s="98">
        <v>2E-3</v>
      </c>
      <c r="D29" s="99">
        <v>100</v>
      </c>
      <c r="E29" s="100">
        <v>1.25</v>
      </c>
      <c r="F29" s="101">
        <v>0</v>
      </c>
      <c r="G29" s="101">
        <v>0</v>
      </c>
      <c r="H29" s="101">
        <v>8.0000000000000002E-3</v>
      </c>
      <c r="I29" s="101">
        <v>1.1999999999999999E-2</v>
      </c>
      <c r="J29" s="101">
        <v>0</v>
      </c>
      <c r="K29" s="101">
        <v>0</v>
      </c>
      <c r="L29" s="101">
        <v>0</v>
      </c>
      <c r="M29" s="101">
        <v>0</v>
      </c>
      <c r="N29" s="102">
        <v>1000000</v>
      </c>
      <c r="O29" s="102">
        <v>100000</v>
      </c>
      <c r="P29" s="102">
        <v>50</v>
      </c>
      <c r="Q29" s="102">
        <v>10</v>
      </c>
      <c r="R29" s="86">
        <f t="shared" si="0"/>
        <v>1.9999999999999997E-2</v>
      </c>
      <c r="S29" s="103"/>
    </row>
    <row r="30" spans="1:20" s="2" customFormat="1">
      <c r="A30" s="97">
        <v>3</v>
      </c>
      <c r="B30" s="98" t="s">
        <v>67</v>
      </c>
      <c r="C30" s="98">
        <v>2E-3</v>
      </c>
      <c r="D30" s="99">
        <v>100</v>
      </c>
      <c r="E30" s="100">
        <v>1.5</v>
      </c>
      <c r="F30" s="101">
        <v>0</v>
      </c>
      <c r="G30" s="101">
        <v>0</v>
      </c>
      <c r="H30" s="101">
        <v>8.0000000000000002E-3</v>
      </c>
      <c r="I30" s="101">
        <v>1.1999999999999999E-2</v>
      </c>
      <c r="J30" s="101">
        <v>0</v>
      </c>
      <c r="K30" s="101">
        <v>0</v>
      </c>
      <c r="L30" s="101">
        <v>0</v>
      </c>
      <c r="M30" s="101">
        <v>0</v>
      </c>
      <c r="N30" s="102">
        <v>1000000</v>
      </c>
      <c r="O30" s="102">
        <v>100000</v>
      </c>
      <c r="P30" s="102">
        <v>50</v>
      </c>
      <c r="Q30" s="102">
        <v>10</v>
      </c>
      <c r="R30" s="86">
        <f t="shared" si="0"/>
        <v>1.9999999999999997E-2</v>
      </c>
    </row>
    <row r="31" spans="1:20" s="2" customFormat="1">
      <c r="A31" s="97">
        <v>3</v>
      </c>
      <c r="B31" s="98" t="s">
        <v>67</v>
      </c>
      <c r="C31" s="98">
        <v>2E-3</v>
      </c>
      <c r="D31" s="99">
        <v>100</v>
      </c>
      <c r="E31" s="100">
        <v>2</v>
      </c>
      <c r="F31" s="101">
        <v>0</v>
      </c>
      <c r="G31" s="101">
        <v>0</v>
      </c>
      <c r="H31" s="101">
        <v>8.0000000000000002E-3</v>
      </c>
      <c r="I31" s="101">
        <v>1.1999999999999999E-2</v>
      </c>
      <c r="J31" s="101">
        <v>0</v>
      </c>
      <c r="K31" s="101">
        <v>0</v>
      </c>
      <c r="L31" s="101">
        <v>0</v>
      </c>
      <c r="M31" s="101">
        <v>0</v>
      </c>
      <c r="N31" s="102">
        <v>1000000</v>
      </c>
      <c r="O31" s="102">
        <v>100000</v>
      </c>
      <c r="P31" s="102">
        <v>50</v>
      </c>
      <c r="Q31" s="102">
        <v>10</v>
      </c>
      <c r="R31" s="86">
        <f t="shared" si="0"/>
        <v>1.9999999999999997E-2</v>
      </c>
    </row>
    <row r="32" spans="1:20" s="2" customFormat="1">
      <c r="A32" s="97">
        <v>3</v>
      </c>
      <c r="B32" s="98" t="s">
        <v>67</v>
      </c>
      <c r="C32" s="98">
        <v>2E-3</v>
      </c>
      <c r="D32" s="99">
        <v>100</v>
      </c>
      <c r="E32" s="100">
        <v>3</v>
      </c>
      <c r="F32" s="101">
        <v>0</v>
      </c>
      <c r="G32" s="101">
        <v>0</v>
      </c>
      <c r="H32" s="101">
        <v>8.0000000000000002E-3</v>
      </c>
      <c r="I32" s="101">
        <v>1.1999999999999999E-2</v>
      </c>
      <c r="J32" s="101">
        <v>0</v>
      </c>
      <c r="K32" s="101">
        <v>0</v>
      </c>
      <c r="L32" s="101">
        <v>0</v>
      </c>
      <c r="M32" s="101">
        <v>0</v>
      </c>
      <c r="N32" s="102">
        <v>1000000</v>
      </c>
      <c r="O32" s="102">
        <v>100000</v>
      </c>
      <c r="P32" s="102">
        <v>50</v>
      </c>
      <c r="Q32" s="102">
        <v>10</v>
      </c>
      <c r="R32" s="86">
        <f t="shared" ref="R32" si="2">SUM(F32:I32)</f>
        <v>1.9999999999999997E-2</v>
      </c>
    </row>
    <row r="33" spans="1:20" s="2" customFormat="1">
      <c r="A33" s="97">
        <v>3</v>
      </c>
      <c r="B33" s="98" t="s">
        <v>67</v>
      </c>
      <c r="C33" s="98">
        <v>2E-3</v>
      </c>
      <c r="D33" s="99">
        <v>100</v>
      </c>
      <c r="E33" s="100">
        <v>8</v>
      </c>
      <c r="F33" s="101">
        <v>0</v>
      </c>
      <c r="G33" s="101">
        <v>0</v>
      </c>
      <c r="H33" s="101">
        <v>1.9E-2</v>
      </c>
      <c r="I33" s="101">
        <v>1E-3</v>
      </c>
      <c r="J33" s="101">
        <v>0</v>
      </c>
      <c r="K33" s="101">
        <v>0</v>
      </c>
      <c r="L33" s="101">
        <v>0</v>
      </c>
      <c r="M33" s="101">
        <v>0</v>
      </c>
      <c r="N33" s="102">
        <v>1000000</v>
      </c>
      <c r="O33" s="102">
        <v>100000</v>
      </c>
      <c r="P33" s="102">
        <v>50</v>
      </c>
      <c r="Q33" s="102">
        <v>10</v>
      </c>
      <c r="R33" s="86">
        <f t="shared" si="0"/>
        <v>0.02</v>
      </c>
    </row>
    <row r="34" spans="1:20" s="2" customFormat="1">
      <c r="A34" s="97">
        <v>3</v>
      </c>
      <c r="B34" s="98" t="s">
        <v>67</v>
      </c>
      <c r="C34" s="98">
        <v>2E-3</v>
      </c>
      <c r="D34" s="99">
        <v>100</v>
      </c>
      <c r="E34" s="100">
        <v>40.5</v>
      </c>
      <c r="F34" s="101">
        <v>0</v>
      </c>
      <c r="G34" s="101">
        <v>0</v>
      </c>
      <c r="H34" s="101">
        <v>0.01</v>
      </c>
      <c r="I34" s="101">
        <v>0.03</v>
      </c>
      <c r="J34" s="101">
        <v>0</v>
      </c>
      <c r="K34" s="101">
        <v>0</v>
      </c>
      <c r="L34" s="101">
        <v>0</v>
      </c>
      <c r="M34" s="101">
        <v>0</v>
      </c>
      <c r="N34" s="102">
        <v>1000000</v>
      </c>
      <c r="O34" s="102">
        <v>100000</v>
      </c>
      <c r="P34" s="102">
        <v>50</v>
      </c>
      <c r="Q34" s="102">
        <v>10</v>
      </c>
      <c r="R34" s="86">
        <f t="shared" si="0"/>
        <v>0.04</v>
      </c>
    </row>
    <row r="35" spans="1:20" s="2" customFormat="1">
      <c r="A35" s="97">
        <v>3</v>
      </c>
      <c r="B35" s="98" t="s">
        <v>67</v>
      </c>
      <c r="C35" s="98">
        <v>2E-3</v>
      </c>
      <c r="D35" s="99">
        <v>100</v>
      </c>
      <c r="E35" s="100">
        <v>50</v>
      </c>
      <c r="F35" s="101">
        <v>0</v>
      </c>
      <c r="G35" s="101">
        <v>0</v>
      </c>
      <c r="H35" s="101">
        <v>1.6E-2</v>
      </c>
      <c r="I35" s="101">
        <v>2.4E-2</v>
      </c>
      <c r="J35" s="101">
        <v>0</v>
      </c>
      <c r="K35" s="101">
        <v>0</v>
      </c>
      <c r="L35" s="101">
        <v>0</v>
      </c>
      <c r="M35" s="101">
        <v>0</v>
      </c>
      <c r="N35" s="102">
        <v>1000000</v>
      </c>
      <c r="O35" s="102">
        <v>100000</v>
      </c>
      <c r="P35" s="102">
        <v>50</v>
      </c>
      <c r="Q35" s="102">
        <v>10</v>
      </c>
      <c r="R35" s="86">
        <f t="shared" si="0"/>
        <v>0.04</v>
      </c>
    </row>
    <row r="36" spans="1:20" s="2" customFormat="1">
      <c r="A36" s="97">
        <v>3</v>
      </c>
      <c r="B36" s="98" t="s">
        <v>67</v>
      </c>
      <c r="C36" s="98">
        <v>2E-3</v>
      </c>
      <c r="D36" s="99">
        <v>100</v>
      </c>
      <c r="E36" s="100">
        <v>75</v>
      </c>
      <c r="F36" s="101">
        <v>0</v>
      </c>
      <c r="G36" s="101">
        <v>0</v>
      </c>
      <c r="H36" s="101">
        <v>1.6E-2</v>
      </c>
      <c r="I36" s="101">
        <v>2.4E-2</v>
      </c>
      <c r="J36" s="101">
        <v>0</v>
      </c>
      <c r="K36" s="101">
        <v>0</v>
      </c>
      <c r="L36" s="101">
        <v>0</v>
      </c>
      <c r="M36" s="101">
        <v>0</v>
      </c>
      <c r="N36" s="102">
        <v>1000000</v>
      </c>
      <c r="O36" s="102">
        <v>100000</v>
      </c>
      <c r="P36" s="102">
        <v>75</v>
      </c>
      <c r="Q36" s="102">
        <v>15</v>
      </c>
      <c r="R36" s="86">
        <f t="shared" si="0"/>
        <v>0.04</v>
      </c>
    </row>
    <row r="37" spans="1:20" s="2" customFormat="1">
      <c r="A37" s="97">
        <v>3</v>
      </c>
      <c r="B37" s="98" t="s">
        <v>67</v>
      </c>
      <c r="C37" s="98">
        <v>2E-3</v>
      </c>
      <c r="D37" s="99">
        <v>100</v>
      </c>
      <c r="E37" s="100">
        <v>100</v>
      </c>
      <c r="F37" s="101">
        <v>0</v>
      </c>
      <c r="G37" s="101">
        <v>0</v>
      </c>
      <c r="H37" s="101">
        <v>0.02</v>
      </c>
      <c r="I37" s="101">
        <v>0.02</v>
      </c>
      <c r="J37" s="101">
        <v>0</v>
      </c>
      <c r="K37" s="101">
        <v>0</v>
      </c>
      <c r="L37" s="101">
        <v>0</v>
      </c>
      <c r="M37" s="101">
        <v>0</v>
      </c>
      <c r="N37" s="102">
        <v>1000000</v>
      </c>
      <c r="O37" s="102">
        <v>100000</v>
      </c>
      <c r="P37" s="102">
        <v>100</v>
      </c>
      <c r="Q37" s="102">
        <v>20</v>
      </c>
      <c r="R37" s="86">
        <f t="shared" si="0"/>
        <v>0.04</v>
      </c>
    </row>
    <row r="38" spans="1:20" s="2" customFormat="1">
      <c r="A38" s="97">
        <v>3</v>
      </c>
      <c r="B38" s="98" t="s">
        <v>67</v>
      </c>
      <c r="C38" s="98">
        <v>2E-3</v>
      </c>
      <c r="D38" s="99">
        <v>100</v>
      </c>
      <c r="E38" s="100">
        <v>120</v>
      </c>
      <c r="F38" s="101">
        <v>0</v>
      </c>
      <c r="G38" s="101">
        <v>0</v>
      </c>
      <c r="H38" s="101">
        <v>0.02</v>
      </c>
      <c r="I38" s="101">
        <v>0.02</v>
      </c>
      <c r="J38" s="101">
        <v>0</v>
      </c>
      <c r="K38" s="101">
        <v>0</v>
      </c>
      <c r="L38" s="101">
        <v>0</v>
      </c>
      <c r="M38" s="101">
        <v>0</v>
      </c>
      <c r="N38" s="102">
        <v>1000000</v>
      </c>
      <c r="O38" s="102">
        <v>100000</v>
      </c>
      <c r="P38" s="102">
        <v>100</v>
      </c>
      <c r="Q38" s="102">
        <v>20</v>
      </c>
      <c r="R38" s="86">
        <f t="shared" si="0"/>
        <v>0.04</v>
      </c>
    </row>
    <row r="39" spans="1:20" s="2" customFormat="1">
      <c r="A39" s="97">
        <v>3</v>
      </c>
      <c r="B39" s="98" t="s">
        <v>67</v>
      </c>
      <c r="C39" s="98">
        <v>2E-3</v>
      </c>
      <c r="D39" s="99">
        <v>100</v>
      </c>
      <c r="E39" s="100">
        <v>250</v>
      </c>
      <c r="F39" s="101">
        <v>0</v>
      </c>
      <c r="G39" s="101">
        <v>0</v>
      </c>
      <c r="H39" s="101">
        <v>0.02</v>
      </c>
      <c r="I39" s="101">
        <v>0.02</v>
      </c>
      <c r="J39" s="101">
        <v>0</v>
      </c>
      <c r="K39" s="101">
        <v>0</v>
      </c>
      <c r="L39" s="101">
        <v>0</v>
      </c>
      <c r="M39" s="101">
        <v>0</v>
      </c>
      <c r="N39" s="102">
        <v>1000000</v>
      </c>
      <c r="O39" s="102">
        <v>100000</v>
      </c>
      <c r="P39" s="102">
        <v>250</v>
      </c>
      <c r="Q39" s="102">
        <v>50</v>
      </c>
      <c r="R39" s="86">
        <f t="shared" si="0"/>
        <v>0.04</v>
      </c>
    </row>
    <row r="40" spans="1:20" s="2" customFormat="1">
      <c r="A40" s="97">
        <v>3</v>
      </c>
      <c r="B40" s="98" t="s">
        <v>67</v>
      </c>
      <c r="C40" s="98">
        <v>2E-3</v>
      </c>
      <c r="D40" s="99">
        <v>100</v>
      </c>
      <c r="E40" s="100">
        <v>500</v>
      </c>
      <c r="F40" s="101">
        <v>0</v>
      </c>
      <c r="G40" s="101">
        <v>0</v>
      </c>
      <c r="H40" s="101">
        <v>0.02</v>
      </c>
      <c r="I40" s="101">
        <v>0.02</v>
      </c>
      <c r="J40" s="101">
        <v>0</v>
      </c>
      <c r="K40" s="101">
        <v>0</v>
      </c>
      <c r="L40" s="101">
        <v>0</v>
      </c>
      <c r="M40" s="101">
        <v>0</v>
      </c>
      <c r="N40" s="102">
        <v>1000000</v>
      </c>
      <c r="O40" s="102">
        <v>100000</v>
      </c>
      <c r="P40" s="102">
        <v>500</v>
      </c>
      <c r="Q40" s="102">
        <v>100</v>
      </c>
      <c r="R40" s="86">
        <f t="shared" si="0"/>
        <v>0.04</v>
      </c>
    </row>
    <row r="41" spans="1:20" ht="15.6" customHeight="1">
      <c r="A41" s="91">
        <v>11</v>
      </c>
      <c r="B41" s="92" t="s">
        <v>45</v>
      </c>
      <c r="C41" s="92">
        <v>2E-3</v>
      </c>
      <c r="D41" s="93">
        <v>100</v>
      </c>
      <c r="E41" s="96">
        <v>1</v>
      </c>
      <c r="F41" s="94">
        <v>0</v>
      </c>
      <c r="G41" s="94">
        <v>0</v>
      </c>
      <c r="H41" s="94">
        <v>8.0000000000000002E-3</v>
      </c>
      <c r="I41" s="94">
        <v>1.1999999999999999E-2</v>
      </c>
      <c r="J41" s="94">
        <v>0</v>
      </c>
      <c r="K41" s="94">
        <v>0</v>
      </c>
      <c r="L41" s="94">
        <v>0</v>
      </c>
      <c r="M41" s="94">
        <v>0</v>
      </c>
      <c r="N41" s="95">
        <v>12000</v>
      </c>
      <c r="O41" s="95">
        <v>5000</v>
      </c>
      <c r="P41" s="95">
        <v>50</v>
      </c>
      <c r="Q41" s="95">
        <v>10</v>
      </c>
      <c r="R41" s="86">
        <f t="shared" si="0"/>
        <v>1.9999999999999997E-2</v>
      </c>
      <c r="S41" s="76"/>
      <c r="T41" s="76"/>
    </row>
    <row r="42" spans="1:20" ht="15.6" customHeight="1">
      <c r="A42" s="91">
        <v>11</v>
      </c>
      <c r="B42" s="92" t="s">
        <v>45</v>
      </c>
      <c r="C42" s="92">
        <v>2E-3</v>
      </c>
      <c r="D42" s="93">
        <v>100</v>
      </c>
      <c r="E42" s="96">
        <v>1.25</v>
      </c>
      <c r="F42" s="94">
        <v>0</v>
      </c>
      <c r="G42" s="94">
        <v>0</v>
      </c>
      <c r="H42" s="94">
        <v>8.0000000000000002E-3</v>
      </c>
      <c r="I42" s="94">
        <v>1.1999999999999999E-2</v>
      </c>
      <c r="J42" s="94">
        <v>0</v>
      </c>
      <c r="K42" s="94">
        <v>0</v>
      </c>
      <c r="L42" s="94">
        <v>0</v>
      </c>
      <c r="M42" s="94">
        <v>0</v>
      </c>
      <c r="N42" s="95">
        <v>12000</v>
      </c>
      <c r="O42" s="95">
        <v>5000</v>
      </c>
      <c r="P42" s="95">
        <v>50</v>
      </c>
      <c r="Q42" s="95">
        <v>10</v>
      </c>
      <c r="R42" s="86">
        <f t="shared" si="0"/>
        <v>1.9999999999999997E-2</v>
      </c>
      <c r="S42" s="76"/>
      <c r="T42" s="76"/>
    </row>
    <row r="43" spans="1:20" ht="15.6" customHeight="1">
      <c r="A43" s="91">
        <v>11</v>
      </c>
      <c r="B43" s="92" t="s">
        <v>45</v>
      </c>
      <c r="C43" s="92">
        <v>2E-3</v>
      </c>
      <c r="D43" s="93">
        <v>100</v>
      </c>
      <c r="E43" s="96">
        <v>1.5</v>
      </c>
      <c r="F43" s="94">
        <v>0</v>
      </c>
      <c r="G43" s="94">
        <v>0</v>
      </c>
      <c r="H43" s="94">
        <v>8.0000000000000002E-3</v>
      </c>
      <c r="I43" s="94">
        <v>1.1999999999999999E-2</v>
      </c>
      <c r="J43" s="94">
        <v>0</v>
      </c>
      <c r="K43" s="94">
        <v>0</v>
      </c>
      <c r="L43" s="94">
        <v>0</v>
      </c>
      <c r="M43" s="94">
        <v>0</v>
      </c>
      <c r="N43" s="95">
        <v>12000</v>
      </c>
      <c r="O43" s="95">
        <v>5000</v>
      </c>
      <c r="P43" s="95">
        <v>50</v>
      </c>
      <c r="Q43" s="95">
        <v>10</v>
      </c>
      <c r="R43" s="86">
        <f t="shared" si="0"/>
        <v>1.9999999999999997E-2</v>
      </c>
      <c r="S43" s="76"/>
      <c r="T43" s="76"/>
    </row>
    <row r="44" spans="1:20" ht="15.6" customHeight="1">
      <c r="A44" s="91">
        <v>11</v>
      </c>
      <c r="B44" s="92" t="s">
        <v>45</v>
      </c>
      <c r="C44" s="92">
        <v>2E-3</v>
      </c>
      <c r="D44" s="93">
        <v>100</v>
      </c>
      <c r="E44" s="96">
        <v>2</v>
      </c>
      <c r="F44" s="94">
        <v>0</v>
      </c>
      <c r="G44" s="94">
        <v>0</v>
      </c>
      <c r="H44" s="94">
        <v>8.0000000000000002E-3</v>
      </c>
      <c r="I44" s="94">
        <v>1.1999999999999999E-2</v>
      </c>
      <c r="J44" s="94">
        <v>0</v>
      </c>
      <c r="K44" s="94">
        <v>0</v>
      </c>
      <c r="L44" s="94">
        <v>0</v>
      </c>
      <c r="M44" s="94">
        <v>0</v>
      </c>
      <c r="N44" s="95">
        <v>12000</v>
      </c>
      <c r="O44" s="95">
        <v>5000</v>
      </c>
      <c r="P44" s="95">
        <v>50</v>
      </c>
      <c r="Q44" s="95">
        <v>10</v>
      </c>
      <c r="R44" s="86">
        <f t="shared" si="0"/>
        <v>1.9999999999999997E-2</v>
      </c>
      <c r="S44" s="76"/>
      <c r="T44" s="76"/>
    </row>
    <row r="45" spans="1:20" ht="15.6" customHeight="1">
      <c r="A45" s="91">
        <v>11</v>
      </c>
      <c r="B45" s="92" t="s">
        <v>45</v>
      </c>
      <c r="C45" s="92">
        <v>2E-3</v>
      </c>
      <c r="D45" s="93">
        <v>100</v>
      </c>
      <c r="E45" s="96">
        <v>3</v>
      </c>
      <c r="F45" s="94">
        <v>0</v>
      </c>
      <c r="G45" s="94">
        <v>0</v>
      </c>
      <c r="H45" s="94">
        <v>8.0000000000000002E-3</v>
      </c>
      <c r="I45" s="94">
        <v>1.1999999999999999E-2</v>
      </c>
      <c r="J45" s="94">
        <v>0</v>
      </c>
      <c r="K45" s="94">
        <v>0</v>
      </c>
      <c r="L45" s="94">
        <v>0</v>
      </c>
      <c r="M45" s="94">
        <v>0</v>
      </c>
      <c r="N45" s="95">
        <v>12000</v>
      </c>
      <c r="O45" s="95">
        <v>5000</v>
      </c>
      <c r="P45" s="95">
        <v>50</v>
      </c>
      <c r="Q45" s="95">
        <v>10</v>
      </c>
      <c r="R45" s="86">
        <f t="shared" ref="R45" si="3">SUM(F45:I45)</f>
        <v>1.9999999999999997E-2</v>
      </c>
      <c r="S45" s="76"/>
      <c r="T45" s="76"/>
    </row>
    <row r="46" spans="1:20" ht="15.6" customHeight="1">
      <c r="A46" s="91">
        <v>11</v>
      </c>
      <c r="B46" s="92" t="s">
        <v>45</v>
      </c>
      <c r="C46" s="92">
        <v>2E-3</v>
      </c>
      <c r="D46" s="93">
        <v>100</v>
      </c>
      <c r="E46" s="96">
        <v>8</v>
      </c>
      <c r="F46" s="94">
        <v>0</v>
      </c>
      <c r="G46" s="94">
        <v>0</v>
      </c>
      <c r="H46" s="94">
        <v>1.9E-2</v>
      </c>
      <c r="I46" s="94">
        <v>1E-3</v>
      </c>
      <c r="J46" s="94">
        <v>0</v>
      </c>
      <c r="K46" s="94">
        <v>0</v>
      </c>
      <c r="L46" s="94">
        <v>0</v>
      </c>
      <c r="M46" s="94">
        <v>0</v>
      </c>
      <c r="N46" s="95">
        <v>12000</v>
      </c>
      <c r="O46" s="95">
        <v>5000</v>
      </c>
      <c r="P46" s="95">
        <v>50</v>
      </c>
      <c r="Q46" s="95">
        <v>10</v>
      </c>
      <c r="R46" s="86">
        <f t="shared" si="0"/>
        <v>0.02</v>
      </c>
      <c r="S46" s="76"/>
      <c r="T46" s="76"/>
    </row>
    <row r="47" spans="1:20" ht="15.6" customHeight="1">
      <c r="A47" s="91">
        <v>11</v>
      </c>
      <c r="B47" s="92" t="s">
        <v>45</v>
      </c>
      <c r="C47" s="92">
        <v>2E-3</v>
      </c>
      <c r="D47" s="93">
        <v>100</v>
      </c>
      <c r="E47" s="96">
        <v>40.5</v>
      </c>
      <c r="F47" s="94">
        <v>0</v>
      </c>
      <c r="G47" s="94">
        <v>0</v>
      </c>
      <c r="H47" s="94">
        <v>0.01</v>
      </c>
      <c r="I47" s="94">
        <v>0.03</v>
      </c>
      <c r="J47" s="94">
        <v>0</v>
      </c>
      <c r="K47" s="94">
        <v>0</v>
      </c>
      <c r="L47" s="94">
        <v>0</v>
      </c>
      <c r="M47" s="94">
        <v>0</v>
      </c>
      <c r="N47" s="95">
        <v>12000</v>
      </c>
      <c r="O47" s="95">
        <v>5000</v>
      </c>
      <c r="P47" s="95">
        <v>50</v>
      </c>
      <c r="Q47" s="95">
        <v>10</v>
      </c>
      <c r="R47" s="86">
        <f t="shared" si="0"/>
        <v>0.04</v>
      </c>
      <c r="S47" s="76"/>
      <c r="T47" s="76"/>
    </row>
    <row r="48" spans="1:20" ht="15.6" customHeight="1">
      <c r="A48" s="91">
        <v>11</v>
      </c>
      <c r="B48" s="92" t="s">
        <v>45</v>
      </c>
      <c r="C48" s="92">
        <v>2E-3</v>
      </c>
      <c r="D48" s="93">
        <v>100</v>
      </c>
      <c r="E48" s="96">
        <v>50</v>
      </c>
      <c r="F48" s="94">
        <v>0</v>
      </c>
      <c r="G48" s="94">
        <v>0</v>
      </c>
      <c r="H48" s="94">
        <v>1.6E-2</v>
      </c>
      <c r="I48" s="94">
        <v>2.4E-2</v>
      </c>
      <c r="J48" s="94">
        <v>0</v>
      </c>
      <c r="K48" s="94">
        <v>0</v>
      </c>
      <c r="L48" s="94">
        <v>0</v>
      </c>
      <c r="M48" s="94">
        <v>0</v>
      </c>
      <c r="N48" s="95">
        <v>12000</v>
      </c>
      <c r="O48" s="95">
        <v>5000</v>
      </c>
      <c r="P48" s="95">
        <v>50</v>
      </c>
      <c r="Q48" s="95">
        <v>10</v>
      </c>
      <c r="R48" s="86">
        <f t="shared" si="0"/>
        <v>0.04</v>
      </c>
      <c r="S48" s="76"/>
      <c r="T48" s="76"/>
    </row>
    <row r="49" spans="1:20" ht="15.6" customHeight="1">
      <c r="A49" s="91">
        <v>11</v>
      </c>
      <c r="B49" s="92" t="s">
        <v>45</v>
      </c>
      <c r="C49" s="92">
        <v>2E-3</v>
      </c>
      <c r="D49" s="93">
        <v>100</v>
      </c>
      <c r="E49" s="96">
        <v>75</v>
      </c>
      <c r="F49" s="94">
        <v>0</v>
      </c>
      <c r="G49" s="94">
        <v>0</v>
      </c>
      <c r="H49" s="94">
        <v>1.6E-2</v>
      </c>
      <c r="I49" s="94">
        <v>2.4E-2</v>
      </c>
      <c r="J49" s="94">
        <v>0</v>
      </c>
      <c r="K49" s="94">
        <v>0</v>
      </c>
      <c r="L49" s="94">
        <v>0</v>
      </c>
      <c r="M49" s="94">
        <v>0</v>
      </c>
      <c r="N49" s="95">
        <v>12000</v>
      </c>
      <c r="O49" s="95">
        <v>5000</v>
      </c>
      <c r="P49" s="95">
        <v>75</v>
      </c>
      <c r="Q49" s="95">
        <v>15</v>
      </c>
      <c r="R49" s="86">
        <f t="shared" si="0"/>
        <v>0.04</v>
      </c>
      <c r="S49" s="76"/>
      <c r="T49" s="76"/>
    </row>
    <row r="50" spans="1:20" ht="15.6" customHeight="1">
      <c r="A50" s="91">
        <v>11</v>
      </c>
      <c r="B50" s="92" t="s">
        <v>45</v>
      </c>
      <c r="C50" s="92">
        <v>2E-3</v>
      </c>
      <c r="D50" s="93">
        <v>100</v>
      </c>
      <c r="E50" s="96">
        <v>100</v>
      </c>
      <c r="F50" s="94">
        <v>0</v>
      </c>
      <c r="G50" s="94">
        <v>0</v>
      </c>
      <c r="H50" s="94">
        <v>0.02</v>
      </c>
      <c r="I50" s="94">
        <v>0.02</v>
      </c>
      <c r="J50" s="94">
        <v>0</v>
      </c>
      <c r="K50" s="94">
        <v>0</v>
      </c>
      <c r="L50" s="94">
        <v>0</v>
      </c>
      <c r="M50" s="94">
        <v>0</v>
      </c>
      <c r="N50" s="95">
        <v>12000</v>
      </c>
      <c r="O50" s="95">
        <v>5000</v>
      </c>
      <c r="P50" s="95">
        <v>100</v>
      </c>
      <c r="Q50" s="95">
        <v>20</v>
      </c>
      <c r="R50" s="86">
        <f t="shared" si="0"/>
        <v>0.04</v>
      </c>
      <c r="S50" s="76"/>
      <c r="T50" s="76"/>
    </row>
    <row r="51" spans="1:20" ht="15.6" customHeight="1">
      <c r="A51" s="91">
        <v>11</v>
      </c>
      <c r="B51" s="92" t="s">
        <v>45</v>
      </c>
      <c r="C51" s="92">
        <v>2E-3</v>
      </c>
      <c r="D51" s="93">
        <v>100</v>
      </c>
      <c r="E51" s="96">
        <v>120</v>
      </c>
      <c r="F51" s="94">
        <v>0</v>
      </c>
      <c r="G51" s="94">
        <v>0</v>
      </c>
      <c r="H51" s="94">
        <v>0.02</v>
      </c>
      <c r="I51" s="94">
        <v>0.02</v>
      </c>
      <c r="J51" s="94">
        <v>0</v>
      </c>
      <c r="K51" s="94">
        <v>0</v>
      </c>
      <c r="L51" s="94">
        <v>0</v>
      </c>
      <c r="M51" s="94">
        <v>0</v>
      </c>
      <c r="N51" s="95">
        <v>12000</v>
      </c>
      <c r="O51" s="95">
        <v>5000</v>
      </c>
      <c r="P51" s="95">
        <v>100</v>
      </c>
      <c r="Q51" s="95">
        <v>20</v>
      </c>
      <c r="R51" s="86">
        <f t="shared" si="0"/>
        <v>0.04</v>
      </c>
      <c r="S51" s="76"/>
      <c r="T51" s="76"/>
    </row>
    <row r="52" spans="1:20" ht="15.6" customHeight="1">
      <c r="A52" s="91">
        <v>11</v>
      </c>
      <c r="B52" s="92" t="s">
        <v>45</v>
      </c>
      <c r="C52" s="92">
        <v>2E-3</v>
      </c>
      <c r="D52" s="93">
        <v>100</v>
      </c>
      <c r="E52" s="96">
        <v>250</v>
      </c>
      <c r="F52" s="94">
        <v>0</v>
      </c>
      <c r="G52" s="94">
        <v>0</v>
      </c>
      <c r="H52" s="94">
        <v>0.02</v>
      </c>
      <c r="I52" s="94">
        <v>0.02</v>
      </c>
      <c r="J52" s="94">
        <v>0</v>
      </c>
      <c r="K52" s="94">
        <v>0</v>
      </c>
      <c r="L52" s="94">
        <v>0</v>
      </c>
      <c r="M52" s="94">
        <v>0</v>
      </c>
      <c r="N52" s="95">
        <v>12000</v>
      </c>
      <c r="O52" s="95">
        <v>5000</v>
      </c>
      <c r="P52" s="95">
        <v>250</v>
      </c>
      <c r="Q52" s="95">
        <v>50</v>
      </c>
      <c r="R52" s="86">
        <f t="shared" si="0"/>
        <v>0.04</v>
      </c>
      <c r="S52" s="76"/>
      <c r="T52" s="76"/>
    </row>
    <row r="53" spans="1:20" ht="15.6" customHeight="1">
      <c r="A53" s="91">
        <v>11</v>
      </c>
      <c r="B53" s="92" t="s">
        <v>45</v>
      </c>
      <c r="C53" s="92">
        <v>2E-3</v>
      </c>
      <c r="D53" s="93">
        <v>100</v>
      </c>
      <c r="E53" s="96">
        <v>300</v>
      </c>
      <c r="F53" s="94">
        <v>0</v>
      </c>
      <c r="G53" s="94">
        <v>0</v>
      </c>
      <c r="H53" s="94">
        <v>0.02</v>
      </c>
      <c r="I53" s="94">
        <v>0.02</v>
      </c>
      <c r="J53" s="94">
        <v>0</v>
      </c>
      <c r="K53" s="94">
        <v>0</v>
      </c>
      <c r="L53" s="94">
        <v>0</v>
      </c>
      <c r="M53" s="94">
        <v>0</v>
      </c>
      <c r="N53" s="95">
        <v>12000</v>
      </c>
      <c r="O53" s="95">
        <v>5000</v>
      </c>
      <c r="P53" s="95">
        <v>300</v>
      </c>
      <c r="Q53" s="95">
        <v>60</v>
      </c>
      <c r="R53" s="86">
        <f t="shared" si="0"/>
        <v>0.04</v>
      </c>
      <c r="S53" s="76"/>
      <c r="T53" s="76"/>
    </row>
    <row r="54" spans="1:20" ht="15.6" customHeight="1">
      <c r="A54" s="91">
        <v>11</v>
      </c>
      <c r="B54" s="92" t="s">
        <v>45</v>
      </c>
      <c r="C54" s="92">
        <v>2E-3</v>
      </c>
      <c r="D54" s="93">
        <v>100</v>
      </c>
      <c r="E54" s="96">
        <v>500</v>
      </c>
      <c r="F54" s="94">
        <v>0</v>
      </c>
      <c r="G54" s="94">
        <v>0</v>
      </c>
      <c r="H54" s="94">
        <v>0.02</v>
      </c>
      <c r="I54" s="94">
        <v>0.02</v>
      </c>
      <c r="J54" s="94">
        <v>0</v>
      </c>
      <c r="K54" s="94">
        <v>0</v>
      </c>
      <c r="L54" s="94">
        <v>0</v>
      </c>
      <c r="M54" s="94">
        <v>0</v>
      </c>
      <c r="N54" s="95">
        <v>12000</v>
      </c>
      <c r="O54" s="95">
        <v>5000</v>
      </c>
      <c r="P54" s="95">
        <v>500</v>
      </c>
      <c r="Q54" s="95">
        <v>100</v>
      </c>
      <c r="R54" s="86">
        <f t="shared" si="0"/>
        <v>0.04</v>
      </c>
      <c r="S54" s="76"/>
      <c r="T54" s="76"/>
    </row>
    <row r="55" spans="1:20" ht="15.6" hidden="1" customHeight="1">
      <c r="A55" s="84">
        <v>21</v>
      </c>
      <c r="B55" s="75" t="s">
        <v>46</v>
      </c>
      <c r="C55" s="75">
        <v>2E-3</v>
      </c>
      <c r="D55" s="37">
        <v>100</v>
      </c>
      <c r="E55" s="58">
        <v>1</v>
      </c>
      <c r="F55" s="70">
        <v>3.5000000000000001E-3</v>
      </c>
      <c r="G55" s="70">
        <v>5.0000000000000001E-3</v>
      </c>
      <c r="H55" s="70">
        <v>8.0000000000000002E-3</v>
      </c>
      <c r="I55" s="70">
        <v>2.35E-2</v>
      </c>
      <c r="J55" s="70">
        <v>3.5000000000000001E-3</v>
      </c>
      <c r="K55" s="70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86">
        <f t="shared" si="0"/>
        <v>0.04</v>
      </c>
      <c r="S55" s="76"/>
      <c r="T55" s="76"/>
    </row>
    <row r="56" spans="1:20" ht="15.6" hidden="1" customHeight="1">
      <c r="A56" s="84">
        <v>21</v>
      </c>
      <c r="B56" s="75" t="s">
        <v>46</v>
      </c>
      <c r="C56" s="75">
        <v>2E-3</v>
      </c>
      <c r="D56" s="37">
        <v>100</v>
      </c>
      <c r="E56" s="58">
        <v>1.25</v>
      </c>
      <c r="F56" s="70">
        <v>3.5000000000000001E-3</v>
      </c>
      <c r="G56" s="70">
        <v>5.0000000000000001E-3</v>
      </c>
      <c r="H56" s="70">
        <v>8.0000000000000002E-3</v>
      </c>
      <c r="I56" s="70">
        <v>2.35E-2</v>
      </c>
      <c r="J56" s="70">
        <v>3.5000000000000001E-3</v>
      </c>
      <c r="K56" s="70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86">
        <f t="shared" si="0"/>
        <v>0.04</v>
      </c>
      <c r="S56" s="76"/>
      <c r="T56" s="76"/>
    </row>
    <row r="57" spans="1:20" ht="15.6" hidden="1" customHeight="1">
      <c r="A57" s="84">
        <v>21</v>
      </c>
      <c r="B57" s="75" t="s">
        <v>46</v>
      </c>
      <c r="C57" s="75">
        <v>2E-3</v>
      </c>
      <c r="D57" s="37">
        <v>100</v>
      </c>
      <c r="E57" s="58">
        <v>1.5</v>
      </c>
      <c r="F57" s="70">
        <v>3.5000000000000001E-3</v>
      </c>
      <c r="G57" s="70">
        <v>5.0000000000000001E-3</v>
      </c>
      <c r="H57" s="70">
        <v>8.0000000000000002E-3</v>
      </c>
      <c r="I57" s="70">
        <v>2.35E-2</v>
      </c>
      <c r="J57" s="70">
        <v>3.5000000000000001E-3</v>
      </c>
      <c r="K57" s="70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86">
        <f t="shared" si="0"/>
        <v>0.04</v>
      </c>
      <c r="S57" s="76"/>
      <c r="T57" s="76"/>
    </row>
    <row r="58" spans="1:20" ht="15.6" hidden="1" customHeight="1">
      <c r="A58" s="84">
        <v>21</v>
      </c>
      <c r="B58" s="75" t="s">
        <v>46</v>
      </c>
      <c r="C58" s="75">
        <v>2E-3</v>
      </c>
      <c r="D58" s="37">
        <v>100</v>
      </c>
      <c r="E58" s="58">
        <v>8</v>
      </c>
      <c r="F58" s="70">
        <v>3.5000000000000001E-3</v>
      </c>
      <c r="G58" s="70">
        <v>5.0000000000000001E-3</v>
      </c>
      <c r="H58" s="70">
        <v>0.03</v>
      </c>
      <c r="I58" s="70">
        <v>1.5E-3</v>
      </c>
      <c r="J58" s="70">
        <v>3.5000000000000001E-3</v>
      </c>
      <c r="K58" s="70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86">
        <f t="shared" si="0"/>
        <v>0.04</v>
      </c>
      <c r="S58" s="76"/>
      <c r="T58" s="76"/>
    </row>
    <row r="59" spans="1:20" ht="15.6" hidden="1" customHeight="1">
      <c r="A59" s="84">
        <v>21</v>
      </c>
      <c r="B59" s="75" t="s">
        <v>46</v>
      </c>
      <c r="C59" s="75">
        <v>2E-3</v>
      </c>
      <c r="D59" s="37">
        <v>100</v>
      </c>
      <c r="E59" s="58">
        <v>40.5</v>
      </c>
      <c r="F59" s="70">
        <v>3.5000000000000001E-3</v>
      </c>
      <c r="G59" s="70">
        <v>5.0000000000000001E-3</v>
      </c>
      <c r="H59" s="70">
        <v>8.0000000000000002E-3</v>
      </c>
      <c r="I59" s="70">
        <v>2.35E-2</v>
      </c>
      <c r="J59" s="70">
        <v>3.5000000000000001E-3</v>
      </c>
      <c r="K59" s="70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86">
        <f t="shared" si="0"/>
        <v>0.04</v>
      </c>
      <c r="S59" s="76"/>
      <c r="T59" s="76"/>
    </row>
    <row r="60" spans="1:20" ht="15.6" hidden="1" customHeight="1">
      <c r="A60" s="84">
        <v>21</v>
      </c>
      <c r="B60" s="75" t="s">
        <v>46</v>
      </c>
      <c r="C60" s="75">
        <v>2E-3</v>
      </c>
      <c r="D60" s="37">
        <v>100</v>
      </c>
      <c r="E60" s="58">
        <v>50</v>
      </c>
      <c r="F60" s="70">
        <v>3.5000000000000001E-3</v>
      </c>
      <c r="G60" s="70">
        <v>5.0000000000000001E-3</v>
      </c>
      <c r="H60" s="70">
        <v>5.0000000000000001E-3</v>
      </c>
      <c r="I60" s="70">
        <v>2.6499999999999999E-2</v>
      </c>
      <c r="J60" s="70">
        <v>3.5000000000000001E-3</v>
      </c>
      <c r="K60" s="70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86">
        <f t="shared" si="0"/>
        <v>0.04</v>
      </c>
    </row>
    <row r="61" spans="1:20" ht="15.6" hidden="1" customHeight="1">
      <c r="A61" s="84">
        <v>21</v>
      </c>
      <c r="B61" s="75" t="s">
        <v>46</v>
      </c>
      <c r="C61" s="75">
        <v>2E-3</v>
      </c>
      <c r="D61" s="37">
        <v>100</v>
      </c>
      <c r="E61" s="58">
        <v>75</v>
      </c>
      <c r="F61" s="70">
        <v>3.5000000000000001E-3</v>
      </c>
      <c r="G61" s="70">
        <v>5.0000000000000001E-3</v>
      </c>
      <c r="H61" s="70">
        <v>5.0000000000000001E-3</v>
      </c>
      <c r="I61" s="70">
        <v>2.6499999999999999E-2</v>
      </c>
      <c r="J61" s="70">
        <v>3.5000000000000001E-3</v>
      </c>
      <c r="K61" s="70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86">
        <f t="shared" si="0"/>
        <v>0.04</v>
      </c>
    </row>
    <row r="62" spans="1:20" ht="15.6" hidden="1" customHeight="1">
      <c r="A62" s="84">
        <v>21</v>
      </c>
      <c r="B62" s="75" t="s">
        <v>46</v>
      </c>
      <c r="C62" s="75">
        <v>2E-3</v>
      </c>
      <c r="D62" s="37">
        <v>100</v>
      </c>
      <c r="E62" s="58">
        <v>100</v>
      </c>
      <c r="F62" s="70">
        <v>3.5000000000000001E-3</v>
      </c>
      <c r="G62" s="70">
        <v>5.0000000000000001E-3</v>
      </c>
      <c r="H62" s="70">
        <v>2.6499999999999999E-2</v>
      </c>
      <c r="I62" s="70">
        <v>5.0000000000000001E-3</v>
      </c>
      <c r="J62" s="70">
        <v>3.5000000000000001E-3</v>
      </c>
      <c r="K62" s="70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86">
        <f t="shared" si="0"/>
        <v>0.04</v>
      </c>
    </row>
    <row r="63" spans="1:20" ht="15.6" hidden="1" customHeight="1">
      <c r="A63" s="84">
        <v>21</v>
      </c>
      <c r="B63" s="75" t="s">
        <v>46</v>
      </c>
      <c r="C63" s="75">
        <v>2E-3</v>
      </c>
      <c r="D63" s="37">
        <v>100</v>
      </c>
      <c r="E63" s="58">
        <v>250</v>
      </c>
      <c r="F63" s="70">
        <v>3.5000000000000001E-3</v>
      </c>
      <c r="G63" s="70">
        <v>5.0000000000000001E-3</v>
      </c>
      <c r="H63" s="70">
        <v>9.9999999999999985E-3</v>
      </c>
      <c r="I63" s="70">
        <v>2.1499999999999998E-2</v>
      </c>
      <c r="J63" s="70">
        <v>3.5000000000000001E-3</v>
      </c>
      <c r="K63" s="70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86">
        <f t="shared" si="0"/>
        <v>3.9999999999999994E-2</v>
      </c>
    </row>
    <row r="64" spans="1:20" ht="15.6" hidden="1" customHeight="1">
      <c r="A64" s="84">
        <v>21</v>
      </c>
      <c r="B64" s="75" t="s">
        <v>46</v>
      </c>
      <c r="C64" s="75">
        <v>2E-3</v>
      </c>
      <c r="D64" s="37">
        <v>100</v>
      </c>
      <c r="E64" s="58">
        <v>500</v>
      </c>
      <c r="F64" s="70">
        <v>3.5000000000000001E-3</v>
      </c>
      <c r="G64" s="70">
        <v>5.0000000000000001E-3</v>
      </c>
      <c r="H64" s="70">
        <v>1.2500000000000001E-2</v>
      </c>
      <c r="I64" s="70">
        <v>1E-3</v>
      </c>
      <c r="J64" s="70">
        <v>3.5000000000000001E-3</v>
      </c>
      <c r="K64" s="70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86">
        <f t="shared" si="0"/>
        <v>2.2000000000000002E-2</v>
      </c>
    </row>
    <row r="65" spans="1:19" hidden="1">
      <c r="A65" s="87">
        <v>22</v>
      </c>
      <c r="B65" s="88" t="s">
        <v>63</v>
      </c>
      <c r="C65" s="88">
        <v>2E-3</v>
      </c>
      <c r="D65" s="89">
        <v>100</v>
      </c>
      <c r="E65" s="90">
        <v>1</v>
      </c>
      <c r="F65" s="70">
        <v>3.5000000000000001E-3</v>
      </c>
      <c r="G65" s="70">
        <v>5.0000000000000001E-3</v>
      </c>
      <c r="H65" s="70">
        <v>8.0000000000000002E-3</v>
      </c>
      <c r="I65" s="70">
        <v>2.35E-2</v>
      </c>
      <c r="J65" s="70">
        <v>3.5000000000000001E-3</v>
      </c>
      <c r="K65" s="70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86">
        <f t="shared" si="0"/>
        <v>0.04</v>
      </c>
    </row>
    <row r="66" spans="1:19" hidden="1">
      <c r="A66" s="87">
        <v>22</v>
      </c>
      <c r="B66" s="88" t="s">
        <v>63</v>
      </c>
      <c r="C66" s="88">
        <v>2E-3</v>
      </c>
      <c r="D66" s="89">
        <v>100</v>
      </c>
      <c r="E66" s="90">
        <v>1.25</v>
      </c>
      <c r="F66" s="70">
        <v>3.5000000000000001E-3</v>
      </c>
      <c r="G66" s="70">
        <v>5.0000000000000001E-3</v>
      </c>
      <c r="H66" s="70">
        <v>8.0000000000000002E-3</v>
      </c>
      <c r="I66" s="70">
        <v>2.35E-2</v>
      </c>
      <c r="J66" s="70">
        <v>3.5000000000000001E-3</v>
      </c>
      <c r="K66" s="70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86">
        <f t="shared" si="0"/>
        <v>0.04</v>
      </c>
      <c r="S66" s="60"/>
    </row>
    <row r="67" spans="1:19" hidden="1">
      <c r="A67" s="87">
        <v>22</v>
      </c>
      <c r="B67" s="88" t="s">
        <v>63</v>
      </c>
      <c r="C67" s="88">
        <v>2E-3</v>
      </c>
      <c r="D67" s="89">
        <v>100</v>
      </c>
      <c r="E67" s="90">
        <v>1.5</v>
      </c>
      <c r="F67" s="70">
        <v>3.5000000000000001E-3</v>
      </c>
      <c r="G67" s="70">
        <v>5.0000000000000001E-3</v>
      </c>
      <c r="H67" s="70">
        <v>8.0000000000000002E-3</v>
      </c>
      <c r="I67" s="70">
        <v>2.35E-2</v>
      </c>
      <c r="J67" s="70">
        <v>3.5000000000000001E-3</v>
      </c>
      <c r="K67" s="70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86">
        <f t="shared" si="0"/>
        <v>0.04</v>
      </c>
    </row>
    <row r="68" spans="1:19" hidden="1">
      <c r="A68" s="87">
        <v>22</v>
      </c>
      <c r="B68" s="88" t="s">
        <v>63</v>
      </c>
      <c r="C68" s="88">
        <v>2E-3</v>
      </c>
      <c r="D68" s="89">
        <v>100</v>
      </c>
      <c r="E68" s="90">
        <v>8</v>
      </c>
      <c r="F68" s="70">
        <v>3.5000000000000001E-3</v>
      </c>
      <c r="G68" s="70">
        <v>5.0000000000000001E-3</v>
      </c>
      <c r="H68" s="70">
        <v>0.03</v>
      </c>
      <c r="I68" s="70">
        <v>1.5E-3</v>
      </c>
      <c r="J68" s="70">
        <v>3.5000000000000001E-3</v>
      </c>
      <c r="K68" s="70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86">
        <f t="shared" si="0"/>
        <v>0.04</v>
      </c>
    </row>
    <row r="69" spans="1:19" hidden="1">
      <c r="A69" s="87">
        <v>22</v>
      </c>
      <c r="B69" s="88" t="s">
        <v>63</v>
      </c>
      <c r="C69" s="88">
        <v>2E-3</v>
      </c>
      <c r="D69" s="89">
        <v>100</v>
      </c>
      <c r="E69" s="90">
        <v>40.5</v>
      </c>
      <c r="F69" s="70">
        <v>3.5000000000000001E-3</v>
      </c>
      <c r="G69" s="70">
        <v>5.0000000000000001E-3</v>
      </c>
      <c r="H69" s="70">
        <v>8.0000000000000002E-3</v>
      </c>
      <c r="I69" s="70">
        <v>2.35E-2</v>
      </c>
      <c r="J69" s="70">
        <v>3.5000000000000001E-3</v>
      </c>
      <c r="K69" s="70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86">
        <f t="shared" si="0"/>
        <v>0.04</v>
      </c>
    </row>
    <row r="70" spans="1:19" hidden="1">
      <c r="A70" s="87">
        <v>22</v>
      </c>
      <c r="B70" s="88" t="s">
        <v>63</v>
      </c>
      <c r="C70" s="88">
        <v>2E-3</v>
      </c>
      <c r="D70" s="89">
        <v>100</v>
      </c>
      <c r="E70" s="90">
        <v>50</v>
      </c>
      <c r="F70" s="70">
        <v>3.5000000000000001E-3</v>
      </c>
      <c r="G70" s="70">
        <v>5.0000000000000001E-3</v>
      </c>
      <c r="H70" s="70">
        <v>5.0000000000000001E-3</v>
      </c>
      <c r="I70" s="70">
        <v>2.6499999999999999E-2</v>
      </c>
      <c r="J70" s="70">
        <v>3.5000000000000001E-3</v>
      </c>
      <c r="K70" s="70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86">
        <f t="shared" ref="R70:R134" si="4">SUM(F70:I70)</f>
        <v>0.04</v>
      </c>
    </row>
    <row r="71" spans="1:19" hidden="1">
      <c r="A71" s="87">
        <v>22</v>
      </c>
      <c r="B71" s="88" t="s">
        <v>63</v>
      </c>
      <c r="C71" s="88">
        <v>2E-3</v>
      </c>
      <c r="D71" s="89">
        <v>100</v>
      </c>
      <c r="E71" s="90">
        <v>75</v>
      </c>
      <c r="F71" s="70">
        <v>3.5000000000000001E-3</v>
      </c>
      <c r="G71" s="70">
        <v>5.0000000000000001E-3</v>
      </c>
      <c r="H71" s="70">
        <v>5.0000000000000001E-3</v>
      </c>
      <c r="I71" s="70">
        <v>2.6499999999999999E-2</v>
      </c>
      <c r="J71" s="70">
        <v>3.5000000000000001E-3</v>
      </c>
      <c r="K71" s="70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86">
        <f t="shared" si="4"/>
        <v>0.04</v>
      </c>
    </row>
    <row r="72" spans="1:19" hidden="1">
      <c r="A72" s="87">
        <v>22</v>
      </c>
      <c r="B72" s="88" t="s">
        <v>63</v>
      </c>
      <c r="C72" s="88">
        <v>2E-3</v>
      </c>
      <c r="D72" s="89">
        <v>100</v>
      </c>
      <c r="E72" s="90">
        <v>100</v>
      </c>
      <c r="F72" s="70">
        <v>3.5000000000000001E-3</v>
      </c>
      <c r="G72" s="70">
        <v>5.0000000000000001E-3</v>
      </c>
      <c r="H72" s="70">
        <v>2.6499999999999999E-2</v>
      </c>
      <c r="I72" s="70">
        <v>5.0000000000000001E-3</v>
      </c>
      <c r="J72" s="70">
        <v>3.5000000000000001E-3</v>
      </c>
      <c r="K72" s="70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86">
        <f t="shared" si="4"/>
        <v>0.04</v>
      </c>
    </row>
    <row r="73" spans="1:19" hidden="1">
      <c r="A73" s="87">
        <v>22</v>
      </c>
      <c r="B73" s="88" t="s">
        <v>63</v>
      </c>
      <c r="C73" s="88">
        <v>2E-3</v>
      </c>
      <c r="D73" s="89">
        <v>100</v>
      </c>
      <c r="E73" s="90">
        <v>250</v>
      </c>
      <c r="F73" s="70">
        <v>3.5000000000000001E-3</v>
      </c>
      <c r="G73" s="70">
        <v>5.0000000000000001E-3</v>
      </c>
      <c r="H73" s="70">
        <v>9.9999999999999985E-3</v>
      </c>
      <c r="I73" s="70">
        <v>2.1499999999999998E-2</v>
      </c>
      <c r="J73" s="70">
        <v>3.5000000000000001E-3</v>
      </c>
      <c r="K73" s="70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86">
        <f t="shared" si="4"/>
        <v>3.9999999999999994E-2</v>
      </c>
    </row>
    <row r="74" spans="1:19" hidden="1">
      <c r="A74" s="87">
        <v>22</v>
      </c>
      <c r="B74" s="88" t="s">
        <v>63</v>
      </c>
      <c r="C74" s="88">
        <v>2E-3</v>
      </c>
      <c r="D74" s="89">
        <v>100</v>
      </c>
      <c r="E74" s="90">
        <v>500</v>
      </c>
      <c r="F74" s="70">
        <v>3.5000000000000001E-3</v>
      </c>
      <c r="G74" s="70">
        <v>5.0000000000000001E-3</v>
      </c>
      <c r="H74" s="70">
        <v>9.9999999999999985E-3</v>
      </c>
      <c r="I74" s="70">
        <v>2.1499999999999998E-2</v>
      </c>
      <c r="J74" s="70">
        <v>3.5000000000000001E-3</v>
      </c>
      <c r="K74" s="70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86">
        <f t="shared" si="4"/>
        <v>3.9999999999999994E-2</v>
      </c>
    </row>
    <row r="75" spans="1:19" ht="15.6" hidden="1" customHeight="1">
      <c r="A75" s="87">
        <v>23</v>
      </c>
      <c r="B75" s="88" t="s">
        <v>46</v>
      </c>
      <c r="C75" s="88">
        <v>2E-3</v>
      </c>
      <c r="D75" s="89">
        <v>100</v>
      </c>
      <c r="E75" s="90">
        <v>1</v>
      </c>
      <c r="F75" s="70">
        <v>3.5000000000000001E-3</v>
      </c>
      <c r="G75" s="70">
        <v>5.0000000000000001E-3</v>
      </c>
      <c r="H75" s="70">
        <v>5.0000000000000001E-3</v>
      </c>
      <c r="I75" s="70">
        <v>2.1499999999999998E-2</v>
      </c>
      <c r="J75" s="70">
        <v>3.5000000000000001E-3</v>
      </c>
      <c r="K75" s="70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86">
        <f t="shared" si="4"/>
        <v>3.5000000000000003E-2</v>
      </c>
    </row>
    <row r="76" spans="1:19" ht="15.6" hidden="1" customHeight="1">
      <c r="A76" s="87">
        <v>23</v>
      </c>
      <c r="B76" s="88" t="s">
        <v>46</v>
      </c>
      <c r="C76" s="88">
        <v>2E-3</v>
      </c>
      <c r="D76" s="89">
        <v>100</v>
      </c>
      <c r="E76" s="90">
        <v>1.25</v>
      </c>
      <c r="F76" s="70">
        <v>3.5000000000000001E-3</v>
      </c>
      <c r="G76" s="70">
        <v>5.0000000000000001E-3</v>
      </c>
      <c r="H76" s="70">
        <v>5.0000000000000001E-3</v>
      </c>
      <c r="I76" s="70">
        <v>2.1499999999999998E-2</v>
      </c>
      <c r="J76" s="70">
        <v>3.5000000000000001E-3</v>
      </c>
      <c r="K76" s="70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86">
        <f t="shared" si="4"/>
        <v>3.5000000000000003E-2</v>
      </c>
    </row>
    <row r="77" spans="1:19" ht="15.6" hidden="1" customHeight="1">
      <c r="A77" s="87">
        <v>23</v>
      </c>
      <c r="B77" s="88" t="s">
        <v>46</v>
      </c>
      <c r="C77" s="88">
        <v>2E-3</v>
      </c>
      <c r="D77" s="89">
        <v>100</v>
      </c>
      <c r="E77" s="90">
        <v>1.5</v>
      </c>
      <c r="F77" s="70">
        <v>3.5000000000000001E-3</v>
      </c>
      <c r="G77" s="70">
        <v>5.0000000000000001E-3</v>
      </c>
      <c r="H77" s="70">
        <v>5.0000000000000001E-3</v>
      </c>
      <c r="I77" s="70">
        <v>2.1499999999999998E-2</v>
      </c>
      <c r="J77" s="70">
        <v>3.5000000000000001E-3</v>
      </c>
      <c r="K77" s="70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86">
        <f t="shared" si="4"/>
        <v>3.5000000000000003E-2</v>
      </c>
    </row>
    <row r="78" spans="1:19" ht="15.6" hidden="1" customHeight="1">
      <c r="A78" s="87">
        <v>23</v>
      </c>
      <c r="B78" s="88" t="s">
        <v>46</v>
      </c>
      <c r="C78" s="88">
        <v>2E-3</v>
      </c>
      <c r="D78" s="89">
        <v>100</v>
      </c>
      <c r="E78" s="90">
        <v>8</v>
      </c>
      <c r="F78" s="70">
        <v>3.5000000000000001E-3</v>
      </c>
      <c r="G78" s="70">
        <v>5.0000000000000001E-3</v>
      </c>
      <c r="H78" s="70">
        <v>2.5000000000000001E-2</v>
      </c>
      <c r="I78" s="70">
        <v>1.5E-3</v>
      </c>
      <c r="J78" s="70">
        <v>3.5000000000000001E-3</v>
      </c>
      <c r="K78" s="70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86">
        <f t="shared" si="4"/>
        <v>3.5000000000000003E-2</v>
      </c>
    </row>
    <row r="79" spans="1:19" ht="15.6" hidden="1" customHeight="1">
      <c r="A79" s="87">
        <v>23</v>
      </c>
      <c r="B79" s="88" t="s">
        <v>46</v>
      </c>
      <c r="C79" s="88">
        <v>2E-3</v>
      </c>
      <c r="D79" s="89">
        <v>100</v>
      </c>
      <c r="E79" s="90">
        <v>40.5</v>
      </c>
      <c r="F79" s="70">
        <v>3.5000000000000001E-3</v>
      </c>
      <c r="G79" s="70">
        <v>5.0000000000000001E-3</v>
      </c>
      <c r="H79" s="70">
        <v>8.0000000000000002E-3</v>
      </c>
      <c r="I79" s="70">
        <v>1.8499999999999999E-2</v>
      </c>
      <c r="J79" s="70">
        <v>3.5000000000000001E-3</v>
      </c>
      <c r="K79" s="70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86">
        <f t="shared" si="4"/>
        <v>3.5000000000000003E-2</v>
      </c>
    </row>
    <row r="80" spans="1:19" ht="15.6" hidden="1" customHeight="1">
      <c r="A80" s="87">
        <v>23</v>
      </c>
      <c r="B80" s="88" t="s">
        <v>46</v>
      </c>
      <c r="C80" s="88">
        <v>2E-3</v>
      </c>
      <c r="D80" s="89">
        <v>100</v>
      </c>
      <c r="E80" s="90">
        <v>50</v>
      </c>
      <c r="F80" s="70">
        <v>3.5000000000000001E-3</v>
      </c>
      <c r="G80" s="70">
        <v>5.0000000000000001E-3</v>
      </c>
      <c r="H80" s="70">
        <v>5.0000000000000001E-3</v>
      </c>
      <c r="I80" s="70">
        <v>2.1499999999999998E-2</v>
      </c>
      <c r="J80" s="70">
        <v>3.5000000000000001E-3</v>
      </c>
      <c r="K80" s="70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86">
        <f t="shared" si="4"/>
        <v>3.5000000000000003E-2</v>
      </c>
    </row>
    <row r="81" spans="1:18" ht="15.6" hidden="1" customHeight="1">
      <c r="A81" s="87">
        <v>23</v>
      </c>
      <c r="B81" s="88" t="s">
        <v>46</v>
      </c>
      <c r="C81" s="88">
        <v>2E-3</v>
      </c>
      <c r="D81" s="89">
        <v>100</v>
      </c>
      <c r="E81" s="90">
        <v>75</v>
      </c>
      <c r="F81" s="70">
        <v>3.5000000000000001E-3</v>
      </c>
      <c r="G81" s="70">
        <v>5.0000000000000001E-3</v>
      </c>
      <c r="H81" s="70">
        <v>5.0000000000000001E-3</v>
      </c>
      <c r="I81" s="70">
        <v>2.1499999999999998E-2</v>
      </c>
      <c r="J81" s="70">
        <v>3.5000000000000001E-3</v>
      </c>
      <c r="K81" s="70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86">
        <f t="shared" si="4"/>
        <v>3.5000000000000003E-2</v>
      </c>
    </row>
    <row r="82" spans="1:18" ht="15.6" hidden="1" customHeight="1">
      <c r="A82" s="87">
        <v>23</v>
      </c>
      <c r="B82" s="88" t="s">
        <v>46</v>
      </c>
      <c r="C82" s="88">
        <v>2E-3</v>
      </c>
      <c r="D82" s="89">
        <v>100</v>
      </c>
      <c r="E82" s="90">
        <v>100</v>
      </c>
      <c r="F82" s="70">
        <v>3.5000000000000001E-3</v>
      </c>
      <c r="G82" s="70">
        <v>5.0000000000000001E-3</v>
      </c>
      <c r="H82" s="70">
        <v>2.1499999999999998E-2</v>
      </c>
      <c r="I82" s="70">
        <v>5.0000000000000001E-3</v>
      </c>
      <c r="J82" s="70">
        <v>3.5000000000000001E-3</v>
      </c>
      <c r="K82" s="70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86">
        <f t="shared" si="4"/>
        <v>3.4999999999999996E-2</v>
      </c>
    </row>
    <row r="83" spans="1:18" ht="15.6" hidden="1" customHeight="1">
      <c r="A83" s="87">
        <v>23</v>
      </c>
      <c r="B83" s="88" t="s">
        <v>46</v>
      </c>
      <c r="C83" s="88">
        <v>2E-3</v>
      </c>
      <c r="D83" s="89">
        <v>100</v>
      </c>
      <c r="E83" s="90">
        <v>250</v>
      </c>
      <c r="F83" s="70">
        <v>3.5000000000000001E-3</v>
      </c>
      <c r="G83" s="70">
        <v>5.0000000000000001E-3</v>
      </c>
      <c r="H83" s="70">
        <v>7.4999999999999997E-3</v>
      </c>
      <c r="I83" s="70">
        <v>1.9E-2</v>
      </c>
      <c r="J83" s="70">
        <v>3.5000000000000001E-3</v>
      </c>
      <c r="K83" s="70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86">
        <f t="shared" si="4"/>
        <v>3.5000000000000003E-2</v>
      </c>
    </row>
    <row r="84" spans="1:18" ht="15.6" hidden="1" customHeight="1">
      <c r="A84" s="87">
        <v>23</v>
      </c>
      <c r="B84" s="88" t="s">
        <v>46</v>
      </c>
      <c r="C84" s="88">
        <v>2E-3</v>
      </c>
      <c r="D84" s="89">
        <v>100</v>
      </c>
      <c r="E84" s="90">
        <v>500</v>
      </c>
      <c r="F84" s="70">
        <v>3.5000000000000001E-3</v>
      </c>
      <c r="G84" s="70">
        <v>5.0000000000000001E-3</v>
      </c>
      <c r="H84" s="70">
        <v>7.4999999999999997E-3</v>
      </c>
      <c r="I84" s="70">
        <v>1.9E-2</v>
      </c>
      <c r="J84" s="70">
        <v>3.5000000000000001E-3</v>
      </c>
      <c r="K84" s="70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86">
        <f t="shared" si="4"/>
        <v>3.5000000000000003E-2</v>
      </c>
    </row>
    <row r="85" spans="1:18" ht="15.6" hidden="1" customHeight="1">
      <c r="A85" s="87">
        <v>24</v>
      </c>
      <c r="B85" s="88" t="s">
        <v>59</v>
      </c>
      <c r="C85" s="88">
        <v>2E-3</v>
      </c>
      <c r="D85" s="89">
        <v>100</v>
      </c>
      <c r="E85" s="90">
        <v>1</v>
      </c>
      <c r="F85" s="70">
        <v>3.5000000000000001E-3</v>
      </c>
      <c r="G85" s="70">
        <v>5.0000000000000001E-3</v>
      </c>
      <c r="H85" s="70">
        <v>8.0000000000000002E-3</v>
      </c>
      <c r="I85" s="70">
        <v>2.35E-2</v>
      </c>
      <c r="J85" s="70">
        <v>3.5000000000000001E-3</v>
      </c>
      <c r="K85" s="70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86">
        <f t="shared" si="4"/>
        <v>0.04</v>
      </c>
    </row>
    <row r="86" spans="1:18" ht="15.6" hidden="1" customHeight="1">
      <c r="A86" s="87">
        <v>24</v>
      </c>
      <c r="B86" s="88" t="s">
        <v>59</v>
      </c>
      <c r="C86" s="88">
        <v>2E-3</v>
      </c>
      <c r="D86" s="89">
        <v>100</v>
      </c>
      <c r="E86" s="90">
        <v>1.25</v>
      </c>
      <c r="F86" s="70">
        <v>3.5000000000000001E-3</v>
      </c>
      <c r="G86" s="70">
        <v>5.0000000000000001E-3</v>
      </c>
      <c r="H86" s="70">
        <v>8.0000000000000002E-3</v>
      </c>
      <c r="I86" s="70">
        <v>2.35E-2</v>
      </c>
      <c r="J86" s="70">
        <v>3.5000000000000001E-3</v>
      </c>
      <c r="K86" s="70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86">
        <f t="shared" si="4"/>
        <v>0.04</v>
      </c>
    </row>
    <row r="87" spans="1:18" ht="15.6" hidden="1" customHeight="1">
      <c r="A87" s="87">
        <v>24</v>
      </c>
      <c r="B87" s="88" t="s">
        <v>59</v>
      </c>
      <c r="C87" s="88">
        <v>2E-3</v>
      </c>
      <c r="D87" s="89">
        <v>100</v>
      </c>
      <c r="E87" s="90">
        <v>1.5</v>
      </c>
      <c r="F87" s="70">
        <v>3.5000000000000001E-3</v>
      </c>
      <c r="G87" s="70">
        <v>5.0000000000000001E-3</v>
      </c>
      <c r="H87" s="70">
        <v>8.0000000000000002E-3</v>
      </c>
      <c r="I87" s="70">
        <v>2.35E-2</v>
      </c>
      <c r="J87" s="70">
        <v>3.5000000000000001E-3</v>
      </c>
      <c r="K87" s="70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86">
        <f t="shared" si="4"/>
        <v>0.04</v>
      </c>
    </row>
    <row r="88" spans="1:18" ht="15.6" hidden="1" customHeight="1">
      <c r="A88" s="87">
        <v>24</v>
      </c>
      <c r="B88" s="88" t="s">
        <v>59</v>
      </c>
      <c r="C88" s="88">
        <v>2E-3</v>
      </c>
      <c r="D88" s="89">
        <v>100</v>
      </c>
      <c r="E88" s="90">
        <v>8</v>
      </c>
      <c r="F88" s="70">
        <v>3.5000000000000001E-3</v>
      </c>
      <c r="G88" s="70">
        <v>5.0000000000000001E-3</v>
      </c>
      <c r="H88" s="70">
        <v>0.03</v>
      </c>
      <c r="I88" s="70">
        <v>1.5E-3</v>
      </c>
      <c r="J88" s="70">
        <v>3.5000000000000001E-3</v>
      </c>
      <c r="K88" s="70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86">
        <f t="shared" si="4"/>
        <v>0.04</v>
      </c>
    </row>
    <row r="89" spans="1:18" ht="15.6" hidden="1" customHeight="1">
      <c r="A89" s="87">
        <v>24</v>
      </c>
      <c r="B89" s="88" t="s">
        <v>59</v>
      </c>
      <c r="C89" s="88">
        <v>2E-3</v>
      </c>
      <c r="D89" s="89">
        <v>100</v>
      </c>
      <c r="E89" s="90">
        <v>40.5</v>
      </c>
      <c r="F89" s="70">
        <v>3.5000000000000001E-3</v>
      </c>
      <c r="G89" s="70">
        <v>5.0000000000000001E-3</v>
      </c>
      <c r="H89" s="70">
        <v>8.0000000000000002E-3</v>
      </c>
      <c r="I89" s="70">
        <v>2.35E-2</v>
      </c>
      <c r="J89" s="70">
        <v>3.5000000000000001E-3</v>
      </c>
      <c r="K89" s="70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86">
        <f t="shared" si="4"/>
        <v>0.04</v>
      </c>
    </row>
    <row r="90" spans="1:18" ht="15.6" hidden="1" customHeight="1">
      <c r="A90" s="87">
        <v>24</v>
      </c>
      <c r="B90" s="88" t="s">
        <v>59</v>
      </c>
      <c r="C90" s="88">
        <v>2E-3</v>
      </c>
      <c r="D90" s="89">
        <v>100</v>
      </c>
      <c r="E90" s="90">
        <v>50</v>
      </c>
      <c r="F90" s="70">
        <v>3.5000000000000001E-3</v>
      </c>
      <c r="G90" s="70">
        <v>5.0000000000000001E-3</v>
      </c>
      <c r="H90" s="70">
        <v>5.0000000000000001E-3</v>
      </c>
      <c r="I90" s="70">
        <v>2.6499999999999999E-2</v>
      </c>
      <c r="J90" s="70">
        <v>3.5000000000000001E-3</v>
      </c>
      <c r="K90" s="70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86">
        <f t="shared" si="4"/>
        <v>0.04</v>
      </c>
    </row>
    <row r="91" spans="1:18" ht="15.6" hidden="1" customHeight="1">
      <c r="A91" s="87">
        <v>24</v>
      </c>
      <c r="B91" s="88" t="s">
        <v>59</v>
      </c>
      <c r="C91" s="88">
        <v>2E-3</v>
      </c>
      <c r="D91" s="89">
        <v>100</v>
      </c>
      <c r="E91" s="90">
        <v>75</v>
      </c>
      <c r="F91" s="70">
        <v>3.5000000000000001E-3</v>
      </c>
      <c r="G91" s="70">
        <v>5.0000000000000001E-3</v>
      </c>
      <c r="H91" s="70">
        <v>5.0000000000000001E-3</v>
      </c>
      <c r="I91" s="70">
        <v>2.6499999999999999E-2</v>
      </c>
      <c r="J91" s="70">
        <v>3.5000000000000001E-3</v>
      </c>
      <c r="K91" s="70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86">
        <f t="shared" si="4"/>
        <v>0.04</v>
      </c>
    </row>
    <row r="92" spans="1:18" ht="15.6" hidden="1" customHeight="1">
      <c r="A92" s="87">
        <v>24</v>
      </c>
      <c r="B92" s="88" t="s">
        <v>59</v>
      </c>
      <c r="C92" s="88">
        <v>2E-3</v>
      </c>
      <c r="D92" s="89">
        <v>100</v>
      </c>
      <c r="E92" s="90">
        <v>100</v>
      </c>
      <c r="F92" s="70">
        <v>3.5000000000000001E-3</v>
      </c>
      <c r="G92" s="70">
        <v>5.0000000000000001E-3</v>
      </c>
      <c r="H92" s="70">
        <v>2.6499999999999999E-2</v>
      </c>
      <c r="I92" s="70">
        <v>5.0000000000000001E-3</v>
      </c>
      <c r="J92" s="70">
        <v>3.5000000000000001E-3</v>
      </c>
      <c r="K92" s="70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86">
        <f t="shared" si="4"/>
        <v>0.04</v>
      </c>
    </row>
    <row r="93" spans="1:18" ht="15.6" hidden="1" customHeight="1">
      <c r="A93" s="87">
        <v>24</v>
      </c>
      <c r="B93" s="88" t="s">
        <v>59</v>
      </c>
      <c r="C93" s="88">
        <v>2E-3</v>
      </c>
      <c r="D93" s="89">
        <v>100</v>
      </c>
      <c r="E93" s="90">
        <v>250</v>
      </c>
      <c r="F93" s="70">
        <v>3.5000000000000001E-3</v>
      </c>
      <c r="G93" s="70">
        <v>5.0000000000000001E-3</v>
      </c>
      <c r="H93" s="70">
        <v>9.9999999999999985E-3</v>
      </c>
      <c r="I93" s="70">
        <v>2.1499999999999998E-2</v>
      </c>
      <c r="J93" s="70">
        <v>3.5000000000000001E-3</v>
      </c>
      <c r="K93" s="70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86">
        <f t="shared" si="4"/>
        <v>3.9999999999999994E-2</v>
      </c>
    </row>
    <row r="94" spans="1:18" ht="15.6" hidden="1" customHeight="1">
      <c r="A94" s="87">
        <v>24</v>
      </c>
      <c r="B94" s="88" t="s">
        <v>59</v>
      </c>
      <c r="C94" s="88">
        <v>2E-3</v>
      </c>
      <c r="D94" s="89">
        <v>100</v>
      </c>
      <c r="E94" s="90">
        <v>500</v>
      </c>
      <c r="F94" s="70">
        <v>3.5000000000000001E-3</v>
      </c>
      <c r="G94" s="70">
        <v>5.0000000000000001E-3</v>
      </c>
      <c r="H94" s="70">
        <v>9.9999999999999985E-3</v>
      </c>
      <c r="I94" s="70">
        <v>2.1499999999999998E-2</v>
      </c>
      <c r="J94" s="70">
        <v>3.5000000000000001E-3</v>
      </c>
      <c r="K94" s="70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86">
        <f t="shared" si="4"/>
        <v>3.9999999999999994E-2</v>
      </c>
    </row>
    <row r="95" spans="1:18" hidden="1">
      <c r="A95" s="87">
        <v>25</v>
      </c>
      <c r="B95" s="88" t="s">
        <v>46</v>
      </c>
      <c r="C95" s="88">
        <v>2E-3</v>
      </c>
      <c r="D95" s="89">
        <v>100</v>
      </c>
      <c r="E95" s="90">
        <v>1</v>
      </c>
      <c r="F95" s="70">
        <v>3.5000000000000001E-3</v>
      </c>
      <c r="G95" s="70">
        <v>5.0000000000000001E-3</v>
      </c>
      <c r="H95" s="70">
        <v>8.0000000000000002E-3</v>
      </c>
      <c r="I95" s="70">
        <v>2.35E-2</v>
      </c>
      <c r="J95" s="70">
        <v>3.5000000000000001E-3</v>
      </c>
      <c r="K95" s="70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86">
        <f t="shared" si="4"/>
        <v>0.04</v>
      </c>
    </row>
    <row r="96" spans="1:18" hidden="1">
      <c r="A96" s="87">
        <v>25</v>
      </c>
      <c r="B96" s="88" t="s">
        <v>46</v>
      </c>
      <c r="C96" s="88">
        <v>2E-3</v>
      </c>
      <c r="D96" s="89">
        <v>100</v>
      </c>
      <c r="E96" s="90">
        <v>1.25</v>
      </c>
      <c r="F96" s="70">
        <v>3.5000000000000001E-3</v>
      </c>
      <c r="G96" s="70">
        <v>5.0000000000000001E-3</v>
      </c>
      <c r="H96" s="70">
        <v>8.0000000000000002E-3</v>
      </c>
      <c r="I96" s="70">
        <v>2.35E-2</v>
      </c>
      <c r="J96" s="70">
        <v>3.5000000000000001E-3</v>
      </c>
      <c r="K96" s="70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86">
        <f t="shared" si="4"/>
        <v>0.04</v>
      </c>
    </row>
    <row r="97" spans="1:18" hidden="1">
      <c r="A97" s="87">
        <v>25</v>
      </c>
      <c r="B97" s="88" t="s">
        <v>46</v>
      </c>
      <c r="C97" s="88">
        <v>2E-3</v>
      </c>
      <c r="D97" s="89">
        <v>100</v>
      </c>
      <c r="E97" s="90">
        <v>1.5</v>
      </c>
      <c r="F97" s="70">
        <v>3.5000000000000001E-3</v>
      </c>
      <c r="G97" s="70">
        <v>5.0000000000000001E-3</v>
      </c>
      <c r="H97" s="70">
        <v>8.0000000000000002E-3</v>
      </c>
      <c r="I97" s="70">
        <v>2.35E-2</v>
      </c>
      <c r="J97" s="70">
        <v>3.5000000000000001E-3</v>
      </c>
      <c r="K97" s="70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86">
        <f t="shared" si="4"/>
        <v>0.04</v>
      </c>
    </row>
    <row r="98" spans="1:18" hidden="1">
      <c r="A98" s="87">
        <v>25</v>
      </c>
      <c r="B98" s="88" t="s">
        <v>46</v>
      </c>
      <c r="C98" s="88">
        <v>2E-3</v>
      </c>
      <c r="D98" s="89">
        <v>100</v>
      </c>
      <c r="E98" s="90">
        <v>8</v>
      </c>
      <c r="F98" s="70">
        <v>3.5000000000000001E-3</v>
      </c>
      <c r="G98" s="70">
        <v>5.0000000000000001E-3</v>
      </c>
      <c r="H98" s="70">
        <v>0.03</v>
      </c>
      <c r="I98" s="70">
        <v>1.5E-3</v>
      </c>
      <c r="J98" s="70">
        <v>3.5000000000000001E-3</v>
      </c>
      <c r="K98" s="70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86">
        <f t="shared" si="4"/>
        <v>0.04</v>
      </c>
    </row>
    <row r="99" spans="1:18" hidden="1">
      <c r="A99" s="87">
        <v>25</v>
      </c>
      <c r="B99" s="88" t="s">
        <v>46</v>
      </c>
      <c r="C99" s="88">
        <v>2E-3</v>
      </c>
      <c r="D99" s="89">
        <v>100</v>
      </c>
      <c r="E99" s="90">
        <v>40.5</v>
      </c>
      <c r="F99" s="70">
        <v>3.5000000000000001E-3</v>
      </c>
      <c r="G99" s="70">
        <v>5.0000000000000001E-3</v>
      </c>
      <c r="H99" s="70">
        <v>8.0000000000000002E-3</v>
      </c>
      <c r="I99" s="70">
        <v>2.35E-2</v>
      </c>
      <c r="J99" s="70">
        <v>3.5000000000000001E-3</v>
      </c>
      <c r="K99" s="70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86">
        <f t="shared" si="4"/>
        <v>0.04</v>
      </c>
    </row>
    <row r="100" spans="1:18" hidden="1">
      <c r="A100" s="87">
        <v>25</v>
      </c>
      <c r="B100" s="88" t="s">
        <v>46</v>
      </c>
      <c r="C100" s="88">
        <v>2E-3</v>
      </c>
      <c r="D100" s="89">
        <v>100</v>
      </c>
      <c r="E100" s="90">
        <v>50</v>
      </c>
      <c r="F100" s="70">
        <v>3.5000000000000001E-3</v>
      </c>
      <c r="G100" s="70">
        <v>5.0000000000000001E-3</v>
      </c>
      <c r="H100" s="70">
        <v>5.0000000000000001E-3</v>
      </c>
      <c r="I100" s="70">
        <v>2.6499999999999999E-2</v>
      </c>
      <c r="J100" s="70">
        <v>3.5000000000000001E-3</v>
      </c>
      <c r="K100" s="70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86">
        <f t="shared" si="4"/>
        <v>0.04</v>
      </c>
    </row>
    <row r="101" spans="1:18" hidden="1">
      <c r="A101" s="87">
        <v>25</v>
      </c>
      <c r="B101" s="88" t="s">
        <v>46</v>
      </c>
      <c r="C101" s="88">
        <v>2E-3</v>
      </c>
      <c r="D101" s="89">
        <v>100</v>
      </c>
      <c r="E101" s="90">
        <v>75</v>
      </c>
      <c r="F101" s="70">
        <v>3.5000000000000001E-3</v>
      </c>
      <c r="G101" s="70">
        <v>5.0000000000000001E-3</v>
      </c>
      <c r="H101" s="70">
        <v>5.0000000000000001E-3</v>
      </c>
      <c r="I101" s="70">
        <v>2.6499999999999999E-2</v>
      </c>
      <c r="J101" s="70">
        <v>3.5000000000000001E-3</v>
      </c>
      <c r="K101" s="70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86">
        <f t="shared" si="4"/>
        <v>0.04</v>
      </c>
    </row>
    <row r="102" spans="1:18" hidden="1">
      <c r="A102" s="87">
        <v>25</v>
      </c>
      <c r="B102" s="88" t="s">
        <v>46</v>
      </c>
      <c r="C102" s="88">
        <v>2E-3</v>
      </c>
      <c r="D102" s="89">
        <v>100</v>
      </c>
      <c r="E102" s="90">
        <v>100</v>
      </c>
      <c r="F102" s="70">
        <v>3.5000000000000001E-3</v>
      </c>
      <c r="G102" s="70">
        <v>5.0000000000000001E-3</v>
      </c>
      <c r="H102" s="70">
        <v>2.6499999999999999E-2</v>
      </c>
      <c r="I102" s="70">
        <v>5.0000000000000001E-3</v>
      </c>
      <c r="J102" s="70">
        <v>3.5000000000000001E-3</v>
      </c>
      <c r="K102" s="70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86">
        <f t="shared" si="4"/>
        <v>0.04</v>
      </c>
    </row>
    <row r="103" spans="1:18" hidden="1">
      <c r="A103" s="87">
        <v>25</v>
      </c>
      <c r="B103" s="88" t="s">
        <v>46</v>
      </c>
      <c r="C103" s="88">
        <v>2E-3</v>
      </c>
      <c r="D103" s="89">
        <v>100</v>
      </c>
      <c r="E103" s="90">
        <v>250</v>
      </c>
      <c r="F103" s="70">
        <v>3.5000000000000001E-3</v>
      </c>
      <c r="G103" s="70">
        <v>5.0000000000000001E-3</v>
      </c>
      <c r="H103" s="70">
        <v>9.9999999999999985E-3</v>
      </c>
      <c r="I103" s="70">
        <v>2.1499999999999998E-2</v>
      </c>
      <c r="J103" s="70">
        <v>3.5000000000000001E-3</v>
      </c>
      <c r="K103" s="70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86">
        <f t="shared" si="4"/>
        <v>3.9999999999999994E-2</v>
      </c>
    </row>
    <row r="104" spans="1:18" hidden="1">
      <c r="A104" s="87">
        <v>25</v>
      </c>
      <c r="B104" s="88" t="s">
        <v>46</v>
      </c>
      <c r="C104" s="88">
        <v>2E-3</v>
      </c>
      <c r="D104" s="89">
        <v>100</v>
      </c>
      <c r="E104" s="90">
        <v>500</v>
      </c>
      <c r="F104" s="70">
        <v>3.5000000000000001E-3</v>
      </c>
      <c r="G104" s="70">
        <v>5.0000000000000001E-3</v>
      </c>
      <c r="H104" s="70">
        <v>9.9999999999999985E-3</v>
      </c>
      <c r="I104" s="70">
        <v>2.1499999999999998E-2</v>
      </c>
      <c r="J104" s="70">
        <v>3.5000000000000001E-3</v>
      </c>
      <c r="K104" s="70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86">
        <f t="shared" si="4"/>
        <v>3.9999999999999994E-2</v>
      </c>
    </row>
    <row r="105" spans="1:18" s="72" customFormat="1" hidden="1">
      <c r="A105" s="87">
        <v>26</v>
      </c>
      <c r="B105" s="88" t="s">
        <v>64</v>
      </c>
      <c r="C105" s="88">
        <v>2E-3</v>
      </c>
      <c r="D105" s="89">
        <v>100</v>
      </c>
      <c r="E105" s="90">
        <v>1</v>
      </c>
      <c r="F105" s="70">
        <v>0.01</v>
      </c>
      <c r="G105" s="70">
        <v>0.01</v>
      </c>
      <c r="H105" s="70">
        <v>8.0000000000000002E-3</v>
      </c>
      <c r="I105" s="70">
        <v>1.1999999999999999E-2</v>
      </c>
      <c r="J105" s="70">
        <v>3.5000000000000001E-3</v>
      </c>
      <c r="K105" s="70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86">
        <f t="shared" si="4"/>
        <v>0.04</v>
      </c>
    </row>
    <row r="106" spans="1:18" s="72" customFormat="1" hidden="1">
      <c r="A106" s="87">
        <v>26</v>
      </c>
      <c r="B106" s="88" t="s">
        <v>64</v>
      </c>
      <c r="C106" s="88">
        <v>2E-3</v>
      </c>
      <c r="D106" s="89">
        <v>100</v>
      </c>
      <c r="E106" s="90">
        <v>1.25</v>
      </c>
      <c r="F106" s="70">
        <v>0.01</v>
      </c>
      <c r="G106" s="70">
        <v>0.01</v>
      </c>
      <c r="H106" s="70">
        <v>8.0000000000000002E-3</v>
      </c>
      <c r="I106" s="70">
        <v>1.1999999999999999E-2</v>
      </c>
      <c r="J106" s="70">
        <v>3.5000000000000001E-3</v>
      </c>
      <c r="K106" s="70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86">
        <f t="shared" si="4"/>
        <v>0.04</v>
      </c>
    </row>
    <row r="107" spans="1:18" s="72" customFormat="1" hidden="1">
      <c r="A107" s="87">
        <v>26</v>
      </c>
      <c r="B107" s="88" t="s">
        <v>64</v>
      </c>
      <c r="C107" s="88">
        <v>2E-3</v>
      </c>
      <c r="D107" s="89">
        <v>100</v>
      </c>
      <c r="E107" s="90">
        <v>1.5</v>
      </c>
      <c r="F107" s="70">
        <v>0.01</v>
      </c>
      <c r="G107" s="70">
        <v>0.01</v>
      </c>
      <c r="H107" s="70">
        <v>8.0000000000000002E-3</v>
      </c>
      <c r="I107" s="70">
        <v>1.1999999999999999E-2</v>
      </c>
      <c r="J107" s="70">
        <v>3.5000000000000001E-3</v>
      </c>
      <c r="K107" s="70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86">
        <f t="shared" si="4"/>
        <v>0.04</v>
      </c>
    </row>
    <row r="108" spans="1:18" s="72" customFormat="1" hidden="1">
      <c r="A108" s="87">
        <v>26</v>
      </c>
      <c r="B108" s="88" t="s">
        <v>64</v>
      </c>
      <c r="C108" s="88">
        <v>2E-3</v>
      </c>
      <c r="D108" s="89">
        <v>100</v>
      </c>
      <c r="E108" s="90">
        <v>8</v>
      </c>
      <c r="F108" s="70">
        <v>0.01</v>
      </c>
      <c r="G108" s="70">
        <v>0.01</v>
      </c>
      <c r="H108" s="70">
        <v>1.9E-2</v>
      </c>
      <c r="I108" s="70">
        <v>1E-3</v>
      </c>
      <c r="J108" s="70">
        <v>3.5000000000000001E-3</v>
      </c>
      <c r="K108" s="70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86">
        <f t="shared" si="4"/>
        <v>0.04</v>
      </c>
    </row>
    <row r="109" spans="1:18" s="72" customFormat="1" hidden="1">
      <c r="A109" s="87">
        <v>26</v>
      </c>
      <c r="B109" s="88" t="s">
        <v>64</v>
      </c>
      <c r="C109" s="88">
        <v>2E-3</v>
      </c>
      <c r="D109" s="89">
        <v>100</v>
      </c>
      <c r="E109" s="90">
        <v>40.5</v>
      </c>
      <c r="F109" s="70">
        <v>0.01</v>
      </c>
      <c r="G109" s="70">
        <v>0.01</v>
      </c>
      <c r="H109" s="70">
        <v>5.0000000000000001E-3</v>
      </c>
      <c r="I109" s="70">
        <v>1.4999999999999999E-2</v>
      </c>
      <c r="J109" s="70">
        <v>3.5000000000000001E-3</v>
      </c>
      <c r="K109" s="70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86">
        <f t="shared" si="4"/>
        <v>0.04</v>
      </c>
    </row>
    <row r="110" spans="1:18" s="72" customFormat="1" hidden="1">
      <c r="A110" s="87">
        <v>26</v>
      </c>
      <c r="B110" s="88" t="s">
        <v>64</v>
      </c>
      <c r="C110" s="88">
        <v>2E-3</v>
      </c>
      <c r="D110" s="89">
        <v>100</v>
      </c>
      <c r="E110" s="90">
        <v>50</v>
      </c>
      <c r="F110" s="70">
        <v>0.01</v>
      </c>
      <c r="G110" s="70">
        <v>0.01</v>
      </c>
      <c r="H110" s="70">
        <v>8.0000000000000002E-3</v>
      </c>
      <c r="I110" s="70">
        <v>1.2E-2</v>
      </c>
      <c r="J110" s="70">
        <v>3.5000000000000001E-3</v>
      </c>
      <c r="K110" s="70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86">
        <f t="shared" si="4"/>
        <v>0.04</v>
      </c>
    </row>
    <row r="111" spans="1:18" s="72" customFormat="1" hidden="1">
      <c r="A111" s="87">
        <v>26</v>
      </c>
      <c r="B111" s="88" t="s">
        <v>64</v>
      </c>
      <c r="C111" s="88">
        <v>2E-3</v>
      </c>
      <c r="D111" s="89">
        <v>100</v>
      </c>
      <c r="E111" s="90">
        <v>75</v>
      </c>
      <c r="F111" s="70">
        <v>0.01</v>
      </c>
      <c r="G111" s="70">
        <v>0.01</v>
      </c>
      <c r="H111" s="70">
        <v>8.0000000000000002E-3</v>
      </c>
      <c r="I111" s="70">
        <v>1.2E-2</v>
      </c>
      <c r="J111" s="70">
        <v>3.5000000000000001E-3</v>
      </c>
      <c r="K111" s="70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86">
        <f t="shared" si="4"/>
        <v>0.04</v>
      </c>
    </row>
    <row r="112" spans="1:18" s="72" customFormat="1" hidden="1">
      <c r="A112" s="87">
        <v>26</v>
      </c>
      <c r="B112" s="88" t="s">
        <v>64</v>
      </c>
      <c r="C112" s="88">
        <v>2E-3</v>
      </c>
      <c r="D112" s="89">
        <v>100</v>
      </c>
      <c r="E112" s="90">
        <v>100</v>
      </c>
      <c r="F112" s="70">
        <v>0.01</v>
      </c>
      <c r="G112" s="70">
        <v>0.01</v>
      </c>
      <c r="H112" s="70">
        <v>0.01</v>
      </c>
      <c r="I112" s="70">
        <v>0.01</v>
      </c>
      <c r="J112" s="70">
        <v>3.5000000000000001E-3</v>
      </c>
      <c r="K112" s="70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86">
        <f t="shared" si="4"/>
        <v>0.04</v>
      </c>
    </row>
    <row r="113" spans="1:18" s="72" customFormat="1" hidden="1">
      <c r="A113" s="87">
        <v>26</v>
      </c>
      <c r="B113" s="88" t="s">
        <v>64</v>
      </c>
      <c r="C113" s="88">
        <v>2E-3</v>
      </c>
      <c r="D113" s="89">
        <v>100</v>
      </c>
      <c r="E113" s="90">
        <v>250</v>
      </c>
      <c r="F113" s="70">
        <v>0.01</v>
      </c>
      <c r="G113" s="70">
        <v>0.01</v>
      </c>
      <c r="H113" s="70">
        <v>0.01</v>
      </c>
      <c r="I113" s="70">
        <v>0.01</v>
      </c>
      <c r="J113" s="70">
        <v>3.5000000000000001E-3</v>
      </c>
      <c r="K113" s="70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86">
        <f t="shared" si="4"/>
        <v>0.04</v>
      </c>
    </row>
    <row r="114" spans="1:18" s="72" customFormat="1" hidden="1">
      <c r="A114" s="87">
        <v>26</v>
      </c>
      <c r="B114" s="88" t="s">
        <v>64</v>
      </c>
      <c r="C114" s="88">
        <v>2E-3</v>
      </c>
      <c r="D114" s="89">
        <v>100</v>
      </c>
      <c r="E114" s="90">
        <v>500</v>
      </c>
      <c r="F114" s="70">
        <v>0.01</v>
      </c>
      <c r="G114" s="70">
        <v>0.01</v>
      </c>
      <c r="H114" s="70">
        <v>0.01</v>
      </c>
      <c r="I114" s="70">
        <v>0.01</v>
      </c>
      <c r="J114" s="70">
        <v>3.5000000000000001E-3</v>
      </c>
      <c r="K114" s="70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86">
        <f t="shared" si="4"/>
        <v>0.04</v>
      </c>
    </row>
    <row r="115" spans="1:18" hidden="1">
      <c r="A115" s="87">
        <v>27</v>
      </c>
      <c r="B115" s="88" t="s">
        <v>46</v>
      </c>
      <c r="C115" s="88">
        <v>2E-3</v>
      </c>
      <c r="D115" s="89">
        <v>100</v>
      </c>
      <c r="E115" s="90">
        <v>1</v>
      </c>
      <c r="F115" s="70">
        <v>0.01</v>
      </c>
      <c r="G115" s="70">
        <v>0.01</v>
      </c>
      <c r="H115" s="70">
        <v>8.0000000000000002E-3</v>
      </c>
      <c r="I115" s="70">
        <v>1.1999999999999999E-2</v>
      </c>
      <c r="J115" s="70">
        <v>3.5000000000000001E-3</v>
      </c>
      <c r="K115" s="70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86">
        <f t="shared" si="4"/>
        <v>0.04</v>
      </c>
    </row>
    <row r="116" spans="1:18" hidden="1">
      <c r="A116" s="84">
        <v>27</v>
      </c>
      <c r="B116" s="75" t="s">
        <v>46</v>
      </c>
      <c r="C116" s="75">
        <v>2E-3</v>
      </c>
      <c r="D116" s="37">
        <v>100</v>
      </c>
      <c r="E116" s="58">
        <v>1.25</v>
      </c>
      <c r="F116" s="70">
        <v>0.01</v>
      </c>
      <c r="G116" s="70">
        <v>0.01</v>
      </c>
      <c r="H116" s="70">
        <v>8.0000000000000002E-3</v>
      </c>
      <c r="I116" s="70">
        <v>1.1999999999999999E-2</v>
      </c>
      <c r="J116" s="70">
        <v>3.5000000000000001E-3</v>
      </c>
      <c r="K116" s="70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86">
        <f t="shared" si="4"/>
        <v>0.04</v>
      </c>
    </row>
    <row r="117" spans="1:18" hidden="1">
      <c r="A117" s="84">
        <v>27</v>
      </c>
      <c r="B117" s="75" t="s">
        <v>46</v>
      </c>
      <c r="C117" s="75">
        <v>2E-3</v>
      </c>
      <c r="D117" s="37">
        <v>100</v>
      </c>
      <c r="E117" s="58">
        <v>1.5</v>
      </c>
      <c r="F117" s="70">
        <v>0.01</v>
      </c>
      <c r="G117" s="70">
        <v>0.01</v>
      </c>
      <c r="H117" s="70">
        <v>8.0000000000000002E-3</v>
      </c>
      <c r="I117" s="70">
        <v>1.1999999999999999E-2</v>
      </c>
      <c r="J117" s="70">
        <v>3.5000000000000001E-3</v>
      </c>
      <c r="K117" s="70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86">
        <f t="shared" si="4"/>
        <v>0.04</v>
      </c>
    </row>
    <row r="118" spans="1:18" hidden="1">
      <c r="A118" s="84">
        <v>27</v>
      </c>
      <c r="B118" s="75" t="s">
        <v>46</v>
      </c>
      <c r="C118" s="75">
        <v>2E-3</v>
      </c>
      <c r="D118" s="37">
        <v>100</v>
      </c>
      <c r="E118" s="58">
        <v>8</v>
      </c>
      <c r="F118" s="70">
        <v>0.01</v>
      </c>
      <c r="G118" s="70">
        <v>0.01</v>
      </c>
      <c r="H118" s="70">
        <v>1.9E-2</v>
      </c>
      <c r="I118" s="70">
        <v>1E-3</v>
      </c>
      <c r="J118" s="70">
        <v>3.5000000000000001E-3</v>
      </c>
      <c r="K118" s="70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86">
        <f t="shared" si="4"/>
        <v>0.04</v>
      </c>
    </row>
    <row r="119" spans="1:18" hidden="1">
      <c r="A119" s="84">
        <v>27</v>
      </c>
      <c r="B119" s="75" t="s">
        <v>46</v>
      </c>
      <c r="C119" s="75">
        <v>2E-3</v>
      </c>
      <c r="D119" s="37">
        <v>100</v>
      </c>
      <c r="E119" s="58">
        <v>40.5</v>
      </c>
      <c r="F119" s="70">
        <v>0.01</v>
      </c>
      <c r="G119" s="70">
        <v>0.01</v>
      </c>
      <c r="H119" s="70">
        <v>5.0000000000000001E-3</v>
      </c>
      <c r="I119" s="70">
        <v>1.4999999999999999E-2</v>
      </c>
      <c r="J119" s="70">
        <v>3.5000000000000001E-3</v>
      </c>
      <c r="K119" s="70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86">
        <f t="shared" si="4"/>
        <v>0.04</v>
      </c>
    </row>
    <row r="120" spans="1:18" hidden="1">
      <c r="A120" s="84">
        <v>27</v>
      </c>
      <c r="B120" s="75" t="s">
        <v>46</v>
      </c>
      <c r="C120" s="75">
        <v>2E-3</v>
      </c>
      <c r="D120" s="37">
        <v>100</v>
      </c>
      <c r="E120" s="58">
        <v>50</v>
      </c>
      <c r="F120" s="70">
        <v>0.01</v>
      </c>
      <c r="G120" s="70">
        <v>0.01</v>
      </c>
      <c r="H120" s="70">
        <v>8.0000000000000002E-3</v>
      </c>
      <c r="I120" s="70">
        <v>1.2E-2</v>
      </c>
      <c r="J120" s="70">
        <v>3.5000000000000001E-3</v>
      </c>
      <c r="K120" s="70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86">
        <f t="shared" si="4"/>
        <v>0.04</v>
      </c>
    </row>
    <row r="121" spans="1:18" hidden="1">
      <c r="A121" s="84">
        <v>27</v>
      </c>
      <c r="B121" s="75" t="s">
        <v>46</v>
      </c>
      <c r="C121" s="75">
        <v>2E-3</v>
      </c>
      <c r="D121" s="37">
        <v>100</v>
      </c>
      <c r="E121" s="58">
        <v>75</v>
      </c>
      <c r="F121" s="70">
        <v>0.01</v>
      </c>
      <c r="G121" s="70">
        <v>0.01</v>
      </c>
      <c r="H121" s="70">
        <v>8.0000000000000002E-3</v>
      </c>
      <c r="I121" s="70">
        <v>1.2E-2</v>
      </c>
      <c r="J121" s="70">
        <v>3.5000000000000001E-3</v>
      </c>
      <c r="K121" s="70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86">
        <f t="shared" si="4"/>
        <v>0.04</v>
      </c>
    </row>
    <row r="122" spans="1:18" hidden="1">
      <c r="A122" s="84">
        <v>27</v>
      </c>
      <c r="B122" s="75" t="s">
        <v>46</v>
      </c>
      <c r="C122" s="75">
        <v>2E-3</v>
      </c>
      <c r="D122" s="37">
        <v>100</v>
      </c>
      <c r="E122" s="58">
        <v>100</v>
      </c>
      <c r="F122" s="70">
        <v>0.01</v>
      </c>
      <c r="G122" s="70">
        <v>0.01</v>
      </c>
      <c r="H122" s="70">
        <v>0.01</v>
      </c>
      <c r="I122" s="70">
        <v>0.01</v>
      </c>
      <c r="J122" s="70">
        <v>3.5000000000000001E-3</v>
      </c>
      <c r="K122" s="70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86">
        <f t="shared" si="4"/>
        <v>0.04</v>
      </c>
    </row>
    <row r="123" spans="1:18" hidden="1">
      <c r="A123" s="84">
        <v>27</v>
      </c>
      <c r="B123" s="75" t="s">
        <v>46</v>
      </c>
      <c r="C123" s="75">
        <v>2E-3</v>
      </c>
      <c r="D123" s="37">
        <v>100</v>
      </c>
      <c r="E123" s="58">
        <v>250</v>
      </c>
      <c r="F123" s="70">
        <v>0.01</v>
      </c>
      <c r="G123" s="70">
        <v>0.01</v>
      </c>
      <c r="H123" s="70">
        <v>0.01</v>
      </c>
      <c r="I123" s="70">
        <v>0.01</v>
      </c>
      <c r="J123" s="70">
        <v>3.5000000000000001E-3</v>
      </c>
      <c r="K123" s="70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86">
        <f t="shared" si="4"/>
        <v>0.04</v>
      </c>
    </row>
    <row r="124" spans="1:18" hidden="1">
      <c r="A124" s="84">
        <v>27</v>
      </c>
      <c r="B124" s="75" t="s">
        <v>46</v>
      </c>
      <c r="C124" s="75">
        <v>2E-3</v>
      </c>
      <c r="D124" s="37">
        <v>100</v>
      </c>
      <c r="E124" s="58">
        <v>500</v>
      </c>
      <c r="F124" s="70">
        <v>0.01</v>
      </c>
      <c r="G124" s="70">
        <v>0.01</v>
      </c>
      <c r="H124" s="70">
        <v>0.01</v>
      </c>
      <c r="I124" s="70">
        <v>0.01</v>
      </c>
      <c r="J124" s="70">
        <v>3.5000000000000001E-3</v>
      </c>
      <c r="K124" s="70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86">
        <f t="shared" si="4"/>
        <v>0.04</v>
      </c>
    </row>
    <row r="125" spans="1:18">
      <c r="A125" s="85">
        <v>28</v>
      </c>
      <c r="B125" s="73"/>
      <c r="C125" s="73">
        <v>2E-3</v>
      </c>
      <c r="D125" s="80">
        <v>100</v>
      </c>
      <c r="E125" s="83">
        <v>1</v>
      </c>
      <c r="F125" s="81">
        <v>0</v>
      </c>
      <c r="G125" s="81">
        <v>0</v>
      </c>
      <c r="H125" s="81">
        <v>8.0000000000000002E-3</v>
      </c>
      <c r="I125" s="81">
        <v>1.1999999999999999E-2</v>
      </c>
      <c r="J125" s="81">
        <v>0</v>
      </c>
      <c r="K125" s="81">
        <v>0</v>
      </c>
      <c r="L125" s="81">
        <v>0</v>
      </c>
      <c r="M125" s="81">
        <v>0</v>
      </c>
      <c r="N125" s="82">
        <v>500000</v>
      </c>
      <c r="O125" s="82">
        <v>100000</v>
      </c>
      <c r="P125" s="82">
        <v>50</v>
      </c>
      <c r="Q125" s="82">
        <v>10</v>
      </c>
      <c r="R125" s="86">
        <f t="shared" si="4"/>
        <v>1.9999999999999997E-2</v>
      </c>
    </row>
    <row r="126" spans="1:18">
      <c r="A126" s="85">
        <v>28</v>
      </c>
      <c r="B126" s="73"/>
      <c r="C126" s="73">
        <v>2E-3</v>
      </c>
      <c r="D126" s="80">
        <v>100</v>
      </c>
      <c r="E126" s="83">
        <v>1.25</v>
      </c>
      <c r="F126" s="81">
        <v>0</v>
      </c>
      <c r="G126" s="81">
        <v>0</v>
      </c>
      <c r="H126" s="81">
        <v>8.0000000000000002E-3</v>
      </c>
      <c r="I126" s="81">
        <v>1.1999999999999999E-2</v>
      </c>
      <c r="J126" s="81">
        <v>0</v>
      </c>
      <c r="K126" s="81">
        <v>0</v>
      </c>
      <c r="L126" s="81">
        <v>0</v>
      </c>
      <c r="M126" s="81">
        <v>0</v>
      </c>
      <c r="N126" s="82">
        <v>500000</v>
      </c>
      <c r="O126" s="82">
        <v>100000</v>
      </c>
      <c r="P126" s="82">
        <v>50</v>
      </c>
      <c r="Q126" s="82">
        <v>10</v>
      </c>
      <c r="R126" s="86">
        <f t="shared" si="4"/>
        <v>1.9999999999999997E-2</v>
      </c>
    </row>
    <row r="127" spans="1:18">
      <c r="A127" s="85">
        <v>28</v>
      </c>
      <c r="B127" s="73"/>
      <c r="C127" s="73">
        <v>2E-3</v>
      </c>
      <c r="D127" s="80">
        <v>100</v>
      </c>
      <c r="E127" s="83">
        <v>1.5</v>
      </c>
      <c r="F127" s="81">
        <v>0</v>
      </c>
      <c r="G127" s="81">
        <v>0</v>
      </c>
      <c r="H127" s="81">
        <v>8.0000000000000002E-3</v>
      </c>
      <c r="I127" s="81">
        <v>1.1999999999999999E-2</v>
      </c>
      <c r="J127" s="81">
        <v>0</v>
      </c>
      <c r="K127" s="81">
        <v>0</v>
      </c>
      <c r="L127" s="81">
        <v>0</v>
      </c>
      <c r="M127" s="81">
        <v>0</v>
      </c>
      <c r="N127" s="82">
        <v>500000</v>
      </c>
      <c r="O127" s="82">
        <v>100000</v>
      </c>
      <c r="P127" s="82">
        <v>50</v>
      </c>
      <c r="Q127" s="82">
        <v>10</v>
      </c>
      <c r="R127" s="86">
        <f t="shared" si="4"/>
        <v>1.9999999999999997E-2</v>
      </c>
    </row>
    <row r="128" spans="1:18">
      <c r="A128" s="85">
        <v>28</v>
      </c>
      <c r="B128" s="73"/>
      <c r="C128" s="73">
        <v>2E-3</v>
      </c>
      <c r="D128" s="80">
        <v>100</v>
      </c>
      <c r="E128" s="83">
        <v>2</v>
      </c>
      <c r="F128" s="81">
        <v>0</v>
      </c>
      <c r="G128" s="81">
        <v>0</v>
      </c>
      <c r="H128" s="81">
        <v>8.0000000000000002E-3</v>
      </c>
      <c r="I128" s="81">
        <v>1.1999999999999999E-2</v>
      </c>
      <c r="J128" s="81">
        <v>0</v>
      </c>
      <c r="K128" s="81">
        <v>0</v>
      </c>
      <c r="L128" s="81">
        <v>0</v>
      </c>
      <c r="M128" s="81">
        <v>0</v>
      </c>
      <c r="N128" s="82">
        <v>500000</v>
      </c>
      <c r="O128" s="82">
        <v>100000</v>
      </c>
      <c r="P128" s="82">
        <v>50</v>
      </c>
      <c r="Q128" s="82">
        <v>10</v>
      </c>
      <c r="R128" s="86">
        <f t="shared" si="4"/>
        <v>1.9999999999999997E-2</v>
      </c>
    </row>
    <row r="129" spans="1:18">
      <c r="A129" s="85">
        <v>28</v>
      </c>
      <c r="B129" s="73"/>
      <c r="C129" s="73">
        <v>2E-3</v>
      </c>
      <c r="D129" s="80">
        <v>100</v>
      </c>
      <c r="E129" s="83">
        <v>3</v>
      </c>
      <c r="F129" s="81">
        <v>0</v>
      </c>
      <c r="G129" s="81">
        <v>0</v>
      </c>
      <c r="H129" s="81">
        <v>8.0000000000000002E-3</v>
      </c>
      <c r="I129" s="81">
        <v>1.1999999999999999E-2</v>
      </c>
      <c r="J129" s="81">
        <v>0</v>
      </c>
      <c r="K129" s="81">
        <v>0</v>
      </c>
      <c r="L129" s="81">
        <v>0</v>
      </c>
      <c r="M129" s="81">
        <v>0</v>
      </c>
      <c r="N129" s="82">
        <v>500000</v>
      </c>
      <c r="O129" s="82">
        <v>100000</v>
      </c>
      <c r="P129" s="82">
        <v>50</v>
      </c>
      <c r="Q129" s="82">
        <v>10</v>
      </c>
      <c r="R129" s="86">
        <f t="shared" ref="R129" si="5">SUM(F129:I129)</f>
        <v>1.9999999999999997E-2</v>
      </c>
    </row>
    <row r="130" spans="1:18">
      <c r="A130" s="85">
        <v>28</v>
      </c>
      <c r="B130" s="73"/>
      <c r="C130" s="73">
        <v>2E-3</v>
      </c>
      <c r="D130" s="80">
        <v>100</v>
      </c>
      <c r="E130" s="83">
        <v>8</v>
      </c>
      <c r="F130" s="81">
        <v>0</v>
      </c>
      <c r="G130" s="81">
        <v>0</v>
      </c>
      <c r="H130" s="81">
        <v>1.9E-2</v>
      </c>
      <c r="I130" s="81">
        <v>1E-3</v>
      </c>
      <c r="J130" s="81">
        <v>0</v>
      </c>
      <c r="K130" s="81">
        <v>0</v>
      </c>
      <c r="L130" s="81">
        <v>0</v>
      </c>
      <c r="M130" s="81">
        <v>0</v>
      </c>
      <c r="N130" s="82">
        <v>500000</v>
      </c>
      <c r="O130" s="82">
        <v>100000</v>
      </c>
      <c r="P130" s="82">
        <v>50</v>
      </c>
      <c r="Q130" s="82">
        <v>10</v>
      </c>
      <c r="R130" s="86">
        <f t="shared" si="4"/>
        <v>0.02</v>
      </c>
    </row>
    <row r="131" spans="1:18">
      <c r="A131" s="85">
        <v>28</v>
      </c>
      <c r="B131" s="73"/>
      <c r="C131" s="73">
        <v>2E-3</v>
      </c>
      <c r="D131" s="80">
        <v>100</v>
      </c>
      <c r="E131" s="83">
        <v>40.5</v>
      </c>
      <c r="F131" s="81">
        <v>0</v>
      </c>
      <c r="G131" s="81">
        <v>0</v>
      </c>
      <c r="H131" s="81">
        <v>0.01</v>
      </c>
      <c r="I131" s="81">
        <v>0.03</v>
      </c>
      <c r="J131" s="81">
        <v>0</v>
      </c>
      <c r="K131" s="81">
        <v>0</v>
      </c>
      <c r="L131" s="81">
        <v>0</v>
      </c>
      <c r="M131" s="81">
        <v>0</v>
      </c>
      <c r="N131" s="82">
        <v>500000</v>
      </c>
      <c r="O131" s="82">
        <v>100000</v>
      </c>
      <c r="P131" s="82">
        <v>50</v>
      </c>
      <c r="Q131" s="82">
        <v>10</v>
      </c>
      <c r="R131" s="86">
        <f t="shared" si="4"/>
        <v>0.04</v>
      </c>
    </row>
    <row r="132" spans="1:18">
      <c r="A132" s="85">
        <v>28</v>
      </c>
      <c r="B132" s="73"/>
      <c r="C132" s="73">
        <v>2E-3</v>
      </c>
      <c r="D132" s="80">
        <v>100</v>
      </c>
      <c r="E132" s="83">
        <v>50</v>
      </c>
      <c r="F132" s="81">
        <v>0</v>
      </c>
      <c r="G132" s="81">
        <v>0</v>
      </c>
      <c r="H132" s="81">
        <v>1.6E-2</v>
      </c>
      <c r="I132" s="81">
        <v>2.4E-2</v>
      </c>
      <c r="J132" s="81">
        <v>0</v>
      </c>
      <c r="K132" s="81">
        <v>0</v>
      </c>
      <c r="L132" s="81">
        <v>0</v>
      </c>
      <c r="M132" s="81">
        <v>0</v>
      </c>
      <c r="N132" s="82">
        <v>500000</v>
      </c>
      <c r="O132" s="82">
        <v>100000</v>
      </c>
      <c r="P132" s="82">
        <v>50</v>
      </c>
      <c r="Q132" s="82">
        <v>10</v>
      </c>
      <c r="R132" s="86">
        <f t="shared" si="4"/>
        <v>0.04</v>
      </c>
    </row>
    <row r="133" spans="1:18">
      <c r="A133" s="85">
        <v>28</v>
      </c>
      <c r="B133" s="73"/>
      <c r="C133" s="73">
        <v>2E-3</v>
      </c>
      <c r="D133" s="80">
        <v>100</v>
      </c>
      <c r="E133" s="83">
        <v>75</v>
      </c>
      <c r="F133" s="81">
        <v>0</v>
      </c>
      <c r="G133" s="81">
        <v>0</v>
      </c>
      <c r="H133" s="81">
        <v>1.6E-2</v>
      </c>
      <c r="I133" s="81">
        <v>2.4E-2</v>
      </c>
      <c r="J133" s="81">
        <v>0</v>
      </c>
      <c r="K133" s="81">
        <v>0</v>
      </c>
      <c r="L133" s="81">
        <v>0</v>
      </c>
      <c r="M133" s="81">
        <v>0</v>
      </c>
      <c r="N133" s="82">
        <v>500000</v>
      </c>
      <c r="O133" s="82">
        <v>100000</v>
      </c>
      <c r="P133" s="82">
        <v>75</v>
      </c>
      <c r="Q133" s="82">
        <v>15</v>
      </c>
      <c r="R133" s="86">
        <f t="shared" si="4"/>
        <v>0.04</v>
      </c>
    </row>
    <row r="134" spans="1:18">
      <c r="A134" s="85">
        <v>28</v>
      </c>
      <c r="B134" s="73"/>
      <c r="C134" s="73">
        <v>2E-3</v>
      </c>
      <c r="D134" s="80">
        <v>100</v>
      </c>
      <c r="E134" s="83">
        <v>100</v>
      </c>
      <c r="F134" s="81">
        <v>0</v>
      </c>
      <c r="G134" s="81">
        <v>0</v>
      </c>
      <c r="H134" s="81">
        <v>0.02</v>
      </c>
      <c r="I134" s="81">
        <v>0.02</v>
      </c>
      <c r="J134" s="81">
        <v>0</v>
      </c>
      <c r="K134" s="81">
        <v>0</v>
      </c>
      <c r="L134" s="81">
        <v>0</v>
      </c>
      <c r="M134" s="81">
        <v>0</v>
      </c>
      <c r="N134" s="82">
        <v>500000</v>
      </c>
      <c r="O134" s="82">
        <v>100000</v>
      </c>
      <c r="P134" s="82">
        <v>100</v>
      </c>
      <c r="Q134" s="82">
        <v>20</v>
      </c>
      <c r="R134" s="86">
        <f t="shared" si="4"/>
        <v>0.04</v>
      </c>
    </row>
    <row r="135" spans="1:18">
      <c r="A135" s="85">
        <v>28</v>
      </c>
      <c r="B135" s="73"/>
      <c r="C135" s="73">
        <v>2E-3</v>
      </c>
      <c r="D135" s="80">
        <v>100</v>
      </c>
      <c r="E135" s="83">
        <v>120</v>
      </c>
      <c r="F135" s="81">
        <v>0</v>
      </c>
      <c r="G135" s="81">
        <v>0</v>
      </c>
      <c r="H135" s="81">
        <v>0.02</v>
      </c>
      <c r="I135" s="81">
        <v>0.02</v>
      </c>
      <c r="J135" s="81">
        <v>0</v>
      </c>
      <c r="K135" s="81">
        <v>0</v>
      </c>
      <c r="L135" s="81">
        <v>0</v>
      </c>
      <c r="M135" s="81">
        <v>0</v>
      </c>
      <c r="N135" s="82">
        <v>500000</v>
      </c>
      <c r="O135" s="82">
        <v>100000</v>
      </c>
      <c r="P135" s="82">
        <v>100</v>
      </c>
      <c r="Q135" s="82">
        <v>20</v>
      </c>
      <c r="R135" s="86">
        <f t="shared" ref="R135:R138" si="6">SUM(F135:I135)</f>
        <v>0.04</v>
      </c>
    </row>
    <row r="136" spans="1:18">
      <c r="A136" s="85">
        <v>28</v>
      </c>
      <c r="B136" s="73"/>
      <c r="C136" s="73">
        <v>2E-3</v>
      </c>
      <c r="D136" s="80">
        <v>100</v>
      </c>
      <c r="E136" s="83">
        <v>250</v>
      </c>
      <c r="F136" s="81">
        <v>0</v>
      </c>
      <c r="G136" s="81">
        <v>0</v>
      </c>
      <c r="H136" s="81">
        <v>0.02</v>
      </c>
      <c r="I136" s="81">
        <v>0.02</v>
      </c>
      <c r="J136" s="81">
        <v>0</v>
      </c>
      <c r="K136" s="81">
        <v>0</v>
      </c>
      <c r="L136" s="81">
        <v>0</v>
      </c>
      <c r="M136" s="81">
        <v>0</v>
      </c>
      <c r="N136" s="82">
        <v>500000</v>
      </c>
      <c r="O136" s="82">
        <v>100000</v>
      </c>
      <c r="P136" s="82">
        <v>250</v>
      </c>
      <c r="Q136" s="82">
        <v>50</v>
      </c>
      <c r="R136" s="86">
        <f t="shared" si="6"/>
        <v>0.04</v>
      </c>
    </row>
    <row r="137" spans="1:18">
      <c r="A137" s="85">
        <v>28</v>
      </c>
      <c r="B137" s="73"/>
      <c r="C137" s="73">
        <v>2E-3</v>
      </c>
      <c r="D137" s="80">
        <v>100</v>
      </c>
      <c r="E137" s="83">
        <v>300</v>
      </c>
      <c r="F137" s="81">
        <v>0</v>
      </c>
      <c r="G137" s="81">
        <v>0</v>
      </c>
      <c r="H137" s="81">
        <v>0.02</v>
      </c>
      <c r="I137" s="81">
        <v>0.02</v>
      </c>
      <c r="J137" s="81">
        <v>0</v>
      </c>
      <c r="K137" s="81">
        <v>0</v>
      </c>
      <c r="L137" s="81">
        <v>0</v>
      </c>
      <c r="M137" s="81">
        <v>0</v>
      </c>
      <c r="N137" s="82">
        <v>500000</v>
      </c>
      <c r="O137" s="82">
        <v>100000</v>
      </c>
      <c r="P137" s="82">
        <v>300</v>
      </c>
      <c r="Q137" s="82">
        <v>60</v>
      </c>
      <c r="R137" s="86">
        <f t="shared" si="6"/>
        <v>0.04</v>
      </c>
    </row>
    <row r="138" spans="1:18">
      <c r="A138" s="85">
        <v>28</v>
      </c>
      <c r="B138" s="73"/>
      <c r="C138" s="73">
        <v>2E-3</v>
      </c>
      <c r="D138" s="80">
        <v>100</v>
      </c>
      <c r="E138" s="83">
        <v>500</v>
      </c>
      <c r="F138" s="81">
        <v>0</v>
      </c>
      <c r="G138" s="81">
        <v>0</v>
      </c>
      <c r="H138" s="81">
        <v>0.02</v>
      </c>
      <c r="I138" s="81">
        <v>0.02</v>
      </c>
      <c r="J138" s="81">
        <v>0</v>
      </c>
      <c r="K138" s="81">
        <v>0</v>
      </c>
      <c r="L138" s="81">
        <v>0</v>
      </c>
      <c r="M138" s="81">
        <v>0</v>
      </c>
      <c r="N138" s="82">
        <v>500000</v>
      </c>
      <c r="O138" s="82">
        <v>100000</v>
      </c>
      <c r="P138" s="82">
        <v>500</v>
      </c>
      <c r="Q138" s="82">
        <v>100</v>
      </c>
      <c r="R138" s="86">
        <f t="shared" si="6"/>
        <v>0.04</v>
      </c>
    </row>
    <row r="139" spans="1:18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</row>
    <row r="148" spans="1:18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</row>
    <row r="149" spans="1:18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</row>
    <row r="150" spans="1:18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</row>
    <row r="151" spans="1:18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</row>
    <row r="152" spans="1:18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</row>
    <row r="153" spans="1:18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</row>
    <row r="154" spans="1:18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</row>
    <row r="155" spans="1:18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</row>
    <row r="156" spans="1:18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</row>
    <row r="157" spans="1:18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</row>
    <row r="158" spans="1:18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</row>
    <row r="159" spans="1:18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</row>
    <row r="160" spans="1:18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</row>
    <row r="161" spans="1:18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</row>
    <row r="162" spans="1:18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</row>
    <row r="163" spans="1:18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</row>
    <row r="164" spans="1:18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</row>
    <row r="188" spans="1:18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</row>
    <row r="189" spans="1:18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</row>
    <row r="190" spans="1:18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</row>
    <row r="191" spans="1:18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</row>
    <row r="193" spans="1:18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</row>
    <row r="194" spans="1:18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</row>
    <row r="195" spans="1:18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</row>
    <row r="196" spans="1:18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</row>
    <row r="197" spans="1:18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</row>
    <row r="198" spans="1:18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</row>
    <row r="199" spans="1:18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</row>
    <row r="200" spans="1:18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</row>
    <row r="201" spans="1:18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</row>
    <row r="202" spans="1:18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</row>
    <row r="203" spans="1:18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</row>
    <row r="204" spans="1:18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</row>
    <row r="205" spans="1:18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</row>
    <row r="206" spans="1:18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</row>
    <row r="207" spans="1:18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</row>
    <row r="208" spans="1:18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</row>
    <row r="209" spans="1:18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</row>
    <row r="210" spans="1:18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</sheetData>
  <mergeCells count="10">
    <mergeCell ref="S1:S2"/>
    <mergeCell ref="T1:T2"/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5 F209:M1048576 F41:M44 F7:M13 F54:M104 F46:M52">
    <cfRule type="cellIs" dxfId="28" priority="30" operator="equal">
      <formula>0</formula>
    </cfRule>
  </conditionalFormatting>
  <conditionalFormatting sqref="F105:M114">
    <cfRule type="cellIs" dxfId="27" priority="29" operator="equal">
      <formula>0</formula>
    </cfRule>
  </conditionalFormatting>
  <conditionalFormatting sqref="F115:M124">
    <cfRule type="cellIs" dxfId="26" priority="28" operator="equal">
      <formula>0</formula>
    </cfRule>
  </conditionalFormatting>
  <conditionalFormatting sqref="F139:M148">
    <cfRule type="cellIs" dxfId="25" priority="27" operator="equal">
      <formula>0</formula>
    </cfRule>
  </conditionalFormatting>
  <conditionalFormatting sqref="F149:M158">
    <cfRule type="cellIs" dxfId="24" priority="26" operator="equal">
      <formula>0</formula>
    </cfRule>
  </conditionalFormatting>
  <conditionalFormatting sqref="F159:M168">
    <cfRule type="cellIs" dxfId="23" priority="25" operator="equal">
      <formula>0</formula>
    </cfRule>
  </conditionalFormatting>
  <conditionalFormatting sqref="F169:M178">
    <cfRule type="cellIs" dxfId="22" priority="24" operator="equal">
      <formula>0</formula>
    </cfRule>
  </conditionalFormatting>
  <conditionalFormatting sqref="F179:M188">
    <cfRule type="cellIs" dxfId="21" priority="23" operator="equal">
      <formula>0</formula>
    </cfRule>
  </conditionalFormatting>
  <conditionalFormatting sqref="F189:M198">
    <cfRule type="cellIs" dxfId="20" priority="22" operator="equal">
      <formula>0</formula>
    </cfRule>
  </conditionalFormatting>
  <conditionalFormatting sqref="F199:M208">
    <cfRule type="cellIs" dxfId="19" priority="21" operator="equal">
      <formula>0</formula>
    </cfRule>
  </conditionalFormatting>
  <conditionalFormatting sqref="F125:M127 F130:M133 F135:M136 F138:M138">
    <cfRule type="cellIs" dxfId="18" priority="19" operator="equal">
      <formula>0</formula>
    </cfRule>
  </conditionalFormatting>
  <conditionalFormatting sqref="F14:M16 F19:M22 F24:M25 F27:M27">
    <cfRule type="cellIs" dxfId="17" priority="18" operator="equal">
      <formula>0</formula>
    </cfRule>
  </conditionalFormatting>
  <conditionalFormatting sqref="F28:M30 F34:G36 J34:M36 H33:I36 F33:M33 F38:M40">
    <cfRule type="cellIs" dxfId="16" priority="17" operator="equal">
      <formula>0</formula>
    </cfRule>
  </conditionalFormatting>
  <conditionalFormatting sqref="H34:I36 H38:I40">
    <cfRule type="cellIs" dxfId="15" priority="16" operator="equal">
      <formula>0</formula>
    </cfRule>
  </conditionalFormatting>
  <conditionalFormatting sqref="F128:M128">
    <cfRule type="cellIs" dxfId="14" priority="15" operator="equal">
      <formula>0</formula>
    </cfRule>
  </conditionalFormatting>
  <conditionalFormatting sqref="F31:M31">
    <cfRule type="cellIs" dxfId="13" priority="14" operator="equal">
      <formula>0</formula>
    </cfRule>
  </conditionalFormatting>
  <conditionalFormatting sqref="F17:M17">
    <cfRule type="cellIs" dxfId="12" priority="13" operator="equal">
      <formula>0</formula>
    </cfRule>
  </conditionalFormatting>
  <conditionalFormatting sqref="F6:M6">
    <cfRule type="cellIs" dxfId="11" priority="12" operator="equal">
      <formula>0</formula>
    </cfRule>
  </conditionalFormatting>
  <conditionalFormatting sqref="F134:M134">
    <cfRule type="cellIs" dxfId="10" priority="11" operator="equal">
      <formula>0</formula>
    </cfRule>
  </conditionalFormatting>
  <conditionalFormatting sqref="F37:M37">
    <cfRule type="cellIs" dxfId="9" priority="10" operator="equal">
      <formula>0</formula>
    </cfRule>
  </conditionalFormatting>
  <conditionalFormatting sqref="H37:I37">
    <cfRule type="cellIs" dxfId="8" priority="9" operator="equal">
      <formula>0</formula>
    </cfRule>
  </conditionalFormatting>
  <conditionalFormatting sqref="F23:M23">
    <cfRule type="cellIs" dxfId="7" priority="8" operator="equal">
      <formula>0</formula>
    </cfRule>
  </conditionalFormatting>
  <conditionalFormatting sqref="F26:M26">
    <cfRule type="cellIs" dxfId="6" priority="7" operator="equal">
      <formula>0</formula>
    </cfRule>
  </conditionalFormatting>
  <conditionalFormatting sqref="F53:M53">
    <cfRule type="cellIs" dxfId="5" priority="6" operator="equal">
      <formula>0</formula>
    </cfRule>
  </conditionalFormatting>
  <conditionalFormatting sqref="F137:M137">
    <cfRule type="cellIs" dxfId="4" priority="5" operator="equal">
      <formula>0</formula>
    </cfRule>
  </conditionalFormatting>
  <conditionalFormatting sqref="F18:M18">
    <cfRule type="cellIs" dxfId="3" priority="4" operator="equal">
      <formula>0</formula>
    </cfRule>
  </conditionalFormatting>
  <conditionalFormatting sqref="F32:M32">
    <cfRule type="cellIs" dxfId="2" priority="3" operator="equal">
      <formula>0</formula>
    </cfRule>
  </conditionalFormatting>
  <conditionalFormatting sqref="F45:M45">
    <cfRule type="cellIs" dxfId="1" priority="2" operator="equal">
      <formula>0</formula>
    </cfRule>
  </conditionalFormatting>
  <conditionalFormatting sqref="F129:M12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E2" sqref="E2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60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0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0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0" t="s">
        <v>23</v>
      </c>
      <c r="K1" s="110"/>
      <c r="L1" s="110"/>
      <c r="M1" s="110"/>
      <c r="N1" s="111" t="s">
        <v>22</v>
      </c>
      <c r="O1" s="111"/>
      <c r="P1" s="111"/>
      <c r="Q1" s="111"/>
      <c r="R1" s="110" t="s">
        <v>1</v>
      </c>
      <c r="S1" s="110"/>
      <c r="T1" s="110"/>
      <c r="U1" s="110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</v>
      </c>
      <c r="O3" s="43">
        <v>0</v>
      </c>
      <c r="P3" s="43">
        <v>8.0000000000000002E-3</v>
      </c>
      <c r="Q3" s="43">
        <v>1.1999999999999999E-2</v>
      </c>
      <c r="R3" s="43" cm="1">
        <f t="array" ref="R3:U3">TRANSPOSE(C17:C20)</f>
        <v>0</v>
      </c>
      <c r="S3" s="43">
        <v>0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</v>
      </c>
      <c r="O4" s="21">
        <v>0</v>
      </c>
      <c r="P4" s="21">
        <v>8.0000000000000002E-3</v>
      </c>
      <c r="Q4" s="21">
        <v>1.1999999999999999E-2</v>
      </c>
      <c r="R4" s="21" cm="1">
        <f t="array" ref="R4:U4">_xlfn.ANCHORARRAY(R3)</f>
        <v>0</v>
      </c>
      <c r="S4" s="23">
        <v>0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</v>
      </c>
      <c r="O5" s="21">
        <v>0</v>
      </c>
      <c r="P5" s="21">
        <v>8.0000000000000002E-3</v>
      </c>
      <c r="Q5" s="21">
        <v>1.1999999999999999E-2</v>
      </c>
      <c r="R5" s="21" cm="1">
        <f t="array" ref="R5:U5">_xlfn.ANCHORARRAY(R4)</f>
        <v>0</v>
      </c>
      <c r="S5" s="23">
        <v>0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</v>
      </c>
      <c r="O6" s="21">
        <v>0</v>
      </c>
      <c r="P6" s="21">
        <v>8.0000000000000002E-3</v>
      </c>
      <c r="Q6" s="21">
        <v>1.1999999999999999E-2</v>
      </c>
      <c r="R6" s="21" cm="1">
        <f t="array" ref="R6:U6">_xlfn.ANCHORARRAY(R5)</f>
        <v>0</v>
      </c>
      <c r="S6" s="23">
        <v>0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</v>
      </c>
      <c r="O7" s="21">
        <v>0</v>
      </c>
      <c r="P7" s="21">
        <v>8.0000000000000002E-3</v>
      </c>
      <c r="Q7" s="21">
        <v>1.1999999999999999E-2</v>
      </c>
      <c r="R7" s="21" cm="1">
        <f t="array" ref="R7:U7">_xlfn.ANCHORARRAY(R6)</f>
        <v>0</v>
      </c>
      <c r="S7" s="23">
        <v>0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</v>
      </c>
      <c r="O8" s="21">
        <v>0</v>
      </c>
      <c r="P8" s="21">
        <v>8.0000000000000002E-3</v>
      </c>
      <c r="Q8" s="21">
        <v>1.1999999999999999E-2</v>
      </c>
      <c r="R8" s="21" cm="1">
        <f t="array" ref="R8:U8">_xlfn.ANCHORARRAY(R7)</f>
        <v>0</v>
      </c>
      <c r="S8" s="23">
        <v>0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</v>
      </c>
      <c r="O9" s="21">
        <v>0</v>
      </c>
      <c r="P9" s="21">
        <v>8.0000000000000002E-3</v>
      </c>
      <c r="Q9" s="21">
        <v>1.1999999999999999E-2</v>
      </c>
      <c r="R9" s="21" cm="1">
        <f t="array" ref="R9:U9">_xlfn.ANCHORARRAY(R8)</f>
        <v>0</v>
      </c>
      <c r="S9" s="23">
        <v>0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</v>
      </c>
      <c r="O10" s="21">
        <v>0</v>
      </c>
      <c r="P10" s="21">
        <v>8.0000000000000002E-3</v>
      </c>
      <c r="Q10" s="21">
        <v>1.1999999999999999E-2</v>
      </c>
      <c r="R10" s="21" cm="1">
        <f t="array" ref="R10:U10">_xlfn.ANCHORARRAY(R9)</f>
        <v>0</v>
      </c>
      <c r="S10" s="23">
        <v>0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</v>
      </c>
      <c r="O11" s="21">
        <v>0</v>
      </c>
      <c r="P11" s="21">
        <v>8.0000000000000002E-3</v>
      </c>
      <c r="Q11" s="21">
        <v>1.1999999999999999E-2</v>
      </c>
      <c r="R11" s="21" cm="1">
        <f t="array" ref="R11:U11">_xlfn.ANCHORARRAY(R10)</f>
        <v>0</v>
      </c>
      <c r="S11" s="23">
        <v>0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</v>
      </c>
      <c r="O12" s="21">
        <v>0</v>
      </c>
      <c r="P12" s="21">
        <v>8.0000000000000002E-3</v>
      </c>
      <c r="Q12" s="21">
        <v>1.1999999999999999E-2</v>
      </c>
      <c r="R12" s="21" cm="1">
        <f t="array" ref="R12:U12">_xlfn.ANCHORARRAY(R11)</f>
        <v>0</v>
      </c>
      <c r="S12" s="23">
        <v>0</v>
      </c>
      <c r="T12" s="23">
        <v>0</v>
      </c>
      <c r="U12" s="23">
        <v>0</v>
      </c>
    </row>
    <row r="13" spans="1:21">
      <c r="B13" s="40"/>
      <c r="C13" s="44">
        <f>SUM(C9:C12)</f>
        <v>1.9999999999999997E-2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</v>
      </c>
      <c r="O13" s="21">
        <v>0</v>
      </c>
      <c r="P13" s="21">
        <v>8.0000000000000002E-3</v>
      </c>
      <c r="Q13" s="21">
        <v>1.1999999999999999E-2</v>
      </c>
      <c r="R13" s="21" cm="1">
        <f t="array" ref="R13:U13">_xlfn.ANCHORARRAY(R12)</f>
        <v>0</v>
      </c>
      <c r="S13" s="23">
        <v>0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</v>
      </c>
      <c r="O14" s="21">
        <v>0</v>
      </c>
      <c r="P14" s="21">
        <v>8.0000000000000002E-3</v>
      </c>
      <c r="Q14" s="21">
        <v>1.1999999999999999E-2</v>
      </c>
      <c r="R14" s="21" cm="1">
        <f t="array" ref="R14:U14">_xlfn.ANCHORARRAY(R13)</f>
        <v>0</v>
      </c>
      <c r="S14" s="23">
        <v>0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</v>
      </c>
      <c r="O15" s="21">
        <v>0</v>
      </c>
      <c r="P15" s="21">
        <v>8.0000000000000002E-3</v>
      </c>
      <c r="Q15" s="21">
        <v>1.1999999999999999E-2</v>
      </c>
      <c r="R15" s="21" cm="1">
        <f t="array" ref="R15:U15">_xlfn.ANCHORARRAY(R14)</f>
        <v>0</v>
      </c>
      <c r="S15" s="23">
        <v>0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</v>
      </c>
      <c r="O16" s="21">
        <v>0</v>
      </c>
      <c r="P16" s="21">
        <v>8.0000000000000002E-3</v>
      </c>
      <c r="Q16" s="21">
        <v>1.1999999999999999E-2</v>
      </c>
      <c r="R16" s="21" cm="1">
        <f t="array" ref="R16:U16">_xlfn.ANCHORARRAY(R15)</f>
        <v>0</v>
      </c>
      <c r="S16" s="23">
        <v>0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0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</v>
      </c>
      <c r="O17" s="21">
        <v>0</v>
      </c>
      <c r="P17" s="21">
        <v>8.0000000000000002E-3</v>
      </c>
      <c r="Q17" s="21">
        <v>1.1999999999999999E-2</v>
      </c>
      <c r="R17" s="21" cm="1">
        <f t="array" ref="R17:U17">_xlfn.ANCHORARRAY(R16)</f>
        <v>0</v>
      </c>
      <c r="S17" s="23">
        <v>0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0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</v>
      </c>
      <c r="O18" s="21">
        <v>0</v>
      </c>
      <c r="P18" s="21">
        <v>8.0000000000000002E-3</v>
      </c>
      <c r="Q18" s="21">
        <v>1.1999999999999999E-2</v>
      </c>
      <c r="R18" s="21" cm="1">
        <f t="array" ref="R18:U18">_xlfn.ANCHORARRAY(R17)</f>
        <v>0</v>
      </c>
      <c r="S18" s="23">
        <v>0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</v>
      </c>
      <c r="O19" s="21">
        <v>0</v>
      </c>
      <c r="P19" s="21">
        <v>8.0000000000000002E-3</v>
      </c>
      <c r="Q19" s="21">
        <v>1.1999999999999999E-2</v>
      </c>
      <c r="R19" s="21" cm="1">
        <f t="array" ref="R19:U19">_xlfn.ANCHORARRAY(R18)</f>
        <v>0</v>
      </c>
      <c r="S19" s="23">
        <v>0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</v>
      </c>
      <c r="O20" s="21">
        <v>0</v>
      </c>
      <c r="P20" s="21">
        <v>8.0000000000000002E-3</v>
      </c>
      <c r="Q20" s="21">
        <v>1.1999999999999999E-2</v>
      </c>
      <c r="R20" s="21" cm="1">
        <f t="array" ref="R20:U20">_xlfn.ANCHORARRAY(R19)</f>
        <v>0</v>
      </c>
      <c r="S20" s="23">
        <v>0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</v>
      </c>
      <c r="O21" s="21">
        <v>0</v>
      </c>
      <c r="P21" s="21">
        <v>8.0000000000000002E-3</v>
      </c>
      <c r="Q21" s="21">
        <v>1.1999999999999999E-2</v>
      </c>
      <c r="R21" s="21" cm="1">
        <f t="array" ref="R21:U21">_xlfn.ANCHORARRAY(R20)</f>
        <v>0</v>
      </c>
      <c r="S21" s="23">
        <v>0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</v>
      </c>
      <c r="O22" s="21">
        <v>0</v>
      </c>
      <c r="P22" s="21">
        <v>8.0000000000000002E-3</v>
      </c>
      <c r="Q22" s="21">
        <v>1.1999999999999999E-2</v>
      </c>
      <c r="R22" s="21" cm="1">
        <f t="array" ref="R22:U22">_xlfn.ANCHORARRAY(R21)</f>
        <v>0</v>
      </c>
      <c r="S22" s="23">
        <v>0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</v>
      </c>
      <c r="O23" s="21">
        <v>0</v>
      </c>
      <c r="P23" s="21">
        <v>8.0000000000000002E-3</v>
      </c>
      <c r="Q23" s="21">
        <v>1.1999999999999999E-2</v>
      </c>
      <c r="R23" s="21" cm="1">
        <f t="array" ref="R23:U23">_xlfn.ANCHORARRAY(R22)</f>
        <v>0</v>
      </c>
      <c r="S23" s="23">
        <v>0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</v>
      </c>
      <c r="O24" s="21">
        <v>0</v>
      </c>
      <c r="P24" s="21">
        <v>8.0000000000000002E-3</v>
      </c>
      <c r="Q24" s="21">
        <v>1.1999999999999999E-2</v>
      </c>
      <c r="R24" s="21" cm="1">
        <f t="array" ref="R24:U24">_xlfn.ANCHORARRAY(R23)</f>
        <v>0</v>
      </c>
      <c r="S24" s="23">
        <v>0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</v>
      </c>
      <c r="O25" s="21">
        <v>0</v>
      </c>
      <c r="P25" s="21">
        <v>8.0000000000000002E-3</v>
      </c>
      <c r="Q25" s="21">
        <v>1.1999999999999999E-2</v>
      </c>
      <c r="R25" s="21" cm="1">
        <f t="array" ref="R25:U25">_xlfn.ANCHORARRAY(R24)</f>
        <v>0</v>
      </c>
      <c r="S25" s="23">
        <v>0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</v>
      </c>
      <c r="O26" s="21">
        <v>0</v>
      </c>
      <c r="P26" s="21">
        <v>8.0000000000000002E-3</v>
      </c>
      <c r="Q26" s="21">
        <v>1.1999999999999999E-2</v>
      </c>
      <c r="R26" s="21" cm="1">
        <f t="array" ref="R26:U26">_xlfn.ANCHORARRAY(R25)</f>
        <v>0</v>
      </c>
      <c r="S26" s="23">
        <v>0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</v>
      </c>
      <c r="O27" s="21">
        <v>0</v>
      </c>
      <c r="P27" s="21">
        <v>8.0000000000000002E-3</v>
      </c>
      <c r="Q27" s="21">
        <v>1.1999999999999999E-2</v>
      </c>
      <c r="R27" s="21" cm="1">
        <f t="array" ref="R27:U27">_xlfn.ANCHORARRAY(R26)</f>
        <v>0</v>
      </c>
      <c r="S27" s="23">
        <v>0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</v>
      </c>
      <c r="O28" s="21">
        <v>0</v>
      </c>
      <c r="P28" s="21">
        <v>8.0000000000000002E-3</v>
      </c>
      <c r="Q28" s="21">
        <v>1.1999999999999999E-2</v>
      </c>
      <c r="R28" s="21" cm="1">
        <f t="array" ref="R28:U28">_xlfn.ANCHORARRAY(R27)</f>
        <v>0</v>
      </c>
      <c r="S28" s="23">
        <v>0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</v>
      </c>
      <c r="O29" s="21">
        <v>0</v>
      </c>
      <c r="P29" s="21">
        <v>8.0000000000000002E-3</v>
      </c>
      <c r="Q29" s="21">
        <v>1.1999999999999999E-2</v>
      </c>
      <c r="R29" s="21" cm="1">
        <f t="array" ref="R29:U29">_xlfn.ANCHORARRAY(R28)</f>
        <v>0</v>
      </c>
      <c r="S29" s="23">
        <v>0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</v>
      </c>
      <c r="O30" s="21">
        <v>0</v>
      </c>
      <c r="P30" s="21">
        <v>8.0000000000000002E-3</v>
      </c>
      <c r="Q30" s="21">
        <v>1.1999999999999999E-2</v>
      </c>
      <c r="R30" s="21" cm="1">
        <f t="array" ref="R30:U30">_xlfn.ANCHORARRAY(R29)</f>
        <v>0</v>
      </c>
      <c r="S30" s="23">
        <v>0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</v>
      </c>
      <c r="O31" s="21">
        <v>0</v>
      </c>
      <c r="P31" s="21">
        <v>8.0000000000000002E-3</v>
      </c>
      <c r="Q31" s="21">
        <v>1.1999999999999999E-2</v>
      </c>
      <c r="R31" s="21" cm="1">
        <f t="array" ref="R31:U31">_xlfn.ANCHORARRAY(R30)</f>
        <v>0</v>
      </c>
      <c r="S31" s="23">
        <v>0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</v>
      </c>
      <c r="O32" s="21">
        <v>0</v>
      </c>
      <c r="P32" s="21">
        <v>8.0000000000000002E-3</v>
      </c>
      <c r="Q32" s="21">
        <v>1.1999999999999999E-2</v>
      </c>
      <c r="R32" s="21" cm="1">
        <f t="array" ref="R32:U32">_xlfn.ANCHORARRAY(R31)</f>
        <v>0</v>
      </c>
      <c r="S32" s="23">
        <v>0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61</v>
      </c>
      <c r="I7" s="1" t="s">
        <v>5</v>
      </c>
      <c r="J7" s="1" t="s">
        <v>6</v>
      </c>
      <c r="K7" s="1" t="s">
        <v>62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0</v>
      </c>
      <c r="F8" s="32">
        <f>VLOOKUP(A4, Setting!$E:$U, 14, FALSE)</f>
        <v>0</v>
      </c>
      <c r="G8" s="32">
        <f>VLOOKUP(A4, Setting!$E:$U, 10, FALSE)</f>
        <v>0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245.09803921568627</v>
      </c>
      <c r="L8" s="7"/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0</v>
      </c>
      <c r="F9" s="32">
        <f>VLOOKUP(A4, Setting!$E:$U, 15, FALSE)</f>
        <v>0</v>
      </c>
      <c r="G9" s="32">
        <f>VLOOKUP(A4, Setting!$E:$U, 11, FALSE)</f>
        <v>0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1.9999999999999997E-2</v>
      </c>
      <c r="H12" s="8">
        <f>SUM(H8:H11)</f>
        <v>4.0800000000000003E-3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61</v>
      </c>
      <c r="I18" s="1" t="s">
        <v>5</v>
      </c>
      <c r="J18" s="1" t="s">
        <v>6</v>
      </c>
      <c r="K18" s="1" t="s">
        <v>62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0</v>
      </c>
      <c r="F19" s="32">
        <f>VLOOKUP(A15, Setting!$E:$U, 14, FALSE)</f>
        <v>0</v>
      </c>
      <c r="G19" s="32">
        <f>VLOOKUP(A15, Setting!$E:$U, 10, FALSE)</f>
        <v>0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245.09803921568627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0</v>
      </c>
      <c r="F20" s="32">
        <f>VLOOKUP(A15, Setting!$E:$U, 15, FALSE)</f>
        <v>0</v>
      </c>
      <c r="G20" s="32">
        <f>VLOOKUP(A15, Setting!$E:$U, 11, FALSE)</f>
        <v>0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1.9999999999999997E-2</v>
      </c>
      <c r="H23" s="8">
        <f>SUM(H19:H22)</f>
        <v>4.0800000000000003E-3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61</v>
      </c>
      <c r="I29" s="1" t="s">
        <v>5</v>
      </c>
      <c r="J29" s="1" t="s">
        <v>6</v>
      </c>
      <c r="K29" s="1" t="s">
        <v>62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0</v>
      </c>
      <c r="F30" s="32">
        <f>VLOOKUP(A26, Setting!$E:$U, 14, FALSE)</f>
        <v>0</v>
      </c>
      <c r="G30" s="32">
        <f>VLOOKUP(A26, Setting!$E:$U, 10, FALSE)</f>
        <v>0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245.0980392156863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0</v>
      </c>
      <c r="F31" s="32">
        <f>VLOOKUP(A26, Setting!$E:$U, 15, FALSE)</f>
        <v>0</v>
      </c>
      <c r="G31" s="32">
        <f>VLOOKUP(A26, Setting!$E:$U, 11, FALSE)</f>
        <v>0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1.9999999999999997E-2</v>
      </c>
      <c r="H34" s="8">
        <f>SUM(H30:H33)</f>
        <v>4.0799999999999994E-3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61</v>
      </c>
      <c r="I40" s="1" t="s">
        <v>5</v>
      </c>
      <c r="J40" s="1" t="s">
        <v>6</v>
      </c>
      <c r="K40" s="1" t="s">
        <v>62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0</v>
      </c>
      <c r="F41" s="32">
        <f>VLOOKUP(A37, Setting!$E:$U, 14, FALSE)</f>
        <v>0</v>
      </c>
      <c r="G41" s="32">
        <f>VLOOKUP(A37, Setting!$E:$U, 10, FALSE)</f>
        <v>0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245.0980392156863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0</v>
      </c>
      <c r="F42" s="32">
        <f>VLOOKUP(A37, Setting!$E:$U, 15, FALSE)</f>
        <v>0</v>
      </c>
      <c r="G42" s="32">
        <f>VLOOKUP(A37, Setting!$E:$U, 11, FALSE)</f>
        <v>0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1.9999999999999997E-2</v>
      </c>
      <c r="H45" s="8">
        <f>SUM(H41:H44)</f>
        <v>4.0799999999999994E-3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61</v>
      </c>
      <c r="I51" s="1" t="s">
        <v>5</v>
      </c>
      <c r="J51" s="1" t="s">
        <v>6</v>
      </c>
      <c r="K51" s="1" t="s">
        <v>62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0</v>
      </c>
      <c r="F52" s="32">
        <f>VLOOKUP(A48, Setting!$E:$U, 14, FALSE)</f>
        <v>0</v>
      </c>
      <c r="G52" s="32">
        <f>VLOOKUP(A48, Setting!$E:$U, 10, FALSE)</f>
        <v>0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245.0980392156863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0</v>
      </c>
      <c r="F53" s="32">
        <f>VLOOKUP(A48, Setting!$E:$U, 15, FALSE)</f>
        <v>0</v>
      </c>
      <c r="G53" s="32">
        <f>VLOOKUP(A48, Setting!$E:$U, 11, FALSE)</f>
        <v>0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1.9999999999999997E-2</v>
      </c>
      <c r="H56" s="8">
        <f>SUM(H52:H55)</f>
        <v>4.0799999999999994E-3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61</v>
      </c>
      <c r="I62" s="1" t="s">
        <v>5</v>
      </c>
      <c r="J62" s="1" t="s">
        <v>6</v>
      </c>
      <c r="K62" s="1" t="s">
        <v>62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0</v>
      </c>
      <c r="F63" s="32">
        <f>VLOOKUP(A59, Setting!$E:$U, 14, FALSE)</f>
        <v>0</v>
      </c>
      <c r="G63" s="32">
        <f>VLOOKUP(A59, Setting!$E:$U, 10, FALSE)</f>
        <v>0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245.0980392156863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0</v>
      </c>
      <c r="F64" s="32">
        <f>VLOOKUP(A59, Setting!$E:$U, 15, FALSE)</f>
        <v>0</v>
      </c>
      <c r="G64" s="32">
        <f>VLOOKUP(A59, Setting!$E:$U, 11, FALSE)</f>
        <v>0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1.9999999999999997E-2</v>
      </c>
      <c r="H67" s="8">
        <f>SUM(H63:H66)</f>
        <v>4.0799999999999994E-3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61</v>
      </c>
      <c r="I73" s="1" t="s">
        <v>5</v>
      </c>
      <c r="J73" s="1" t="s">
        <v>6</v>
      </c>
      <c r="K73" s="1" t="s">
        <v>62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0</v>
      </c>
      <c r="F74" s="32">
        <f>VLOOKUP(A70, Setting!$E:$U, 14, FALSE)</f>
        <v>0</v>
      </c>
      <c r="G74" s="32">
        <f>VLOOKUP(A70, Setting!$E:$U, 10, FALSE)</f>
        <v>0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245.0980392156863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0</v>
      </c>
      <c r="F75" s="32">
        <f>VLOOKUP(A70, Setting!$E:$U, 15, FALSE)</f>
        <v>0</v>
      </c>
      <c r="G75" s="32">
        <f>VLOOKUP(A70, Setting!$E:$U, 11, FALSE)</f>
        <v>0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1.9999999999999997E-2</v>
      </c>
      <c r="H78" s="8">
        <f>SUM(H74:H77)</f>
        <v>4.0799999999999994E-3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61</v>
      </c>
      <c r="I84" s="1" t="s">
        <v>5</v>
      </c>
      <c r="J84" s="1" t="s">
        <v>6</v>
      </c>
      <c r="K84" s="1" t="s">
        <v>62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0</v>
      </c>
      <c r="F85" s="32">
        <f>VLOOKUP(A81, Setting!$E:$U, 14, FALSE)</f>
        <v>0</v>
      </c>
      <c r="G85" s="32">
        <f>VLOOKUP(A81, Setting!$E:$U, 10, FALSE)</f>
        <v>0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245.0980392156863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0</v>
      </c>
      <c r="F86" s="32">
        <f>VLOOKUP(A81, Setting!$E:$U, 15, FALSE)</f>
        <v>0</v>
      </c>
      <c r="G86" s="32">
        <f>VLOOKUP(A81, Setting!$E:$U, 11, FALSE)</f>
        <v>0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1.9999999999999997E-2</v>
      </c>
      <c r="H89" s="8">
        <f>SUM(H85:H88)</f>
        <v>4.0799999999999994E-3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61</v>
      </c>
      <c r="I95" s="1" t="s">
        <v>5</v>
      </c>
      <c r="J95" s="1" t="s">
        <v>6</v>
      </c>
      <c r="K95" s="1" t="s">
        <v>62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0</v>
      </c>
      <c r="F96" s="32">
        <f>VLOOKUP(A92, Setting!$E:$U, 14, FALSE)</f>
        <v>0</v>
      </c>
      <c r="G96" s="32">
        <f>VLOOKUP(A92, Setting!$E:$U, 10, FALSE)</f>
        <v>0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245.0980392156863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0</v>
      </c>
      <c r="F97" s="32">
        <f>VLOOKUP(A92, Setting!$E:$U, 15, FALSE)</f>
        <v>0</v>
      </c>
      <c r="G97" s="32">
        <f>VLOOKUP(A92, Setting!$E:$U, 11, FALSE)</f>
        <v>0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1.9999999999999997E-2</v>
      </c>
      <c r="H100" s="8">
        <f>SUM(H96:H99)</f>
        <v>4.0799999999999994E-3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61</v>
      </c>
      <c r="I106" s="1" t="s">
        <v>5</v>
      </c>
      <c r="J106" s="1" t="s">
        <v>6</v>
      </c>
      <c r="K106" s="1" t="s">
        <v>62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0</v>
      </c>
      <c r="F107" s="32">
        <f>VLOOKUP(A103, Setting!$E:$U, 14, FALSE)</f>
        <v>0</v>
      </c>
      <c r="G107" s="32">
        <f>VLOOKUP(A103, Setting!$E:$U, 10, FALSE)</f>
        <v>0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245.0980392156863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0</v>
      </c>
      <c r="F108" s="32">
        <f>VLOOKUP(A103, Setting!$E:$U, 15, FALSE)</f>
        <v>0</v>
      </c>
      <c r="G108" s="32">
        <f>VLOOKUP(A103, Setting!$E:$U, 11, FALSE)</f>
        <v>0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1.9999999999999997E-2</v>
      </c>
      <c r="H111" s="8">
        <f>SUM(H107:H110)</f>
        <v>4.0799999999999994E-3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61</v>
      </c>
      <c r="I117" s="1" t="s">
        <v>5</v>
      </c>
      <c r="J117" s="1" t="s">
        <v>6</v>
      </c>
      <c r="K117" s="1" t="s">
        <v>62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0</v>
      </c>
      <c r="F118" s="32">
        <f>VLOOKUP(A114, Setting!$E:$U, 14, FALSE)</f>
        <v>0</v>
      </c>
      <c r="G118" s="32">
        <f>VLOOKUP(A114, Setting!$E:$U, 10, FALSE)</f>
        <v>0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245.0980392156863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0</v>
      </c>
      <c r="F119" s="32">
        <f>VLOOKUP(A114, Setting!$E:$U, 15, FALSE)</f>
        <v>0</v>
      </c>
      <c r="G119" s="32">
        <f>VLOOKUP(A114, Setting!$E:$U, 11, FALSE)</f>
        <v>0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1.9999999999999997E-2</v>
      </c>
      <c r="H122" s="8">
        <f>SUM(H118:H121)</f>
        <v>4.0799999999999994E-3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61</v>
      </c>
      <c r="I128" s="1" t="s">
        <v>5</v>
      </c>
      <c r="J128" s="1" t="s">
        <v>6</v>
      </c>
      <c r="K128" s="1" t="s">
        <v>62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0</v>
      </c>
      <c r="F129" s="32">
        <f>VLOOKUP(A125, Setting!$E:$U, 14, FALSE)</f>
        <v>0</v>
      </c>
      <c r="G129" s="32">
        <f>VLOOKUP(A125, Setting!$E:$U, 10, FALSE)</f>
        <v>0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245.0980392156863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0</v>
      </c>
      <c r="F130" s="32">
        <f>VLOOKUP(A125, Setting!$E:$U, 15, FALSE)</f>
        <v>0</v>
      </c>
      <c r="G130" s="32">
        <f>VLOOKUP(A125, Setting!$E:$U, 11, FALSE)</f>
        <v>0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1.9999999999999997E-2</v>
      </c>
      <c r="H133" s="8">
        <f>SUM(H129:H132)</f>
        <v>4.0799999999999994E-3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61</v>
      </c>
      <c r="I139" s="1" t="s">
        <v>5</v>
      </c>
      <c r="J139" s="1" t="s">
        <v>6</v>
      </c>
      <c r="K139" s="1" t="s">
        <v>62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0</v>
      </c>
      <c r="F140" s="32">
        <f>VLOOKUP(A136, Setting!$E:$U, 14, FALSE)</f>
        <v>0</v>
      </c>
      <c r="G140" s="32">
        <f>VLOOKUP(A136, Setting!$E:$U, 10, FALSE)</f>
        <v>0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245.0980392156863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0</v>
      </c>
      <c r="F141" s="32">
        <f>VLOOKUP(A136, Setting!$E:$U, 15, FALSE)</f>
        <v>0</v>
      </c>
      <c r="G141" s="32">
        <f>VLOOKUP(A136, Setting!$E:$U, 11, FALSE)</f>
        <v>0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1.9999999999999997E-2</v>
      </c>
      <c r="H144" s="8">
        <f>SUM(H140:H143)</f>
        <v>4.0799999999999994E-3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61</v>
      </c>
      <c r="I150" s="1" t="s">
        <v>5</v>
      </c>
      <c r="J150" s="1" t="s">
        <v>6</v>
      </c>
      <c r="K150" s="1" t="s">
        <v>62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0</v>
      </c>
      <c r="F151" s="32">
        <f>VLOOKUP(A147, Setting!$E:$U, 14, FALSE)</f>
        <v>0</v>
      </c>
      <c r="G151" s="32">
        <f>VLOOKUP(A147, Setting!$E:$U, 10, FALSE)</f>
        <v>0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245.0980392156863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0</v>
      </c>
      <c r="F152" s="32">
        <f>VLOOKUP(A147, Setting!$E:$U, 15, FALSE)</f>
        <v>0</v>
      </c>
      <c r="G152" s="32">
        <f>VLOOKUP(A147, Setting!$E:$U, 11, FALSE)</f>
        <v>0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1.9999999999999997E-2</v>
      </c>
      <c r="H155" s="8">
        <f>SUM(H151:H154)</f>
        <v>4.0799999999999994E-3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61</v>
      </c>
      <c r="I161" s="1" t="s">
        <v>5</v>
      </c>
      <c r="J161" s="1" t="s">
        <v>6</v>
      </c>
      <c r="K161" s="1" t="s">
        <v>62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0</v>
      </c>
      <c r="F162" s="32">
        <f>VLOOKUP(A158, Setting!$E:$U, 14, FALSE)</f>
        <v>0</v>
      </c>
      <c r="G162" s="32">
        <f>VLOOKUP(A158, Setting!$E:$U, 10, FALSE)</f>
        <v>0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245.0980392156863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0</v>
      </c>
      <c r="F163" s="32">
        <f>VLOOKUP(A158, Setting!$E:$U, 15, FALSE)</f>
        <v>0</v>
      </c>
      <c r="G163" s="32">
        <f>VLOOKUP(A158, Setting!$E:$U, 11, FALSE)</f>
        <v>0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1.9999999999999997E-2</v>
      </c>
      <c r="H166" s="8">
        <f>SUM(H162:H165)</f>
        <v>4.0799999999999994E-3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61</v>
      </c>
      <c r="I172" s="1" t="s">
        <v>5</v>
      </c>
      <c r="J172" s="1" t="s">
        <v>6</v>
      </c>
      <c r="K172" s="1" t="s">
        <v>62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0</v>
      </c>
      <c r="F173" s="32">
        <f>VLOOKUP(A169, Setting!$E:$U, 14, FALSE)</f>
        <v>0</v>
      </c>
      <c r="G173" s="32">
        <f>VLOOKUP(A169, Setting!$E:$U, 10, FALSE)</f>
        <v>0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245.0980392156863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0</v>
      </c>
      <c r="F174" s="32">
        <f>VLOOKUP(A169, Setting!$E:$U, 15, FALSE)</f>
        <v>0</v>
      </c>
      <c r="G174" s="32">
        <f>VLOOKUP(A169, Setting!$E:$U, 11, FALSE)</f>
        <v>0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1.9999999999999997E-2</v>
      </c>
      <c r="H177" s="8">
        <f>SUM(H173:H176)</f>
        <v>4.0799999999999994E-3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61</v>
      </c>
      <c r="I183" s="1" t="s">
        <v>5</v>
      </c>
      <c r="J183" s="1" t="s">
        <v>6</v>
      </c>
      <c r="K183" s="1" t="s">
        <v>62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0</v>
      </c>
      <c r="F184" s="32">
        <f>VLOOKUP(A180, Setting!$E:$U, 14, FALSE)</f>
        <v>0</v>
      </c>
      <c r="G184" s="32">
        <f>VLOOKUP(A180, Setting!$E:$U, 10, FALSE)</f>
        <v>0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245.0980392156863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0</v>
      </c>
      <c r="F185" s="32">
        <f>VLOOKUP(A180, Setting!$E:$U, 15, FALSE)</f>
        <v>0</v>
      </c>
      <c r="G185" s="32">
        <f>VLOOKUP(A180, Setting!$E:$U, 11, FALSE)</f>
        <v>0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1.9999999999999997E-2</v>
      </c>
      <c r="H188" s="8">
        <f>SUM(H184:H187)</f>
        <v>4.0799999999999994E-3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61</v>
      </c>
      <c r="I194" s="1" t="s">
        <v>5</v>
      </c>
      <c r="J194" s="1" t="s">
        <v>6</v>
      </c>
      <c r="K194" s="1" t="s">
        <v>62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0</v>
      </c>
      <c r="F195" s="32">
        <f>VLOOKUP(A191, Setting!$E:$U, 14, FALSE)</f>
        <v>0</v>
      </c>
      <c r="G195" s="32">
        <f>VLOOKUP(A191, Setting!$E:$U, 10, FALSE)</f>
        <v>0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245.0980392156863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0</v>
      </c>
      <c r="F196" s="32">
        <f>VLOOKUP(A191, Setting!$E:$U, 15, FALSE)</f>
        <v>0</v>
      </c>
      <c r="G196" s="32">
        <f>VLOOKUP(A191, Setting!$E:$U, 11, FALSE)</f>
        <v>0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1.9999999999999997E-2</v>
      </c>
      <c r="H199" s="8">
        <f>SUM(H195:H198)</f>
        <v>4.0799999999999994E-3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61</v>
      </c>
      <c r="I205" s="1" t="s">
        <v>5</v>
      </c>
      <c r="J205" s="1" t="s">
        <v>6</v>
      </c>
      <c r="K205" s="1" t="s">
        <v>62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0</v>
      </c>
      <c r="F206" s="32">
        <f>VLOOKUP(A202, Setting!$E:$U, 14, FALSE)</f>
        <v>0</v>
      </c>
      <c r="G206" s="32">
        <f>VLOOKUP(A202, Setting!$E:$U, 10, FALSE)</f>
        <v>0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245.0980392156863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0</v>
      </c>
      <c r="F207" s="32">
        <f>VLOOKUP(A202, Setting!$E:$U, 15, FALSE)</f>
        <v>0</v>
      </c>
      <c r="G207" s="32">
        <f>VLOOKUP(A202, Setting!$E:$U, 11, FALSE)</f>
        <v>0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1.9999999999999997E-2</v>
      </c>
      <c r="H210" s="8">
        <f>SUM(H206:H209)</f>
        <v>4.0799999999999994E-3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61</v>
      </c>
      <c r="I216" s="1" t="s">
        <v>5</v>
      </c>
      <c r="J216" s="1" t="s">
        <v>6</v>
      </c>
      <c r="K216" s="1" t="s">
        <v>62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0</v>
      </c>
      <c r="F217" s="32">
        <f>VLOOKUP(A213, Setting!$E:$U, 14, FALSE)</f>
        <v>0</v>
      </c>
      <c r="G217" s="32">
        <f>VLOOKUP(A213, Setting!$E:$U, 10, FALSE)</f>
        <v>0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245.0980392156863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0</v>
      </c>
      <c r="F218" s="32">
        <f>VLOOKUP(A213, Setting!$E:$U, 15, FALSE)</f>
        <v>0</v>
      </c>
      <c r="G218" s="32">
        <f>VLOOKUP(A213, Setting!$E:$U, 11, FALSE)</f>
        <v>0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1.9999999999999997E-2</v>
      </c>
      <c r="H221" s="8">
        <f>SUM(H217:H220)</f>
        <v>4.0799999999999994E-3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61</v>
      </c>
      <c r="I227" s="1" t="s">
        <v>5</v>
      </c>
      <c r="J227" s="1" t="s">
        <v>6</v>
      </c>
      <c r="K227" s="1" t="s">
        <v>62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0</v>
      </c>
      <c r="F228" s="32">
        <f>VLOOKUP(A224, Setting!$E:$U, 14, FALSE)</f>
        <v>0</v>
      </c>
      <c r="G228" s="32">
        <f>VLOOKUP(A224, Setting!$E:$U, 10, FALSE)</f>
        <v>0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245.0980392156863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0</v>
      </c>
      <c r="F229" s="32">
        <f>VLOOKUP(A224, Setting!$E:$U, 15, FALSE)</f>
        <v>0</v>
      </c>
      <c r="G229" s="32">
        <f>VLOOKUP(A224, Setting!$E:$U, 11, FALSE)</f>
        <v>0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1.9999999999999997E-2</v>
      </c>
      <c r="H232" s="8">
        <f>SUM(H228:H231)</f>
        <v>4.0799999999999994E-3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61</v>
      </c>
      <c r="I238" s="1" t="s">
        <v>5</v>
      </c>
      <c r="J238" s="1" t="s">
        <v>6</v>
      </c>
      <c r="K238" s="1" t="s">
        <v>62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0</v>
      </c>
      <c r="F239" s="32">
        <f>VLOOKUP(A235, Setting!$E:$U, 14, FALSE)</f>
        <v>0</v>
      </c>
      <c r="G239" s="32">
        <f>VLOOKUP(A235, Setting!$E:$U, 10, FALSE)</f>
        <v>0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245.0980392156863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0</v>
      </c>
      <c r="F240" s="32">
        <f>VLOOKUP(A235, Setting!$E:$U, 15, FALSE)</f>
        <v>0</v>
      </c>
      <c r="G240" s="32">
        <f>VLOOKUP(A235, Setting!$E:$U, 11, FALSE)</f>
        <v>0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1.9999999999999997E-2</v>
      </c>
      <c r="H243" s="8">
        <f>SUM(H239:H242)</f>
        <v>4.0799999999999994E-3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61</v>
      </c>
      <c r="I249" s="1" t="s">
        <v>5</v>
      </c>
      <c r="J249" s="1" t="s">
        <v>6</v>
      </c>
      <c r="K249" s="1" t="s">
        <v>62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0</v>
      </c>
      <c r="F250" s="32">
        <f>VLOOKUP(A246, Setting!$E:$U, 14, FALSE)</f>
        <v>0</v>
      </c>
      <c r="G250" s="32">
        <f>VLOOKUP(A246, Setting!$E:$U, 10, FALSE)</f>
        <v>0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245.0980392156863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0</v>
      </c>
      <c r="F251" s="32">
        <f>VLOOKUP(A246, Setting!$E:$U, 15, FALSE)</f>
        <v>0</v>
      </c>
      <c r="G251" s="32">
        <f>VLOOKUP(A246, Setting!$E:$U, 11, FALSE)</f>
        <v>0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1.9999999999999997E-2</v>
      </c>
      <c r="H254" s="8">
        <f>SUM(H250:H253)</f>
        <v>4.0799999999999994E-3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61</v>
      </c>
      <c r="I260" s="1" t="s">
        <v>5</v>
      </c>
      <c r="J260" s="1" t="s">
        <v>6</v>
      </c>
      <c r="K260" s="1" t="s">
        <v>62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0</v>
      </c>
      <c r="F261" s="32">
        <f>VLOOKUP(A257, Setting!$E:$U, 14, FALSE)</f>
        <v>0</v>
      </c>
      <c r="G261" s="32">
        <f>VLOOKUP(A257, Setting!$E:$U, 10, FALSE)</f>
        <v>0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245.0980392156863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0</v>
      </c>
      <c r="F262" s="32">
        <f>VLOOKUP(A257, Setting!$E:$U, 15, FALSE)</f>
        <v>0</v>
      </c>
      <c r="G262" s="32">
        <f>VLOOKUP(A257, Setting!$E:$U, 11, FALSE)</f>
        <v>0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1.9999999999999997E-2</v>
      </c>
      <c r="H265" s="8">
        <f>SUM(H261:H264)</f>
        <v>4.0799999999999994E-3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61</v>
      </c>
      <c r="I271" s="1" t="s">
        <v>5</v>
      </c>
      <c r="J271" s="1" t="s">
        <v>6</v>
      </c>
      <c r="K271" s="1" t="s">
        <v>62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0</v>
      </c>
      <c r="F272" s="32">
        <f>VLOOKUP(A268, Setting!$E:$U, 14, FALSE)</f>
        <v>0</v>
      </c>
      <c r="G272" s="32">
        <f>VLOOKUP(A268, Setting!$E:$U, 10, FALSE)</f>
        <v>0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245.0980392156863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0</v>
      </c>
      <c r="F273" s="32">
        <f>VLOOKUP(A268, Setting!$E:$U, 15, FALSE)</f>
        <v>0</v>
      </c>
      <c r="G273" s="32">
        <f>VLOOKUP(A268, Setting!$E:$U, 11, FALSE)</f>
        <v>0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1.9999999999999997E-2</v>
      </c>
      <c r="H276" s="8">
        <f>SUM(H272:H275)</f>
        <v>4.0799999999999994E-3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61</v>
      </c>
      <c r="I282" s="1" t="s">
        <v>5</v>
      </c>
      <c r="J282" s="1" t="s">
        <v>6</v>
      </c>
      <c r="K282" s="1" t="s">
        <v>62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0</v>
      </c>
      <c r="F283" s="32">
        <f>VLOOKUP(A279, Setting!$E:$U, 14, FALSE)</f>
        <v>0</v>
      </c>
      <c r="G283" s="32">
        <f>VLOOKUP(A279, Setting!$E:$U, 10, FALSE)</f>
        <v>0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245.0980392156863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0</v>
      </c>
      <c r="F284" s="32">
        <f>VLOOKUP(A279, Setting!$E:$U, 15, FALSE)</f>
        <v>0</v>
      </c>
      <c r="G284" s="32">
        <f>VLOOKUP(A279, Setting!$E:$U, 11, FALSE)</f>
        <v>0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1.9999999999999997E-2</v>
      </c>
      <c r="H287" s="8">
        <f>SUM(H283:H286)</f>
        <v>4.0799999999999994E-3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61</v>
      </c>
      <c r="I293" s="1" t="s">
        <v>5</v>
      </c>
      <c r="J293" s="1" t="s">
        <v>6</v>
      </c>
      <c r="K293" s="1" t="s">
        <v>62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0</v>
      </c>
      <c r="F294" s="32">
        <f>VLOOKUP(A290, Setting!$E:$U, 14, FALSE)</f>
        <v>0</v>
      </c>
      <c r="G294" s="32">
        <f>VLOOKUP(A290, Setting!$E:$U, 10, FALSE)</f>
        <v>0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245.0980392156863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0</v>
      </c>
      <c r="F295" s="32">
        <f>VLOOKUP(A290, Setting!$E:$U, 15, FALSE)</f>
        <v>0</v>
      </c>
      <c r="G295" s="32">
        <f>VLOOKUP(A290, Setting!$E:$U, 11, FALSE)</f>
        <v>0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1.9999999999999997E-2</v>
      </c>
      <c r="H298" s="8">
        <f>SUM(H294:H297)</f>
        <v>4.0799999999999994E-3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61</v>
      </c>
      <c r="I304" s="1" t="s">
        <v>5</v>
      </c>
      <c r="J304" s="1" t="s">
        <v>6</v>
      </c>
      <c r="K304" s="1" t="s">
        <v>62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0</v>
      </c>
      <c r="F305" s="32">
        <f>VLOOKUP(A301, Setting!$E:$U, 14, FALSE)</f>
        <v>0</v>
      </c>
      <c r="G305" s="32">
        <f>VLOOKUP(A301, Setting!$E:$U, 10, FALSE)</f>
        <v>0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245.0980392156863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0</v>
      </c>
      <c r="F306" s="32">
        <f>VLOOKUP(A301, Setting!$E:$U, 15, FALSE)</f>
        <v>0</v>
      </c>
      <c r="G306" s="32">
        <f>VLOOKUP(A301, Setting!$E:$U, 11, FALSE)</f>
        <v>0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1.9999999999999997E-2</v>
      </c>
      <c r="H309" s="8">
        <f>SUM(H305:H308)</f>
        <v>4.0799999999999994E-3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61</v>
      </c>
      <c r="I315" s="1" t="s">
        <v>5</v>
      </c>
      <c r="J315" s="1" t="s">
        <v>6</v>
      </c>
      <c r="K315" s="1" t="s">
        <v>62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0</v>
      </c>
      <c r="F316" s="32">
        <f>VLOOKUP(A312, Setting!$E:$U, 14, FALSE)</f>
        <v>0</v>
      </c>
      <c r="G316" s="32">
        <f>VLOOKUP(A312, Setting!$E:$U, 10, FALSE)</f>
        <v>0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245.0980392156863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0</v>
      </c>
      <c r="F317" s="32">
        <f>VLOOKUP(A312, Setting!$E:$U, 15, FALSE)</f>
        <v>0</v>
      </c>
      <c r="G317" s="32">
        <f>VLOOKUP(A312, Setting!$E:$U, 11, FALSE)</f>
        <v>0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1.9999999999999997E-2</v>
      </c>
      <c r="H320" s="8">
        <f>SUM(H316:H319)</f>
        <v>4.0799999999999994E-3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61</v>
      </c>
      <c r="I326" s="1" t="s">
        <v>5</v>
      </c>
      <c r="J326" s="1" t="s">
        <v>6</v>
      </c>
      <c r="K326" s="1" t="s">
        <v>62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0</v>
      </c>
      <c r="F327" s="32">
        <f>VLOOKUP(A323, Setting!$E:$U, 14, FALSE)</f>
        <v>0</v>
      </c>
      <c r="G327" s="32">
        <f>VLOOKUP(A323, Setting!$E:$U, 10, FALSE)</f>
        <v>0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245.0980392156863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0</v>
      </c>
      <c r="F328" s="32">
        <f>VLOOKUP(A323, Setting!$E:$U, 15, FALSE)</f>
        <v>0</v>
      </c>
      <c r="G328" s="32">
        <f>VLOOKUP(A323, Setting!$E:$U, 11, FALSE)</f>
        <v>0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1.9999999999999997E-2</v>
      </c>
      <c r="H331" s="8">
        <f>SUM(H327:H330)</f>
        <v>4.0799999999999994E-3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2026-08-20T08:02:37Z</dcterms:modified>
</cp:coreProperties>
</file>