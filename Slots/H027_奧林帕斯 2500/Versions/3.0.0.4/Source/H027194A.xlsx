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3.0.0.4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>
        <v>676050363</v>
      </c>
      <c r="C4" s="10">
        <v>0</v>
      </c>
      <c r="D4" s="10">
        <v>676050363</v>
      </c>
      <c r="E4" s="10">
        <v>0</v>
      </c>
      <c r="F4" s="10">
        <v>0</v>
      </c>
      <c r="G4" s="10" t="n">
        <v>0</v>
      </c>
    </row>
    <row r="5">
      <c r="A5" s="13" t="inlineStr">
        <is>
          <t>(0, 1]</t>
        </is>
      </c>
      <c r="B5" s="10">
        <v>173598347</v>
      </c>
      <c r="C5" s="10">
        <v>0</v>
      </c>
      <c r="D5" s="10">
        <v>173598347</v>
      </c>
      <c r="E5" s="10">
        <v>0</v>
      </c>
      <c r="F5" s="10">
        <v>0</v>
      </c>
      <c r="G5" s="10" t="n">
        <v>0</v>
      </c>
    </row>
    <row r="6">
      <c r="A6" s="13" t="inlineStr">
        <is>
          <t>(1, 2]</t>
        </is>
      </c>
      <c r="B6" s="10">
        <v>60225774</v>
      </c>
      <c r="C6" s="10">
        <v>0</v>
      </c>
      <c r="D6" s="10">
        <v>60225774</v>
      </c>
      <c r="E6" s="10">
        <v>0</v>
      </c>
      <c r="F6" s="10">
        <v>0</v>
      </c>
      <c r="G6" s="10" t="n">
        <v>0</v>
      </c>
    </row>
    <row r="7">
      <c r="A7" s="13" t="inlineStr">
        <is>
          <t>(2, 3]</t>
        </is>
      </c>
      <c r="B7" s="10">
        <v>26162370</v>
      </c>
      <c r="C7" s="10">
        <v>0</v>
      </c>
      <c r="D7" s="10">
        <v>26162370</v>
      </c>
      <c r="E7" s="10">
        <v>0</v>
      </c>
      <c r="F7" s="10">
        <v>0</v>
      </c>
      <c r="G7" s="10" t="n">
        <v>0</v>
      </c>
    </row>
    <row r="8">
      <c r="A8" s="13" t="inlineStr">
        <is>
          <t>(3, 4]</t>
        </is>
      </c>
      <c r="B8" s="10">
        <v>17944906</v>
      </c>
      <c r="C8" s="10">
        <v>0</v>
      </c>
      <c r="D8" s="10">
        <v>17944906</v>
      </c>
      <c r="E8" s="10">
        <v>0</v>
      </c>
      <c r="F8" s="10">
        <v>0</v>
      </c>
      <c r="G8" s="10" t="n">
        <v>0</v>
      </c>
    </row>
    <row r="9">
      <c r="A9" s="13" t="inlineStr">
        <is>
          <t>(4, 5]</t>
        </is>
      </c>
      <c r="B9" s="10">
        <v>10096690</v>
      </c>
      <c r="C9" s="10">
        <v>0</v>
      </c>
      <c r="D9" s="10">
        <v>10096690</v>
      </c>
      <c r="E9" s="10">
        <v>0</v>
      </c>
      <c r="F9" s="10">
        <v>0</v>
      </c>
      <c r="G9" s="10" t="n">
        <v>0</v>
      </c>
    </row>
    <row r="10">
      <c r="A10" s="13" t="inlineStr">
        <is>
          <t>(5, 6]</t>
        </is>
      </c>
      <c r="B10" s="10">
        <v>4908945</v>
      </c>
      <c r="C10" s="10">
        <v>0</v>
      </c>
      <c r="D10" s="10">
        <v>4908945</v>
      </c>
      <c r="E10" s="10">
        <v>0</v>
      </c>
      <c r="F10" s="10">
        <v>0</v>
      </c>
      <c r="G10" s="10" t="n">
        <v>0</v>
      </c>
    </row>
    <row r="11">
      <c r="A11" s="13" t="inlineStr">
        <is>
          <t>(6, 7]</t>
        </is>
      </c>
      <c r="B11" s="10">
        <v>4380743</v>
      </c>
      <c r="C11" s="10">
        <v>0</v>
      </c>
      <c r="D11" s="10">
        <v>4380743</v>
      </c>
      <c r="E11" s="10">
        <v>0</v>
      </c>
      <c r="F11" s="10">
        <v>0</v>
      </c>
      <c r="G11" s="10" t="n">
        <v>0</v>
      </c>
    </row>
    <row r="12">
      <c r="A12" s="13" t="inlineStr">
        <is>
          <t>(7, 8]</t>
        </is>
      </c>
      <c r="B12" s="10">
        <v>3278096</v>
      </c>
      <c r="C12" s="10">
        <v>0</v>
      </c>
      <c r="D12" s="10">
        <v>3278096</v>
      </c>
      <c r="E12" s="10">
        <v>0</v>
      </c>
      <c r="F12" s="10">
        <v>0</v>
      </c>
      <c r="G12" s="10" t="n">
        <v>0</v>
      </c>
    </row>
    <row r="13">
      <c r="A13" s="13" t="inlineStr">
        <is>
          <t>(8, 9]</t>
        </is>
      </c>
      <c r="B13" s="10">
        <v>2691069</v>
      </c>
      <c r="C13" s="10">
        <v>0</v>
      </c>
      <c r="D13" s="10">
        <v>2691069</v>
      </c>
      <c r="E13" s="10">
        <v>0</v>
      </c>
      <c r="F13" s="10">
        <v>0</v>
      </c>
      <c r="G13" s="10" t="n">
        <v>82640010</v>
      </c>
    </row>
    <row r="14">
      <c r="A14" s="13" t="inlineStr">
        <is>
          <t>(9, 10]</t>
        </is>
      </c>
      <c r="B14" s="10">
        <v>3673493</v>
      </c>
      <c r="C14" s="10">
        <v>0</v>
      </c>
      <c r="D14" s="10">
        <v>3673493</v>
      </c>
      <c r="E14" s="10">
        <v>0</v>
      </c>
      <c r="F14" s="10">
        <v>0</v>
      </c>
      <c r="G14" s="10" t="n">
        <v>0</v>
      </c>
    </row>
    <row r="15">
      <c r="A15" s="13" t="inlineStr">
        <is>
          <t>(10, 15]</t>
        </is>
      </c>
      <c r="B15" s="10">
        <v>11221093</v>
      </c>
      <c r="C15" s="10">
        <v>0</v>
      </c>
      <c r="D15" s="10">
        <v>11221093</v>
      </c>
      <c r="E15" s="10">
        <v>0</v>
      </c>
      <c r="F15" s="10">
        <v>0</v>
      </c>
      <c r="G15" s="10" t="n">
        <v>39166084</v>
      </c>
    </row>
    <row r="16">
      <c r="A16" s="13" t="inlineStr">
        <is>
          <t>(15, 20]</t>
        </is>
      </c>
      <c r="B16" s="10">
        <v>5768111</v>
      </c>
      <c r="C16" s="10">
        <v>0</v>
      </c>
      <c r="D16" s="10">
        <v>5768111</v>
      </c>
      <c r="E16" s="10">
        <v>0</v>
      </c>
      <c r="F16" s="10">
        <v>0</v>
      </c>
      <c r="G16" s="10" t="n">
        <v>66829347</v>
      </c>
    </row>
    <row r="17">
      <c r="A17" s="13" t="inlineStr">
        <is>
          <t>(20, 25]</t>
        </is>
      </c>
      <c r="B17" s="10">
        <v>0</v>
      </c>
      <c r="C17" s="10">
        <v>441953</v>
      </c>
      <c r="D17" s="10">
        <v>0</v>
      </c>
      <c r="E17" s="10">
        <v>2559776</v>
      </c>
      <c r="F17" s="10">
        <v>47867530</v>
      </c>
      <c r="G17" s="10" t="n">
        <v>35215592</v>
      </c>
    </row>
    <row r="18">
      <c r="A18" s="13" t="inlineStr">
        <is>
          <t>(25, 30]</t>
        </is>
      </c>
      <c r="B18" s="10">
        <v>0</v>
      </c>
      <c r="C18" s="10">
        <v>101238330</v>
      </c>
      <c r="D18" s="10">
        <v>0</v>
      </c>
      <c r="E18" s="10">
        <v>118180899</v>
      </c>
      <c r="F18" s="10">
        <v>52954510</v>
      </c>
      <c r="G18" s="10" t="n">
        <v>39180109</v>
      </c>
    </row>
    <row r="19">
      <c r="A19" s="13" t="inlineStr">
        <is>
          <t>(30, 35]</t>
        </is>
      </c>
      <c r="B19" s="10">
        <v>0</v>
      </c>
      <c r="C19" s="10">
        <v>97952574</v>
      </c>
      <c r="D19" s="10">
        <v>0</v>
      </c>
      <c r="E19" s="10">
        <v>112241621</v>
      </c>
      <c r="F19" s="10">
        <v>100173387</v>
      </c>
      <c r="G19" s="10" t="n">
        <v>74753030</v>
      </c>
    </row>
    <row r="20">
      <c r="A20" s="13" t="inlineStr">
        <is>
          <t>(35, 40]</t>
        </is>
      </c>
      <c r="B20" s="10">
        <v>0</v>
      </c>
      <c r="C20" s="10">
        <v>31556333</v>
      </c>
      <c r="D20" s="10">
        <v>0</v>
      </c>
      <c r="E20" s="10">
        <v>35435444</v>
      </c>
      <c r="F20" s="10">
        <v>57740323</v>
      </c>
      <c r="G20" s="10" t="n">
        <v>43139322</v>
      </c>
    </row>
    <row r="21">
      <c r="A21" s="13" t="inlineStr">
        <is>
          <t>(40, 45]</t>
        </is>
      </c>
      <c r="B21" s="10">
        <v>0</v>
      </c>
      <c r="C21" s="10">
        <v>60927043</v>
      </c>
      <c r="D21" s="10">
        <v>0</v>
      </c>
      <c r="E21" s="10">
        <v>66920198</v>
      </c>
      <c r="F21" s="10">
        <v>52259549</v>
      </c>
      <c r="G21" s="10" t="n">
        <v>39194222</v>
      </c>
    </row>
    <row r="22">
      <c r="A22" s="13" t="inlineStr">
        <is>
          <t>(45, 50]</t>
        </is>
      </c>
      <c r="B22" s="10">
        <v>0</v>
      </c>
      <c r="C22" s="10">
        <v>146715556</v>
      </c>
      <c r="D22" s="10">
        <v>0</v>
      </c>
      <c r="E22" s="10">
        <v>150000000</v>
      </c>
      <c r="F22" s="10">
        <v>57230694</v>
      </c>
      <c r="G22" s="10" t="n">
        <v>43148730</v>
      </c>
    </row>
    <row r="23">
      <c r="A23" s="13" t="inlineStr">
        <is>
          <t>(50, 60]</t>
        </is>
      </c>
      <c r="B23" s="10">
        <v>0</v>
      </c>
      <c r="C23" s="10">
        <v>73269669</v>
      </c>
      <c r="D23" s="10">
        <v>0</v>
      </c>
      <c r="E23" s="10">
        <v>77279040</v>
      </c>
      <c r="F23" s="10">
        <v>139546072</v>
      </c>
      <c r="G23" s="10" t="n">
        <v>106392652</v>
      </c>
    </row>
    <row r="24">
      <c r="A24" s="13" t="inlineStr">
        <is>
          <t>(60, 70]</t>
        </is>
      </c>
      <c r="B24" s="10">
        <v>0</v>
      </c>
      <c r="C24" s="10">
        <v>144187862</v>
      </c>
      <c r="D24" s="10">
        <v>0</v>
      </c>
      <c r="E24" s="10">
        <v>145926723</v>
      </c>
      <c r="F24" s="10">
        <v>56342352</v>
      </c>
      <c r="G24" s="10" t="n">
        <v>43165233</v>
      </c>
    </row>
    <row r="25">
      <c r="A25" s="13" t="inlineStr">
        <is>
          <t>(70, 80]</t>
        </is>
      </c>
      <c r="B25" s="10">
        <v>0</v>
      </c>
      <c r="C25" s="10">
        <v>141871060</v>
      </c>
      <c r="D25" s="10">
        <v>0</v>
      </c>
      <c r="E25" s="10">
        <v>137422683</v>
      </c>
      <c r="F25" s="10">
        <v>50756928</v>
      </c>
      <c r="G25" s="10" t="n">
        <v>39224852</v>
      </c>
    </row>
    <row r="26">
      <c r="A26" s="13" t="inlineStr">
        <is>
          <t>(80, 90]</t>
        </is>
      </c>
      <c r="B26" s="10">
        <v>0</v>
      </c>
      <c r="C26" s="10">
        <v>105236770</v>
      </c>
      <c r="D26" s="10">
        <v>0</v>
      </c>
      <c r="E26" s="10">
        <v>82198286</v>
      </c>
      <c r="F26" s="10">
        <v>45264374</v>
      </c>
      <c r="G26" s="10" t="n">
        <v>35274475</v>
      </c>
    </row>
    <row r="27">
      <c r="A27" s="13" t="inlineStr">
        <is>
          <t>(90, 100]</t>
        </is>
      </c>
      <c r="B27" s="10">
        <v>0</v>
      </c>
      <c r="C27" s="10">
        <v>18875336</v>
      </c>
      <c r="D27" s="10">
        <v>0</v>
      </c>
      <c r="E27" s="10">
        <v>12513569</v>
      </c>
      <c r="F27" s="10">
        <v>39864281</v>
      </c>
      <c r="G27" s="10" t="n">
        <v>31334063</v>
      </c>
    </row>
    <row r="28">
      <c r="A28" s="13" t="inlineStr">
        <is>
          <t>(100, 120]</t>
        </is>
      </c>
      <c r="B28" s="10">
        <v>0</v>
      </c>
      <c r="C28" s="10">
        <v>77727514</v>
      </c>
      <c r="D28" s="10">
        <v>0</v>
      </c>
      <c r="E28" s="10">
        <v>32473155</v>
      </c>
      <c r="F28" s="10">
        <v>53755458</v>
      </c>
      <c r="G28" s="10" t="n">
        <v>43207567</v>
      </c>
    </row>
    <row r="29">
      <c r="A29" s="13" t="inlineStr">
        <is>
          <t>(120, 140]</t>
        </is>
      </c>
      <c r="B29" s="10">
        <v>0</v>
      </c>
      <c r="C29" s="10">
        <v>0</v>
      </c>
      <c r="D29" s="10">
        <v>0</v>
      </c>
      <c r="E29" s="10">
        <v>0</v>
      </c>
      <c r="F29" s="10">
        <v>76706833</v>
      </c>
      <c r="G29" s="10" t="n">
        <v>62985397</v>
      </c>
    </row>
    <row r="30">
      <c r="A30" s="13" t="inlineStr">
        <is>
          <t>(140, 160]</t>
        </is>
      </c>
      <c r="B30" s="10">
        <v>0</v>
      </c>
      <c r="C30" s="10">
        <v>0</v>
      </c>
      <c r="D30" s="10">
        <v>0</v>
      </c>
      <c r="E30" s="10">
        <v>0</v>
      </c>
      <c r="F30" s="10">
        <v>30775419</v>
      </c>
      <c r="G30" s="10" t="n">
        <v>27436018</v>
      </c>
    </row>
    <row r="31">
      <c r="A31" s="13" t="inlineStr">
        <is>
          <t>(160, 180]</t>
        </is>
      </c>
      <c r="B31" s="10">
        <v>0</v>
      </c>
      <c r="C31" s="10">
        <v>0</v>
      </c>
      <c r="D31" s="10">
        <v>0</v>
      </c>
      <c r="E31" s="10">
        <v>0</v>
      </c>
      <c r="F31" s="10">
        <v>23993011</v>
      </c>
      <c r="G31" s="10" t="n">
        <v>23505019</v>
      </c>
    </row>
    <row r="32">
      <c r="A32" s="13" t="inlineStr">
        <is>
          <t>(180, 200]</t>
        </is>
      </c>
      <c r="B32" s="10">
        <v>0</v>
      </c>
      <c r="C32" s="10">
        <v>0</v>
      </c>
      <c r="D32" s="10">
        <v>0</v>
      </c>
      <c r="E32" s="10">
        <v>0</v>
      </c>
      <c r="F32" s="10">
        <v>23437046</v>
      </c>
      <c r="G32" s="10" t="n">
        <v>23523917</v>
      </c>
    </row>
    <row r="33">
      <c r="A33" s="13" t="inlineStr">
        <is>
          <t>(200, 250]</t>
        </is>
      </c>
      <c r="B33" s="10">
        <v>0</v>
      </c>
      <c r="C33" s="10">
        <v>0</v>
      </c>
      <c r="D33" s="10">
        <v>0</v>
      </c>
      <c r="E33" s="10">
        <v>26848606</v>
      </c>
      <c r="F33" s="10">
        <v>41248947</v>
      </c>
      <c r="G33" s="10" t="n">
        <v>43314870</v>
      </c>
    </row>
    <row r="34">
      <c r="A34" s="13" t="inlineStr">
        <is>
          <t>(250, 300]</t>
        </is>
      </c>
      <c r="B34" s="10">
        <v>0</v>
      </c>
      <c r="C34" s="10">
        <v>0</v>
      </c>
      <c r="D34" s="10">
        <v>0</v>
      </c>
      <c r="E34" s="10">
        <v>0</v>
      </c>
      <c r="F34" s="10">
        <v>10553286</v>
      </c>
      <c r="G34" s="10" t="n">
        <v>11743534</v>
      </c>
    </row>
    <row r="35">
      <c r="A35" s="13" t="inlineStr">
        <is>
          <t>(300, 350]</t>
        </is>
      </c>
      <c r="B35" s="10">
        <v>0</v>
      </c>
      <c r="C35" s="10">
        <v>0</v>
      </c>
      <c r="D35" s="10">
        <v>0</v>
      </c>
      <c r="E35" s="10">
        <v>0</v>
      </c>
      <c r="F35" s="10">
        <v>4509662</v>
      </c>
      <c r="G35" s="10" t="n">
        <v>3881165</v>
      </c>
    </row>
    <row r="36">
      <c r="A36" s="13" t="inlineStr">
        <is>
          <t>(350, 400]</t>
        </is>
      </c>
      <c r="B36" s="10">
        <v>0</v>
      </c>
      <c r="C36" s="10">
        <v>0</v>
      </c>
      <c r="D36" s="10">
        <v>0</v>
      </c>
      <c r="E36" s="10">
        <v>0</v>
      </c>
      <c r="F36" s="10">
        <v>8555506</v>
      </c>
      <c r="G36" s="10" t="n">
        <v>7888147</v>
      </c>
    </row>
    <row r="37">
      <c r="A37" s="13" t="inlineStr">
        <is>
          <t>(400, 450]</t>
        </is>
      </c>
      <c r="B37" s="10">
        <v>0</v>
      </c>
      <c r="C37" s="10">
        <v>0</v>
      </c>
      <c r="D37" s="10">
        <v>0</v>
      </c>
      <c r="E37" s="10">
        <v>0</v>
      </c>
      <c r="F37" s="10">
        <v>12137132</v>
      </c>
      <c r="G37" s="10" t="n">
        <v>11885219</v>
      </c>
    </row>
    <row r="38">
      <c r="A38" s="13" t="inlineStr">
        <is>
          <t>(450, 500]</t>
        </is>
      </c>
      <c r="B38" s="10">
        <v>0</v>
      </c>
      <c r="C38" s="10">
        <v>0</v>
      </c>
      <c r="D38" s="10">
        <v>0</v>
      </c>
      <c r="E38" s="10">
        <v>0</v>
      </c>
      <c r="F38" s="10">
        <v>7627795</v>
      </c>
      <c r="G38" s="10" t="n">
        <v>7982442</v>
      </c>
    </row>
    <row r="39">
      <c r="A39" s="13" t="inlineStr">
        <is>
          <t>(500, 550]</t>
        </is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 t="n">
        <v>120020</v>
      </c>
    </row>
    <row r="40">
      <c r="A40" s="13" t="inlineStr">
        <is>
          <t>(550, 600]</t>
        </is>
      </c>
      <c r="B40" s="10">
        <v>0</v>
      </c>
      <c r="C40" s="10">
        <v>0</v>
      </c>
      <c r="D40" s="10">
        <v>0</v>
      </c>
      <c r="E40" s="10">
        <v>0</v>
      </c>
      <c r="F40" s="10">
        <v>6699905</v>
      </c>
      <c r="G40" s="10" t="n">
        <v>8076939</v>
      </c>
    </row>
    <row r="41">
      <c r="A41" s="13" t="inlineStr">
        <is>
          <t>(600, 650]</t>
        </is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 t="n">
        <v>214573</v>
      </c>
    </row>
    <row r="42">
      <c r="A42" s="13" t="inlineStr">
        <is>
          <t>(650, 700]</t>
        </is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 t="n">
        <v>261592</v>
      </c>
    </row>
    <row r="43">
      <c r="A43" s="13" t="inlineStr">
        <is>
          <t>(700, 750]</t>
        </is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 t="n">
        <v>308790</v>
      </c>
    </row>
    <row r="44">
      <c r="A44" s="13" t="inlineStr">
        <is>
          <t>(750, 800]</t>
        </is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 t="n">
        <v>356230</v>
      </c>
    </row>
    <row r="45">
      <c r="A45" s="13" t="inlineStr">
        <is>
          <t>(800, 850]</t>
        </is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 t="n">
        <v>403378</v>
      </c>
    </row>
    <row r="46">
      <c r="A46" s="13" t="inlineStr">
        <is>
          <t>(850, 900]</t>
        </is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 t="n">
        <v>450666</v>
      </c>
    </row>
    <row r="47">
      <c r="A47" s="13" t="inlineStr">
        <is>
          <t>(900, 950]</t>
        </is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 t="n">
        <v>497440</v>
      </c>
    </row>
    <row r="48">
      <c r="A48" s="13" t="inlineStr">
        <is>
          <t>(950, 1000]</t>
        </is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 t="n">
        <v>544310</v>
      </c>
    </row>
    <row r="49">
      <c r="A49" s="13" t="inlineStr">
        <is>
          <t>(1000, 2000]</t>
        </is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 t="n">
        <v>845257</v>
      </c>
    </row>
    <row r="50">
      <c r="A50" s="13" t="inlineStr">
        <is>
          <t>(2000, 3000]</t>
        </is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 t="n">
        <v>1909789</v>
      </c>
    </row>
    <row r="51">
      <c r="A51" s="13" t="inlineStr">
        <is>
          <t>(3000, 4000]</t>
        </is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 t="n">
        <v>0</v>
      </c>
    </row>
    <row r="52">
      <c r="A52" s="13" t="inlineStr">
        <is>
          <t>(4000, 5000]</t>
        </is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 t="n">
        <v>0</v>
      </c>
    </row>
    <row r="53">
      <c r="A53" s="13" t="inlineStr">
        <is>
          <t>(5000, 6000]</t>
        </is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 t="n">
        <v>0</v>
      </c>
    </row>
    <row r="54">
      <c r="A54" s="13" t="inlineStr">
        <is>
          <t>(6000, 7000]</t>
        </is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 t="n">
        <v>0</v>
      </c>
    </row>
    <row r="55">
      <c r="A55" s="13" t="inlineStr">
        <is>
          <t>(7000, 8000]</t>
        </is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 t="n">
        <v>0</v>
      </c>
    </row>
    <row r="56">
      <c r="A56" s="13" t="inlineStr">
        <is>
          <t>(8000, 9000]</t>
        </is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 t="n">
        <v>0</v>
      </c>
    </row>
    <row r="57">
      <c r="A57" s="13" t="inlineStr">
        <is>
          <t>(9000, 10000]</t>
        </is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 t="n">
        <v>0</v>
      </c>
    </row>
    <row r="58">
      <c r="A58" s="13" t="inlineStr">
        <is>
          <t>(10000, 20000]</t>
        </is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 t="n">
        <v>0</v>
      </c>
    </row>
    <row r="59">
      <c r="A59" s="13" t="inlineStr">
        <is>
          <t>(20000, 30000]</t>
        </is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 t="n">
        <v>0</v>
      </c>
    </row>
    <row r="60">
      <c r="A60" s="13" t="inlineStr">
        <is>
          <t>(30000, 40000]</t>
        </is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 t="n">
        <v>0</v>
      </c>
    </row>
    <row r="61">
      <c r="A61" s="13" t="inlineStr">
        <is>
          <t>(40000, 50000]</t>
        </is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 t="n">
        <v>0</v>
      </c>
    </row>
    <row r="62">
      <c r="A62" s="13" t="inlineStr">
        <is>
          <t>(50000, 60000]</t>
        </is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 t="n">
        <v>0</v>
      </c>
    </row>
    <row r="63">
      <c r="A63" s="13" t="inlineStr">
        <is>
          <t>(60000, 70000]</t>
        </is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 t="n">
        <v>0</v>
      </c>
    </row>
    <row r="64">
      <c r="A64" s="13" t="inlineStr">
        <is>
          <t>(70000, 80000]</t>
        </is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 t="n">
        <v>0</v>
      </c>
    </row>
    <row r="65">
      <c r="A65" s="13" t="inlineStr">
        <is>
          <t>(80000, 90000]</t>
        </is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 t="n">
        <v>0</v>
      </c>
    </row>
    <row r="66">
      <c r="A66" s="13" t="inlineStr">
        <is>
          <t>(90000, 100000]</t>
        </is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 t="n">
        <v>0</v>
      </c>
    </row>
    <row r="67">
      <c r="A67" s="13" t="inlineStr">
        <is>
          <t>(100000, 9999999]</t>
        </is>
      </c>
      <c r="B67" s="10">
        <v>0</v>
      </c>
      <c r="C67" s="25">
        <v>0</v>
      </c>
      <c r="D67" s="24">
        <v>0</v>
      </c>
      <c r="E67" s="25">
        <v>0</v>
      </c>
      <c r="F67" s="11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0.199999999738222</v>
      </c>
      <c r="E7" s="119">
        <f>SUM(C7:D7)</f>
        <v>0.940000000730431</v>
      </c>
      <c r="F7" s="30">
        <v>0.00333333372535556</v>
      </c>
      <c r="G7" s="31">
        <f>1/F7</f>
        <v>299.999964718004</v>
      </c>
      <c r="H7" s="32">
        <f>D7*G7</f>
        <v>59.9999928650676</v>
      </c>
      <c r="I7" s="120">
        <f>IFERROR(LOOKUP(2,1/(K15:K78&lt;&gt;0),P15:P78),0)</f>
        <v>20</v>
      </c>
      <c r="J7" s="120">
        <f>IFERROR(LOOKUP(2,1/(K86:K149&lt;&gt;0),P86:P149),0)</f>
        <v>250</v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>
        <v>0</v>
      </c>
      <c r="D8" s="118">
        <f>SUM(M163:M226)/B8</f>
        <v>0.940000000360977</v>
      </c>
      <c r="E8" s="119">
        <f>SUM(C8:D8)</f>
        <v>0.940000000360977</v>
      </c>
      <c r="F8" s="33">
        <f>D156</f>
        <v>1</v>
      </c>
      <c r="G8" s="31">
        <f>1/F8</f>
        <v>1</v>
      </c>
      <c r="H8" s="32">
        <f>D8*G8*B8</f>
        <v>94.0000000360977</v>
      </c>
      <c r="I8" s="121" t="n"/>
      <c r="J8" s="121">
        <f>IFERROR(LOOKUP(2,1/(K163:K226&lt;&gt;0),P163:P226),0)</f>
        <v>600</v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0.0685382345441354</v>
      </c>
      <c r="I99" s="99">
        <f>IFERROR(B99/$B$84,0)</f>
        <v>0.002559776</v>
      </c>
      <c r="J99" s="99">
        <f>IFERROR(K99/$B$2,0)</f>
        <v>0.002559776</v>
      </c>
      <c r="K99" s="128">
        <v>2559776</v>
      </c>
      <c r="L99" s="99">
        <f>IFERROR(K99/$B$2,0)</f>
        <v>0.002559776</v>
      </c>
      <c r="M99" s="99">
        <f>IFERROR(L99*E99,0)</f>
        <v>0.0573942327042322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3.47066266121618</v>
      </c>
      <c r="I100" s="99">
        <f>IFERROR(B100/$B$84,0)</f>
        <v>0.118180899</v>
      </c>
      <c r="J100" s="99">
        <f>IFERROR(K100/$B$2,0)</f>
        <v>0.118180899</v>
      </c>
      <c r="K100" s="128">
        <v>118180899</v>
      </c>
      <c r="L100" s="99">
        <f>IFERROR(K100/$B$2,0)</f>
        <v>0.118180899</v>
      </c>
      <c r="M100" s="99">
        <f>IFERROR(L100*E100,0)</f>
        <v>3.25865020361359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3.62827184496788</v>
      </c>
      <c r="I101" s="99">
        <f>IFERROR(B101/$B$84,0)</f>
        <v>0.112241621</v>
      </c>
      <c r="J101" s="99">
        <f>IFERROR(K101/$B$2,0)</f>
        <v>0.112241621</v>
      </c>
      <c r="K101" s="128">
        <v>112241621</v>
      </c>
      <c r="L101" s="99">
        <f>IFERROR(K101/$B$2,0)</f>
        <v>0.112241621</v>
      </c>
      <c r="M101" s="99">
        <f>IFERROR(L101*E101,0)</f>
        <v>3.65090860400606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1.11297451984681</v>
      </c>
      <c r="I102" s="99">
        <f>IFERROR(B102/$B$84,0)</f>
        <v>0.035435444</v>
      </c>
      <c r="J102" s="99">
        <f>IFERROR(K102/$B$2,0)</f>
        <v>0.035435444</v>
      </c>
      <c r="K102" s="128">
        <v>35435444</v>
      </c>
      <c r="L102" s="99">
        <f>IFERROR(K102/$B$2,0)</f>
        <v>0.035435444</v>
      </c>
      <c r="M102" s="99">
        <f>IFERROR(L102*E102,0)</f>
        <v>1.32804002025418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2.36711492701917</v>
      </c>
      <c r="I103" s="99">
        <f>IFERROR(B103/$B$84,0)</f>
        <v>0.066920198</v>
      </c>
      <c r="J103" s="99">
        <f>IFERROR(K103/$B$2,0)</f>
        <v>0.066920198</v>
      </c>
      <c r="K103" s="128">
        <v>66920198</v>
      </c>
      <c r="L103" s="99">
        <f>IFERROR(K103/$B$2,0)</f>
        <v>0.066920198</v>
      </c>
      <c r="M103" s="99">
        <f>IFERROR(L103*E103,0)</f>
        <v>2.83879007658067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5.87867256637168</v>
      </c>
      <c r="I104" s="99">
        <f>IFERROR(B104/$B$84,0)</f>
        <v>0.15</v>
      </c>
      <c r="J104" s="99">
        <f>IFERROR(K104/$B$2,0)</f>
        <v>0.15</v>
      </c>
      <c r="K104" s="128">
        <v>150000000</v>
      </c>
      <c r="L104" s="99">
        <f>IFERROR(K104/$B$2,0)</f>
        <v>0.15</v>
      </c>
      <c r="M104" s="99">
        <f>IFERROR(L104*E104,0)</f>
        <v>7.12322123893805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1.51432724134513</v>
      </c>
      <c r="I105" s="99">
        <f>IFERROR(B105/$B$84,0)</f>
        <v>0.07727904</v>
      </c>
      <c r="J105" s="99">
        <f>IFERROR(K105/$B$2,0)</f>
        <v>0.07727904</v>
      </c>
      <c r="K105" s="128">
        <v>77279040</v>
      </c>
      <c r="L105" s="99">
        <f>IFERROR(K105/$B$2,0)</f>
        <v>0.07727904</v>
      </c>
      <c r="M105" s="99">
        <f>IFERROR(L105*E105,0)</f>
        <v>4.24051976809911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3.18978818103554</v>
      </c>
      <c r="I106" s="99">
        <f>IFERROR(B106/$B$84,0)</f>
        <v>0.145926723</v>
      </c>
      <c r="J106" s="99">
        <f>IFERROR(K106/$B$2,0)</f>
        <v>0.145926723</v>
      </c>
      <c r="K106" s="128">
        <v>145926723</v>
      </c>
      <c r="L106" s="99">
        <f>IFERROR(K106/$B$2,0)</f>
        <v>0.145926723</v>
      </c>
      <c r="M106" s="99">
        <f>IFERROR(L106*E106,0)</f>
        <v>9.47498755142503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3.36982333296678</v>
      </c>
      <c r="I107" s="99">
        <f>IFERROR(B107/$B$84,0)</f>
        <v>0.137422683</v>
      </c>
      <c r="J107" s="99">
        <f>IFERROR(K107/$B$2,0)</f>
        <v>0.137422683</v>
      </c>
      <c r="K107" s="128">
        <v>137422683</v>
      </c>
      <c r="L107" s="99">
        <f>IFERROR(K107/$B$2,0)</f>
        <v>0.137422683</v>
      </c>
      <c r="M107" s="99">
        <f>IFERROR(L107*E107,0)</f>
        <v>10.2844898843756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2.34249246705019</v>
      </c>
      <c r="I108" s="99">
        <f>IFERROR(B108/$B$84,0)</f>
        <v>0.082198286</v>
      </c>
      <c r="J108" s="99">
        <f>IFERROR(K108/$B$2,0)</f>
        <v>0.082198286</v>
      </c>
      <c r="K108" s="128">
        <v>82198286</v>
      </c>
      <c r="L108" s="99">
        <f>IFERROR(K108/$B$2,0)</f>
        <v>0.082198286</v>
      </c>
      <c r="M108" s="99">
        <f>IFERROR(L108*E108,0)</f>
        <v>6.98765830867902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0.369943869648865</v>
      </c>
      <c r="I109" s="51">
        <f>IFERROR(B109/$B$84,0)</f>
        <v>0.012513569</v>
      </c>
      <c r="J109" s="51">
        <f>IFERROR(K109/$B$2,0)</f>
        <v>0.012513569</v>
      </c>
      <c r="K109" s="128">
        <v>12513569</v>
      </c>
      <c r="L109" s="99">
        <f>IFERROR(K109/$B$2,0)</f>
        <v>0.012513569</v>
      </c>
      <c r="M109" s="99">
        <f>IFERROR(L109*E109,0)</f>
        <v>1.18670902917824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0.578481955884956</v>
      </c>
      <c r="I110" s="51">
        <f>IFERROR(B110/$B$84,0)</f>
        <v>0.032473155</v>
      </c>
      <c r="J110" s="51">
        <f>IFERROR(K110/$B$2,0)</f>
        <v>0.032473155</v>
      </c>
      <c r="K110" s="128">
        <v>32473155</v>
      </c>
      <c r="L110" s="99">
        <f>IFERROR(K110/$B$2,0)</f>
        <v>0.032473155</v>
      </c>
      <c r="M110" s="99">
        <f>IFERROR(L110*E110,0)</f>
        <v>3.56862469818584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0.444326369699552</v>
      </c>
      <c r="I115" s="51">
        <f>IFERROR(B115/$B$84,0)</f>
        <v>0.026848606</v>
      </c>
      <c r="J115" s="51">
        <f>IFERROR(K115/$B$2,0)</f>
        <v>0.026848606</v>
      </c>
      <c r="K115" s="128">
        <v>26848606</v>
      </c>
      <c r="L115" s="99">
        <f>IFERROR(K115/$B$2,0)</f>
        <v>0.026848606</v>
      </c>
      <c r="M115" s="99">
        <f>IFERROR(L115*E115,0)</f>
        <v>5.99999924902795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59.9999928650676</v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>
        <v>100000000</v>
      </c>
      <c r="C156" s="130">
        <v>0</v>
      </c>
      <c r="D156" s="52">
        <v>1</v>
      </c>
      <c r="E156" s="131">
        <f>C156/B156/B3</f>
        <v>0</v>
      </c>
      <c r="F156" s="132" t="n"/>
      <c r="G156" s="13" t="inlineStr">
        <is>
          <t>Buy Feature</t>
        </is>
      </c>
      <c r="H156" s="127" t="n">
        <v>1</v>
      </c>
      <c r="I156" s="99">
        <f>D156*H156</f>
        <v>1</v>
      </c>
      <c r="J156" s="52">
        <f>I156/SUM(I156)</f>
        <v>1</v>
      </c>
      <c r="K156" s="128">
        <f>INT(J156*$B$2)</f>
        <v>1000000000</v>
      </c>
      <c r="L156" s="99">
        <f>IFERROR(K156/SUM(K156),0)</f>
        <v>1</v>
      </c>
      <c r="M156" s="99">
        <f>L156*E156</f>
        <v>0</v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>
        <v>0</v>
      </c>
      <c r="C163" s="136">
        <v>0</v>
      </c>
      <c r="D163" s="99">
        <f>IFERROR(B163/$B$161,0)</f>
        <v>0</v>
      </c>
      <c r="E163" s="126">
        <f>IFERROR(C163/B163/500.0,0)</f>
        <v>0</v>
      </c>
      <c r="G163" s="13" t="inlineStr">
        <is>
          <t>(-1, 0]</t>
        </is>
      </c>
      <c r="H163" s="127">
        <v>0</v>
      </c>
      <c r="I163" s="99">
        <f>IFERROR(B163/$B$161,0)</f>
        <v>0</v>
      </c>
      <c r="J163" s="99">
        <f>IFERROR(K163/$B$2,0)</f>
        <v>0</v>
      </c>
      <c r="K163" s="128">
        <v>0</v>
      </c>
      <c r="L163" s="99">
        <f>IFERROR(K163/$B$2,0)</f>
        <v>0</v>
      </c>
      <c r="M163" s="99">
        <f>IFERROR(L163*E163,0)</f>
        <v>0</v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>
        <v>0</v>
      </c>
      <c r="C164" s="137">
        <v>0</v>
      </c>
      <c r="D164" s="99">
        <f>IFERROR(B164/$B$161,0)</f>
        <v>0</v>
      </c>
      <c r="E164" s="131">
        <f>IFERROR(C164/B164/500.0,0)</f>
        <v>0</v>
      </c>
      <c r="G164" s="13" t="inlineStr">
        <is>
          <t>(0, 1]</t>
        </is>
      </c>
      <c r="H164" s="127">
        <v>0</v>
      </c>
      <c r="I164" s="99">
        <f>IFERROR(B164/$B$161,0)</f>
        <v>0</v>
      </c>
      <c r="J164" s="99">
        <f>IFERROR(K164/$B$2,0)</f>
        <v>0</v>
      </c>
      <c r="K164" s="128">
        <v>0</v>
      </c>
      <c r="L164" s="99">
        <f>IFERROR(K164/$B$2,0)</f>
        <v>0</v>
      </c>
      <c r="M164" s="99">
        <f>IFERROR(L164*E164,0)</f>
        <v>0</v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>
        <v>1</v>
      </c>
      <c r="C165" s="137">
        <v>950</v>
      </c>
      <c r="D165" s="99">
        <f>IFERROR(B165/$B$161,0)</f>
        <v>1e-08</v>
      </c>
      <c r="E165" s="131">
        <f>IFERROR(C165/B165/500.0,0)</f>
        <v>1.9</v>
      </c>
      <c r="F165" s="50" t="n"/>
      <c r="G165" s="13" t="inlineStr">
        <is>
          <t>(1, 2]</t>
        </is>
      </c>
      <c r="H165" s="127">
        <v>0</v>
      </c>
      <c r="I165" s="99">
        <f>IFERROR(B165/$B$161,0)</f>
        <v>0</v>
      </c>
      <c r="J165" s="99">
        <f>IFERROR(K165/$B$2,0)</f>
        <v>0</v>
      </c>
      <c r="K165" s="128">
        <v>0</v>
      </c>
      <c r="L165" s="99">
        <f>IFERROR(K165/$B$2,0)</f>
        <v>0</v>
      </c>
      <c r="M165" s="99">
        <f>IFERROR(L165*E165,0)</f>
        <v>0</v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>
        <v>15063</v>
      </c>
      <c r="C166" s="137">
        <v>22594000</v>
      </c>
      <c r="D166" s="99">
        <f>IFERROR(B166/$B$161,0)</f>
        <v>0.00015063</v>
      </c>
      <c r="E166" s="131">
        <f>IFERROR(C166/B166/500.0,0)</f>
        <v>2.99993361216225</v>
      </c>
      <c r="F166" s="129" t="n"/>
      <c r="G166" s="13" t="inlineStr">
        <is>
          <t>(2, 3]</t>
        </is>
      </c>
      <c r="H166" s="127">
        <v>0</v>
      </c>
      <c r="I166" s="99">
        <f>IFERROR(B166/$B$161,0)</f>
        <v>0</v>
      </c>
      <c r="J166" s="99">
        <f>IFERROR(K166/$B$2,0)</f>
        <v>0</v>
      </c>
      <c r="K166" s="128">
        <v>0</v>
      </c>
      <c r="L166" s="99">
        <f>IFERROR(K166/$B$2,0)</f>
        <v>0</v>
      </c>
      <c r="M166" s="99">
        <f>IFERROR(L166*E166,0)</f>
        <v>0</v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>
        <v>91536</v>
      </c>
      <c r="C167" s="137">
        <v>169451525</v>
      </c>
      <c r="D167" s="99">
        <f>IFERROR(B167/$B$161,0)</f>
        <v>0.00091536</v>
      </c>
      <c r="E167" s="131">
        <f>IFERROR(C167/B167/500.0,0)</f>
        <v>3.70240178727495</v>
      </c>
      <c r="F167" s="129" t="n"/>
      <c r="G167" s="13" t="inlineStr">
        <is>
          <t>(3, 4]</t>
        </is>
      </c>
      <c r="H167" s="127">
        <v>0</v>
      </c>
      <c r="I167" s="99">
        <f>IFERROR(B167/$B$161,0)</f>
        <v>0</v>
      </c>
      <c r="J167" s="99">
        <f>IFERROR(K167/$B$2,0)</f>
        <v>0</v>
      </c>
      <c r="K167" s="128">
        <v>0</v>
      </c>
      <c r="L167" s="99">
        <f>IFERROR(K167/$B$2,0)</f>
        <v>0</v>
      </c>
      <c r="M167" s="99">
        <f>IFERROR(L167*E167,0)</f>
        <v>0</v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>
        <v>223256</v>
      </c>
      <c r="C168" s="137">
        <v>513368875</v>
      </c>
      <c r="D168" s="99">
        <f>IFERROR(B168/$B$161,0)</f>
        <v>0.00223256</v>
      </c>
      <c r="E168" s="131">
        <f>IFERROR(C168/B168/500.0,0)</f>
        <v>4.59892567277027</v>
      </c>
      <c r="F168" s="129" t="n"/>
      <c r="G168" s="13" t="inlineStr">
        <is>
          <t>(4, 5]</t>
        </is>
      </c>
      <c r="H168" s="127">
        <v>0</v>
      </c>
      <c r="I168" s="99">
        <f>IFERROR(B168/$B$161,0)</f>
        <v>0</v>
      </c>
      <c r="J168" s="99">
        <f>IFERROR(K168/$B$2,0)</f>
        <v>0</v>
      </c>
      <c r="K168" s="128">
        <v>0</v>
      </c>
      <c r="L168" s="99">
        <f>IFERROR(K168/$B$2,0)</f>
        <v>0</v>
      </c>
      <c r="M168" s="99">
        <f>IFERROR(L168*E168,0)</f>
        <v>0</v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>
        <v>370619</v>
      </c>
      <c r="C169" s="137">
        <v>1031066750</v>
      </c>
      <c r="D169" s="99">
        <f>IFERROR(B169/$B$161,0)</f>
        <v>0.00370619</v>
      </c>
      <c r="E169" s="131">
        <f>IFERROR(C169/B169/500.0,0)</f>
        <v>5.56402531980282</v>
      </c>
      <c r="F169" s="129" t="n"/>
      <c r="G169" s="13" t="inlineStr">
        <is>
          <t>(5, 6]</t>
        </is>
      </c>
      <c r="H169" s="127">
        <v>0</v>
      </c>
      <c r="I169" s="99">
        <f>IFERROR(B169/$B$161,0)</f>
        <v>0</v>
      </c>
      <c r="J169" s="99">
        <f>IFERROR(K169/$B$2,0)</f>
        <v>0</v>
      </c>
      <c r="K169" s="128">
        <v>0</v>
      </c>
      <c r="L169" s="99">
        <f>IFERROR(K169/$B$2,0)</f>
        <v>0</v>
      </c>
      <c r="M169" s="99">
        <f>IFERROR(L169*E169,0)</f>
        <v>0</v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>
        <v>504428</v>
      </c>
      <c r="C170" s="137">
        <v>1651485850</v>
      </c>
      <c r="D170" s="99">
        <f>IFERROR(B170/$B$161,0)</f>
        <v>0.00504428</v>
      </c>
      <c r="E170" s="131">
        <f>IFERROR(C170/B170/500.0,0)</f>
        <v>6.54795471306113</v>
      </c>
      <c r="F170" s="129" t="n"/>
      <c r="G170" s="13" t="inlineStr">
        <is>
          <t>(6, 7]</t>
        </is>
      </c>
      <c r="H170" s="127">
        <v>0</v>
      </c>
      <c r="I170" s="99">
        <f>IFERROR(B170/$B$161,0)</f>
        <v>0</v>
      </c>
      <c r="J170" s="99">
        <f>IFERROR(K170/$B$2,0)</f>
        <v>0</v>
      </c>
      <c r="K170" s="128">
        <v>0</v>
      </c>
      <c r="L170" s="99">
        <f>IFERROR(K170/$B$2,0)</f>
        <v>0</v>
      </c>
      <c r="M170" s="99">
        <f>IFERROR(L170*E170,0)</f>
        <v>0</v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>
        <v>613690</v>
      </c>
      <c r="C171" s="137">
        <v>2313641425</v>
      </c>
      <c r="D171" s="99">
        <f>IFERROR(B171/$B$161,0)</f>
        <v>0.0061369</v>
      </c>
      <c r="E171" s="131">
        <f>IFERROR(C171/B171/500.0,0)</f>
        <v>7.54009817660382</v>
      </c>
      <c r="F171" s="129" t="n"/>
      <c r="G171" s="13" t="inlineStr">
        <is>
          <t>(7, 8]</t>
        </is>
      </c>
      <c r="H171" s="127">
        <v>0</v>
      </c>
      <c r="I171" s="99">
        <f>IFERROR(B171/$B$161,0)</f>
        <v>0</v>
      </c>
      <c r="J171" s="99">
        <f>IFERROR(K171/$B$2,0)</f>
        <v>0</v>
      </c>
      <c r="K171" s="128">
        <v>0</v>
      </c>
      <c r="L171" s="99">
        <f>IFERROR(K171/$B$2,0)</f>
        <v>0</v>
      </c>
      <c r="M171" s="99">
        <f>IFERROR(L171*E171,0)</f>
        <v>0</v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>
        <v>698850</v>
      </c>
      <c r="C172" s="137">
        <v>2982664600</v>
      </c>
      <c r="D172" s="99">
        <f>IFERROR(B172/$B$161,0)</f>
        <v>0.0069885</v>
      </c>
      <c r="E172" s="131">
        <f>IFERROR(C172/B172/500.0,0)</f>
        <v>8.53592215783072</v>
      </c>
      <c r="F172" s="129" t="n"/>
      <c r="G172" s="13" t="inlineStr">
        <is>
          <t>(8, 9]</t>
        </is>
      </c>
      <c r="H172" s="127">
        <v>0</v>
      </c>
      <c r="I172" s="99">
        <f>IFERROR(B172/$B$161,0)</f>
        <v>0</v>
      </c>
      <c r="J172" s="99">
        <f>IFERROR(K172/$B$2,0)</f>
        <v>0</v>
      </c>
      <c r="K172" s="128">
        <v>0</v>
      </c>
      <c r="L172" s="99">
        <f>IFERROR(K172/$B$2,0)</f>
        <v>0</v>
      </c>
      <c r="M172" s="99">
        <f>IFERROR(L172*E172,0)</f>
        <v>0</v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>
        <v>762827</v>
      </c>
      <c r="C173" s="137">
        <v>3635592975</v>
      </c>
      <c r="D173" s="99">
        <f>IFERROR(B173/$B$161,0)</f>
        <v>0.00762827</v>
      </c>
      <c r="E173" s="131">
        <f>IFERROR(C173/B173/500.0,0)</f>
        <v>9.53189379767628</v>
      </c>
      <c r="F173" s="129" t="n"/>
      <c r="G173" s="13" t="inlineStr">
        <is>
          <t>(9, 10]</t>
        </is>
      </c>
      <c r="H173" s="127">
        <v>0</v>
      </c>
      <c r="I173" s="99">
        <f>IFERROR(B173/$B$161,0)</f>
        <v>0</v>
      </c>
      <c r="J173" s="99">
        <f>IFERROR(K173/$B$2,0)</f>
        <v>0</v>
      </c>
      <c r="K173" s="128">
        <v>0</v>
      </c>
      <c r="L173" s="99">
        <f>IFERROR(K173/$B$2,0)</f>
        <v>0</v>
      </c>
      <c r="M173" s="99">
        <f>IFERROR(L173*E173,0)</f>
        <v>0</v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>
        <v>4182387</v>
      </c>
      <c r="C174" s="137">
        <v>26250689600</v>
      </c>
      <c r="D174" s="99">
        <f>IFERROR(B174/$B$161,0)</f>
        <v>0.04182387</v>
      </c>
      <c r="E174" s="131">
        <f>IFERROR(C174/B174/500.0,0)</f>
        <v>12.5529701579505</v>
      </c>
      <c r="F174" s="129" t="n"/>
      <c r="G174" s="13" t="inlineStr">
        <is>
          <t>(10, 15]</t>
        </is>
      </c>
      <c r="H174" s="127">
        <v>0</v>
      </c>
      <c r="I174" s="99">
        <f>IFERROR(B174/$B$161,0)</f>
        <v>0</v>
      </c>
      <c r="J174" s="99">
        <f>IFERROR(K174/$B$2,0)</f>
        <v>0</v>
      </c>
      <c r="K174" s="128">
        <v>0</v>
      </c>
      <c r="L174" s="99">
        <f>IFERROR(K174/$B$2,0)</f>
        <v>0</v>
      </c>
      <c r="M174" s="99">
        <f>IFERROR(L174*E174,0)</f>
        <v>0</v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>
        <v>4178241</v>
      </c>
      <c r="C175" s="137">
        <v>36572728875</v>
      </c>
      <c r="D175" s="99">
        <f>IFERROR(B175/$B$161,0)</f>
        <v>0.04178241</v>
      </c>
      <c r="E175" s="131">
        <f>IFERROR(C175/B175/500.0,0)</f>
        <v>17.5062802145688</v>
      </c>
      <c r="F175" s="129" t="n"/>
      <c r="G175" s="13" t="inlineStr">
        <is>
          <t>(15, 20]</t>
        </is>
      </c>
      <c r="H175" s="127">
        <v>0</v>
      </c>
      <c r="I175" s="99">
        <f>IFERROR(B175/$B$161,0)</f>
        <v>0</v>
      </c>
      <c r="J175" s="99">
        <f>IFERROR(K175/$B$2,0)</f>
        <v>0</v>
      </c>
      <c r="K175" s="128">
        <v>0</v>
      </c>
      <c r="L175" s="99">
        <f>IFERROR(K175/$B$2,0)</f>
        <v>0</v>
      </c>
      <c r="M175" s="99">
        <f>IFERROR(L175*E175,0)</f>
        <v>0</v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>
        <v>3933148</v>
      </c>
      <c r="C176" s="137">
        <v>44239791700</v>
      </c>
      <c r="D176" s="99">
        <f>IFERROR(B176/$B$161,0)</f>
        <v>0.03933148</v>
      </c>
      <c r="E176" s="131">
        <f>IFERROR(C176/B176/500.0,0)</f>
        <v>22.4958693138422</v>
      </c>
      <c r="F176" s="129" t="n"/>
      <c r="G176" s="13" t="inlineStr">
        <is>
          <t>(20, 25]</t>
        </is>
      </c>
      <c r="H176" s="127">
        <v>1.2170284464251</v>
      </c>
      <c r="I176" s="99">
        <f>IFERROR(B176/$B$161,0)</f>
        <v>0.04786753</v>
      </c>
      <c r="J176" s="99">
        <f>IFERROR(K176/$B$2,0)</f>
        <v>0.04786753</v>
      </c>
      <c r="K176" s="128">
        <v>47867530</v>
      </c>
      <c r="L176" s="99">
        <f>IFERROR(K176/$B$2,0)</f>
        <v>0.04786753</v>
      </c>
      <c r="M176" s="99">
        <f>IFERROR(L176*E176,0)</f>
        <v>1.07682169925642</v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>
        <v>3660982</v>
      </c>
      <c r="C177" s="137">
        <v>50332563875</v>
      </c>
      <c r="D177" s="99">
        <f>IFERROR(B177/$B$161,0)</f>
        <v>0.03660982</v>
      </c>
      <c r="E177" s="131">
        <f>IFERROR(C177/B177/500.0,0)</f>
        <v>27.4967557201865</v>
      </c>
      <c r="F177" s="129" t="n"/>
      <c r="G177" s="13" t="inlineStr">
        <is>
          <t>(25, 30]</t>
        </is>
      </c>
      <c r="H177" s="127">
        <v>1.44645644256104</v>
      </c>
      <c r="I177" s="99">
        <f>IFERROR(B177/$B$161,0)</f>
        <v>0.05295451</v>
      </c>
      <c r="J177" s="99">
        <f>IFERROR(K177/$B$2,0)</f>
        <v>0.05295451</v>
      </c>
      <c r="K177" s="128">
        <v>52954510</v>
      </c>
      <c r="L177" s="99">
        <f>IFERROR(K177/$B$2,0)</f>
        <v>0.05295451</v>
      </c>
      <c r="M177" s="99">
        <f>IFERROR(L177*E177,0)</f>
        <v>1.45607722575218</v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>
        <v>3422334</v>
      </c>
      <c r="C178" s="137">
        <v>55610483025</v>
      </c>
      <c r="D178" s="99">
        <f>IFERROR(B178/$B$161,0)</f>
        <v>0.03422334</v>
      </c>
      <c r="E178" s="131">
        <f>IFERROR(C178/B178/500.0,0)</f>
        <v>32.4985714573738</v>
      </c>
      <c r="F178" s="129" t="n"/>
      <c r="G178" s="13" t="inlineStr">
        <is>
          <t>(30, 35]</t>
        </is>
      </c>
      <c r="H178" s="127">
        <v>2.92704882106773</v>
      </c>
      <c r="I178" s="99">
        <f>IFERROR(B178/$B$161,0)</f>
        <v>0.100173387</v>
      </c>
      <c r="J178" s="99">
        <f>IFERROR(K178/$B$2,0)</f>
        <v>0.100173387</v>
      </c>
      <c r="K178" s="128">
        <v>100173387</v>
      </c>
      <c r="L178" s="99">
        <f>IFERROR(K178/$B$2,0)</f>
        <v>0.100173387</v>
      </c>
      <c r="M178" s="99">
        <f>IFERROR(L178*E178,0)</f>
        <v>3.25549197554666</v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>
        <v>3213747</v>
      </c>
      <c r="C179" s="137">
        <v>60256708900</v>
      </c>
      <c r="D179" s="99">
        <f>IFERROR(B179/$B$161,0)</f>
        <v>0.03213747</v>
      </c>
      <c r="E179" s="131">
        <f>IFERROR(C179/B179/500.0,0)</f>
        <v>37.4993482063149</v>
      </c>
      <c r="F179" s="129" t="n"/>
      <c r="G179" s="13" t="inlineStr">
        <is>
          <t>(35, 40]</t>
        </is>
      </c>
      <c r="H179" s="127">
        <v>1.79666672578769</v>
      </c>
      <c r="I179" s="99">
        <f>IFERROR(B179/$B$161,0)</f>
        <v>0.057740323</v>
      </c>
      <c r="J179" s="99">
        <f>IFERROR(K179/$B$2,0)</f>
        <v>0.057740323</v>
      </c>
      <c r="K179" s="128">
        <v>57740323</v>
      </c>
      <c r="L179" s="99">
        <f>IFERROR(K179/$B$2,0)</f>
        <v>0.057740323</v>
      </c>
      <c r="M179" s="99">
        <f>IFERROR(L179*E179,0)</f>
        <v>2.1652244777221</v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>
        <v>3013224</v>
      </c>
      <c r="C180" s="137">
        <v>64031926775</v>
      </c>
      <c r="D180" s="99">
        <f>IFERROR(B180/$B$161,0)</f>
        <v>0.03013224</v>
      </c>
      <c r="E180" s="131">
        <f>IFERROR(C180/B180/500.0,0)</f>
        <v>42.5006085010607</v>
      </c>
      <c r="F180" s="129" t="n"/>
      <c r="G180" s="13" t="inlineStr">
        <is>
          <t>(40, 45]</t>
        </is>
      </c>
      <c r="H180" s="127">
        <v>1.73433999596446</v>
      </c>
      <c r="I180" s="99">
        <f>IFERROR(B180/$B$161,0)</f>
        <v>0.052259549</v>
      </c>
      <c r="J180" s="99">
        <f>IFERROR(K180/$B$2,0)</f>
        <v>0.052259549</v>
      </c>
      <c r="K180" s="128">
        <v>52259549</v>
      </c>
      <c r="L180" s="99">
        <f>IFERROR(K180/$B$2,0)</f>
        <v>0.052259549</v>
      </c>
      <c r="M180" s="99">
        <f>IFERROR(L180*E180,0)</f>
        <v>2.221062632491</v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>
        <v>2844186</v>
      </c>
      <c r="C181" s="137">
        <v>67551907375</v>
      </c>
      <c r="D181" s="99">
        <f>IFERROR(B181/$B$161,0)</f>
        <v>0.02844186</v>
      </c>
      <c r="E181" s="131">
        <f>IFERROR(C181/B181/500.0,0)</f>
        <v>47.5017508524407</v>
      </c>
      <c r="F181" s="129" t="n"/>
      <c r="G181" s="13" t="inlineStr">
        <is>
          <t>(45, 50]</t>
        </is>
      </c>
      <c r="H181" s="127">
        <v>2.01219941311855</v>
      </c>
      <c r="I181" s="99">
        <f>IFERROR(B181/$B$161,0)</f>
        <v>0.057230694</v>
      </c>
      <c r="J181" s="99">
        <f>IFERROR(K181/$B$2,0)</f>
        <v>0.057230694</v>
      </c>
      <c r="K181" s="128">
        <v>57230694</v>
      </c>
      <c r="L181" s="99">
        <f>IFERROR(K181/$B$2,0)</f>
        <v>0.057230694</v>
      </c>
      <c r="M181" s="99">
        <f>IFERROR(L181*E181,0)</f>
        <v>2.71855816750027</v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>
        <v>5221251</v>
      </c>
      <c r="C182" s="137">
        <v>143407859850</v>
      </c>
      <c r="D182" s="99">
        <f>IFERROR(B182/$B$161,0)</f>
        <v>0.05221251</v>
      </c>
      <c r="E182" s="131">
        <f>IFERROR(C182/B182/500.0,0)</f>
        <v>54.9323753445295</v>
      </c>
      <c r="F182" s="129" t="n"/>
      <c r="G182" s="13" t="inlineStr">
        <is>
          <t>(50, 60]</t>
        </is>
      </c>
      <c r="H182" s="127">
        <v>2.67265588266107</v>
      </c>
      <c r="I182" s="99">
        <f>IFERROR(B182/$B$161,0)</f>
        <v>0.139546072</v>
      </c>
      <c r="J182" s="99">
        <f>IFERROR(K182/$B$2,0)</f>
        <v>0.139546072</v>
      </c>
      <c r="K182" s="128">
        <v>139546072</v>
      </c>
      <c r="L182" s="99">
        <f>IFERROR(K182/$B$2,0)</f>
        <v>0.139546072</v>
      </c>
      <c r="M182" s="99">
        <f>IFERROR(L182*E182,0)</f>
        <v>7.66559720495874</v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>
        <v>4682884</v>
      </c>
      <c r="C183" s="137">
        <v>152046399050</v>
      </c>
      <c r="D183" s="99">
        <f>IFERROR(B183/$B$161,0)</f>
        <v>0.04682884</v>
      </c>
      <c r="E183" s="131">
        <f>IFERROR(C183/B183/500.0,0)</f>
        <v>64.937076831286</v>
      </c>
      <c r="F183" s="129" t="n"/>
      <c r="G183" s="13" t="inlineStr">
        <is>
          <t>(60, 70]</t>
        </is>
      </c>
      <c r="H183" s="127">
        <v>1.20315497885491</v>
      </c>
      <c r="I183" s="99">
        <f>IFERROR(B183/$B$161,0)</f>
        <v>0.056342352</v>
      </c>
      <c r="J183" s="99">
        <f>IFERROR(K183/$B$2,0)</f>
        <v>0.056342352</v>
      </c>
      <c r="K183" s="128">
        <v>56342352</v>
      </c>
      <c r="L183" s="99">
        <f>IFERROR(K183/$B$2,0)</f>
        <v>0.056342352</v>
      </c>
      <c r="M183" s="99">
        <f>IFERROR(L183*E183,0)</f>
        <v>3.65870764067936</v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>
        <v>4214802</v>
      </c>
      <c r="C184" s="137">
        <v>157931775950</v>
      </c>
      <c r="D184" s="99">
        <f>IFERROR(B184/$B$161,0)</f>
        <v>0.04214802</v>
      </c>
      <c r="E184" s="131">
        <f>IFERROR(C184/B184/500.0,0)</f>
        <v>74.9414923642914</v>
      </c>
      <c r="F184" s="129" t="n"/>
      <c r="G184" s="13" t="inlineStr">
        <is>
          <t>(70, 80]</t>
        </is>
      </c>
      <c r="H184" s="127">
        <v>1.20425415001701</v>
      </c>
      <c r="I184" s="99">
        <f>IFERROR(B184/$B$161,0)</f>
        <v>0.050756928</v>
      </c>
      <c r="J184" s="99">
        <f>IFERROR(K184/$B$2,0)</f>
        <v>0.050756928</v>
      </c>
      <c r="K184" s="128">
        <v>50756928</v>
      </c>
      <c r="L184" s="99">
        <f>IFERROR(K184/$B$2,0)</f>
        <v>0.050756928</v>
      </c>
      <c r="M184" s="99">
        <f>IFERROR(L184*E184,0)</f>
        <v>3.80379993214689</v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>
        <v>3808760</v>
      </c>
      <c r="C185" s="137">
        <v>161760501375</v>
      </c>
      <c r="D185" s="99">
        <f>IFERROR(B185/$B$161,0)</f>
        <v>0.0380876</v>
      </c>
      <c r="E185" s="131">
        <f>IFERROR(C185/B185/500.0,0)</f>
        <v>84.9412939513122</v>
      </c>
      <c r="F185" s="129" t="n"/>
      <c r="G185" s="13" t="inlineStr">
        <is>
          <t>(80, 90]</t>
        </is>
      </c>
      <c r="H185" s="127">
        <v>1.18842809733352</v>
      </c>
      <c r="I185" s="99">
        <f>IFERROR(B185/$B$161,0)</f>
        <v>0.045264374</v>
      </c>
      <c r="J185" s="99">
        <f>IFERROR(K185/$B$2,0)</f>
        <v>0.045264374</v>
      </c>
      <c r="K185" s="128">
        <v>45264374</v>
      </c>
      <c r="L185" s="99">
        <f>IFERROR(K185/$B$2,0)</f>
        <v>0.045264374</v>
      </c>
      <c r="M185" s="99">
        <f>IFERROR(L185*E185,0)</f>
        <v>3.84481449745614</v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>
        <v>3455167</v>
      </c>
      <c r="C186" s="137">
        <v>164026775175</v>
      </c>
      <c r="D186" s="99">
        <f>IFERROR(B186/$B$161,0)</f>
        <v>0.03455167</v>
      </c>
      <c r="E186" s="131">
        <f>IFERROR(C186/B186/500.0,0)</f>
        <v>94.9457870922013</v>
      </c>
      <c r="F186" s="129" t="n"/>
      <c r="G186" s="13" t="inlineStr">
        <is>
          <t>(90, 100]</t>
        </is>
      </c>
      <c r="H186" s="127">
        <v>1.15375844351373</v>
      </c>
      <c r="I186" s="99">
        <f>IFERROR(B186/$B$161,0)</f>
        <v>0.039864281</v>
      </c>
      <c r="J186" s="99">
        <f>IFERROR(K186/$B$2,0)</f>
        <v>0.039864281</v>
      </c>
      <c r="K186" s="128">
        <v>39864281</v>
      </c>
      <c r="L186" s="99">
        <f>IFERROR(K186/$B$2,0)</f>
        <v>0.039864281</v>
      </c>
      <c r="M186" s="99">
        <f>IFERROR(L186*E186,0)</f>
        <v>3.78494553640969</v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>
        <v>6012448</v>
      </c>
      <c r="C187" s="137">
        <v>329838156225</v>
      </c>
      <c r="D187" s="99">
        <f>IFERROR(B187/$B$161,0)</f>
        <v>0.06012448</v>
      </c>
      <c r="E187" s="131">
        <f>IFERROR(C187/B187/500.0,0)</f>
        <v>109.718422920248</v>
      </c>
      <c r="F187" s="129" t="n"/>
      <c r="G187" s="13" t="inlineStr">
        <is>
          <t>(100, 120]</t>
        </is>
      </c>
      <c r="H187" s="127">
        <v>0.894069404009814</v>
      </c>
      <c r="I187" s="99">
        <f>IFERROR(B187/$B$161,0)</f>
        <v>0.053755458</v>
      </c>
      <c r="J187" s="99">
        <f>IFERROR(K187/$B$2,0)</f>
        <v>0.053755458</v>
      </c>
      <c r="K187" s="128">
        <v>53755458</v>
      </c>
      <c r="L187" s="99">
        <f>IFERROR(K187/$B$2,0)</f>
        <v>0.053755458</v>
      </c>
      <c r="M187" s="99">
        <f>IFERROR(L187*E187,0)</f>
        <v>5.89796407511563</v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>
        <v>5017940</v>
      </c>
      <c r="C188" s="137">
        <v>325484189700</v>
      </c>
      <c r="D188" s="99">
        <f>IFERROR(B188/$B$161,0)</f>
        <v>0.0501794</v>
      </c>
      <c r="E188" s="131">
        <f>IFERROR(C188/B188/500.0,0)</f>
        <v>129.728211058721</v>
      </c>
      <c r="F188" s="129" t="n"/>
      <c r="G188" s="13" t="inlineStr">
        <is>
          <t>(120, 140]</t>
        </is>
      </c>
      <c r="H188" s="127">
        <v>1.52865185713659</v>
      </c>
      <c r="I188" s="99">
        <f>IFERROR(B188/$B$161,0)</f>
        <v>0.076706833</v>
      </c>
      <c r="J188" s="99">
        <f>IFERROR(K188/$B$2,0)</f>
        <v>0.076706833</v>
      </c>
      <c r="K188" s="128">
        <v>76706833</v>
      </c>
      <c r="L188" s="99">
        <f>IFERROR(K188/$B$2,0)</f>
        <v>0.076706833</v>
      </c>
      <c r="M188" s="99">
        <f>IFERROR(L188*E188,0)</f>
        <v>9.95104022107009</v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>
        <v>4218303</v>
      </c>
      <c r="C189" s="137">
        <v>315833495375</v>
      </c>
      <c r="D189" s="99">
        <f>IFERROR(B189/$B$161,0)</f>
        <v>0.04218303</v>
      </c>
      <c r="E189" s="131">
        <f>IFERROR(C189/B189/500.0,0)</f>
        <v>149.744338126019</v>
      </c>
      <c r="F189" s="129" t="n"/>
      <c r="G189" s="13" t="inlineStr">
        <is>
          <t>(140, 160]</t>
        </is>
      </c>
      <c r="H189" s="127">
        <v>0.729568715191867</v>
      </c>
      <c r="I189" s="99">
        <f>IFERROR(B189/$B$161,0)</f>
        <v>0.030775419</v>
      </c>
      <c r="J189" s="99">
        <f>IFERROR(K189/$B$2,0)</f>
        <v>0.030775419</v>
      </c>
      <c r="K189" s="128">
        <v>30775419</v>
      </c>
      <c r="L189" s="99">
        <f>IFERROR(K189/$B$2,0)</f>
        <v>0.030775419</v>
      </c>
      <c r="M189" s="99">
        <f>IFERROR(L189*E189,0)</f>
        <v>4.60844474870591</v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>
        <v>3570593</v>
      </c>
      <c r="C190" s="137">
        <v>303059416600</v>
      </c>
      <c r="D190" s="99">
        <f>IFERROR(B190/$B$161,0)</f>
        <v>0.03570593</v>
      </c>
      <c r="E190" s="131">
        <f>IFERROR(C190/B190/500.0,0)</f>
        <v>169.752988705237</v>
      </c>
      <c r="F190" s="129" t="n"/>
      <c r="G190" s="13" t="inlineStr">
        <is>
          <t>(160, 180]</t>
        </is>
      </c>
      <c r="H190" s="127">
        <v>0.671961520117247</v>
      </c>
      <c r="I190" s="99">
        <f>IFERROR(B190/$B$161,0)</f>
        <v>0.023993011</v>
      </c>
      <c r="J190" s="99">
        <f>IFERROR(K190/$B$2,0)</f>
        <v>0.023993011</v>
      </c>
      <c r="K190" s="128">
        <v>23993011</v>
      </c>
      <c r="L190" s="99">
        <f>IFERROR(K190/$B$2,0)</f>
        <v>0.023993011</v>
      </c>
      <c r="M190" s="99">
        <f>IFERROR(L190*E190,0)</f>
        <v>4.07288532528764</v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>
        <v>3045777</v>
      </c>
      <c r="C191" s="137">
        <v>288980255725</v>
      </c>
      <c r="D191" s="99">
        <f>IFERROR(B191/$B$161,0)</f>
        <v>0.03045777</v>
      </c>
      <c r="E191" s="131">
        <f>IFERROR(C191/B191/500.0,0)</f>
        <v>189.757986697647</v>
      </c>
      <c r="F191" s="129" t="n"/>
      <c r="G191" s="13" t="inlineStr">
        <is>
          <t>(180, 200]</t>
        </is>
      </c>
      <c r="H191" s="127">
        <v>0.769493170379841</v>
      </c>
      <c r="I191" s="99">
        <f>IFERROR(B191/$B$161,0)</f>
        <v>0.023437046</v>
      </c>
      <c r="J191" s="99">
        <f>IFERROR(K191/$B$2,0)</f>
        <v>0.023437046</v>
      </c>
      <c r="K191" s="128">
        <v>23437046</v>
      </c>
      <c r="L191" s="99">
        <f>IFERROR(K191/$B$2,0)</f>
        <v>0.023437046</v>
      </c>
      <c r="M191" s="99">
        <f>IFERROR(L191*E191,0)</f>
        <v>4.44736666310015</v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>
        <v>5871341</v>
      </c>
      <c r="C192" s="137">
        <v>656110802000</v>
      </c>
      <c r="D192" s="99">
        <f>IFERROR(B192/$B$161,0)</f>
        <v>0.05871341</v>
      </c>
      <c r="E192" s="131">
        <f>IFERROR(C192/B192/500.0,0)</f>
        <v>223.496064016721</v>
      </c>
      <c r="F192" s="129" t="n"/>
      <c r="G192" s="13" t="inlineStr">
        <is>
          <t>(200, 250]</t>
        </is>
      </c>
      <c r="H192" s="127">
        <v>0.702547288600679</v>
      </c>
      <c r="I192" s="99">
        <f>IFERROR(B192/$B$161,0)</f>
        <v>0.041248947</v>
      </c>
      <c r="J192" s="99">
        <f>IFERROR(K192/$B$2,0)</f>
        <v>0.041248947</v>
      </c>
      <c r="K192" s="128">
        <v>41248947</v>
      </c>
      <c r="L192" s="99">
        <f>IFERROR(K192/$B$2,0)</f>
        <v>0.041248947</v>
      </c>
      <c r="M192" s="99">
        <f>IFERROR(L192*E192,0)</f>
        <v>9.21897729933434</v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>
        <v>4126274</v>
      </c>
      <c r="C193" s="137">
        <v>564503446125</v>
      </c>
      <c r="D193" s="99">
        <f>IFERROR(B193/$B$161,0)</f>
        <v>0.04126274</v>
      </c>
      <c r="E193" s="131">
        <f>IFERROR(C193/B193/500.0,0)</f>
        <v>273.614135234354</v>
      </c>
      <c r="F193" s="129" t="n"/>
      <c r="G193" s="13" t="inlineStr">
        <is>
          <t>(250, 300]</t>
        </is>
      </c>
      <c r="H193" s="127">
        <v>0.255758245816928</v>
      </c>
      <c r="I193" s="99">
        <f>IFERROR(B193/$B$161,0)</f>
        <v>0.010553286</v>
      </c>
      <c r="J193" s="99">
        <f>IFERROR(K193/$B$2,0)</f>
        <v>0.010553286</v>
      </c>
      <c r="K193" s="128">
        <v>10553286</v>
      </c>
      <c r="L193" s="99">
        <f>IFERROR(K193/$B$2,0)</f>
        <v>0.010553286</v>
      </c>
      <c r="M193" s="99">
        <f>IFERROR(L193*E193,0)</f>
        <v>2.88752822277082</v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>
        <v>2971964</v>
      </c>
      <c r="C194" s="137">
        <v>481066855400</v>
      </c>
      <c r="D194" s="99">
        <f>IFERROR(B194/$B$161,0)</f>
        <v>0.02971964</v>
      </c>
      <c r="E194" s="131">
        <f>IFERROR(C194/B194/500.0,0)</f>
        <v>323.736663970358</v>
      </c>
      <c r="F194" s="129" t="n"/>
      <c r="G194" s="13" t="inlineStr">
        <is>
          <t>(300, 350]</t>
        </is>
      </c>
      <c r="H194" s="127">
        <v>0.151740128749877</v>
      </c>
      <c r="I194" s="99">
        <f>IFERROR(B194/$B$161,0)</f>
        <v>0.004509662</v>
      </c>
      <c r="J194" s="99">
        <f>IFERROR(K194/$B$2,0)</f>
        <v>0.004509662</v>
      </c>
      <c r="K194" s="128">
        <v>4509662</v>
      </c>
      <c r="L194" s="99">
        <f>IFERROR(K194/$B$2,0)</f>
        <v>0.004509662</v>
      </c>
      <c r="M194" s="99">
        <f>IFERROR(L194*E194,0)</f>
        <v>1.45994293151389</v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>
        <v>2196543</v>
      </c>
      <c r="C195" s="137">
        <v>410539850525</v>
      </c>
      <c r="D195" s="99">
        <f>IFERROR(B195/$B$161,0)</f>
        <v>0.02196543</v>
      </c>
      <c r="E195" s="131">
        <f>IFERROR(C195/B195/500.0,0)</f>
        <v>373.805430191897</v>
      </c>
      <c r="F195" s="129" t="n"/>
      <c r="G195" s="13" t="inlineStr">
        <is>
          <t>(350, 400]</t>
        </is>
      </c>
      <c r="H195" s="127">
        <v>0.38949868042647</v>
      </c>
      <c r="I195" s="99">
        <f>IFERROR(B195/$B$161,0)</f>
        <v>0.008555506</v>
      </c>
      <c r="J195" s="99">
        <f>IFERROR(K195/$B$2,0)</f>
        <v>0.008555506</v>
      </c>
      <c r="K195" s="128">
        <v>8555506</v>
      </c>
      <c r="L195" s="99">
        <f>IFERROR(K195/$B$2,0)</f>
        <v>0.008555506</v>
      </c>
      <c r="M195" s="99">
        <f>IFERROR(L195*E195,0)</f>
        <v>3.19809460083936</v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>
        <v>1656016</v>
      </c>
      <c r="C196" s="137">
        <v>350994696725</v>
      </c>
      <c r="D196" s="99">
        <f>IFERROR(B196/$B$161,0)</f>
        <v>0.01656016</v>
      </c>
      <c r="E196" s="131">
        <f>IFERROR(C196/B196/500.0,0)</f>
        <v>423.902542880021</v>
      </c>
      <c r="F196" s="129" t="n"/>
      <c r="G196" s="13" t="inlineStr">
        <is>
          <t>(400, 450]</t>
        </is>
      </c>
      <c r="H196" s="127">
        <v>0.732911517763113</v>
      </c>
      <c r="I196" s="99">
        <f>IFERROR(B196/$B$161,0)</f>
        <v>0.012137132</v>
      </c>
      <c r="J196" s="99">
        <f>IFERROR(K196/$B$2,0)</f>
        <v>0.012137132</v>
      </c>
      <c r="K196" s="128">
        <v>12137132</v>
      </c>
      <c r="L196" s="99">
        <f>IFERROR(K196/$B$2,0)</f>
        <v>0.012137132</v>
      </c>
      <c r="M196" s="99">
        <f>IFERROR(L196*E196,0)</f>
        <v>5.14496111807047</v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>
        <v>1271695</v>
      </c>
      <c r="C197" s="137">
        <v>301359642450</v>
      </c>
      <c r="D197" s="99">
        <f>IFERROR(B197/$B$161,0)</f>
        <v>0.01271695</v>
      </c>
      <c r="E197" s="131">
        <f>IFERROR(C197/B197/500.0,0)</f>
        <v>473.949559367616</v>
      </c>
      <c r="F197" s="129" t="n"/>
      <c r="G197" s="13" t="inlineStr">
        <is>
          <t>(450, 500]</t>
        </is>
      </c>
      <c r="H197" s="127">
        <v>0.599813241382564</v>
      </c>
      <c r="I197" s="99">
        <f>IFERROR(B197/$B$161,0)</f>
        <v>0.007627795</v>
      </c>
      <c r="J197" s="99">
        <f>IFERROR(K197/$B$2,0)</f>
        <v>0.007627795</v>
      </c>
      <c r="K197" s="128">
        <v>7627795</v>
      </c>
      <c r="L197" s="99">
        <f>IFERROR(K197/$B$2,0)</f>
        <v>0.007627795</v>
      </c>
      <c r="M197" s="99">
        <f>IFERROR(L197*E197,0)</f>
        <v>3.6151900791965</v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>
        <v>994180</v>
      </c>
      <c r="C198" s="137">
        <v>260496934675</v>
      </c>
      <c r="D198" s="99">
        <f>IFERROR(B198/$B$161,0)</f>
        <v>0.0099418</v>
      </c>
      <c r="E198" s="131">
        <f>IFERROR(C198/B198/500.0,0)</f>
        <v>524.043804290973</v>
      </c>
      <c r="F198" s="129" t="n"/>
      <c r="G198" s="13" t="inlineStr">
        <is>
          <t>(500, 550]</t>
        </is>
      </c>
      <c r="H198" s="127">
        <v>0</v>
      </c>
      <c r="I198" s="99">
        <f>IFERROR(B198/$B$161,0)</f>
        <v>0</v>
      </c>
      <c r="J198" s="99">
        <f>IFERROR(K198/$B$2,0)</f>
        <v>0</v>
      </c>
      <c r="K198" s="128">
        <v>0</v>
      </c>
      <c r="L198" s="99">
        <f>IFERROR(K198/$B$2,0)</f>
        <v>0</v>
      </c>
      <c r="M198" s="99">
        <f>IFERROR(L198*E198,0)</f>
        <v>0</v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>
        <v>786641</v>
      </c>
      <c r="C199" s="137">
        <v>225810482775</v>
      </c>
      <c r="D199" s="99">
        <f>IFERROR(B199/$B$161,0)</f>
        <v>0.00786641</v>
      </c>
      <c r="E199" s="131">
        <f>IFERROR(C199/B199/500.0,0)</f>
        <v>574.11317939187</v>
      </c>
      <c r="F199" s="129" t="n"/>
      <c r="G199" s="13" t="inlineStr">
        <is>
          <t>(550, 600]</t>
        </is>
      </c>
      <c r="H199" s="127">
        <v>0.851710627846756</v>
      </c>
      <c r="I199" s="99">
        <f>IFERROR(B199/$B$161,0)</f>
        <v>0.006699905</v>
      </c>
      <c r="J199" s="99">
        <f>IFERROR(K199/$B$2,0)</f>
        <v>0.006699905</v>
      </c>
      <c r="K199" s="128">
        <v>6699905</v>
      </c>
      <c r="L199" s="99">
        <f>IFERROR(K199/$B$2,0)</f>
        <v>0.006699905</v>
      </c>
      <c r="M199" s="99">
        <f>IFERROR(L199*E199,0)</f>
        <v>3.84650376117349</v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>
        <v>632559</v>
      </c>
      <c r="C200" s="137">
        <v>197403627875</v>
      </c>
      <c r="D200" s="99">
        <f>IFERROR(B200/$B$161,0)</f>
        <v>0.00632559</v>
      </c>
      <c r="E200" s="131">
        <f>IFERROR(C200/B200/500.0,0)</f>
        <v>624.142974410292</v>
      </c>
      <c r="F200" s="129" t="n"/>
      <c r="G200" s="13" t="inlineStr">
        <is>
          <t>(600, 650]</t>
        </is>
      </c>
      <c r="H200" s="127">
        <v>0</v>
      </c>
      <c r="I200" s="99">
        <f>IFERROR(B200/$B$161,0)</f>
        <v>0</v>
      </c>
      <c r="J200" s="99">
        <f>IFERROR(K200/$B$2,0)</f>
        <v>0</v>
      </c>
      <c r="K200" s="128">
        <v>0</v>
      </c>
      <c r="L200" s="99">
        <f>IFERROR(K200/$B$2,0)</f>
        <v>0</v>
      </c>
      <c r="M200" s="99">
        <f>IFERROR(L200*E200,0)</f>
        <v>0</v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>
        <v>513194</v>
      </c>
      <c r="C201" s="137">
        <v>172987742925</v>
      </c>
      <c r="D201" s="99">
        <f>IFERROR(B201/$B$161,0)</f>
        <v>0.00513194</v>
      </c>
      <c r="E201" s="131">
        <f>IFERROR(C201/B201/500.0,0)</f>
        <v>674.161205801315</v>
      </c>
      <c r="F201" s="129" t="n"/>
      <c r="G201" s="13" t="inlineStr">
        <is>
          <t>(650, 700]</t>
        </is>
      </c>
      <c r="H201" s="127">
        <v>0</v>
      </c>
      <c r="I201" s="99">
        <f>IFERROR(B201/$B$161,0)</f>
        <v>0</v>
      </c>
      <c r="J201" s="99">
        <f>IFERROR(K201/$B$2,0)</f>
        <v>0</v>
      </c>
      <c r="K201" s="128">
        <v>0</v>
      </c>
      <c r="L201" s="99">
        <f>IFERROR(K201/$B$2,0)</f>
        <v>0</v>
      </c>
      <c r="M201" s="99">
        <f>IFERROR(L201*E201,0)</f>
        <v>0</v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>
        <v>420624</v>
      </c>
      <c r="C202" s="137">
        <v>152318527675</v>
      </c>
      <c r="D202" s="99">
        <f>IFERROR(B202/$B$161,0)</f>
        <v>0.00420624</v>
      </c>
      <c r="E202" s="131">
        <f>IFERROR(C202/B202/500.0,0)</f>
        <v>724.250293254783</v>
      </c>
      <c r="F202" s="129" t="n"/>
      <c r="G202" s="13" t="inlineStr">
        <is>
          <t>(700, 750]</t>
        </is>
      </c>
      <c r="H202" s="127">
        <v>0</v>
      </c>
      <c r="I202" s="99">
        <f>IFERROR(B202/$B$161,0)</f>
        <v>0</v>
      </c>
      <c r="J202" s="99">
        <f>IFERROR(K202/$B$2,0)</f>
        <v>0</v>
      </c>
      <c r="K202" s="128">
        <v>0</v>
      </c>
      <c r="L202" s="99">
        <f>IFERROR(K202/$B$2,0)</f>
        <v>0</v>
      </c>
      <c r="M202" s="99">
        <f>IFERROR(L202*E202,0)</f>
        <v>0</v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>
        <v>349617</v>
      </c>
      <c r="C203" s="137">
        <v>135351024075</v>
      </c>
      <c r="D203" s="99">
        <f>IFERROR(B203/$B$161,0)</f>
        <v>0.00349617</v>
      </c>
      <c r="E203" s="131">
        <f>IFERROR(C203/B203/500.0,0)</f>
        <v>774.281708698376</v>
      </c>
      <c r="F203" s="129" t="n"/>
      <c r="G203" s="13" t="inlineStr">
        <is>
          <t>(750, 800]</t>
        </is>
      </c>
      <c r="H203" s="127">
        <v>0</v>
      </c>
      <c r="I203" s="99">
        <f>IFERROR(B203/$B$161,0)</f>
        <v>0</v>
      </c>
      <c r="J203" s="99">
        <f>IFERROR(K203/$B$2,0)</f>
        <v>0</v>
      </c>
      <c r="K203" s="128">
        <v>0</v>
      </c>
      <c r="L203" s="99">
        <f>IFERROR(K203/$B$2,0)</f>
        <v>0</v>
      </c>
      <c r="M203" s="99">
        <f>IFERROR(L203*E203,0)</f>
        <v>0</v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>
        <v>294650</v>
      </c>
      <c r="C204" s="137">
        <v>121449643550</v>
      </c>
      <c r="D204" s="99">
        <f>IFERROR(B204/$B$161,0)</f>
        <v>0.0029465</v>
      </c>
      <c r="E204" s="131">
        <f>IFERROR(C204/B204/500.0,0)</f>
        <v>824.365474630918</v>
      </c>
      <c r="F204" s="129" t="n"/>
      <c r="G204" s="13" t="inlineStr">
        <is>
          <t>(800, 850]</t>
        </is>
      </c>
      <c r="H204" s="127">
        <v>0</v>
      </c>
      <c r="I204" s="99">
        <f>IFERROR(B204/$B$161,0)</f>
        <v>0</v>
      </c>
      <c r="J204" s="99">
        <f>IFERROR(K204/$B$2,0)</f>
        <v>0</v>
      </c>
      <c r="K204" s="128">
        <v>0</v>
      </c>
      <c r="L204" s="99">
        <f>IFERROR(K204/$B$2,0)</f>
        <v>0</v>
      </c>
      <c r="M204" s="99">
        <f>IFERROR(L204*E204,0)</f>
        <v>0</v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>
        <v>250568</v>
      </c>
      <c r="C205" s="137">
        <v>109541734600</v>
      </c>
      <c r="D205" s="99">
        <f>IFERROR(B205/$B$161,0)</f>
        <v>0.00250568</v>
      </c>
      <c r="E205" s="131">
        <f>IFERROR(C205/B205/500.0,0)</f>
        <v>874.347359598991</v>
      </c>
      <c r="F205" s="129" t="n"/>
      <c r="G205" s="13" t="inlineStr">
        <is>
          <t>(850, 900]</t>
        </is>
      </c>
      <c r="H205" s="127">
        <v>0</v>
      </c>
      <c r="I205" s="99">
        <f>IFERROR(B205/$B$161,0)</f>
        <v>0</v>
      </c>
      <c r="J205" s="99">
        <f>IFERROR(K205/$B$2,0)</f>
        <v>0</v>
      </c>
      <c r="K205" s="133">
        <v>0</v>
      </c>
      <c r="L205" s="99">
        <f>IFERROR(K205/$B$2,0)</f>
        <v>0</v>
      </c>
      <c r="M205" s="99">
        <f>IFERROR(L205*E205,0)</f>
        <v>0</v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>
        <v>213052</v>
      </c>
      <c r="C206" s="137">
        <v>98465914350</v>
      </c>
      <c r="D206" s="99">
        <f>IFERROR(B206/$B$161,0)</f>
        <v>0.00213052</v>
      </c>
      <c r="E206" s="131">
        <f>IFERROR(C206/B206/500.0,0)</f>
        <v>924.336916339673</v>
      </c>
      <c r="F206" s="129" t="n"/>
      <c r="G206" s="13" t="inlineStr">
        <is>
          <t>(900, 950]</t>
        </is>
      </c>
      <c r="H206" s="127">
        <v>0</v>
      </c>
      <c r="I206" s="99">
        <f>IFERROR(B206/$B$161,0)</f>
        <v>0</v>
      </c>
      <c r="J206" s="99">
        <f>IFERROR(K206/$B$2,0)</f>
        <v>0</v>
      </c>
      <c r="K206" s="133">
        <v>0</v>
      </c>
      <c r="L206" s="99">
        <f>IFERROR(K206/$B$2,0)</f>
        <v>0</v>
      </c>
      <c r="M206" s="99">
        <f>IFERROR(L206*E206,0)</f>
        <v>0</v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>
        <v>183814</v>
      </c>
      <c r="C207" s="137">
        <v>89555814700</v>
      </c>
      <c r="D207" s="99">
        <f>IFERROR(B207/$B$161,0)</f>
        <v>0.00183814</v>
      </c>
      <c r="E207" s="131">
        <f>IFERROR(C207/B207/500.0,0)</f>
        <v>974.417777753599</v>
      </c>
      <c r="F207" s="129" t="n"/>
      <c r="G207" s="13" t="inlineStr">
        <is>
          <t>(950, 1000]</t>
        </is>
      </c>
      <c r="H207" s="127">
        <v>0</v>
      </c>
      <c r="I207" s="99">
        <f>IFERROR(B207/$B$161,0)</f>
        <v>0</v>
      </c>
      <c r="J207" s="99">
        <f>IFERROR(K207/$B$2,0)</f>
        <v>0</v>
      </c>
      <c r="K207" s="133">
        <v>0</v>
      </c>
      <c r="L207" s="99">
        <f>IFERROR(K207/$B$2,0)</f>
        <v>0</v>
      </c>
      <c r="M207" s="99">
        <f>IFERROR(L207*E207,0)</f>
        <v>0</v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>
        <v>1358748</v>
      </c>
      <c r="C208" s="137">
        <v>915636675575</v>
      </c>
      <c r="D208" s="99">
        <f>IFERROR(B208/$B$161,0)</f>
        <v>0.01358748</v>
      </c>
      <c r="E208" s="131">
        <f>IFERROR(C208/B208/500.0,0)</f>
        <v>1347.76525974647</v>
      </c>
      <c r="F208" s="129" t="n"/>
      <c r="G208" s="13" t="inlineStr">
        <is>
          <t>(1000, 2000]</t>
        </is>
      </c>
      <c r="H208" s="127">
        <v>0</v>
      </c>
      <c r="I208" s="99">
        <f>IFERROR(B208/$B$161,0)</f>
        <v>0</v>
      </c>
      <c r="J208" s="99">
        <f>IFERROR(K208/$B$2,0)</f>
        <v>0</v>
      </c>
      <c r="K208" s="133">
        <v>0</v>
      </c>
      <c r="L208" s="99">
        <f>IFERROR(K208/$B$2,0)</f>
        <v>0</v>
      </c>
      <c r="M208" s="99">
        <f>IFERROR(L208*E208,0)</f>
        <v>0</v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>
        <v>333499</v>
      </c>
      <c r="C209" s="137">
        <v>403521966275</v>
      </c>
      <c r="D209" s="99">
        <f>IFERROR(B209/$B$161,0)</f>
        <v>0.00333499</v>
      </c>
      <c r="E209" s="131">
        <f>IFERROR(C209/B209/500.0,0)</f>
        <v>2419.92909289083</v>
      </c>
      <c r="F209" s="129" t="n"/>
      <c r="G209" s="13" t="inlineStr">
        <is>
          <t>(2000, 3000]</t>
        </is>
      </c>
      <c r="H209" s="127">
        <v>0</v>
      </c>
      <c r="I209" s="99">
        <f>IFERROR(B209/$B$161,0)</f>
        <v>0</v>
      </c>
      <c r="J209" s="99">
        <f>IFERROR(K209/$B$2,0)</f>
        <v>0</v>
      </c>
      <c r="K209" s="133">
        <v>0</v>
      </c>
      <c r="L209" s="99">
        <f>IFERROR(K209/$B$2,0)</f>
        <v>0</v>
      </c>
      <c r="M209" s="99">
        <f>IFERROR(L209*E209,0)</f>
        <v>0</v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>
        <v>153122</v>
      </c>
      <c r="C210" s="137">
        <v>264363044325</v>
      </c>
      <c r="D210" s="99">
        <f>IFERROR(B210/$B$161,0)</f>
        <v>0.00153122</v>
      </c>
      <c r="E210" s="131">
        <f>IFERROR(C210/B210/500.0,0)</f>
        <v>3452.97271881245</v>
      </c>
      <c r="F210" s="129" t="n"/>
      <c r="G210" s="13" t="inlineStr">
        <is>
          <t>(3000, 4000]</t>
        </is>
      </c>
      <c r="H210" s="127">
        <v>0</v>
      </c>
      <c r="I210" s="99">
        <f>IFERROR(B210/$B$161,0)</f>
        <v>0</v>
      </c>
      <c r="J210" s="99">
        <f>IFERROR(K210/$B$2,0)</f>
        <v>0</v>
      </c>
      <c r="K210" s="133">
        <v>0</v>
      </c>
      <c r="L210" s="99">
        <f>IFERROR(K210/$B$2,0)</f>
        <v>0</v>
      </c>
      <c r="M210" s="99">
        <f>IFERROR(L210*E210,0)</f>
        <v>0</v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>
        <v>94933</v>
      </c>
      <c r="C211" s="137">
        <v>212019763550</v>
      </c>
      <c r="D211" s="99">
        <f>IFERROR(B211/$B$161,0)</f>
        <v>0.00094933</v>
      </c>
      <c r="E211" s="131">
        <f>IFERROR(C211/B211/500.0,0)</f>
        <v>4466.72418547818</v>
      </c>
      <c r="F211" s="129" t="n"/>
      <c r="G211" s="13" t="inlineStr">
        <is>
          <t>(4000, 5000]</t>
        </is>
      </c>
      <c r="H211" s="127">
        <v>0</v>
      </c>
      <c r="I211" s="99">
        <f>IFERROR(B211/$B$161,0)</f>
        <v>0</v>
      </c>
      <c r="J211" s="99">
        <f>IFERROR(K211/$B$2,0)</f>
        <v>0</v>
      </c>
      <c r="K211" s="133">
        <v>0</v>
      </c>
      <c r="L211" s="99">
        <f>IFERROR(K211/$B$2,0)</f>
        <v>0</v>
      </c>
      <c r="M211" s="99">
        <f>IFERROR(L211*E211,0)</f>
        <v>0</v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>
        <v>62948</v>
      </c>
      <c r="C212" s="137">
        <v>172026852150</v>
      </c>
      <c r="D212" s="99">
        <f>IFERROR(B212/$B$161,0)</f>
        <v>0.00062948</v>
      </c>
      <c r="E212" s="131">
        <f>IFERROR(C212/B212/500.0,0)</f>
        <v>5465.68126548897</v>
      </c>
      <c r="F212" s="129" t="n"/>
      <c r="G212" s="13" t="inlineStr">
        <is>
          <t>(5000, 6000]</t>
        </is>
      </c>
      <c r="H212" s="127">
        <v>0</v>
      </c>
      <c r="I212" s="99">
        <f>IFERROR(B212/$B$161,0)</f>
        <v>0</v>
      </c>
      <c r="J212" s="99">
        <f>IFERROR(K212/$B$2,0)</f>
        <v>0</v>
      </c>
      <c r="K212" s="133">
        <v>0</v>
      </c>
      <c r="L212" s="99">
        <f>IFERROR(K212/$B$2,0)</f>
        <v>0</v>
      </c>
      <c r="M212" s="99">
        <f>IFERROR(L212*E212,0)</f>
        <v>0</v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>
        <v>42906</v>
      </c>
      <c r="C213" s="137">
        <v>138771967350</v>
      </c>
      <c r="D213" s="99">
        <f>IFERROR(B213/$B$161,0)</f>
        <v>0.00042906</v>
      </c>
      <c r="E213" s="131">
        <f>IFERROR(C213/B213/500.0,0)</f>
        <v>6468.65088099566</v>
      </c>
      <c r="F213" s="129" t="n"/>
      <c r="G213" s="13" t="inlineStr">
        <is>
          <t>(6000, 7000]</t>
        </is>
      </c>
      <c r="H213" s="127">
        <v>0</v>
      </c>
      <c r="I213" s="99">
        <f>IFERROR(B213/$B$161,0)</f>
        <v>0</v>
      </c>
      <c r="J213" s="99">
        <f>IFERROR(K213/$B$2,0)</f>
        <v>0</v>
      </c>
      <c r="K213" s="133">
        <v>0</v>
      </c>
      <c r="L213" s="99">
        <f>IFERROR(K213/$B$2,0)</f>
        <v>0</v>
      </c>
      <c r="M213" s="99">
        <f>IFERROR(L213*E213,0)</f>
        <v>0</v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>
        <v>32027</v>
      </c>
      <c r="C214" s="137">
        <v>119746353100</v>
      </c>
      <c r="D214" s="99">
        <f>IFERROR(B214/$B$161,0)</f>
        <v>0.00032027</v>
      </c>
      <c r="E214" s="131">
        <f>IFERROR(C214/B214/500.0,0)</f>
        <v>7477.83764323852</v>
      </c>
      <c r="F214" s="129" t="n"/>
      <c r="G214" s="13" t="inlineStr">
        <is>
          <t>(7000, 8000]</t>
        </is>
      </c>
      <c r="H214" s="127">
        <v>0</v>
      </c>
      <c r="I214" s="99">
        <f>IFERROR(B214/$B$161,0)</f>
        <v>0</v>
      </c>
      <c r="J214" s="99">
        <f>IFERROR(K214/$B$2,0)</f>
        <v>0</v>
      </c>
      <c r="K214" s="133">
        <v>0</v>
      </c>
      <c r="L214" s="99">
        <f>IFERROR(K214/$B$2,0)</f>
        <v>0</v>
      </c>
      <c r="M214" s="99">
        <f>IFERROR(L214*E214,0)</f>
        <v>0</v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>
        <v>24713</v>
      </c>
      <c r="C215" s="137">
        <v>104845489950</v>
      </c>
      <c r="D215" s="99">
        <f>IFERROR(B215/$B$161,0)</f>
        <v>0.00024713</v>
      </c>
      <c r="E215" s="131">
        <f>IFERROR(C215/B215/500.0,0)</f>
        <v>8485.04754177963</v>
      </c>
      <c r="F215" s="129" t="n"/>
      <c r="G215" s="13" t="inlineStr">
        <is>
          <t>(8000, 9000]</t>
        </is>
      </c>
      <c r="H215" s="127">
        <v>0</v>
      </c>
      <c r="I215" s="99">
        <f>IFERROR(B215/$B$161,0)</f>
        <v>0</v>
      </c>
      <c r="J215" s="99">
        <f>IFERROR(K215/$B$2,0)</f>
        <v>0</v>
      </c>
      <c r="K215" s="133">
        <v>0</v>
      </c>
      <c r="L215" s="99">
        <f>IFERROR(K215/$B$2,0)</f>
        <v>0</v>
      </c>
      <c r="M215" s="99">
        <f>IFERROR(L215*E215,0)</f>
        <v>0</v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>
        <v>19640</v>
      </c>
      <c r="C216" s="137">
        <v>93121461925</v>
      </c>
      <c r="D216" s="99">
        <f>IFERROR(B216/$B$161,0)</f>
        <v>0.0001964</v>
      </c>
      <c r="E216" s="131">
        <f>IFERROR(C216/B216/500.0,0)</f>
        <v>9482.83726323829</v>
      </c>
      <c r="F216" s="129" t="n"/>
      <c r="G216" s="13" t="inlineStr">
        <is>
          <t>(9000, 10000]</t>
        </is>
      </c>
      <c r="H216" s="127">
        <v>0</v>
      </c>
      <c r="I216" s="99">
        <f>IFERROR(B216/$B$161,0)</f>
        <v>0</v>
      </c>
      <c r="J216" s="99">
        <f>IFERROR(K216/$B$2,0)</f>
        <v>0</v>
      </c>
      <c r="K216" s="133">
        <v>0</v>
      </c>
      <c r="L216" s="99">
        <f>IFERROR(K216/$B$2,0)</f>
        <v>0</v>
      </c>
      <c r="M216" s="99">
        <f>IFERROR(L216*E216,0)</f>
        <v>0</v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>
        <v>93090</v>
      </c>
      <c r="C217" s="137">
        <v>650601917750</v>
      </c>
      <c r="D217" s="99">
        <f>IFERROR(B217/$B$161,0)</f>
        <v>0.0009309</v>
      </c>
      <c r="E217" s="131">
        <f>IFERROR(C217/B217/500.0,0)</f>
        <v>13977.9120797078</v>
      </c>
      <c r="F217" s="129" t="n"/>
      <c r="G217" s="13" t="inlineStr">
        <is>
          <t>(10000, 20000]</t>
        </is>
      </c>
      <c r="H217" s="127">
        <v>0</v>
      </c>
      <c r="I217" s="99">
        <f>IFERROR(B217/$B$161,0)</f>
        <v>0</v>
      </c>
      <c r="J217" s="99">
        <f>IFERROR(K217/$B$2,0)</f>
        <v>0</v>
      </c>
      <c r="K217" s="133">
        <v>0</v>
      </c>
      <c r="L217" s="99">
        <f>IFERROR(K217/$B$2,0)</f>
        <v>0</v>
      </c>
      <c r="M217" s="99">
        <f>IFERROR(L217*E217,0)</f>
        <v>0</v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>
        <v>33534</v>
      </c>
      <c r="C218" s="137">
        <v>406629941525</v>
      </c>
      <c r="D218" s="99">
        <f>IFERROR(B218/$B$161,0)</f>
        <v>0.00033534</v>
      </c>
      <c r="E218" s="131">
        <f>IFERROR(C218/B218/500.0,0)</f>
        <v>24251.8006515775</v>
      </c>
      <c r="F218" s="129" t="n"/>
      <c r="G218" s="13" t="inlineStr">
        <is>
          <t>(20000, 30000]</t>
        </is>
      </c>
      <c r="H218" s="127">
        <v>0</v>
      </c>
      <c r="I218" s="99">
        <f>IFERROR(B218/$B$161,0)</f>
        <v>0</v>
      </c>
      <c r="J218" s="99">
        <f>IFERROR(K218/$B$2,0)</f>
        <v>0</v>
      </c>
      <c r="K218" s="133">
        <v>0</v>
      </c>
      <c r="L218" s="99">
        <f>IFERROR(K218/$B$2,0)</f>
        <v>0</v>
      </c>
      <c r="M218" s="99">
        <f>IFERROR(L218*E218,0)</f>
        <v>0</v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>
        <v>15750</v>
      </c>
      <c r="C219" s="137">
        <v>272734469250</v>
      </c>
      <c r="D219" s="99">
        <f>IFERROR(B219/$B$161,0)</f>
        <v>0.0001575</v>
      </c>
      <c r="E219" s="131">
        <f>IFERROR(C219/B219/500.0,0)</f>
        <v>34632.9484761905</v>
      </c>
      <c r="F219" s="129" t="n"/>
      <c r="G219" s="13" t="inlineStr">
        <is>
          <t>(30000, 40000]</t>
        </is>
      </c>
      <c r="H219" s="127">
        <v>0</v>
      </c>
      <c r="I219" s="99">
        <f>IFERROR(B219/$B$161,0)</f>
        <v>0</v>
      </c>
      <c r="J219" s="99">
        <f>IFERROR(K219/$B$2,0)</f>
        <v>0</v>
      </c>
      <c r="K219" s="133">
        <v>0</v>
      </c>
      <c r="L219" s="99">
        <f>IFERROR(K219/$B$2,0)</f>
        <v>0</v>
      </c>
      <c r="M219" s="99">
        <f>IFERROR(L219*E219,0)</f>
        <v>0</v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>
        <v>10015</v>
      </c>
      <c r="C220" s="137">
        <v>223414198100</v>
      </c>
      <c r="D220" s="99">
        <f>IFERROR(B220/$B$161,0)</f>
        <v>0.00010015</v>
      </c>
      <c r="E220" s="131">
        <f>IFERROR(C220/B220/500.0,0)</f>
        <v>44615.9157463804</v>
      </c>
      <c r="F220" s="129" t="n"/>
      <c r="G220" s="13" t="inlineStr">
        <is>
          <t>(40000, 50000]</t>
        </is>
      </c>
      <c r="H220" s="127">
        <v>0</v>
      </c>
      <c r="I220" s="99">
        <f>IFERROR(B220/$B$161,0)</f>
        <v>0</v>
      </c>
      <c r="J220" s="99">
        <f>IFERROR(K220/$B$2,0)</f>
        <v>0</v>
      </c>
      <c r="K220" s="133">
        <v>0</v>
      </c>
      <c r="L220" s="99">
        <f>IFERROR(K220/$B$2,0)</f>
        <v>0</v>
      </c>
      <c r="M220" s="99">
        <f>IFERROR(L220*E220,0)</f>
        <v>0</v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>
        <v>6349</v>
      </c>
      <c r="C221" s="137">
        <v>173299562700</v>
      </c>
      <c r="D221" s="99">
        <f>IFERROR(B221/$B$161,0)</f>
        <v>6.349e-05</v>
      </c>
      <c r="E221" s="131">
        <f>IFERROR(C221/B221/500.0,0)</f>
        <v>54591.136462435</v>
      </c>
      <c r="F221" s="129" t="n"/>
      <c r="G221" s="13" t="inlineStr">
        <is>
          <t>(50000, 60000]</t>
        </is>
      </c>
      <c r="H221" s="127">
        <v>0</v>
      </c>
      <c r="I221" s="99">
        <f>IFERROR(B221/$B$161,0)</f>
        <v>0</v>
      </c>
      <c r="J221" s="99">
        <f>IFERROR(K221/$B$2,0)</f>
        <v>0</v>
      </c>
      <c r="K221" s="133">
        <v>0</v>
      </c>
      <c r="L221" s="99">
        <f>IFERROR(K221/$B$2,0)</f>
        <v>0</v>
      </c>
      <c r="M221" s="99">
        <f>IFERROR(L221*E221,0)</f>
        <v>0</v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>
        <v>3782</v>
      </c>
      <c r="C222" s="137">
        <v>122077781350</v>
      </c>
      <c r="D222" s="99">
        <f>IFERROR(B222/$B$161,0)</f>
        <v>3.782e-05</v>
      </c>
      <c r="E222" s="131">
        <f>IFERROR(C222/B222/500.0,0)</f>
        <v>64557.2614225278</v>
      </c>
      <c r="F222" s="129" t="n"/>
      <c r="G222" s="13" t="inlineStr">
        <is>
          <t>(60000, 70000]</t>
        </is>
      </c>
      <c r="H222" s="127">
        <v>0</v>
      </c>
      <c r="I222" s="99">
        <f>IFERROR(B222/$B$161,0)</f>
        <v>0</v>
      </c>
      <c r="J222" s="99">
        <f>IFERROR(K222/$B$2,0)</f>
        <v>0</v>
      </c>
      <c r="K222" s="133">
        <v>0</v>
      </c>
      <c r="L222" s="99">
        <f>IFERROR(K222/$B$2,0)</f>
        <v>0</v>
      </c>
      <c r="M222" s="99">
        <f>IFERROR(L222*E222,0)</f>
        <v>0</v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>
        <v>2287</v>
      </c>
      <c r="C223" s="137">
        <v>85400205325</v>
      </c>
      <c r="D223" s="99">
        <f>IFERROR(B223/$B$161,0)</f>
        <v>2.287e-05</v>
      </c>
      <c r="E223" s="131">
        <f>IFERROR(C223/B223/500.0,0)</f>
        <v>74683.1703760385</v>
      </c>
      <c r="F223" s="129" t="n"/>
      <c r="G223" s="13" t="inlineStr">
        <is>
          <t>(70000, 80000]</t>
        </is>
      </c>
      <c r="H223" s="127">
        <v>0</v>
      </c>
      <c r="I223" s="99">
        <f>IFERROR(B223/$B$161,0)</f>
        <v>0</v>
      </c>
      <c r="J223" s="99">
        <f>IFERROR(K223/$B$2,0)</f>
        <v>0</v>
      </c>
      <c r="K223" s="133">
        <v>0</v>
      </c>
      <c r="L223" s="99">
        <f>IFERROR(K223/$B$2,0)</f>
        <v>0</v>
      </c>
      <c r="M223" s="99">
        <f>IFERROR(L223*E223,0)</f>
        <v>0</v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>
        <v>1415</v>
      </c>
      <c r="C224" s="137">
        <v>59902788850</v>
      </c>
      <c r="D224" s="99">
        <f>IFERROR(B224/$B$161,0)</f>
        <v>1.415e-05</v>
      </c>
      <c r="E224" s="131">
        <f>IFERROR(C224/B224/500.0,0)</f>
        <v>84668.2527915194</v>
      </c>
      <c r="F224" s="129" t="n"/>
      <c r="G224" s="13" t="inlineStr">
        <is>
          <t>(80000, 90000]</t>
        </is>
      </c>
      <c r="H224" s="127">
        <v>0</v>
      </c>
      <c r="I224" s="99">
        <f>IFERROR(B224/$B$161,0)</f>
        <v>0</v>
      </c>
      <c r="J224" s="99">
        <f>IFERROR(K224/$B$2,0)</f>
        <v>0</v>
      </c>
      <c r="K224" s="133">
        <v>0</v>
      </c>
      <c r="L224" s="99">
        <f>IFERROR(K224/$B$2,0)</f>
        <v>0</v>
      </c>
      <c r="M224" s="99">
        <f>IFERROR(L224*E224,0)</f>
        <v>0</v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>
        <v>848</v>
      </c>
      <c r="C225" s="137">
        <v>40032606400</v>
      </c>
      <c r="D225" s="99">
        <f>IFERROR(B225/$B$161,0)</f>
        <v>8.48e-06</v>
      </c>
      <c r="E225" s="131">
        <f>IFERROR(C225/B225/500.0,0)</f>
        <v>94416.5245283019</v>
      </c>
      <c r="F225" s="129" t="n"/>
      <c r="G225" s="13" t="inlineStr">
        <is>
          <t>(90000, 100000]</t>
        </is>
      </c>
      <c r="H225" s="127">
        <v>0</v>
      </c>
      <c r="I225" s="99">
        <f>IFERROR(B225/$B$161,0)</f>
        <v>0</v>
      </c>
      <c r="J225" s="99">
        <f>IFERROR(K225/$B$2,0)</f>
        <v>0</v>
      </c>
      <c r="K225" s="133">
        <v>0</v>
      </c>
      <c r="L225" s="99">
        <f>IFERROR(K225/$B$2,0)</f>
        <v>0</v>
      </c>
      <c r="M225" s="99">
        <f>IFERROR(L225*E225,0)</f>
        <v>0</v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>
        <v>1218</v>
      </c>
      <c r="C226" s="137">
        <v>74475216675</v>
      </c>
      <c r="D226" s="99">
        <f>IFERROR(B226/$B$161,0)</f>
        <v>1.218e-05</v>
      </c>
      <c r="E226" s="131">
        <f>IFERROR(C226/B226/500.0,0)</f>
        <v>122290.996182266</v>
      </c>
      <c r="F226" s="129" t="n"/>
      <c r="G226" s="13" t="inlineStr">
        <is>
          <t>(100000, 9999999]</t>
        </is>
      </c>
      <c r="H226" s="127">
        <v>0</v>
      </c>
      <c r="I226" s="99">
        <f>IFERROR(B226/$B$161,0)</f>
        <v>0</v>
      </c>
      <c r="J226" s="99">
        <f>IFERROR(K226/$B$2,0)</f>
        <v>0</v>
      </c>
      <c r="K226" s="133">
        <v>0</v>
      </c>
      <c r="L226" s="99">
        <f>IFERROR(K226/$B$2,0)</f>
        <v>0</v>
      </c>
      <c r="M226" s="99">
        <f>IFERROR(L226*E226,0)</f>
        <v>0</v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>1000000000</v>
      </c>
      <c r="M227">
        <f>SUM(M163:M226)</f>
        <v>94.0000000360977</v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0.200000000008975</v>
      </c>
      <c r="E7" s="119">
        <f>SUM(C7:D7)</f>
        <v>0.940000001001184</v>
      </c>
      <c r="F7" s="30">
        <v>0.00333333372535556</v>
      </c>
      <c r="G7" s="31">
        <f>1/F7</f>
        <v>299.999964718004</v>
      </c>
      <c r="H7" s="32">
        <f>D7*G7</f>
        <v>59.9999929462935</v>
      </c>
      <c r="I7" s="120">
        <f>IFERROR(LOOKUP(2,1/(K15:K78&lt;&gt;0),P15:P78),0)</f>
        <v>20</v>
      </c>
      <c r="J7" s="120">
        <f>IFERROR(LOOKUP(2,1/(K86:K149&lt;&gt;0),P86:P149),0)</f>
        <v>120</v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0.0118333316553809</v>
      </c>
      <c r="I99" s="99">
        <f>IFERROR(B99/$B$84,0)</f>
        <v>0.000441953</v>
      </c>
      <c r="J99" s="99">
        <f>IFERROR(K99/$B$2,0)</f>
        <v>0.000441953</v>
      </c>
      <c r="K99" s="128">
        <v>441953</v>
      </c>
      <c r="L99" s="99">
        <f>IFERROR(K99/$B$2,0)</f>
        <v>0.000441953</v>
      </c>
      <c r="M99" s="99">
        <f>IFERROR(L99*E99,0)</f>
        <v>0.00990928633065296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2.97310390078249</v>
      </c>
      <c r="I100" s="99">
        <f>IFERROR(B100/$B$84,0)</f>
        <v>0.10123833</v>
      </c>
      <c r="J100" s="99">
        <f>IFERROR(K100/$B$2,0)</f>
        <v>0.10123833</v>
      </c>
      <c r="K100" s="128">
        <v>101238330</v>
      </c>
      <c r="L100" s="99">
        <f>IFERROR(K100/$B$2,0)</f>
        <v>0.10123833</v>
      </c>
      <c r="M100" s="99">
        <f>IFERROR(L100*E100,0)</f>
        <v>2.79148582773939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3.1663705782219</v>
      </c>
      <c r="I101" s="99">
        <f>IFERROR(B101/$B$84,0)</f>
        <v>0.097952574</v>
      </c>
      <c r="J101" s="99">
        <f>IFERROR(K101/$B$2,0)</f>
        <v>0.097952574</v>
      </c>
      <c r="K101" s="128">
        <v>97952574</v>
      </c>
      <c r="L101" s="99">
        <f>IFERROR(K101/$B$2,0)</f>
        <v>0.097952574</v>
      </c>
      <c r="M101" s="99">
        <f>IFERROR(L101*E101,0)</f>
        <v>3.18612553894905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0.99113742073617</v>
      </c>
      <c r="I102" s="99">
        <f>IFERROR(B102/$B$84,0)</f>
        <v>0.031556333</v>
      </c>
      <c r="J102" s="99">
        <f>IFERROR(K102/$B$2,0)</f>
        <v>0.031556333</v>
      </c>
      <c r="K102" s="128">
        <v>31556333</v>
      </c>
      <c r="L102" s="99">
        <f>IFERROR(K102/$B$2,0)</f>
        <v>0.031556333</v>
      </c>
      <c r="M102" s="99">
        <f>IFERROR(L102*E102,0)</f>
        <v>1.18265974363035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2.15512382292173</v>
      </c>
      <c r="I103" s="99">
        <f>IFERROR(B103/$B$84,0)</f>
        <v>0.060927043</v>
      </c>
      <c r="J103" s="99">
        <f>IFERROR(K103/$B$2,0)</f>
        <v>0.060927043</v>
      </c>
      <c r="K103" s="128">
        <v>60927043</v>
      </c>
      <c r="L103" s="99">
        <f>IFERROR(K103/$B$2,0)</f>
        <v>0.060927043</v>
      </c>
      <c r="M103" s="99">
        <f>IFERROR(L103*E103,0)</f>
        <v>2.58455728214976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5.74995142744779</v>
      </c>
      <c r="I104" s="99">
        <f>IFERROR(B104/$B$84,0)</f>
        <v>0.146715556</v>
      </c>
      <c r="J104" s="99">
        <f>IFERROR(K104/$B$2,0)</f>
        <v>0.146715556</v>
      </c>
      <c r="K104" s="128">
        <v>146715556</v>
      </c>
      <c r="L104" s="99">
        <f>IFERROR(K104/$B$2,0)</f>
        <v>0.146715556</v>
      </c>
      <c r="M104" s="99">
        <f>IFERROR(L104*E104,0)</f>
        <v>6.96724909721203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1.43576131032478</v>
      </c>
      <c r="I105" s="99">
        <f>IFERROR(B105/$B$84,0)</f>
        <v>0.073269669</v>
      </c>
      <c r="J105" s="99">
        <f>IFERROR(K105/$B$2,0)</f>
        <v>0.073269669</v>
      </c>
      <c r="K105" s="128">
        <v>73269669</v>
      </c>
      <c r="L105" s="99">
        <f>IFERROR(K105/$B$2,0)</f>
        <v>0.073269669</v>
      </c>
      <c r="M105" s="99">
        <f>IFERROR(L105*E105,0)</f>
        <v>4.02051422735814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3.1517787050997</v>
      </c>
      <c r="I106" s="99">
        <f>IFERROR(B106/$B$84,0)</f>
        <v>0.144187862</v>
      </c>
      <c r="J106" s="99">
        <f>IFERROR(K106/$B$2,0)</f>
        <v>0.144187862</v>
      </c>
      <c r="K106" s="128">
        <v>144187862</v>
      </c>
      <c r="L106" s="99">
        <f>IFERROR(K106/$B$2,0)</f>
        <v>0.144187862</v>
      </c>
      <c r="M106" s="99">
        <f>IFERROR(L106*E106,0)</f>
        <v>9.36208371866604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3.47890463076412</v>
      </c>
      <c r="I107" s="99">
        <f>IFERROR(B107/$B$84,0)</f>
        <v>0.14187106</v>
      </c>
      <c r="J107" s="99">
        <f>IFERROR(K107/$B$2,0)</f>
        <v>0.14187106</v>
      </c>
      <c r="K107" s="128">
        <v>141871060</v>
      </c>
      <c r="L107" s="99">
        <f>IFERROR(K107/$B$2,0)</f>
        <v>0.14187106</v>
      </c>
      <c r="M107" s="99">
        <f>IFERROR(L107*E107,0)</f>
        <v>10.6173991775116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2.99904478521236</v>
      </c>
      <c r="I108" s="99">
        <f>IFERROR(B108/$B$84,0)</f>
        <v>0.10523677</v>
      </c>
      <c r="J108" s="99">
        <f>IFERROR(K108/$B$2,0)</f>
        <v>0.10523677</v>
      </c>
      <c r="K108" s="128">
        <v>105236770</v>
      </c>
      <c r="L108" s="99">
        <f>IFERROR(K108/$B$2,0)</f>
        <v>0.10523677</v>
      </c>
      <c r="M108" s="99">
        <f>IFERROR(L108*E108,0)</f>
        <v>8.94615479292407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0.558019445991989</v>
      </c>
      <c r="I109" s="51">
        <f>IFERROR(B109/$B$84,0)</f>
        <v>0.018875336</v>
      </c>
      <c r="J109" s="51">
        <f>IFERROR(K109/$B$2,0)</f>
        <v>0.018875336</v>
      </c>
      <c r="K109" s="128">
        <v>18875336</v>
      </c>
      <c r="L109" s="99">
        <f>IFERROR(K109/$B$2,0)</f>
        <v>0.018875336</v>
      </c>
      <c r="M109" s="99">
        <f>IFERROR(L109*E109,0)</f>
        <v>1.79001943090521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1.38465031576991</v>
      </c>
      <c r="I110" s="51">
        <f>IFERROR(B110/$B$84,0)</f>
        <v>0.077727514</v>
      </c>
      <c r="J110" s="51">
        <f>IFERROR(K110/$B$2,0)</f>
        <v>0.077727514</v>
      </c>
      <c r="K110" s="128">
        <v>77727514</v>
      </c>
      <c r="L110" s="99">
        <f>IFERROR(K110/$B$2,0)</f>
        <v>0.077727514</v>
      </c>
      <c r="M110" s="99">
        <f>IFERROR(L110*E110,0)</f>
        <v>8.54183482291714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</v>
      </c>
      <c r="I115" s="51">
        <f>IFERROR(B115/$B$84,0)</f>
        <v>0</v>
      </c>
      <c r="J115" s="51">
        <f>IFERROR(K115/$B$2,0)</f>
        <v>0</v>
      </c>
      <c r="K115" s="128">
        <v>0</v>
      </c>
      <c r="L115" s="99">
        <f>IFERROR(K115/$B$2,0)</f>
        <v>0</v>
      </c>
      <c r="M115" s="99">
        <f>IFERROR(L115*E115,0)</f>
        <v>0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59.9999929462935</v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2026-09-01T09:21:00Z</dcterms:modified>
  <cp:lastModifiedBy>宏羲 沈</cp:lastModifiedBy>
</cp:coreProperties>
</file>