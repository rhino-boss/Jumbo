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00073EF6-AFD8-41DD-8B29-B87D9089F154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<sst xmlns="http://schemas.openxmlformats.org/spreadsheetml/2006/main" count="1098" uniqueCount="132">
  <si>
    <t>Model:</t>
  </si>
  <si>
    <t>H027192</t>
  </si>
  <si>
    <t>Version:</t>
  </si>
  <si>
    <t>3.0.0.0</t>
  </si>
  <si>
    <t>Base Bet</t>
  </si>
  <si>
    <t>Coin in</t>
  </si>
  <si>
    <t>Price(x)</t>
  </si>
  <si>
    <t>Bet Type</t>
  </si>
  <si>
    <t>Normal Bet</t>
  </si>
  <si>
    <t>Extra Bet</t>
  </si>
  <si>
    <t>Buy Feature</t>
  </si>
  <si>
    <t>Super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</si>
  <si>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</si>
  <si>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</si>
  <si>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</si>
  <si>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</si>
  <si>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</si>
  <si>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</si>
  <si>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</si>
  <si>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</si>
  <si>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</si>
  <si>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</si>
  <si>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</si>
  <si>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</si>
  <si>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</si>
  <si>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</si>
  <si>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</si>
  <si>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</si>
  <si>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</si>
  <si>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</si>
  <si>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</si>
  <si>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</si>
  <si>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</si>
  <si>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</si>
  <si>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</si>
  <si>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</si>
  <si>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</si>
  <si>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</si>
  <si>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</si>
  <si>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</si>
  <si>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</si>
  <si>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</si>
  <si>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</si>
  <si>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</si>
  <si>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</si>
  <si>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</si>
  <si>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</si>
  <si>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</si>
  <si>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</si>
  <si>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</si>
  <si>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</si>
  <si>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</si>
  <si>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</si>
  <si>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</si>
  <si>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</si>
  <si>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</si>
  <si>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</si>
  <si>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</si>
  <si>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</si>
  <si>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</si>
  <si>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</si>
  <si>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</si>
  <si>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</si>
  <si>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</si>
  <si>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</si>
  <si>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</si>
  <si>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</si>
  <si>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</si>
  <si>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</si>
  <si>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</si>
  <si>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</si>
  <si>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</si>
  <si>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</si>
  <si>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</si>
  <si>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</si>
  <si>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</si>
  <si>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</si>
  <si>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</si>
  <si>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</si>
  <si>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</si>
  <si>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</si>
  <si>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</si>
  <si>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</si>
  <si>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</si>
  <si>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</si>
  <si>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</si>
  <si>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</si>
  <si>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</si>
  <si>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</si>
  <si>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</si>
  <si>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</si>
  <si>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</si>
  <si>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</si>
  <si>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</si>
  <si>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</si>
  <si>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</si>
  <si>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</si>
  <si>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</si>
  <si>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</si>
  <si>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</si>
  <si>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</si>
  <si>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</si>
  <si>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(92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</si>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</sst>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1" applyNumberFormat="1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0" fontId="23" fillId="0" borderId="12" xfId="0" applyFont="1" applyBorder="1"/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inlineStr">
        <is>
          <t>3.0.0.1</t>
        </is>
      </c>
      <c r="C3" s="61"/>
    </row>
    <row r="5" spans="1:10" x14ac:dyDescent="0.3">
      <c r="A5" s="2"/>
      <c r="B5" s="4"/>
      <c r="C5" s="4"/>
    </row>
    <row r="6" spans="1:10" x14ac:dyDescent="0.3">
      <c r="A6" s="7" t="s">
        <v>4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x14ac:dyDescent="0.3">
      <c r="A10" s="7" t="s">
        <v>5</v>
      </c>
      <c r="B10" s="7" t="s">
        <v>6</v>
      </c>
      <c r="C10" s="14" t="s">
        <v>7</v>
      </c>
      <c r="D10" s="14" t="s">
        <v>7</v>
      </c>
      <c r="E10" s="20"/>
      <c r="F10" s="69"/>
      <c r="G10" s="70"/>
    </row>
    <row r="11" spans="1:10" x14ac:dyDescent="0.3">
      <c r="A11" s="21">
        <v>100</v>
      </c>
      <c r="B11" s="19">
        <v>1</v>
      </c>
      <c r="C11" s="96" t="s">
        <v>8</v>
      </c>
      <c r="D11" s="96" t="s">
        <v>8</v>
      </c>
      <c r="E11" s="20"/>
      <c r="F11" s="69"/>
      <c r="G11" s="70"/>
    </row>
    <row r="12" spans="1:10" x14ac:dyDescent="0.3">
      <c r="A12" s="21">
        <v>200</v>
      </c>
      <c r="B12" s="19">
        <v>2</v>
      </c>
      <c r="C12" s="96" t="s">
        <v>9</v>
      </c>
      <c r="D12" s="96" t="s">
        <v>10</v>
      </c>
      <c r="E12" s="20"/>
      <c r="F12" s="69"/>
      <c r="G12" s="70"/>
    </row>
    <row r="13" spans="1:10" x14ac:dyDescent="0.3">
      <c r="A13" s="21">
        <v>10000</v>
      </c>
      <c r="B13" s="19">
        <v>100</v>
      </c>
      <c r="C13" s="96" t="s">
        <v>10</v>
      </c>
      <c r="D13" s="96" t="s">
        <v>11</v>
      </c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12</v>
      </c>
      <c r="B15" s="107">
        <v>1</v>
      </c>
      <c r="C15" s="108">
        <v>2</v>
      </c>
      <c r="D15" s="108">
        <v>3</v>
      </c>
      <c r="E15" s="107">
        <v>4</v>
      </c>
      <c r="F15" s="109">
        <v>5</v>
      </c>
      <c r="G15" s="109">
        <v>6</v>
      </c>
      <c r="H15" s="20"/>
      <c r="I15" s="69"/>
      <c r="J15" s="70"/>
    </row>
    <row r="16" spans="1:10" x14ac:dyDescent="0.3">
      <c r="A16" s="104" t="s">
        <v>13</v>
      </c>
      <c r="B16" s="105">
        <v>5</v>
      </c>
      <c r="C16" s="105">
        <v>5</v>
      </c>
      <c r="D16" s="105">
        <v>5</v>
      </c>
      <c r="E16" s="105">
        <v>5</v>
      </c>
      <c r="F16" s="106">
        <v>5</v>
      </c>
      <c r="G16" s="106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7</v>
      </c>
      <c r="B19" s="7" t="s">
        <v>16</v>
      </c>
      <c r="C19" s="7" t="s">
        <v>17</v>
      </c>
      <c r="D19" s="7" t="s">
        <v>18</v>
      </c>
      <c r="E19" s="7" t="s">
        <v>19</v>
      </c>
      <c r="H19" s="20"/>
      <c r="I19" s="69"/>
      <c r="J19" s="70"/>
    </row>
    <row r="20" spans="1:10" x14ac:dyDescent="0.3">
      <c r="A20" s="97" t="str">
        <f>D11</f>
        <v>Normal Bet</v>
      </c>
      <c r="B20" s="16">
        <f>Detail!C7</f>
        <v>0.68786721549253937</v>
      </c>
      <c r="C20" s="99">
        <f>1/D20</f>
        <v>2.0000000000000001E-4</v>
      </c>
      <c r="D20" s="101">
        <f>Detail!G7</f>
        <v>5000</v>
      </c>
      <c r="E20" s="13" t="s">
        <v>14</v>
      </c>
      <c r="F20" s="3"/>
      <c r="G20" s="3"/>
      <c r="H20" s="3"/>
      <c r="I20" s="3"/>
    </row>
    <row r="21" spans="1:10" x14ac:dyDescent="0.3">
      <c r="A21" s="102"/>
      <c r="B21" s="16">
        <f>Detail!D7</f>
        <v>1.8931049125307485E-2</v>
      </c>
      <c r="C21" s="102"/>
      <c r="D21" s="102"/>
      <c r="E21" s="13" t="s">
        <v>15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7</v>
      </c>
      <c r="B23" s="7" t="s">
        <v>16</v>
      </c>
      <c r="C23" s="7" t="s">
        <v>17</v>
      </c>
      <c r="D23" s="7" t="s">
        <v>18</v>
      </c>
      <c r="E23" s="7" t="s">
        <v>19</v>
      </c>
      <c r="F23" s="3"/>
      <c r="G23" s="3"/>
      <c r="H23" s="3"/>
      <c r="I23" s="3"/>
    </row>
    <row r="24" spans="1:10" x14ac:dyDescent="0.3">
      <c r="A24" s="98" t="str">
        <f>D12</f>
        <v>Buy Feature</v>
      </c>
      <c r="B24" s="16">
        <f>Detail!C8</f>
        <v>0</v>
      </c>
      <c r="C24" s="99">
        <f>1/D24</f>
        <v>1</v>
      </c>
      <c r="D24" s="100">
        <v>1</v>
      </c>
      <c r="E24" s="13" t="s">
        <v>14</v>
      </c>
      <c r="F24" s="3"/>
      <c r="G24" s="3"/>
      <c r="H24" s="3"/>
      <c r="I24" s="3"/>
    </row>
    <row r="25" spans="1:10" x14ac:dyDescent="0.3">
      <c r="A25" s="103"/>
      <c r="B25" s="16">
        <f>Detail!D8</f>
        <v>0.92056851009462182</v>
      </c>
      <c r="C25" s="102"/>
      <c r="D25" s="102"/>
      <c r="E25" s="13" t="s">
        <v>15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7</v>
      </c>
      <c r="B27" s="7" t="s">
        <v>16</v>
      </c>
      <c r="C27" s="7" t="s">
        <v>17</v>
      </c>
      <c r="D27" s="7" t="s">
        <v>18</v>
      </c>
      <c r="E27" s="7" t="s">
        <v>19</v>
      </c>
    </row>
    <row r="28" spans="1:10" x14ac:dyDescent="0.3">
      <c r="A28" s="98" t="str">
        <f>D13</f>
        <v>Super Feature</v>
      </c>
      <c r="B28" s="16">
        <f>Detail!C9</f>
        <v>0</v>
      </c>
      <c r="C28" s="99">
        <f>IFERROR(1/D28,0)</f>
        <v>1</v>
      </c>
      <c r="D28" s="100">
        <v>1</v>
      </c>
      <c r="E28" s="13" t="s">
        <v>14</v>
      </c>
    </row>
    <row r="29" spans="1:10" x14ac:dyDescent="0.3">
      <c r="A29" s="103"/>
      <c r="B29" s="16">
        <f>Detail!D9</f>
        <v>0.3682274040378487</v>
      </c>
      <c r="C29" s="102"/>
      <c r="D29" s="102"/>
      <c r="E29" s="13" t="s">
        <v>15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20</v>
      </c>
    </row>
    <row r="2" spans="1:7" x14ac:dyDescent="0.3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spans="1:7" x14ac:dyDescent="0.3">
      <c r="A3" s="11" t="s">
        <v>28</v>
      </c>
      <c r="B3" s="8">
        <f>Detail_Newbie!K15</f>
        <v>713607893</v>
      </c>
      <c r="C3" s="8">
        <f>Detail_Newbie!K86</f>
        <v>0</v>
      </c>
      <c r="D3" s="8">
        <f>Detail!K15</f>
        <v>713607893</v>
      </c>
      <c r="E3" s="8">
        <f>Detail!K86</f>
        <v>0</v>
      </c>
      <c r="F3" s="8">
        <f>Detail!K163</f>
        <v>0</v>
      </c>
      <c r="G3" s="8">
        <f>Detail!K234</f>
        <v>0</v>
      </c>
    </row>
    <row r="4" spans="1:7" x14ac:dyDescent="0.3">
      <c r="A4" s="11" t="s">
        <v>28</v>
      </c>
      <c r="B4" s="8">
        <v>678967119</v>
      </c>
      <c r="C4" s="8">
        <v>0</v>
      </c>
      <c r="D4" s="8">
        <v>678967119</v>
      </c>
      <c r="E4" s="8">
        <v>0</v>
      </c>
      <c r="F4" s="8">
        <v>0</v>
      </c>
      <c r="G4" s="8">
        <v>0</v>
      </c>
    </row>
    <row r="5" spans="1:7" x14ac:dyDescent="0.3">
      <c r="A5" s="11" t="s">
        <v>29</v>
      </c>
      <c r="B5" s="8">
        <v>173560499</v>
      </c>
      <c r="C5" s="8">
        <v>0</v>
      </c>
      <c r="D5" s="8">
        <v>173560499</v>
      </c>
      <c r="E5" s="8">
        <v>0</v>
      </c>
      <c r="F5" s="8">
        <v>0</v>
      </c>
      <c r="G5" s="8">
        <v>0</v>
      </c>
    </row>
    <row r="6" spans="1:7" x14ac:dyDescent="0.3">
      <c r="A6" s="11" t="s">
        <v>30</v>
      </c>
      <c r="B6" s="8">
        <v>59755461</v>
      </c>
      <c r="C6" s="8">
        <v>0</v>
      </c>
      <c r="D6" s="8">
        <v>59755461</v>
      </c>
      <c r="E6" s="8">
        <v>0</v>
      </c>
      <c r="F6" s="8">
        <v>0</v>
      </c>
      <c r="G6" s="8">
        <v>0</v>
      </c>
    </row>
    <row r="7" spans="1:7" x14ac:dyDescent="0.3">
      <c r="A7" s="11" t="s">
        <v>31</v>
      </c>
      <c r="B7" s="8">
        <v>25786010</v>
      </c>
      <c r="C7" s="8">
        <v>0</v>
      </c>
      <c r="D7" s="8">
        <v>25786010</v>
      </c>
      <c r="E7" s="8">
        <v>0</v>
      </c>
      <c r="F7" s="8">
        <v>0</v>
      </c>
      <c r="G7" s="8">
        <v>0</v>
      </c>
    </row>
    <row r="8" spans="1:7" x14ac:dyDescent="0.3">
      <c r="A8" s="11" t="s">
        <v>32</v>
      </c>
      <c r="B8" s="8">
        <v>17601110</v>
      </c>
      <c r="C8" s="8">
        <v>0</v>
      </c>
      <c r="D8" s="8">
        <v>17601110</v>
      </c>
      <c r="E8" s="8">
        <v>0</v>
      </c>
      <c r="F8" s="8">
        <v>0</v>
      </c>
      <c r="G8" s="8">
        <v>0</v>
      </c>
    </row>
    <row r="9" spans="1:7" x14ac:dyDescent="0.3">
      <c r="A9" s="11" t="s">
        <v>33</v>
      </c>
      <c r="B9" s="8">
        <v>9858350</v>
      </c>
      <c r="C9" s="8">
        <v>0</v>
      </c>
      <c r="D9" s="8">
        <v>9858350</v>
      </c>
      <c r="E9" s="8">
        <v>0</v>
      </c>
      <c r="F9" s="8">
        <v>0</v>
      </c>
      <c r="G9" s="8">
        <v>0</v>
      </c>
    </row>
    <row r="10" spans="1:7" x14ac:dyDescent="0.3">
      <c r="A10" s="11" t="s">
        <v>34</v>
      </c>
      <c r="B10" s="8">
        <v>4775546</v>
      </c>
      <c r="C10" s="8">
        <v>0</v>
      </c>
      <c r="D10" s="8">
        <v>4775546</v>
      </c>
      <c r="E10" s="8">
        <v>0</v>
      </c>
      <c r="F10" s="8">
        <v>0</v>
      </c>
      <c r="G10" s="8">
        <v>0</v>
      </c>
    </row>
    <row r="11" spans="1:7" x14ac:dyDescent="0.3">
      <c r="A11" s="11" t="s">
        <v>35</v>
      </c>
      <c r="B11" s="8">
        <v>4248555</v>
      </c>
      <c r="C11" s="8">
        <v>0</v>
      </c>
      <c r="D11" s="8">
        <v>4248555</v>
      </c>
      <c r="E11" s="8">
        <v>0</v>
      </c>
      <c r="F11" s="8">
        <v>0</v>
      </c>
      <c r="G11" s="8">
        <v>0</v>
      </c>
    </row>
    <row r="12" spans="1:7" x14ac:dyDescent="0.3">
      <c r="A12" s="11" t="s">
        <v>36</v>
      </c>
      <c r="B12" s="8">
        <v>3156319</v>
      </c>
      <c r="C12" s="8">
        <v>0</v>
      </c>
      <c r="D12" s="8">
        <v>3156319</v>
      </c>
      <c r="E12" s="8">
        <v>0</v>
      </c>
      <c r="F12" s="8">
        <v>0</v>
      </c>
      <c r="G12" s="8">
        <v>0</v>
      </c>
    </row>
    <row r="13" spans="1:7" x14ac:dyDescent="0.3">
      <c r="A13" s="11" t="s">
        <v>37</v>
      </c>
      <c r="B13" s="8">
        <v>2551591</v>
      </c>
      <c r="C13" s="8">
        <v>0</v>
      </c>
      <c r="D13" s="8">
        <v>2551591</v>
      </c>
      <c r="E13" s="8">
        <v>0</v>
      </c>
      <c r="F13" s="8">
        <v>0</v>
      </c>
      <c r="G13" s="8">
        <v>82731693</v>
      </c>
    </row>
    <row r="14" spans="1:7" x14ac:dyDescent="0.3">
      <c r="A14" s="11" t="s">
        <v>38</v>
      </c>
      <c r="B14" s="8">
        <v>3513779</v>
      </c>
      <c r="C14" s="8">
        <v>0</v>
      </c>
      <c r="D14" s="8">
        <v>3513779</v>
      </c>
      <c r="E14" s="8">
        <v>0</v>
      </c>
      <c r="F14" s="8">
        <v>0</v>
      </c>
      <c r="G14" s="8">
        <v>0</v>
      </c>
    </row>
    <row r="15" spans="1:7" x14ac:dyDescent="0.3">
      <c r="A15" s="11" t="s">
        <v>39</v>
      </c>
      <c r="B15" s="8">
        <v>10748265</v>
      </c>
      <c r="C15" s="8">
        <v>0</v>
      </c>
      <c r="D15" s="8">
        <v>10748265</v>
      </c>
      <c r="E15" s="8">
        <v>0</v>
      </c>
      <c r="F15" s="8">
        <v>0</v>
      </c>
      <c r="G15" s="8">
        <v>39256790</v>
      </c>
    </row>
    <row r="16" spans="1:7" x14ac:dyDescent="0.3">
      <c r="A16" s="11" t="s">
        <v>40</v>
      </c>
      <c r="B16" s="8">
        <v>5477396</v>
      </c>
      <c r="C16" s="8">
        <v>0</v>
      </c>
      <c r="D16" s="8">
        <v>5477396</v>
      </c>
      <c r="E16" s="8">
        <v>0</v>
      </c>
      <c r="F16" s="8">
        <v>0</v>
      </c>
      <c r="G16" s="8">
        <v>66918889</v>
      </c>
    </row>
    <row r="17" spans="1:7" x14ac:dyDescent="0.3">
      <c r="A17" s="11" t="s">
        <v>41</v>
      </c>
      <c r="B17" s="8">
        <v>0</v>
      </c>
      <c r="C17" s="8">
        <v>441953</v>
      </c>
      <c r="D17" s="8">
        <v>0</v>
      </c>
      <c r="E17" s="8">
        <v>2559776</v>
      </c>
      <c r="F17" s="8">
        <v>51373698</v>
      </c>
      <c r="G17" s="8">
        <v>35303964</v>
      </c>
    </row>
    <row r="18" spans="1:7" x14ac:dyDescent="0.3">
      <c r="A18" s="11" t="s">
        <v>42</v>
      </c>
      <c r="B18" s="8">
        <v>0</v>
      </c>
      <c r="C18" s="8">
        <v>101238330</v>
      </c>
      <c r="D18" s="8">
        <v>0</v>
      </c>
      <c r="E18" s="8">
        <v>118180899</v>
      </c>
      <c r="F18" s="8">
        <v>56173947</v>
      </c>
      <c r="G18" s="8">
        <v>39267300</v>
      </c>
    </row>
    <row r="19" spans="1:7" x14ac:dyDescent="0.3">
      <c r="A19" s="11" t="s">
        <v>43</v>
      </c>
      <c r="B19" s="8">
        <v>0</v>
      </c>
      <c r="C19" s="8">
        <v>97952574</v>
      </c>
      <c r="D19" s="8">
        <v>0</v>
      </c>
      <c r="E19" s="8">
        <v>112241621</v>
      </c>
      <c r="F19" s="8">
        <v>105005100</v>
      </c>
      <c r="G19" s="8">
        <v>74839044</v>
      </c>
    </row>
    <row r="20" spans="1:7" x14ac:dyDescent="0.3">
      <c r="A20" s="11" t="s">
        <v>44</v>
      </c>
      <c r="B20" s="8">
        <v>0</v>
      </c>
      <c r="C20" s="8">
        <v>31556333</v>
      </c>
      <c r="D20" s="8">
        <v>0</v>
      </c>
      <c r="E20" s="8">
        <v>35435444</v>
      </c>
      <c r="F20" s="8">
        <v>59793711</v>
      </c>
      <c r="G20" s="8">
        <v>43224155</v>
      </c>
    </row>
    <row r="21" spans="1:7" x14ac:dyDescent="0.3">
      <c r="A21" s="11" t="s">
        <v>45</v>
      </c>
      <c r="B21" s="8">
        <v>0</v>
      </c>
      <c r="C21" s="8">
        <v>60927043</v>
      </c>
      <c r="D21" s="8">
        <v>0</v>
      </c>
      <c r="E21" s="8">
        <v>66920198</v>
      </c>
      <c r="F21" s="8">
        <v>53449910</v>
      </c>
      <c r="G21" s="8">
        <v>39277876</v>
      </c>
    </row>
    <row r="22" spans="1:7" x14ac:dyDescent="0.3">
      <c r="A22" s="11" t="s">
        <v>46</v>
      </c>
      <c r="B22" s="8">
        <v>0</v>
      </c>
      <c r="C22" s="8">
        <v>146715556</v>
      </c>
      <c r="D22" s="8">
        <v>0</v>
      </c>
      <c r="E22" s="8">
        <v>150000000</v>
      </c>
      <c r="F22" s="8">
        <v>57796117</v>
      </c>
      <c r="G22" s="8">
        <v>43231205</v>
      </c>
    </row>
    <row r="23" spans="1:7" x14ac:dyDescent="0.3">
      <c r="A23" s="11" t="s">
        <v>47</v>
      </c>
      <c r="B23" s="8">
        <v>0</v>
      </c>
      <c r="C23" s="8">
        <v>73269669</v>
      </c>
      <c r="D23" s="8">
        <v>0</v>
      </c>
      <c r="E23" s="8">
        <v>77279040</v>
      </c>
      <c r="F23" s="8">
        <v>138220710</v>
      </c>
      <c r="G23" s="8">
        <v>106473352</v>
      </c>
    </row>
    <row r="24" spans="1:7" x14ac:dyDescent="0.3">
      <c r="A24" s="11" t="s">
        <v>48</v>
      </c>
      <c r="B24" s="8">
        <v>0</v>
      </c>
      <c r="C24" s="8">
        <v>144187862</v>
      </c>
      <c r="D24" s="8">
        <v>0</v>
      </c>
      <c r="E24" s="8">
        <v>145926723</v>
      </c>
      <c r="F24" s="8">
        <v>54314083</v>
      </c>
      <c r="G24" s="8">
        <v>43243572</v>
      </c>
    </row>
    <row r="25" spans="1:7" x14ac:dyDescent="0.3">
      <c r="A25" s="11" t="s">
        <v>49</v>
      </c>
      <c r="B25" s="8">
        <v>0</v>
      </c>
      <c r="C25" s="8">
        <v>141871060</v>
      </c>
      <c r="D25" s="8">
        <v>0</v>
      </c>
      <c r="E25" s="8">
        <v>137422683</v>
      </c>
      <c r="F25" s="8">
        <v>47560079</v>
      </c>
      <c r="G25" s="8">
        <v>39300830</v>
      </c>
    </row>
    <row r="26" spans="1:7" x14ac:dyDescent="0.3">
      <c r="A26" s="11" t="s">
        <v>50</v>
      </c>
      <c r="B26" s="8">
        <v>0</v>
      </c>
      <c r="C26" s="8">
        <v>105236770</v>
      </c>
      <c r="D26" s="8">
        <v>0</v>
      </c>
      <c r="E26" s="8">
        <v>82198286</v>
      </c>
      <c r="F26" s="8">
        <v>41170100</v>
      </c>
      <c r="G26" s="8">
        <v>35348091</v>
      </c>
    </row>
    <row r="27" spans="1:7" x14ac:dyDescent="0.3">
      <c r="A27" s="11" t="s">
        <v>51</v>
      </c>
      <c r="B27" s="8">
        <v>0</v>
      </c>
      <c r="C27" s="8">
        <v>18875336</v>
      </c>
      <c r="D27" s="8">
        <v>0</v>
      </c>
      <c r="E27" s="8">
        <v>12513569</v>
      </c>
      <c r="F27" s="8">
        <v>35142545</v>
      </c>
      <c r="G27" s="8">
        <v>31405325</v>
      </c>
    </row>
    <row r="28" spans="1:7" x14ac:dyDescent="0.3">
      <c r="A28" s="11" t="s">
        <v>52</v>
      </c>
      <c r="B28" s="8">
        <v>0</v>
      </c>
      <c r="C28" s="8">
        <v>77727514</v>
      </c>
      <c r="D28" s="8">
        <v>0</v>
      </c>
      <c r="E28" s="8">
        <v>32473155</v>
      </c>
      <c r="F28" s="8">
        <v>55253875</v>
      </c>
      <c r="G28" s="8">
        <v>43275297</v>
      </c>
    </row>
    <row r="29" spans="1:7" x14ac:dyDescent="0.3">
      <c r="A29" s="11" t="s">
        <v>53</v>
      </c>
      <c r="B29" s="8">
        <v>0</v>
      </c>
      <c r="C29" s="8">
        <v>0</v>
      </c>
      <c r="D29" s="8">
        <v>0</v>
      </c>
      <c r="E29" s="8">
        <v>0</v>
      </c>
      <c r="F29" s="8">
        <v>74556646</v>
      </c>
      <c r="G29" s="8">
        <v>63048411</v>
      </c>
    </row>
    <row r="30" spans="1:7" x14ac:dyDescent="0.3">
      <c r="A30" s="11" t="s">
        <v>54</v>
      </c>
      <c r="B30" s="8">
        <v>0</v>
      </c>
      <c r="C30" s="8">
        <v>0</v>
      </c>
      <c r="D30" s="8">
        <v>0</v>
      </c>
      <c r="E30" s="8">
        <v>0</v>
      </c>
      <c r="F30" s="8">
        <v>32078957</v>
      </c>
      <c r="G30" s="8">
        <v>27494309</v>
      </c>
    </row>
    <row r="31" spans="1:7" x14ac:dyDescent="0.3">
      <c r="A31" s="11" t="s">
        <v>55</v>
      </c>
      <c r="B31" s="8">
        <v>0</v>
      </c>
      <c r="C31" s="8">
        <v>0</v>
      </c>
      <c r="D31" s="8">
        <v>0</v>
      </c>
      <c r="E31" s="8">
        <v>0</v>
      </c>
      <c r="F31" s="8">
        <v>27034573</v>
      </c>
      <c r="G31" s="8">
        <v>23558599</v>
      </c>
    </row>
    <row r="32" spans="1:7" x14ac:dyDescent="0.3">
      <c r="A32" s="11" t="s">
        <v>56</v>
      </c>
      <c r="B32" s="8">
        <v>0</v>
      </c>
      <c r="C32" s="8">
        <v>0</v>
      </c>
      <c r="D32" s="8">
        <v>0</v>
      </c>
      <c r="E32" s="8">
        <v>0</v>
      </c>
      <c r="F32" s="8">
        <v>24855359</v>
      </c>
      <c r="G32" s="8">
        <v>23572760</v>
      </c>
    </row>
    <row r="33" spans="1:7" x14ac:dyDescent="0.3">
      <c r="A33" s="11" t="s">
        <v>57</v>
      </c>
      <c r="B33" s="8">
        <v>0</v>
      </c>
      <c r="C33" s="8">
        <v>0</v>
      </c>
      <c r="D33" s="8">
        <v>0</v>
      </c>
      <c r="E33" s="8">
        <v>26848606</v>
      </c>
      <c r="F33" s="8">
        <v>38830285</v>
      </c>
      <c r="G33" s="8">
        <v>43355708</v>
      </c>
    </row>
    <row r="34" spans="1:7" x14ac:dyDescent="0.3">
      <c r="A34" s="11" t="s">
        <v>58</v>
      </c>
      <c r="B34" s="8">
        <v>0</v>
      </c>
      <c r="C34" s="8">
        <v>0</v>
      </c>
      <c r="D34" s="8">
        <v>0</v>
      </c>
      <c r="E34" s="8">
        <v>0</v>
      </c>
      <c r="F34" s="8">
        <v>7860305</v>
      </c>
      <c r="G34" s="8">
        <v>11772573</v>
      </c>
    </row>
    <row r="35" spans="1:7" x14ac:dyDescent="0.3">
      <c r="A35" s="11" t="s">
        <v>59</v>
      </c>
      <c r="B35" s="8">
        <v>0</v>
      </c>
      <c r="C35" s="8">
        <v>0</v>
      </c>
      <c r="D35" s="8">
        <v>0</v>
      </c>
      <c r="E35" s="8">
        <v>0</v>
      </c>
      <c r="F35" s="8">
        <v>6134960</v>
      </c>
      <c r="G35" s="8">
        <v>3898367</v>
      </c>
    </row>
    <row r="36" spans="1:7" x14ac:dyDescent="0.3">
      <c r="A36" s="11" t="s">
        <v>60</v>
      </c>
      <c r="B36" s="8">
        <v>0</v>
      </c>
      <c r="C36" s="8">
        <v>0</v>
      </c>
      <c r="D36" s="8">
        <v>0</v>
      </c>
      <c r="E36" s="8">
        <v>0</v>
      </c>
      <c r="F36" s="8">
        <v>10451872</v>
      </c>
      <c r="G36" s="8">
        <v>7893525</v>
      </c>
    </row>
    <row r="37" spans="1:7" x14ac:dyDescent="0.3">
      <c r="A37" s="11" t="s">
        <v>61</v>
      </c>
      <c r="B37" s="8">
        <v>0</v>
      </c>
      <c r="C37" s="8">
        <v>0</v>
      </c>
      <c r="D37" s="8">
        <v>0</v>
      </c>
      <c r="E37" s="8">
        <v>0</v>
      </c>
      <c r="F37" s="8">
        <v>12949183</v>
      </c>
      <c r="G37" s="8">
        <v>11878750</v>
      </c>
    </row>
    <row r="38" spans="1:7" x14ac:dyDescent="0.3">
      <c r="A38" s="11" t="s">
        <v>62</v>
      </c>
      <c r="B38" s="8">
        <v>0</v>
      </c>
      <c r="C38" s="8">
        <v>0</v>
      </c>
      <c r="D38" s="8">
        <v>0</v>
      </c>
      <c r="E38" s="8">
        <v>0</v>
      </c>
      <c r="F38" s="8">
        <v>6815521</v>
      </c>
      <c r="G38" s="8">
        <v>7964188</v>
      </c>
    </row>
    <row r="39" spans="1:7" x14ac:dyDescent="0.3">
      <c r="A39" s="11" t="s">
        <v>63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89942</v>
      </c>
    </row>
    <row r="40" spans="1:7" x14ac:dyDescent="0.3">
      <c r="A40" s="11" t="s">
        <v>64</v>
      </c>
      <c r="B40" s="8">
        <v>0</v>
      </c>
      <c r="C40" s="8">
        <v>0</v>
      </c>
      <c r="D40" s="8">
        <v>0</v>
      </c>
      <c r="E40" s="8">
        <v>0</v>
      </c>
      <c r="F40" s="8">
        <v>3178464</v>
      </c>
      <c r="G40" s="8">
        <v>8035003</v>
      </c>
    </row>
    <row r="41" spans="1:7" x14ac:dyDescent="0.3">
      <c r="A41" s="11" t="s">
        <v>65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160799</v>
      </c>
    </row>
    <row r="42" spans="1:7" x14ac:dyDescent="0.3">
      <c r="A42" s="11" t="s">
        <v>66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196034</v>
      </c>
    </row>
    <row r="43" spans="1:7" x14ac:dyDescent="0.3">
      <c r="A43" s="11" t="s">
        <v>67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231404</v>
      </c>
    </row>
    <row r="44" spans="1:7" x14ac:dyDescent="0.3">
      <c r="A44" s="11" t="s">
        <v>68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266955</v>
      </c>
    </row>
    <row r="45" spans="1:7" x14ac:dyDescent="0.3">
      <c r="A45" s="11" t="s">
        <v>69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302287</v>
      </c>
    </row>
    <row r="46" spans="1:7" x14ac:dyDescent="0.3">
      <c r="A46" s="11" t="s">
        <v>70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337724</v>
      </c>
    </row>
    <row r="47" spans="1:7" x14ac:dyDescent="0.3">
      <c r="A47" s="11" t="s">
        <v>71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372776</v>
      </c>
    </row>
    <row r="48" spans="1:7" x14ac:dyDescent="0.3">
      <c r="A48" s="11" t="s">
        <v>72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407900</v>
      </c>
    </row>
    <row r="49" spans="1:7" x14ac:dyDescent="0.3">
      <c r="A49" s="11" t="s">
        <v>73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633427</v>
      </c>
    </row>
    <row r="50" spans="1:7" x14ac:dyDescent="0.3">
      <c r="A50" s="11" t="s">
        <v>74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1431176</v>
      </c>
    </row>
    <row r="51" spans="1:7" x14ac:dyDescent="0.3">
      <c r="A51" s="11" t="s">
        <v>75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 s="11" t="s">
        <v>76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 s="11" t="s">
        <v>77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11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11" t="s">
        <v>79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11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11" t="s">
        <v>81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11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 s="11" t="s">
        <v>83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11" t="s">
        <v>84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11" t="s">
        <v>85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11" t="s">
        <v>86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87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x14ac:dyDescent="0.3">
      <c r="A64" s="11" t="s">
        <v>88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11" t="s">
        <v>89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11" t="s">
        <v>90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11" t="s">
        <v>91</v>
      </c>
      <c r="B67" s="8">
        <v>0</v>
      </c>
      <c r="C67" s="23">
        <v>0</v>
      </c>
      <c r="D67" s="22">
        <v>0</v>
      </c>
      <c r="E67" s="23">
        <v>0</v>
      </c>
      <c r="F67" s="9">
        <v>0</v>
      </c>
      <c r="G67" s="9">
        <v>0</v>
      </c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5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6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0.199999999738222</v>
      </c>
      <c r="E7" s="76">
        <f>SUM(C7:D7)</f>
        <v>0.92000000157172</v>
      </c>
      <c r="F7" s="27">
        <v>0.00333333372535556</v>
      </c>
      <c r="G7" s="28">
        <f>1/F7</f>
        <v>299.999964718004</v>
      </c>
      <c r="H7" s="29">
        <f>D7*G7</f>
        <v>59.9999928650676</v>
      </c>
      <c r="I7" s="77">
        <f>IFERROR(LOOKUP(2,1/(K15:K78&lt;&gt;0),P15:P78),0)</f>
        <v>20</v>
      </c>
      <c r="J7" s="77">
        <f>IFERROR(LOOKUP(2,1/(K86:K149&lt;&gt;0),P86:P149),0)</f>
        <v>250</v>
      </c>
      <c r="K7" s="63"/>
      <c r="L7" s="32"/>
      <c r="M7" s="39"/>
      <c r="Q7" s="32"/>
      <c r="R7" s="32"/>
    </row>
    <row r="8" spans="1:26" x14ac:dyDescent="0.3">
      <c r="A8" s="40" t="s">
        <v>10</v>
      </c>
      <c r="B8" s="40">
        <v>100</v>
      </c>
      <c r="C8" s="75">
        <v>0</v>
      </c>
      <c r="D8" s="75">
        <f>SUM(M163:M226)/B8</f>
        <v>0.920000000656364</v>
      </c>
      <c r="E8" s="76">
        <f>SUM(C8:D8)</f>
        <v>0.920000000656364</v>
      </c>
      <c r="F8" s="30">
        <f>D156</f>
        <v>1</v>
      </c>
      <c r="G8" s="28">
        <f>1/F8</f>
        <v>1</v>
      </c>
      <c r="H8" s="29">
        <f>D8*G8*B8</f>
        <v>92.0000000656364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 t="s">
        <v>101</v>
      </c>
      <c r="B9" s="40">
        <v>250</v>
      </c>
      <c r="C9" s="75">
        <f>0</f>
        <v>0</v>
      </c>
      <c r="D9" s="75">
        <f>IFERROR(SUM(M234:M297)/B9,0)</f>
        <v>0.3682274040378487</v>
      </c>
      <c r="E9" s="76">
        <f>SUM(C9:D9)</f>
        <v>0.3682274040378487</v>
      </c>
      <c r="F9" s="30">
        <f>1</f>
        <v>1</v>
      </c>
      <c r="G9" s="28">
        <f>IFERROR(1/F9,0)</f>
        <v>1</v>
      </c>
      <c r="H9" s="29">
        <f>D9*G9*B9</f>
        <v>92.056851009462179</v>
      </c>
      <c r="I9" s="78"/>
      <c r="J9" s="78">
        <f>IFERROR(LOOKUP(2,1/(K234:K297&lt;&gt;0),P234:P297),0)</f>
        <v>3000</v>
      </c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102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128</v>
      </c>
      <c r="R14" s="7" t="s">
        <v>129</v>
      </c>
      <c r="T14" s="10" t="s">
        <v>130</v>
      </c>
      <c r="U14" s="10" t="s">
        <v>131</v>
      </c>
    </row>
    <row r="15" spans="1:26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/>
      <c r="T15" s="65"/>
      <c r="U15" s="45">
        <f t="shared" ref="U15:U46" si="7">IFERROR(ROUND(T15/L15,2),0)</f>
        <v>0</v>
      </c>
      <c r="Y15" s="41"/>
      <c r="Z15" s="41"/>
    </row>
    <row r="16" spans="1:26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/>
      <c r="T16" s="65"/>
      <c r="U16" s="45">
        <f t="shared" si="7"/>
        <v>0</v>
      </c>
      <c r="Y16" s="41"/>
      <c r="Z16" s="41"/>
    </row>
    <row r="17" spans="1:26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/>
      <c r="T17" s="65"/>
      <c r="U17" s="45">
        <f t="shared" si="7"/>
        <v>0</v>
      </c>
      <c r="Y17" s="41"/>
      <c r="Z17" s="41"/>
    </row>
    <row r="18" spans="1:26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/>
      <c r="T18" s="65"/>
      <c r="U18" s="45">
        <f t="shared" si="7"/>
        <v>0</v>
      </c>
      <c r="Y18" s="41"/>
      <c r="Z18" s="41"/>
    </row>
    <row r="19" spans="1:26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/>
      <c r="T19" s="65"/>
      <c r="U19" s="45">
        <f t="shared" si="7"/>
        <v>0</v>
      </c>
      <c r="Y19" s="41"/>
      <c r="Z19" s="41"/>
    </row>
    <row r="20" spans="1:26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/>
      <c r="T20" s="65"/>
      <c r="U20" s="45">
        <f t="shared" si="7"/>
        <v>0</v>
      </c>
      <c r="Y20" s="41"/>
      <c r="Z20" s="41"/>
    </row>
    <row r="21" spans="1:26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/>
      <c r="T21" s="65"/>
      <c r="U21" s="45">
        <f t="shared" si="7"/>
        <v>0</v>
      </c>
      <c r="Y21" s="41"/>
      <c r="Z21" s="41"/>
    </row>
    <row r="22" spans="1:26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/>
      <c r="T22" s="65"/>
      <c r="U22" s="45">
        <f t="shared" si="7"/>
        <v>0</v>
      </c>
      <c r="Y22" s="41"/>
      <c r="Z22" s="41"/>
    </row>
    <row r="23" spans="1:26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/>
      <c r="T23" s="65"/>
      <c r="U23" s="45">
        <f t="shared" si="7"/>
        <v>0</v>
      </c>
      <c r="Y23" s="41"/>
      <c r="Z23" s="41"/>
    </row>
    <row r="24" spans="1:26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/>
      <c r="T24" s="65"/>
      <c r="U24" s="45">
        <f t="shared" si="7"/>
        <v>0</v>
      </c>
      <c r="Y24" s="41"/>
      <c r="Z24" s="41"/>
    </row>
    <row r="25" spans="1:26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/>
      <c r="T25" s="65"/>
      <c r="U25" s="45">
        <f t="shared" si="7"/>
        <v>0</v>
      </c>
      <c r="Y25" s="41"/>
      <c r="Z25" s="41"/>
    </row>
    <row r="26" spans="1:26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/>
      <c r="T26" s="65"/>
      <c r="U26" s="45">
        <f t="shared" si="7"/>
        <v>0</v>
      </c>
      <c r="Y26" s="41"/>
      <c r="Z26" s="41"/>
    </row>
    <row r="27" spans="1:26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/>
      <c r="T27" s="65"/>
      <c r="U27" s="45">
        <f t="shared" si="7"/>
        <v>0</v>
      </c>
      <c r="Y27" s="41"/>
      <c r="Z27" s="41"/>
    </row>
    <row r="28" spans="1:26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/>
      <c r="T28" s="65"/>
      <c r="U28" s="45">
        <f t="shared" si="7"/>
        <v>0</v>
      </c>
      <c r="Y28" s="41"/>
      <c r="Z28" s="41"/>
    </row>
    <row r="29" spans="1:26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/>
      <c r="T29" s="65"/>
      <c r="U29" s="45">
        <f t="shared" si="7"/>
        <v>0</v>
      </c>
      <c r="Y29" s="41"/>
      <c r="Z29" s="41"/>
    </row>
    <row r="30" spans="1:26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/>
      <c r="T30" s="65"/>
      <c r="U30" s="45">
        <f t="shared" si="7"/>
        <v>0</v>
      </c>
      <c r="Y30" s="41"/>
      <c r="Z30" s="41"/>
    </row>
    <row r="31" spans="1:26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/>
      <c r="T31" s="65"/>
      <c r="U31" s="45">
        <f t="shared" si="7"/>
        <v>0</v>
      </c>
      <c r="Y31" s="41"/>
      <c r="Z31" s="41"/>
    </row>
    <row r="32" spans="1:26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/>
      <c r="T32" s="65"/>
      <c r="U32" s="45">
        <f t="shared" si="7"/>
        <v>0</v>
      </c>
      <c r="Y32" s="41"/>
      <c r="Z32" s="41"/>
    </row>
    <row r="33" spans="1:26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/>
      <c r="T33" s="65"/>
      <c r="U33" s="45">
        <f t="shared" si="7"/>
        <v>0</v>
      </c>
      <c r="Y33" s="41"/>
      <c r="Z33" s="41"/>
    </row>
    <row r="34" spans="1:26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/>
      <c r="T34" s="65"/>
      <c r="U34" s="45">
        <f t="shared" si="7"/>
        <v>0</v>
      </c>
      <c r="Y34" s="41"/>
      <c r="Z34" s="41"/>
    </row>
    <row r="35" spans="1:26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/>
      <c r="T35" s="65"/>
      <c r="U35" s="45">
        <f t="shared" si="7"/>
        <v>0</v>
      </c>
      <c r="Y35" s="41"/>
      <c r="Z35" s="41"/>
    </row>
    <row r="36" spans="1:26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/>
      <c r="T36" s="65"/>
      <c r="U36" s="45">
        <f t="shared" si="7"/>
        <v>0</v>
      </c>
      <c r="Y36" s="41"/>
      <c r="Z36" s="41"/>
    </row>
    <row r="37" spans="1:26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/>
      <c r="T37" s="65"/>
      <c r="U37" s="45">
        <f t="shared" si="7"/>
        <v>0</v>
      </c>
      <c r="Y37" s="41"/>
      <c r="Z37" s="41"/>
    </row>
    <row r="38" spans="1:26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/>
      <c r="T38" s="65"/>
      <c r="U38" s="45">
        <f t="shared" si="7"/>
        <v>0</v>
      </c>
      <c r="Y38" s="41"/>
      <c r="Z38" s="41"/>
    </row>
    <row r="39" spans="1:26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/>
      <c r="T39" s="65"/>
      <c r="U39" s="45">
        <f t="shared" si="7"/>
        <v>0</v>
      </c>
      <c r="Y39" s="41"/>
      <c r="Z39" s="41"/>
    </row>
    <row r="40" spans="1:26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/>
      <c r="T40" s="65"/>
      <c r="U40" s="45">
        <f t="shared" si="7"/>
        <v>0</v>
      </c>
      <c r="Y40" s="41"/>
      <c r="Z40" s="41"/>
    </row>
    <row r="41" spans="1:26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/>
      <c r="T41" s="65"/>
      <c r="U41" s="45">
        <f t="shared" si="7"/>
        <v>0</v>
      </c>
      <c r="Y41" s="41"/>
      <c r="Z41" s="41"/>
    </row>
    <row r="42" spans="1:26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/>
      <c r="T42" s="65"/>
      <c r="U42" s="45">
        <f t="shared" si="7"/>
        <v>0</v>
      </c>
      <c r="Y42" s="41"/>
      <c r="Z42" s="41"/>
    </row>
    <row r="43" spans="1:26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/>
      <c r="T43" s="65"/>
      <c r="U43" s="45">
        <f t="shared" si="7"/>
        <v>0</v>
      </c>
      <c r="Y43" s="41"/>
      <c r="Z43" s="41"/>
    </row>
    <row r="44" spans="1:26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/>
      <c r="T44" s="65"/>
      <c r="U44" s="45">
        <f t="shared" si="7"/>
        <v>0</v>
      </c>
      <c r="Y44" s="41"/>
      <c r="Z44" s="41"/>
    </row>
    <row r="45" spans="1:26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/>
      <c r="T45" s="65"/>
      <c r="U45" s="45">
        <f t="shared" si="7"/>
        <v>0</v>
      </c>
      <c r="Y45" s="41"/>
      <c r="Z45" s="41"/>
    </row>
    <row r="46" spans="1:26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/>
      <c r="T46" s="65"/>
      <c r="U46" s="45">
        <f t="shared" si="7"/>
        <v>0</v>
      </c>
      <c r="Y46" s="41"/>
      <c r="Z46" s="41"/>
    </row>
    <row r="47" spans="1:26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/>
      <c r="T47" s="65"/>
      <c r="U47" s="45">
        <f t="shared" ref="U47:U78" si="15">IFERROR(ROUND(T47/L47,2),0)</f>
        <v>0</v>
      </c>
      <c r="Y47" s="41"/>
      <c r="Z47" s="41"/>
    </row>
    <row r="48" spans="1:26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/>
      <c r="T48" s="65"/>
      <c r="U48" s="45">
        <f t="shared" si="15"/>
        <v>0</v>
      </c>
      <c r="Y48" s="41"/>
      <c r="Z48" s="41"/>
    </row>
    <row r="49" spans="1:26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/>
      <c r="T49" s="65"/>
      <c r="U49" s="45">
        <f t="shared" si="15"/>
        <v>0</v>
      </c>
      <c r="Y49" s="41"/>
      <c r="Z49" s="41"/>
    </row>
    <row r="50" spans="1:26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/>
      <c r="T50" s="65"/>
      <c r="U50" s="45">
        <f t="shared" si="15"/>
        <v>0</v>
      </c>
      <c r="Y50" s="41"/>
      <c r="Z50" s="41"/>
    </row>
    <row r="51" spans="1:26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/>
      <c r="T51" s="65"/>
      <c r="U51" s="45">
        <f t="shared" si="15"/>
        <v>0</v>
      </c>
      <c r="Y51" s="41"/>
      <c r="Z51" s="41"/>
    </row>
    <row r="52" spans="1:26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/>
      <c r="T52" s="65"/>
      <c r="U52" s="45">
        <f t="shared" si="15"/>
        <v>0</v>
      </c>
      <c r="Y52" s="41"/>
      <c r="Z52" s="41"/>
    </row>
    <row r="53" spans="1:26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/>
      <c r="T53" s="65"/>
      <c r="U53" s="45">
        <f t="shared" si="15"/>
        <v>0</v>
      </c>
      <c r="Y53" s="41"/>
      <c r="Z53" s="41"/>
    </row>
    <row r="54" spans="1:26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/>
      <c r="T54" s="65"/>
      <c r="U54" s="45">
        <f t="shared" si="15"/>
        <v>0</v>
      </c>
      <c r="Y54" s="41"/>
      <c r="Z54" s="41"/>
    </row>
    <row r="55" spans="1:26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/>
      <c r="T55" s="65"/>
      <c r="U55" s="45">
        <f t="shared" si="15"/>
        <v>0</v>
      </c>
      <c r="Y55" s="41"/>
      <c r="Z55" s="41"/>
    </row>
    <row r="56" spans="1:26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/>
      <c r="T56" s="65"/>
      <c r="U56" s="45">
        <f t="shared" si="15"/>
        <v>0</v>
      </c>
      <c r="Y56" s="41"/>
      <c r="Z56" s="41"/>
    </row>
    <row r="57" spans="1:26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/>
      <c r="T57" s="65"/>
      <c r="U57" s="45">
        <f t="shared" si="15"/>
        <v>0</v>
      </c>
      <c r="Y57" s="41"/>
      <c r="Z57" s="41"/>
    </row>
    <row r="58" spans="1:26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/>
      <c r="T58" s="65"/>
      <c r="U58" s="45">
        <f t="shared" si="15"/>
        <v>0</v>
      </c>
      <c r="Y58" s="41"/>
      <c r="Z58" s="41"/>
    </row>
    <row r="59" spans="1:26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/>
      <c r="T59" s="65"/>
      <c r="U59" s="45">
        <f t="shared" si="15"/>
        <v>0</v>
      </c>
      <c r="Y59" s="41"/>
      <c r="Z59" s="41"/>
    </row>
    <row r="60" spans="1:26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/>
      <c r="T60" s="65"/>
      <c r="U60" s="45">
        <f t="shared" si="15"/>
        <v>0</v>
      </c>
      <c r="Y60" s="41"/>
      <c r="Z60" s="41"/>
    </row>
    <row r="61" spans="1:26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/>
      <c r="T61" s="65"/>
      <c r="U61" s="45">
        <f t="shared" si="15"/>
        <v>0</v>
      </c>
      <c r="Y61" s="41"/>
      <c r="Z61" s="41"/>
    </row>
    <row r="62" spans="1:26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/>
      <c r="T62" s="65"/>
      <c r="U62" s="45">
        <f t="shared" si="15"/>
        <v>0</v>
      </c>
      <c r="Y62" s="41"/>
      <c r="Z62" s="41"/>
    </row>
    <row r="63" spans="1:26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/>
      <c r="T63" s="65"/>
      <c r="U63" s="45">
        <f t="shared" si="15"/>
        <v>0</v>
      </c>
      <c r="Y63" s="41"/>
      <c r="Z63" s="41"/>
    </row>
    <row r="64" spans="1:26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/>
      <c r="T64" s="65"/>
      <c r="U64" s="45">
        <f t="shared" si="15"/>
        <v>0</v>
      </c>
      <c r="Y64" s="41"/>
      <c r="Z64" s="41"/>
    </row>
    <row r="65" spans="1:26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/>
      <c r="T65" s="65"/>
      <c r="U65" s="45">
        <f t="shared" si="15"/>
        <v>0</v>
      </c>
      <c r="Y65" s="41"/>
      <c r="Z65" s="41"/>
    </row>
    <row r="66" spans="1:26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/>
      <c r="T66" s="65"/>
      <c r="U66" s="45">
        <f t="shared" si="15"/>
        <v>0</v>
      </c>
      <c r="Y66" s="41"/>
      <c r="Z66" s="41"/>
    </row>
    <row r="67" spans="1:26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/>
      <c r="T67" s="65"/>
      <c r="U67" s="45">
        <f t="shared" si="15"/>
        <v>0</v>
      </c>
      <c r="Y67" s="41"/>
      <c r="Z67" s="41"/>
    </row>
    <row r="68" spans="1:26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/>
      <c r="T68" s="65"/>
      <c r="U68" s="45">
        <f t="shared" si="15"/>
        <v>0</v>
      </c>
      <c r="Y68" s="41"/>
      <c r="Z68" s="41"/>
    </row>
    <row r="69" spans="1:26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/>
      <c r="T69" s="65"/>
      <c r="U69" s="45">
        <f t="shared" si="15"/>
        <v>0</v>
      </c>
      <c r="Y69" s="41"/>
      <c r="Z69" s="41"/>
    </row>
    <row r="70" spans="1:26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/>
      <c r="T70" s="65"/>
      <c r="U70" s="45">
        <f t="shared" si="15"/>
        <v>0</v>
      </c>
      <c r="Y70" s="41"/>
      <c r="Z70" s="41"/>
    </row>
    <row r="71" spans="1:26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/>
      <c r="T71" s="65"/>
      <c r="U71" s="45">
        <f t="shared" si="15"/>
        <v>0</v>
      </c>
      <c r="Y71" s="41"/>
      <c r="Z71" s="41"/>
    </row>
    <row r="72" spans="1:26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/>
      <c r="T72" s="65"/>
      <c r="U72" s="45">
        <f t="shared" si="15"/>
        <v>0</v>
      </c>
      <c r="Y72" s="41"/>
      <c r="Z72" s="41"/>
    </row>
    <row r="73" spans="1:26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/>
      <c r="T73" s="65"/>
      <c r="U73" s="45">
        <f t="shared" si="15"/>
        <v>0</v>
      </c>
      <c r="Y73" s="41"/>
      <c r="Z73" s="41"/>
    </row>
    <row r="74" spans="1:26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/>
      <c r="T74" s="65"/>
      <c r="U74" s="45">
        <f t="shared" si="15"/>
        <v>0</v>
      </c>
      <c r="Y74" s="41"/>
      <c r="Z74" s="41"/>
    </row>
    <row r="75" spans="1:26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/>
      <c r="T75" s="65"/>
      <c r="U75" s="45">
        <f t="shared" si="15"/>
        <v>0</v>
      </c>
      <c r="Y75" s="41"/>
      <c r="Z75" s="41"/>
    </row>
    <row r="76" spans="1:26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/>
      <c r="T76" s="65"/>
      <c r="U76" s="45">
        <f t="shared" si="15"/>
        <v>0</v>
      </c>
      <c r="Y76" s="41"/>
      <c r="Z76" s="41"/>
    </row>
    <row r="77" spans="1:26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/>
      <c r="T77" s="65"/>
      <c r="U77" s="45">
        <f t="shared" si="15"/>
        <v>0</v>
      </c>
      <c r="Y77" s="41"/>
      <c r="Z77" s="41"/>
    </row>
    <row r="78" spans="1:26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/>
      <c r="T78" s="65"/>
      <c r="U78" s="45">
        <f t="shared" si="15"/>
        <v>0</v>
      </c>
      <c r="Y78" s="41"/>
      <c r="Z78" s="41"/>
    </row>
    <row r="79" spans="1:26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118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128</v>
      </c>
      <c r="R85" s="7" t="s">
        <v>129</v>
      </c>
      <c r="T85" s="10" t="s">
        <v>130</v>
      </c>
      <c r="U85" s="10" t="s">
        <v>131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/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/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86"/>
      <c r="O88" s="40">
        <v>1</v>
      </c>
      <c r="P88" s="40">
        <v>2</v>
      </c>
      <c r="Q88" s="65">
        <f t="shared" si="22"/>
        <v>2.6174599999999998E-4</v>
      </c>
      <c r="R88" s="65"/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86"/>
      <c r="O89" s="40">
        <v>2</v>
      </c>
      <c r="P89" s="40">
        <v>3</v>
      </c>
      <c r="Q89" s="65">
        <f t="shared" si="22"/>
        <v>2.59337E-4</v>
      </c>
      <c r="R89" s="65"/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86"/>
      <c r="O90" s="40">
        <v>3</v>
      </c>
      <c r="P90" s="40">
        <v>4</v>
      </c>
      <c r="Q90" s="65">
        <f t="shared" si="22"/>
        <v>2.5520099999999998E-4</v>
      </c>
      <c r="R90" s="65"/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86"/>
      <c r="O91" s="40">
        <v>4</v>
      </c>
      <c r="P91" s="40">
        <v>5</v>
      </c>
      <c r="Q91" s="65">
        <f t="shared" si="22"/>
        <v>2.52358E-4</v>
      </c>
      <c r="R91" s="65"/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86"/>
      <c r="O92" s="40">
        <v>5</v>
      </c>
      <c r="P92" s="40">
        <v>6</v>
      </c>
      <c r="Q92" s="65">
        <f t="shared" si="22"/>
        <v>2.4892399999999998E-4</v>
      </c>
      <c r="R92" s="65"/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/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/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/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/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/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/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0.0685382345441354</v>
      </c>
      <c r="I99" s="65">
        <f t="shared" si="18"/>
        <v>0.002559776</v>
      </c>
      <c r="J99" s="65">
        <f t="shared" si="19"/>
        <v>0.002559776</v>
      </c>
      <c r="K99" s="85">
        <v>2559776</v>
      </c>
      <c r="L99" s="65">
        <f t="shared" si="20"/>
        <v>0.002559776</v>
      </c>
      <c r="M99" s="65">
        <f t="shared" si="21"/>
        <v>0.0573942327042322</v>
      </c>
      <c r="N99" s="86"/>
      <c r="O99" s="40">
        <v>20</v>
      </c>
      <c r="P99" s="40">
        <v>25</v>
      </c>
      <c r="Q99" s="65">
        <f t="shared" si="22"/>
        <v>1.9566700000000001E-4</v>
      </c>
      <c r="R99" s="65"/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3.47066266121618</v>
      </c>
      <c r="I100" s="65">
        <f t="shared" si="18"/>
        <v>0.118180899</v>
      </c>
      <c r="J100" s="65">
        <f t="shared" si="19"/>
        <v>0.118180899</v>
      </c>
      <c r="K100" s="85">
        <v>118180899</v>
      </c>
      <c r="L100" s="65">
        <f t="shared" si="20"/>
        <v>0.118180899</v>
      </c>
      <c r="M100" s="65">
        <f t="shared" si="21"/>
        <v>3.25865020361359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/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3.62827184496788</v>
      </c>
      <c r="I101" s="65">
        <f t="shared" si="18"/>
        <v>0.112241621</v>
      </c>
      <c r="J101" s="65">
        <f t="shared" si="19"/>
        <v>0.112241621</v>
      </c>
      <c r="K101" s="85">
        <v>112241621</v>
      </c>
      <c r="L101" s="65">
        <f t="shared" si="20"/>
        <v>0.112241621</v>
      </c>
      <c r="M101" s="65">
        <f t="shared" si="21"/>
        <v>3.65090860400606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/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1.11297451984681</v>
      </c>
      <c r="I102" s="65">
        <f t="shared" si="18"/>
        <v>0.035435444</v>
      </c>
      <c r="J102" s="65">
        <f t="shared" si="19"/>
        <v>0.035435444</v>
      </c>
      <c r="K102" s="85">
        <v>35435444</v>
      </c>
      <c r="L102" s="65">
        <f t="shared" si="20"/>
        <v>0.035435444</v>
      </c>
      <c r="M102" s="65">
        <f t="shared" si="21"/>
        <v>1.32804002025418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/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2.36711492701917</v>
      </c>
      <c r="I103" s="65">
        <f t="shared" si="18"/>
        <v>0.066920198</v>
      </c>
      <c r="J103" s="65">
        <f t="shared" si="19"/>
        <v>0.066920198</v>
      </c>
      <c r="K103" s="85">
        <v>66920198</v>
      </c>
      <c r="L103" s="65">
        <f t="shared" si="20"/>
        <v>0.066920198</v>
      </c>
      <c r="M103" s="65">
        <f t="shared" si="21"/>
        <v>2.83879007658067</v>
      </c>
      <c r="N103" s="86"/>
      <c r="O103" s="40">
        <v>40</v>
      </c>
      <c r="P103" s="40">
        <v>45</v>
      </c>
      <c r="Q103" s="65">
        <f t="shared" si="22"/>
        <v>2.7160212E-2</v>
      </c>
      <c r="R103" s="65"/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5.87867256637168</v>
      </c>
      <c r="I104" s="65">
        <f t="shared" si="18"/>
        <v>0.15</v>
      </c>
      <c r="J104" s="65">
        <f t="shared" si="19"/>
        <v>0.15</v>
      </c>
      <c r="K104" s="85">
        <v>150000000</v>
      </c>
      <c r="L104" s="65">
        <f t="shared" si="20"/>
        <v>0.15</v>
      </c>
      <c r="M104" s="65">
        <f t="shared" si="21"/>
        <v>7.12322123893805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/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1.51432724134513</v>
      </c>
      <c r="I105" s="65">
        <f t="shared" si="18"/>
        <v>0.07727904</v>
      </c>
      <c r="J105" s="65">
        <f t="shared" si="19"/>
        <v>0.07727904</v>
      </c>
      <c r="K105" s="85">
        <v>77279040</v>
      </c>
      <c r="L105" s="65">
        <f t="shared" si="20"/>
        <v>0.07727904</v>
      </c>
      <c r="M105" s="65">
        <f t="shared" si="21"/>
        <v>4.24051976809911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/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3.18978818103554</v>
      </c>
      <c r="I106" s="65">
        <f t="shared" si="18"/>
        <v>0.145926723</v>
      </c>
      <c r="J106" s="65">
        <f t="shared" si="19"/>
        <v>0.145926723</v>
      </c>
      <c r="K106" s="85">
        <v>145926723</v>
      </c>
      <c r="L106" s="65">
        <f t="shared" si="20"/>
        <v>0.145926723</v>
      </c>
      <c r="M106" s="65">
        <f t="shared" si="21"/>
        <v>9.47498755142503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/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3.36982333296678</v>
      </c>
      <c r="I107" s="65">
        <f t="shared" si="18"/>
        <v>0.137422683</v>
      </c>
      <c r="J107" s="65">
        <f t="shared" si="19"/>
        <v>0.137422683</v>
      </c>
      <c r="K107" s="85">
        <v>137422683</v>
      </c>
      <c r="L107" s="65">
        <f t="shared" si="20"/>
        <v>0.137422683</v>
      </c>
      <c r="M107" s="65">
        <f t="shared" si="21"/>
        <v>10.2844898843756</v>
      </c>
      <c r="N107" s="86"/>
      <c r="O107" s="40">
        <v>70</v>
      </c>
      <c r="P107" s="40">
        <v>80</v>
      </c>
      <c r="Q107" s="65">
        <f t="shared" si="22"/>
        <v>5.4075616E-2</v>
      </c>
      <c r="R107" s="65"/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2.34249246705019</v>
      </c>
      <c r="I108" s="65">
        <f t="shared" si="18"/>
        <v>0.082198286</v>
      </c>
      <c r="J108" s="65">
        <f t="shared" si="19"/>
        <v>0.082198286</v>
      </c>
      <c r="K108" s="85">
        <v>82198286</v>
      </c>
      <c r="L108" s="65">
        <f t="shared" si="20"/>
        <v>0.082198286</v>
      </c>
      <c r="M108" s="65">
        <f t="shared" si="21"/>
        <v>6.98765830867902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/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0.369943869648865</v>
      </c>
      <c r="I109" s="47">
        <f t="shared" si="18"/>
        <v>0.012513569</v>
      </c>
      <c r="J109" s="47">
        <f t="shared" si="19"/>
        <v>0.012513569</v>
      </c>
      <c r="K109" s="85">
        <v>12513569</v>
      </c>
      <c r="L109" s="65">
        <f t="shared" si="20"/>
        <v>0.012513569</v>
      </c>
      <c r="M109" s="65">
        <f t="shared" si="21"/>
        <v>1.18670902917824</v>
      </c>
      <c r="N109" s="86"/>
      <c r="O109" s="40">
        <v>90</v>
      </c>
      <c r="P109" s="40">
        <v>100</v>
      </c>
      <c r="Q109" s="65">
        <f t="shared" si="22"/>
        <v>1.3473977E-2</v>
      </c>
      <c r="R109" s="65"/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0.578481955884956</v>
      </c>
      <c r="I110" s="47">
        <f t="shared" si="18"/>
        <v>0.032473155</v>
      </c>
      <c r="J110" s="47">
        <f t="shared" si="19"/>
        <v>0.032473155</v>
      </c>
      <c r="K110" s="85">
        <v>32473155</v>
      </c>
      <c r="L110" s="65">
        <f t="shared" si="20"/>
        <v>0.032473155</v>
      </c>
      <c r="M110" s="65">
        <f t="shared" si="21"/>
        <v>3.56862469818584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/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/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/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/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/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0.444326369699552</v>
      </c>
      <c r="I115" s="47">
        <f t="shared" si="18"/>
        <v>0.026848606</v>
      </c>
      <c r="J115" s="47">
        <f t="shared" si="19"/>
        <v>0.026848606</v>
      </c>
      <c r="K115" s="85">
        <v>26848606</v>
      </c>
      <c r="L115" s="65">
        <f t="shared" si="20"/>
        <v>0.026848606</v>
      </c>
      <c r="M115" s="65">
        <f t="shared" si="21"/>
        <v>5.99999924902795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/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/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/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/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/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/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/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/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/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/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/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/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/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/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/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/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/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/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/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/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/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/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/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/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/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/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/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/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/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/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/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/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/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/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/>
      <c r="T149" s="65"/>
      <c r="U149" s="45">
        <f t="shared" si="31"/>
        <v>0</v>
      </c>
    </row>
    <row r="150" spans="1:21" x14ac:dyDescent="0.3">
      <c r="F150" s="3"/>
      <c r="K150" s="3">
        <f>SUM(K86:K149)</f>
        <v>1000000000</v>
      </c>
      <c r="M150" s="3">
        <f>SUM(M86:M149)</f>
        <v>59.9999928650676</v>
      </c>
      <c r="N150" s="3"/>
      <c r="O150" s="3"/>
      <c r="P150" s="3"/>
    </row>
    <row r="152" spans="1:21" s="52" customFormat="1" ht="15.6" customHeight="1" collapsed="1" x14ac:dyDescent="0.3">
      <c r="A152" s="59" t="s">
        <v>10</v>
      </c>
      <c r="B152" s="59" t="s">
        <v>14</v>
      </c>
      <c r="C152" s="59"/>
      <c r="D152" s="49"/>
      <c r="E152" s="49"/>
      <c r="F152" s="50"/>
      <c r="G152" s="59" t="s">
        <v>10</v>
      </c>
      <c r="H152" s="59" t="s">
        <v>14</v>
      </c>
      <c r="I152" s="51"/>
      <c r="J152" s="51"/>
      <c r="K152" s="51"/>
      <c r="L152" s="51"/>
      <c r="M152" s="51"/>
      <c r="N152" s="50"/>
      <c r="O152" s="59" t="s">
        <v>10</v>
      </c>
      <c r="P152" s="59" t="s">
        <v>14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103</v>
      </c>
      <c r="C154" s="1"/>
      <c r="D154" s="1"/>
      <c r="E154" s="1"/>
      <c r="G154" s="43" t="s">
        <v>104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21</v>
      </c>
      <c r="B155" s="7" t="s">
        <v>105</v>
      </c>
      <c r="C155" s="7" t="s">
        <v>106</v>
      </c>
      <c r="D155" s="7" t="s">
        <v>96</v>
      </c>
      <c r="E155" s="7" t="s">
        <v>107</v>
      </c>
      <c r="G155" s="7" t="s">
        <v>21</v>
      </c>
      <c r="H155" s="7" t="s">
        <v>108</v>
      </c>
      <c r="I155" s="7" t="s">
        <v>109</v>
      </c>
      <c r="J155" s="7" t="s">
        <v>110</v>
      </c>
      <c r="K155" s="7" t="s">
        <v>111</v>
      </c>
      <c r="L155" s="7" t="s">
        <v>96</v>
      </c>
      <c r="M155" s="7" t="s">
        <v>112</v>
      </c>
      <c r="Q155" s="7" t="s">
        <v>128</v>
      </c>
      <c r="R155" s="7" t="s">
        <v>129</v>
      </c>
    </row>
    <row r="156" spans="1:21" x14ac:dyDescent="0.3">
      <c r="A156" s="11" t="s">
        <v>10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10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119</v>
      </c>
      <c r="B159" s="59" t="s">
        <v>15</v>
      </c>
      <c r="C159" s="59"/>
      <c r="D159" s="49"/>
      <c r="E159" s="49"/>
      <c r="F159" s="50"/>
      <c r="G159" s="59" t="s">
        <v>10</v>
      </c>
      <c r="H159" s="59" t="s">
        <v>15</v>
      </c>
      <c r="I159" s="51"/>
      <c r="J159" s="51"/>
      <c r="K159" s="51"/>
      <c r="L159" s="51"/>
      <c r="M159" s="51"/>
      <c r="N159" s="50"/>
      <c r="O159" s="59" t="s">
        <v>10</v>
      </c>
      <c r="P159" s="59" t="s">
        <v>15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103</v>
      </c>
      <c r="B161" s="3">
        <v>10000000</v>
      </c>
      <c r="C161" s="1"/>
      <c r="D161" s="1"/>
      <c r="E161" s="1"/>
      <c r="G161" s="43" t="s">
        <v>104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21</v>
      </c>
      <c r="B162" s="7" t="s">
        <v>105</v>
      </c>
      <c r="C162" s="7" t="s">
        <v>106</v>
      </c>
      <c r="D162" s="7" t="s">
        <v>96</v>
      </c>
      <c r="E162" s="7" t="s">
        <v>107</v>
      </c>
      <c r="G162" s="7" t="s">
        <v>21</v>
      </c>
      <c r="H162" s="7" t="s">
        <v>108</v>
      </c>
      <c r="I162" s="7" t="s">
        <v>109</v>
      </c>
      <c r="J162" s="7" t="s">
        <v>110</v>
      </c>
      <c r="K162" s="7" t="s">
        <v>111</v>
      </c>
      <c r="L162" s="7" t="s">
        <v>96</v>
      </c>
      <c r="M162" s="7" t="s">
        <v>112</v>
      </c>
      <c r="O162" s="7" t="s">
        <v>113</v>
      </c>
      <c r="P162" s="7" t="s">
        <v>114</v>
      </c>
      <c r="Q162" s="7" t="s">
        <v>128</v>
      </c>
      <c r="R162" s="7" t="s">
        <v>129</v>
      </c>
      <c r="T162" s="10" t="s">
        <v>130</v>
      </c>
      <c r="U162" s="10" t="s">
        <v>131</v>
      </c>
    </row>
    <row r="163" spans="1:21" x14ac:dyDescent="0.3">
      <c r="A163" s="11" t="s">
        <v>28</v>
      </c>
      <c r="B163" s="93">
        <v>0</v>
      </c>
      <c r="C163" s="93">
        <v>0</v>
      </c>
      <c r="D163" s="65">
        <f t="shared" ref="D163:D194" si="32">IFERROR(B163/$B$161,0)</f>
        <v>0</v>
      </c>
      <c r="E163" s="83">
        <f t="shared" ref="E163:E194" si="33">IFERROR(C163/B163/500,0)</f>
        <v>0</v>
      </c>
      <c r="G163" s="11" t="s">
        <v>28</v>
      </c>
      <c r="H163" s="84">
        <v>0</v>
      </c>
      <c r="I163" s="65">
        <f t="shared" ref="I163:I194" si="34">IFERROR(B163/$B$161,0)</f>
        <v>0</v>
      </c>
      <c r="J163" s="65">
        <f t="shared" ref="J163:J194" si="35">IFERROR(K163/$B$2,0)</f>
        <v>0</v>
      </c>
      <c r="K163" s="85">
        <v>0</v>
      </c>
      <c r="L163" s="65">
        <f t="shared" ref="L163:L194" si="36">IFERROR(K163/$B$2,0)</f>
        <v>0</v>
      </c>
      <c r="M163" s="65">
        <f t="shared" ref="M163:M194" si="37">IFERROR(L163*E163,0)</f>
        <v>0</v>
      </c>
      <c r="N163" s="86"/>
      <c r="O163" s="44">
        <v>-1</v>
      </c>
      <c r="P163" s="44">
        <v>0</v>
      </c>
      <c r="Q163" s="65">
        <f t="shared" ref="Q163:Q194" si="38">L163</f>
        <v>0</v>
      </c>
      <c r="R163" s="65"/>
      <c r="T163" s="65"/>
      <c r="U163" s="45">
        <f t="shared" ref="U163:U194" si="39">IFERROR(ROUND(T163/L163,2),0)</f>
        <v>0</v>
      </c>
    </row>
    <row r="164" spans="1:21" x14ac:dyDescent="0.3">
      <c r="A164" s="11" t="s">
        <v>29</v>
      </c>
      <c r="B164" s="94">
        <v>0</v>
      </c>
      <c r="C164" s="94">
        <v>0</v>
      </c>
      <c r="D164" s="65">
        <f t="shared" si="32"/>
        <v>0</v>
      </c>
      <c r="E164" s="88">
        <f t="shared" si="33"/>
        <v>0</v>
      </c>
      <c r="G164" s="11" t="s">
        <v>29</v>
      </c>
      <c r="H164" s="84">
        <v>0</v>
      </c>
      <c r="I164" s="65">
        <f t="shared" si="34"/>
        <v>0</v>
      </c>
      <c r="J164" s="65">
        <f t="shared" si="35"/>
        <v>0</v>
      </c>
      <c r="K164" s="85">
        <v>0</v>
      </c>
      <c r="L164" s="65">
        <f t="shared" si="36"/>
        <v>0</v>
      </c>
      <c r="M164" s="65">
        <f t="shared" si="37"/>
        <v>0</v>
      </c>
      <c r="N164" s="86"/>
      <c r="O164" s="40">
        <v>0</v>
      </c>
      <c r="P164" s="40">
        <v>1</v>
      </c>
      <c r="Q164" s="65">
        <f t="shared" si="38"/>
        <v>0</v>
      </c>
      <c r="R164" s="65"/>
      <c r="T164" s="65"/>
      <c r="U164" s="45">
        <f t="shared" si="39"/>
        <v>0</v>
      </c>
    </row>
    <row r="165" spans="1:21" x14ac:dyDescent="0.3">
      <c r="A165" s="11" t="s">
        <v>30</v>
      </c>
      <c r="B165" s="94">
        <v>1</v>
      </c>
      <c r="C165" s="94">
        <v>950</v>
      </c>
      <c r="D165" s="65">
        <f t="shared" si="32"/>
        <v>1e-08</v>
      </c>
      <c r="E165" s="88">
        <f t="shared" si="33"/>
        <v>1.9</v>
      </c>
      <c r="F165" s="46"/>
      <c r="G165" s="11" t="s">
        <v>30</v>
      </c>
      <c r="H165" s="84">
        <v>0</v>
      </c>
      <c r="I165" s="65">
        <f t="shared" si="34"/>
        <v>0</v>
      </c>
      <c r="J165" s="65">
        <f t="shared" si="35"/>
        <v>0</v>
      </c>
      <c r="K165" s="85">
        <v>0</v>
      </c>
      <c r="L165" s="65">
        <f t="shared" si="36"/>
        <v>0</v>
      </c>
      <c r="M165" s="65">
        <f t="shared" si="37"/>
        <v>0</v>
      </c>
      <c r="N165" s="86"/>
      <c r="O165" s="40">
        <v>1</v>
      </c>
      <c r="P165" s="40">
        <v>2</v>
      </c>
      <c r="Q165" s="65">
        <f t="shared" si="38"/>
        <v>0</v>
      </c>
      <c r="R165" s="65"/>
      <c r="T165" s="65"/>
      <c r="U165" s="45">
        <f t="shared" si="39"/>
        <v>0</v>
      </c>
    </row>
    <row r="166" spans="1:21" x14ac:dyDescent="0.3">
      <c r="A166" s="11" t="s">
        <v>31</v>
      </c>
      <c r="B166" s="94">
        <v>15063</v>
      </c>
      <c r="C166" s="94">
        <v>22594000</v>
      </c>
      <c r="D166" s="65">
        <f t="shared" si="32"/>
        <v>0.00015063</v>
      </c>
      <c r="E166" s="88">
        <f t="shared" si="33"/>
        <v>2.99993361216225</v>
      </c>
      <c r="F166" s="86"/>
      <c r="G166" s="11" t="s">
        <v>31</v>
      </c>
      <c r="H166" s="84">
        <v>0</v>
      </c>
      <c r="I166" s="65">
        <f t="shared" si="34"/>
        <v>0</v>
      </c>
      <c r="J166" s="65">
        <f t="shared" si="35"/>
        <v>0</v>
      </c>
      <c r="K166" s="85">
        <v>0</v>
      </c>
      <c r="L166" s="65">
        <f t="shared" si="36"/>
        <v>0</v>
      </c>
      <c r="M166" s="65">
        <f t="shared" si="37"/>
        <v>0</v>
      </c>
      <c r="N166" s="86"/>
      <c r="O166" s="40">
        <v>2</v>
      </c>
      <c r="P166" s="40">
        <v>3</v>
      </c>
      <c r="Q166" s="65">
        <f t="shared" si="38"/>
        <v>0</v>
      </c>
      <c r="R166" s="65"/>
      <c r="T166" s="65"/>
      <c r="U166" s="45">
        <f t="shared" si="39"/>
        <v>0</v>
      </c>
    </row>
    <row r="167" spans="1:21" x14ac:dyDescent="0.3">
      <c r="A167" s="11" t="s">
        <v>32</v>
      </c>
      <c r="B167" s="94">
        <v>91536</v>
      </c>
      <c r="C167" s="94">
        <v>169451525</v>
      </c>
      <c r="D167" s="65">
        <f t="shared" si="32"/>
        <v>0.00091536</v>
      </c>
      <c r="E167" s="88">
        <f t="shared" si="33"/>
        <v>3.70240178727495</v>
      </c>
      <c r="F167" s="86"/>
      <c r="G167" s="11" t="s">
        <v>32</v>
      </c>
      <c r="H167" s="84">
        <v>0</v>
      </c>
      <c r="I167" s="65">
        <f t="shared" si="34"/>
        <v>0</v>
      </c>
      <c r="J167" s="65">
        <f t="shared" si="35"/>
        <v>0</v>
      </c>
      <c r="K167" s="85">
        <v>0</v>
      </c>
      <c r="L167" s="65">
        <f t="shared" si="36"/>
        <v>0</v>
      </c>
      <c r="M167" s="65">
        <f t="shared" si="37"/>
        <v>0</v>
      </c>
      <c r="N167" s="86"/>
      <c r="O167" s="40">
        <v>3</v>
      </c>
      <c r="P167" s="40">
        <v>4</v>
      </c>
      <c r="Q167" s="65">
        <f t="shared" si="38"/>
        <v>0</v>
      </c>
      <c r="R167" s="65"/>
      <c r="T167" s="65"/>
      <c r="U167" s="45">
        <f t="shared" si="39"/>
        <v>0</v>
      </c>
    </row>
    <row r="168" spans="1:21" x14ac:dyDescent="0.3">
      <c r="A168" s="11" t="s">
        <v>33</v>
      </c>
      <c r="B168" s="94">
        <v>223256</v>
      </c>
      <c r="C168" s="94">
        <v>513368875</v>
      </c>
      <c r="D168" s="65">
        <f t="shared" si="32"/>
        <v>0.00223256</v>
      </c>
      <c r="E168" s="88">
        <f t="shared" si="33"/>
        <v>4.59892567277027</v>
      </c>
      <c r="F168" s="86"/>
      <c r="G168" s="11" t="s">
        <v>33</v>
      </c>
      <c r="H168" s="84">
        <v>0</v>
      </c>
      <c r="I168" s="65">
        <f t="shared" si="34"/>
        <v>0</v>
      </c>
      <c r="J168" s="65">
        <f t="shared" si="35"/>
        <v>0</v>
      </c>
      <c r="K168" s="85">
        <v>0</v>
      </c>
      <c r="L168" s="65">
        <f t="shared" si="36"/>
        <v>0</v>
      </c>
      <c r="M168" s="65">
        <f t="shared" si="37"/>
        <v>0</v>
      </c>
      <c r="N168" s="86"/>
      <c r="O168" s="40">
        <v>4</v>
      </c>
      <c r="P168" s="40">
        <v>5</v>
      </c>
      <c r="Q168" s="65">
        <f t="shared" si="38"/>
        <v>0</v>
      </c>
      <c r="R168" s="65"/>
      <c r="T168" s="65"/>
      <c r="U168" s="45">
        <f t="shared" si="39"/>
        <v>0</v>
      </c>
    </row>
    <row r="169" spans="1:21" x14ac:dyDescent="0.3">
      <c r="A169" s="11" t="s">
        <v>34</v>
      </c>
      <c r="B169" s="94">
        <v>370619</v>
      </c>
      <c r="C169" s="94">
        <v>1031066750</v>
      </c>
      <c r="D169" s="65">
        <f t="shared" si="32"/>
        <v>0.00370619</v>
      </c>
      <c r="E169" s="88">
        <f t="shared" si="33"/>
        <v>5.56402531980282</v>
      </c>
      <c r="F169" s="86"/>
      <c r="G169" s="11" t="s">
        <v>34</v>
      </c>
      <c r="H169" s="84">
        <v>0</v>
      </c>
      <c r="I169" s="65">
        <f t="shared" si="34"/>
        <v>0</v>
      </c>
      <c r="J169" s="65">
        <f t="shared" si="35"/>
        <v>0</v>
      </c>
      <c r="K169" s="85">
        <v>0</v>
      </c>
      <c r="L169" s="65">
        <f t="shared" si="36"/>
        <v>0</v>
      </c>
      <c r="M169" s="65">
        <f t="shared" si="37"/>
        <v>0</v>
      </c>
      <c r="N169" s="86"/>
      <c r="O169" s="40">
        <v>5</v>
      </c>
      <c r="P169" s="40">
        <v>6</v>
      </c>
      <c r="Q169" s="65">
        <f t="shared" si="38"/>
        <v>0</v>
      </c>
      <c r="R169" s="65"/>
      <c r="T169" s="65"/>
      <c r="U169" s="45">
        <f t="shared" si="39"/>
        <v>0</v>
      </c>
    </row>
    <row r="170" spans="1:21" x14ac:dyDescent="0.3">
      <c r="A170" s="11" t="s">
        <v>35</v>
      </c>
      <c r="B170" s="94">
        <v>504428</v>
      </c>
      <c r="C170" s="94">
        <v>1651485850</v>
      </c>
      <c r="D170" s="65">
        <f t="shared" si="32"/>
        <v>0.00504428</v>
      </c>
      <c r="E170" s="88">
        <f t="shared" si="33"/>
        <v>6.54795471306113</v>
      </c>
      <c r="F170" s="86"/>
      <c r="G170" s="11" t="s">
        <v>35</v>
      </c>
      <c r="H170" s="84">
        <v>0</v>
      </c>
      <c r="I170" s="65">
        <f t="shared" si="34"/>
        <v>0</v>
      </c>
      <c r="J170" s="65">
        <f t="shared" si="35"/>
        <v>0</v>
      </c>
      <c r="K170" s="85">
        <v>0</v>
      </c>
      <c r="L170" s="65">
        <f t="shared" si="36"/>
        <v>0</v>
      </c>
      <c r="M170" s="65">
        <f t="shared" si="37"/>
        <v>0</v>
      </c>
      <c r="N170" s="86"/>
      <c r="O170" s="40">
        <v>6</v>
      </c>
      <c r="P170" s="40">
        <v>7</v>
      </c>
      <c r="Q170" s="65">
        <f t="shared" si="38"/>
        <v>0</v>
      </c>
      <c r="R170" s="65"/>
      <c r="T170" s="65"/>
      <c r="U170" s="45">
        <f t="shared" si="39"/>
        <v>0</v>
      </c>
    </row>
    <row r="171" spans="1:21" x14ac:dyDescent="0.3">
      <c r="A171" s="11" t="s">
        <v>36</v>
      </c>
      <c r="B171" s="94">
        <v>613690</v>
      </c>
      <c r="C171" s="94">
        <v>2313641425</v>
      </c>
      <c r="D171" s="65">
        <f t="shared" si="32"/>
        <v>0.0061369</v>
      </c>
      <c r="E171" s="88">
        <f t="shared" si="33"/>
        <v>7.54009817660382</v>
      </c>
      <c r="F171" s="86"/>
      <c r="G171" s="11" t="s">
        <v>36</v>
      </c>
      <c r="H171" s="84">
        <v>0</v>
      </c>
      <c r="I171" s="65">
        <f t="shared" si="34"/>
        <v>0</v>
      </c>
      <c r="J171" s="65">
        <f t="shared" si="35"/>
        <v>0</v>
      </c>
      <c r="K171" s="85">
        <v>0</v>
      </c>
      <c r="L171" s="65">
        <f t="shared" si="36"/>
        <v>0</v>
      </c>
      <c r="M171" s="65">
        <f t="shared" si="37"/>
        <v>0</v>
      </c>
      <c r="N171" s="86"/>
      <c r="O171" s="40">
        <v>7</v>
      </c>
      <c r="P171" s="40">
        <v>8</v>
      </c>
      <c r="Q171" s="65">
        <f t="shared" si="38"/>
        <v>0</v>
      </c>
      <c r="R171" s="65"/>
      <c r="T171" s="65"/>
      <c r="U171" s="45">
        <f t="shared" si="39"/>
        <v>0</v>
      </c>
    </row>
    <row r="172" spans="1:21" x14ac:dyDescent="0.3">
      <c r="A172" s="11" t="s">
        <v>37</v>
      </c>
      <c r="B172" s="94">
        <v>698850</v>
      </c>
      <c r="C172" s="94">
        <v>2982664600</v>
      </c>
      <c r="D172" s="65">
        <f t="shared" si="32"/>
        <v>0.0069885</v>
      </c>
      <c r="E172" s="88">
        <f t="shared" si="33"/>
        <v>8.53592215783072</v>
      </c>
      <c r="F172" s="86"/>
      <c r="G172" s="11" t="s">
        <v>37</v>
      </c>
      <c r="H172" s="84">
        <v>0</v>
      </c>
      <c r="I172" s="65">
        <f t="shared" si="34"/>
        <v>0</v>
      </c>
      <c r="J172" s="65">
        <f t="shared" si="35"/>
        <v>0</v>
      </c>
      <c r="K172" s="85">
        <v>0</v>
      </c>
      <c r="L172" s="65">
        <f t="shared" si="36"/>
        <v>0</v>
      </c>
      <c r="M172" s="65">
        <f t="shared" si="37"/>
        <v>0</v>
      </c>
      <c r="N172" s="86"/>
      <c r="O172" s="40">
        <v>8</v>
      </c>
      <c r="P172" s="40">
        <v>9</v>
      </c>
      <c r="Q172" s="65">
        <f t="shared" si="38"/>
        <v>8.2731692999999995E-2</v>
      </c>
      <c r="R172" s="65"/>
      <c r="T172" s="65"/>
      <c r="U172" s="45">
        <f t="shared" si="39"/>
        <v>0</v>
      </c>
    </row>
    <row r="173" spans="1:21" x14ac:dyDescent="0.3">
      <c r="A173" s="11" t="s">
        <v>38</v>
      </c>
      <c r="B173" s="94">
        <v>762827</v>
      </c>
      <c r="C173" s="94">
        <v>3635592975</v>
      </c>
      <c r="D173" s="65">
        <f t="shared" si="32"/>
        <v>0.00762827</v>
      </c>
      <c r="E173" s="88">
        <f t="shared" si="33"/>
        <v>9.53189379767628</v>
      </c>
      <c r="F173" s="86"/>
      <c r="G173" s="11" t="s">
        <v>38</v>
      </c>
      <c r="H173" s="84">
        <v>0</v>
      </c>
      <c r="I173" s="65">
        <f t="shared" si="34"/>
        <v>0</v>
      </c>
      <c r="J173" s="65">
        <f t="shared" si="35"/>
        <v>0</v>
      </c>
      <c r="K173" s="85">
        <v>0</v>
      </c>
      <c r="L173" s="65">
        <f t="shared" si="36"/>
        <v>0</v>
      </c>
      <c r="M173" s="65">
        <f t="shared" si="37"/>
        <v>0</v>
      </c>
      <c r="N173" s="86"/>
      <c r="O173" s="40">
        <v>9</v>
      </c>
      <c r="P173" s="40">
        <v>10</v>
      </c>
      <c r="Q173" s="65">
        <f t="shared" si="38"/>
        <v>0</v>
      </c>
      <c r="R173" s="65"/>
      <c r="T173" s="65"/>
      <c r="U173" s="45">
        <f t="shared" si="39"/>
        <v>0</v>
      </c>
    </row>
    <row r="174" spans="1:21" x14ac:dyDescent="0.3">
      <c r="A174" s="11" t="s">
        <v>39</v>
      </c>
      <c r="B174" s="94">
        <v>4182387</v>
      </c>
      <c r="C174" s="94">
        <v>26250689600</v>
      </c>
      <c r="D174" s="65">
        <f t="shared" si="32"/>
        <v>0.04182387</v>
      </c>
      <c r="E174" s="88">
        <f t="shared" si="33"/>
        <v>12.5529701579505</v>
      </c>
      <c r="F174" s="86"/>
      <c r="G174" s="11" t="s">
        <v>39</v>
      </c>
      <c r="H174" s="84">
        <v>0</v>
      </c>
      <c r="I174" s="65">
        <f t="shared" si="34"/>
        <v>0</v>
      </c>
      <c r="J174" s="65">
        <f t="shared" si="35"/>
        <v>0</v>
      </c>
      <c r="K174" s="85">
        <v>0</v>
      </c>
      <c r="L174" s="65">
        <f t="shared" si="36"/>
        <v>0</v>
      </c>
      <c r="M174" s="65">
        <f t="shared" si="37"/>
        <v>0</v>
      </c>
      <c r="N174" s="86"/>
      <c r="O174" s="40">
        <v>10</v>
      </c>
      <c r="P174" s="40">
        <v>15</v>
      </c>
      <c r="Q174" s="65">
        <f t="shared" si="38"/>
        <v>3.925679E-2</v>
      </c>
      <c r="R174" s="65"/>
      <c r="T174" s="65"/>
      <c r="U174" s="45">
        <f t="shared" si="39"/>
        <v>0</v>
      </c>
    </row>
    <row r="175" spans="1:21" x14ac:dyDescent="0.3">
      <c r="A175" s="11" t="s">
        <v>40</v>
      </c>
      <c r="B175" s="94">
        <v>4178241</v>
      </c>
      <c r="C175" s="94">
        <v>36572728875</v>
      </c>
      <c r="D175" s="65">
        <f t="shared" si="32"/>
        <v>0.04178241</v>
      </c>
      <c r="E175" s="88">
        <f t="shared" si="33"/>
        <v>17.5062802145688</v>
      </c>
      <c r="F175" s="86"/>
      <c r="G175" s="11" t="s">
        <v>40</v>
      </c>
      <c r="H175" s="84">
        <v>0</v>
      </c>
      <c r="I175" s="65">
        <f t="shared" si="34"/>
        <v>0</v>
      </c>
      <c r="J175" s="65">
        <f t="shared" si="35"/>
        <v>0</v>
      </c>
      <c r="K175" s="85">
        <v>0</v>
      </c>
      <c r="L175" s="65">
        <f t="shared" si="36"/>
        <v>0</v>
      </c>
      <c r="M175" s="65">
        <f t="shared" si="37"/>
        <v>0</v>
      </c>
      <c r="N175" s="86"/>
      <c r="O175" s="40">
        <v>15</v>
      </c>
      <c r="P175" s="40">
        <v>20</v>
      </c>
      <c r="Q175" s="65">
        <f t="shared" si="38"/>
        <v>6.6918888999999995E-2</v>
      </c>
      <c r="R175" s="65"/>
      <c r="T175" s="65"/>
      <c r="U175" s="45">
        <f t="shared" si="39"/>
        <v>0</v>
      </c>
    </row>
    <row r="176" spans="1:21" x14ac:dyDescent="0.3">
      <c r="A176" s="11" t="s">
        <v>41</v>
      </c>
      <c r="B176" s="94">
        <v>3933148</v>
      </c>
      <c r="C176" s="94">
        <v>44239791700</v>
      </c>
      <c r="D176" s="65">
        <f t="shared" si="32"/>
        <v>0.03933148</v>
      </c>
      <c r="E176" s="88">
        <f t="shared" si="33"/>
        <v>22.4958693138422</v>
      </c>
      <c r="F176" s="86"/>
      <c r="G176" s="11" t="s">
        <v>41</v>
      </c>
      <c r="H176" s="84">
        <v>1.30617251117934</v>
      </c>
      <c r="I176" s="65">
        <f t="shared" si="34"/>
        <v>0.051373698</v>
      </c>
      <c r="J176" s="65">
        <f t="shared" si="35"/>
        <v>0.051373698</v>
      </c>
      <c r="K176" s="85">
        <v>51373698</v>
      </c>
      <c r="L176" s="65">
        <f t="shared" si="36"/>
        <v>0.051373698</v>
      </c>
      <c r="M176" s="65">
        <f t="shared" si="37"/>
        <v>1.1556959963768</v>
      </c>
      <c r="N176" s="86"/>
      <c r="O176" s="40">
        <v>20</v>
      </c>
      <c r="P176" s="40">
        <v>25</v>
      </c>
      <c r="Q176" s="65">
        <f t="shared" si="38"/>
        <v>3.5303964E-2</v>
      </c>
      <c r="R176" s="65"/>
      <c r="T176" s="65"/>
      <c r="U176" s="45">
        <f t="shared" si="39"/>
        <v>0</v>
      </c>
    </row>
    <row r="177" spans="1:21" x14ac:dyDescent="0.3">
      <c r="A177" s="11" t="s">
        <v>42</v>
      </c>
      <c r="B177" s="94">
        <v>3660982</v>
      </c>
      <c r="C177" s="94">
        <v>50332563875</v>
      </c>
      <c r="D177" s="65">
        <f t="shared" si="32"/>
        <v>0.03660982</v>
      </c>
      <c r="E177" s="88">
        <f t="shared" si="33"/>
        <v>27.4967557201865</v>
      </c>
      <c r="F177" s="86"/>
      <c r="G177" s="11" t="s">
        <v>42</v>
      </c>
      <c r="H177" s="84">
        <v>1.53439560751733</v>
      </c>
      <c r="I177" s="65">
        <f t="shared" si="34"/>
        <v>0.056173947</v>
      </c>
      <c r="J177" s="65">
        <f t="shared" si="35"/>
        <v>0.056173947</v>
      </c>
      <c r="K177" s="85">
        <v>56173947</v>
      </c>
      <c r="L177" s="65">
        <f t="shared" si="36"/>
        <v>0.056173947</v>
      </c>
      <c r="M177" s="65">
        <f t="shared" si="37"/>
        <v>1.54460129849771</v>
      </c>
      <c r="N177" s="86"/>
      <c r="O177" s="40">
        <v>25</v>
      </c>
      <c r="P177" s="40">
        <v>30</v>
      </c>
      <c r="Q177" s="65">
        <f t="shared" si="38"/>
        <v>3.9267299999999998E-2</v>
      </c>
      <c r="R177" s="65"/>
      <c r="T177" s="65"/>
      <c r="U177" s="45">
        <f t="shared" si="39"/>
        <v>0</v>
      </c>
    </row>
    <row r="178" spans="1:21" x14ac:dyDescent="0.3">
      <c r="A178" s="11" t="s">
        <v>43</v>
      </c>
      <c r="B178" s="94">
        <v>3422334</v>
      </c>
      <c r="C178" s="94">
        <v>55610483025</v>
      </c>
      <c r="D178" s="65">
        <f t="shared" si="32"/>
        <v>0.03422334</v>
      </c>
      <c r="E178" s="88">
        <f t="shared" si="33"/>
        <v>32.4985714573738</v>
      </c>
      <c r="F178" s="86"/>
      <c r="G178" s="11" t="s">
        <v>43</v>
      </c>
      <c r="H178" s="84">
        <v>3.06823062857103</v>
      </c>
      <c r="I178" s="65">
        <f t="shared" si="34"/>
        <v>0.1050051</v>
      </c>
      <c r="J178" s="65">
        <f t="shared" si="35"/>
        <v>0.1050051</v>
      </c>
      <c r="K178" s="85">
        <v>105005100</v>
      </c>
      <c r="L178" s="65">
        <f t="shared" si="36"/>
        <v>0.1050051</v>
      </c>
      <c r="M178" s="65">
        <f t="shared" si="37"/>
        <v>3.41251574573868</v>
      </c>
      <c r="N178" s="86"/>
      <c r="O178" s="40">
        <v>30</v>
      </c>
      <c r="P178" s="40">
        <v>35</v>
      </c>
      <c r="Q178" s="65">
        <f t="shared" si="38"/>
        <v>7.4839043999999993E-2</v>
      </c>
      <c r="R178" s="65"/>
      <c r="T178" s="65"/>
      <c r="U178" s="45">
        <f t="shared" si="39"/>
        <v>0</v>
      </c>
    </row>
    <row r="179" spans="1:21" x14ac:dyDescent="0.3">
      <c r="A179" s="11" t="s">
        <v>44</v>
      </c>
      <c r="B179" s="94">
        <v>3213747</v>
      </c>
      <c r="C179" s="94">
        <v>60256708900</v>
      </c>
      <c r="D179" s="65">
        <f t="shared" si="32"/>
        <v>0.03213747</v>
      </c>
      <c r="E179" s="88">
        <f t="shared" si="33"/>
        <v>37.4993482063149</v>
      </c>
      <c r="F179" s="86"/>
      <c r="G179" s="11" t="s">
        <v>44</v>
      </c>
      <c r="H179" s="84">
        <v>1.86056061662601</v>
      </c>
      <c r="I179" s="65">
        <f t="shared" si="34"/>
        <v>0.059793711</v>
      </c>
      <c r="J179" s="65">
        <f t="shared" si="35"/>
        <v>0.059793711</v>
      </c>
      <c r="K179" s="85">
        <v>59793711</v>
      </c>
      <c r="L179" s="65">
        <f t="shared" si="36"/>
        <v>0.059793711</v>
      </c>
      <c r="M179" s="65">
        <f t="shared" si="37"/>
        <v>2.24222518933676</v>
      </c>
      <c r="N179" s="86"/>
      <c r="O179" s="40">
        <v>35</v>
      </c>
      <c r="P179" s="40">
        <v>40</v>
      </c>
      <c r="Q179" s="65">
        <f t="shared" si="38"/>
        <v>4.3224155E-2</v>
      </c>
      <c r="R179" s="65"/>
      <c r="T179" s="65"/>
      <c r="U179" s="45">
        <f t="shared" si="39"/>
        <v>0</v>
      </c>
    </row>
    <row r="180" spans="1:21" x14ac:dyDescent="0.3">
      <c r="A180" s="11" t="s">
        <v>45</v>
      </c>
      <c r="B180" s="94">
        <v>3013224</v>
      </c>
      <c r="C180" s="94">
        <v>64031926775</v>
      </c>
      <c r="D180" s="65">
        <f t="shared" si="32"/>
        <v>0.03013224</v>
      </c>
      <c r="E180" s="88">
        <f t="shared" si="33"/>
        <v>42.5006085010607</v>
      </c>
      <c r="F180" s="86"/>
      <c r="G180" s="11" t="s">
        <v>45</v>
      </c>
      <c r="H180" s="84">
        <v>1.77384455984686</v>
      </c>
      <c r="I180" s="65">
        <f t="shared" si="34"/>
        <v>0.05344991</v>
      </c>
      <c r="J180" s="65">
        <f t="shared" si="35"/>
        <v>0.05344991</v>
      </c>
      <c r="K180" s="85">
        <v>53449910</v>
      </c>
      <c r="L180" s="65">
        <f t="shared" si="36"/>
        <v>0.05344991</v>
      </c>
      <c r="M180" s="65">
        <f t="shared" si="37"/>
        <v>2.27165369932693</v>
      </c>
      <c r="N180" s="86"/>
      <c r="O180" s="40">
        <v>40</v>
      </c>
      <c r="P180" s="40">
        <v>45</v>
      </c>
      <c r="Q180" s="65">
        <f t="shared" si="38"/>
        <v>3.9277876000000003E-2</v>
      </c>
      <c r="R180" s="65"/>
      <c r="T180" s="65"/>
      <c r="U180" s="45">
        <f t="shared" si="39"/>
        <v>0</v>
      </c>
    </row>
    <row r="181" spans="1:21" x14ac:dyDescent="0.3">
      <c r="A181" s="11" t="s">
        <v>46</v>
      </c>
      <c r="B181" s="94">
        <v>2844186</v>
      </c>
      <c r="C181" s="94">
        <v>67551907375</v>
      </c>
      <c r="D181" s="65">
        <f t="shared" si="32"/>
        <v>0.02844186</v>
      </c>
      <c r="E181" s="88">
        <f t="shared" si="33"/>
        <v>47.5017508524407</v>
      </c>
      <c r="F181" s="86"/>
      <c r="G181" s="11" t="s">
        <v>46</v>
      </c>
      <c r="H181" s="84">
        <v>2.03207937174292</v>
      </c>
      <c r="I181" s="65">
        <f t="shared" si="34"/>
        <v>0.057796117</v>
      </c>
      <c r="J181" s="65">
        <f t="shared" si="35"/>
        <v>0.057796117</v>
      </c>
      <c r="K181" s="85">
        <v>57796117</v>
      </c>
      <c r="L181" s="65">
        <f t="shared" si="36"/>
        <v>0.057796117</v>
      </c>
      <c r="M181" s="65">
        <f t="shared" si="37"/>
        <v>2.74541674997251</v>
      </c>
      <c r="N181" s="86"/>
      <c r="O181" s="40">
        <v>45</v>
      </c>
      <c r="P181" s="40">
        <v>50</v>
      </c>
      <c r="Q181" s="65">
        <f t="shared" si="38"/>
        <v>4.3231205000000002E-2</v>
      </c>
      <c r="R181" s="65"/>
      <c r="T181" s="65"/>
      <c r="U181" s="45">
        <f t="shared" si="39"/>
        <v>0</v>
      </c>
    </row>
    <row r="182" spans="1:21" x14ac:dyDescent="0.3">
      <c r="A182" s="11" t="s">
        <v>47</v>
      </c>
      <c r="B182" s="94">
        <v>5221251</v>
      </c>
      <c r="C182" s="94">
        <v>143407859850</v>
      </c>
      <c r="D182" s="65">
        <f t="shared" si="32"/>
        <v>0.05221251</v>
      </c>
      <c r="E182" s="88">
        <f t="shared" si="33"/>
        <v>54.9323753445295</v>
      </c>
      <c r="F182" s="86"/>
      <c r="G182" s="11" t="s">
        <v>47</v>
      </c>
      <c r="H182" s="84">
        <v>2.64727188943799</v>
      </c>
      <c r="I182" s="65">
        <f t="shared" si="34"/>
        <v>0.13822071</v>
      </c>
      <c r="J182" s="65">
        <f t="shared" si="35"/>
        <v>0.13822071</v>
      </c>
      <c r="K182" s="85">
        <v>138220710</v>
      </c>
      <c r="L182" s="65">
        <f t="shared" si="36"/>
        <v>0.13822071</v>
      </c>
      <c r="M182" s="65">
        <f t="shared" si="37"/>
        <v>7.59279192210736</v>
      </c>
      <c r="N182" s="86"/>
      <c r="O182" s="40">
        <v>50</v>
      </c>
      <c r="P182" s="40">
        <v>60</v>
      </c>
      <c r="Q182" s="65">
        <f t="shared" si="38"/>
        <v>0.10647335199999999</v>
      </c>
      <c r="R182" s="65"/>
      <c r="T182" s="65"/>
      <c r="U182" s="45">
        <f t="shared" si="39"/>
        <v>0</v>
      </c>
    </row>
    <row r="183" spans="1:21" x14ac:dyDescent="0.3">
      <c r="A183" s="11" t="s">
        <v>48</v>
      </c>
      <c r="B183" s="94">
        <v>4682884</v>
      </c>
      <c r="C183" s="94">
        <v>152046399050</v>
      </c>
      <c r="D183" s="65">
        <f t="shared" si="32"/>
        <v>0.04682884</v>
      </c>
      <c r="E183" s="88">
        <f t="shared" si="33"/>
        <v>64.937076831286</v>
      </c>
      <c r="F183" s="86"/>
      <c r="G183" s="11" t="s">
        <v>48</v>
      </c>
      <c r="H183" s="84">
        <v>1.15984258845617</v>
      </c>
      <c r="I183" s="65">
        <f t="shared" si="34"/>
        <v>0.054314083</v>
      </c>
      <c r="J183" s="65">
        <f t="shared" si="35"/>
        <v>0.054314083</v>
      </c>
      <c r="K183" s="85">
        <v>54314083</v>
      </c>
      <c r="L183" s="65">
        <f t="shared" si="36"/>
        <v>0.054314083</v>
      </c>
      <c r="M183" s="65">
        <f t="shared" si="37"/>
        <v>3.52699778079185</v>
      </c>
      <c r="N183" s="86"/>
      <c r="O183" s="40">
        <v>60</v>
      </c>
      <c r="P183" s="40">
        <v>70</v>
      </c>
      <c r="Q183" s="65">
        <f t="shared" si="38"/>
        <v>4.3243572000000001E-2</v>
      </c>
      <c r="R183" s="65"/>
      <c r="T183" s="65"/>
      <c r="U183" s="45">
        <f t="shared" si="39"/>
        <v>0</v>
      </c>
    </row>
    <row r="184" spans="1:21" x14ac:dyDescent="0.3">
      <c r="A184" s="11" t="s">
        <v>49</v>
      </c>
      <c r="B184" s="94">
        <v>4214802</v>
      </c>
      <c r="C184" s="94">
        <v>157931775950</v>
      </c>
      <c r="D184" s="65">
        <f t="shared" si="32"/>
        <v>0.04214802</v>
      </c>
      <c r="E184" s="88">
        <f t="shared" si="33"/>
        <v>74.9414923642914</v>
      </c>
      <c r="F184" s="86"/>
      <c r="G184" s="11" t="s">
        <v>49</v>
      </c>
      <c r="H184" s="84">
        <v>1.12840600815886</v>
      </c>
      <c r="I184" s="65">
        <f t="shared" si="34"/>
        <v>0.047560079</v>
      </c>
      <c r="J184" s="65">
        <f t="shared" si="35"/>
        <v>0.047560079</v>
      </c>
      <c r="K184" s="85">
        <v>47560079</v>
      </c>
      <c r="L184" s="65">
        <f t="shared" si="36"/>
        <v>0.047560079</v>
      </c>
      <c r="M184" s="65">
        <f t="shared" si="37"/>
        <v>3.56422329722359</v>
      </c>
      <c r="N184" s="86"/>
      <c r="O184" s="40">
        <v>70</v>
      </c>
      <c r="P184" s="40">
        <v>80</v>
      </c>
      <c r="Q184" s="65">
        <f t="shared" si="38"/>
        <v>3.9300830000000002E-2</v>
      </c>
      <c r="R184" s="65"/>
      <c r="T184" s="65"/>
      <c r="U184" s="45">
        <f t="shared" si="39"/>
        <v>0</v>
      </c>
    </row>
    <row r="185" spans="1:21" x14ac:dyDescent="0.3">
      <c r="A185" s="11" t="s">
        <v>50</v>
      </c>
      <c r="B185" s="94">
        <v>3808760</v>
      </c>
      <c r="C185" s="94">
        <v>161760501375</v>
      </c>
      <c r="D185" s="65">
        <f t="shared" si="32"/>
        <v>0.0380876</v>
      </c>
      <c r="E185" s="88">
        <f t="shared" si="33"/>
        <v>84.9412939513122</v>
      </c>
      <c r="F185" s="86"/>
      <c r="G185" s="11" t="s">
        <v>50</v>
      </c>
      <c r="H185" s="84">
        <v>1.08093185183629</v>
      </c>
      <c r="I185" s="65">
        <f t="shared" si="34"/>
        <v>0.0411701</v>
      </c>
      <c r="J185" s="65">
        <f t="shared" si="35"/>
        <v>0.0411701</v>
      </c>
      <c r="K185" s="85">
        <v>41170100</v>
      </c>
      <c r="L185" s="65">
        <f t="shared" si="36"/>
        <v>0.0411701</v>
      </c>
      <c r="M185" s="65">
        <f t="shared" si="37"/>
        <v>3.49704156610492</v>
      </c>
      <c r="N185" s="86"/>
      <c r="O185" s="40">
        <v>80</v>
      </c>
      <c r="P185" s="40">
        <v>90</v>
      </c>
      <c r="Q185" s="65">
        <f t="shared" si="38"/>
        <v>3.5348090999999998E-2</v>
      </c>
      <c r="R185" s="65"/>
      <c r="T185" s="65"/>
      <c r="U185" s="45">
        <f t="shared" si="39"/>
        <v>0</v>
      </c>
    </row>
    <row r="186" spans="1:21" x14ac:dyDescent="0.3">
      <c r="A186" s="11" t="s">
        <v>51</v>
      </c>
      <c r="B186" s="94">
        <v>3455167</v>
      </c>
      <c r="C186" s="94">
        <v>164026775175</v>
      </c>
      <c r="D186" s="65">
        <f t="shared" si="32"/>
        <v>0.03455167</v>
      </c>
      <c r="E186" s="88">
        <f t="shared" si="33"/>
        <v>94.9457870922013</v>
      </c>
      <c r="F186" s="86"/>
      <c r="G186" s="11" t="s">
        <v>51</v>
      </c>
      <c r="H186" s="84">
        <v>1.01710119944998</v>
      </c>
      <c r="I186" s="65">
        <f t="shared" si="34"/>
        <v>0.035142545</v>
      </c>
      <c r="J186" s="65">
        <f t="shared" si="35"/>
        <v>0.035142545</v>
      </c>
      <c r="K186" s="85">
        <v>35142545</v>
      </c>
      <c r="L186" s="65">
        <f t="shared" si="36"/>
        <v>0.035142545</v>
      </c>
      <c r="M186" s="65">
        <f t="shared" si="37"/>
        <v>3.3366365954481</v>
      </c>
      <c r="N186" s="86"/>
      <c r="O186" s="40">
        <v>90</v>
      </c>
      <c r="P186" s="40">
        <v>100</v>
      </c>
      <c r="Q186" s="65">
        <f t="shared" si="38"/>
        <v>3.1405324999999998E-2</v>
      </c>
      <c r="R186" s="65"/>
      <c r="T186" s="65"/>
      <c r="U186" s="45">
        <f t="shared" si="39"/>
        <v>0</v>
      </c>
    </row>
    <row r="187" spans="1:21" x14ac:dyDescent="0.3">
      <c r="A187" s="11" t="s">
        <v>52</v>
      </c>
      <c r="B187" s="94">
        <v>6012448</v>
      </c>
      <c r="C187" s="94">
        <v>329838156225</v>
      </c>
      <c r="D187" s="65">
        <f t="shared" si="32"/>
        <v>0.06012448</v>
      </c>
      <c r="E187" s="88">
        <f t="shared" si="33"/>
        <v>109.718422920248</v>
      </c>
      <c r="F187" s="86"/>
      <c r="G187" s="11" t="s">
        <v>52</v>
      </c>
      <c r="H187" s="84">
        <v>0.918991316016371</v>
      </c>
      <c r="I187" s="65">
        <f t="shared" si="34"/>
        <v>0.055253875</v>
      </c>
      <c r="J187" s="65">
        <f t="shared" si="35"/>
        <v>0.055253875</v>
      </c>
      <c r="K187" s="85">
        <v>55253875</v>
      </c>
      <c r="L187" s="65">
        <f t="shared" si="36"/>
        <v>0.055253875</v>
      </c>
      <c r="M187" s="65">
        <f t="shared" si="37"/>
        <v>6.06236802523252</v>
      </c>
      <c r="N187" s="86"/>
      <c r="O187" s="40">
        <v>100</v>
      </c>
      <c r="P187" s="40">
        <v>120</v>
      </c>
      <c r="Q187" s="65">
        <f t="shared" si="38"/>
        <v>4.3275296999999997E-2</v>
      </c>
      <c r="R187" s="65"/>
      <c r="T187" s="65"/>
      <c r="U187" s="45">
        <f t="shared" si="39"/>
        <v>0</v>
      </c>
    </row>
    <row r="188" spans="1:21" x14ac:dyDescent="0.3">
      <c r="A188" s="11" t="s">
        <v>53</v>
      </c>
      <c r="B188" s="94">
        <v>5017940</v>
      </c>
      <c r="C188" s="94">
        <v>325484189700</v>
      </c>
      <c r="D188" s="65">
        <f t="shared" si="32"/>
        <v>0.0501794</v>
      </c>
      <c r="E188" s="88">
        <f t="shared" si="33"/>
        <v>129.728211058721</v>
      </c>
      <c r="F188" s="86"/>
      <c r="G188" s="11" t="s">
        <v>53</v>
      </c>
      <c r="H188" s="84">
        <v>1.48580186291586</v>
      </c>
      <c r="I188" s="65">
        <f t="shared" si="34"/>
        <v>0.074556646</v>
      </c>
      <c r="J188" s="65">
        <f t="shared" si="35"/>
        <v>0.074556646</v>
      </c>
      <c r="K188" s="85">
        <v>74556646</v>
      </c>
      <c r="L188" s="65">
        <f t="shared" si="36"/>
        <v>0.074556646</v>
      </c>
      <c r="M188" s="65">
        <f t="shared" si="37"/>
        <v>9.67210030811837</v>
      </c>
      <c r="N188" s="86"/>
      <c r="O188" s="40">
        <v>120</v>
      </c>
      <c r="P188" s="40">
        <v>140</v>
      </c>
      <c r="Q188" s="65">
        <f t="shared" si="38"/>
        <v>6.3048410999999999E-2</v>
      </c>
      <c r="R188" s="65"/>
      <c r="T188" s="65"/>
      <c r="U188" s="45">
        <f t="shared" si="39"/>
        <v>0</v>
      </c>
    </row>
    <row r="189" spans="1:21" x14ac:dyDescent="0.3">
      <c r="A189" s="11" t="s">
        <v>54</v>
      </c>
      <c r="B189" s="94">
        <v>4218303</v>
      </c>
      <c r="C189" s="94">
        <v>315833495375</v>
      </c>
      <c r="D189" s="65">
        <f t="shared" si="32"/>
        <v>0.04218303</v>
      </c>
      <c r="E189" s="88">
        <f t="shared" si="33"/>
        <v>149.744338126019</v>
      </c>
      <c r="F189" s="86"/>
      <c r="G189" s="11" t="s">
        <v>54</v>
      </c>
      <c r="H189" s="84">
        <v>0.760470667943957</v>
      </c>
      <c r="I189" s="65">
        <f t="shared" si="34"/>
        <v>0.032078957</v>
      </c>
      <c r="J189" s="65">
        <f t="shared" si="35"/>
        <v>0.032078957</v>
      </c>
      <c r="K189" s="85">
        <v>32078957</v>
      </c>
      <c r="L189" s="65">
        <f t="shared" si="36"/>
        <v>0.032078957</v>
      </c>
      <c r="M189" s="65">
        <f t="shared" si="37"/>
        <v>4.80364218373802</v>
      </c>
      <c r="N189" s="86"/>
      <c r="O189" s="40">
        <v>140</v>
      </c>
      <c r="P189" s="40">
        <v>160</v>
      </c>
      <c r="Q189" s="65">
        <f t="shared" si="38"/>
        <v>2.7494309000000001E-2</v>
      </c>
      <c r="R189" s="65"/>
      <c r="T189" s="65"/>
      <c r="U189" s="45">
        <f t="shared" si="39"/>
        <v>0</v>
      </c>
    </row>
    <row r="190" spans="1:21" x14ac:dyDescent="0.3">
      <c r="A190" s="11" t="s">
        <v>55</v>
      </c>
      <c r="B190" s="94">
        <v>3570593</v>
      </c>
      <c r="C190" s="94">
        <v>303059416600</v>
      </c>
      <c r="D190" s="65">
        <f t="shared" si="32"/>
        <v>0.03570593</v>
      </c>
      <c r="E190" s="88">
        <f t="shared" si="33"/>
        <v>169.752988705237</v>
      </c>
      <c r="F190" s="86"/>
      <c r="G190" s="11" t="s">
        <v>55</v>
      </c>
      <c r="H190" s="84">
        <v>0.757145185687644</v>
      </c>
      <c r="I190" s="65">
        <f t="shared" si="34"/>
        <v>0.027034573</v>
      </c>
      <c r="J190" s="65">
        <f t="shared" si="35"/>
        <v>0.027034573</v>
      </c>
      <c r="K190" s="85">
        <v>27034573</v>
      </c>
      <c r="L190" s="65">
        <f t="shared" si="36"/>
        <v>0.027034573</v>
      </c>
      <c r="M190" s="65">
        <f t="shared" si="37"/>
        <v>4.58919956511992</v>
      </c>
      <c r="N190" s="86"/>
      <c r="O190" s="40">
        <v>160</v>
      </c>
      <c r="P190" s="40">
        <v>180</v>
      </c>
      <c r="Q190" s="65">
        <f t="shared" si="38"/>
        <v>2.3558599E-2</v>
      </c>
      <c r="R190" s="65"/>
      <c r="T190" s="65"/>
      <c r="U190" s="45">
        <f t="shared" si="39"/>
        <v>0</v>
      </c>
    </row>
    <row r="191" spans="1:21" x14ac:dyDescent="0.3">
      <c r="A191" s="11" t="s">
        <v>56</v>
      </c>
      <c r="B191" s="94">
        <v>3045777</v>
      </c>
      <c r="C191" s="94">
        <v>288980255725</v>
      </c>
      <c r="D191" s="65">
        <f t="shared" si="32"/>
        <v>0.03045777</v>
      </c>
      <c r="E191" s="88">
        <f t="shared" si="33"/>
        <v>189.757986697647</v>
      </c>
      <c r="F191" s="86"/>
      <c r="G191" s="11" t="s">
        <v>56</v>
      </c>
      <c r="H191" s="84">
        <v>0.816059711528454</v>
      </c>
      <c r="I191" s="65">
        <f t="shared" si="34"/>
        <v>0.024855359</v>
      </c>
      <c r="J191" s="65">
        <f t="shared" si="35"/>
        <v>0.024855359</v>
      </c>
      <c r="K191" s="85">
        <v>24855359</v>
      </c>
      <c r="L191" s="65">
        <f t="shared" si="36"/>
        <v>0.024855359</v>
      </c>
      <c r="M191" s="65">
        <f t="shared" si="37"/>
        <v>4.71650288248725</v>
      </c>
      <c r="N191" s="86"/>
      <c r="O191" s="40">
        <v>180</v>
      </c>
      <c r="P191" s="40">
        <v>200</v>
      </c>
      <c r="Q191" s="65">
        <f t="shared" si="38"/>
        <v>2.3572760000000002E-2</v>
      </c>
      <c r="R191" s="65"/>
      <c r="T191" s="65"/>
      <c r="U191" s="45">
        <f t="shared" si="39"/>
        <v>0</v>
      </c>
    </row>
    <row r="192" spans="1:21" x14ac:dyDescent="0.3">
      <c r="A192" s="11" t="s">
        <v>57</v>
      </c>
      <c r="B192" s="94">
        <v>5871341</v>
      </c>
      <c r="C192" s="94">
        <v>656110802000</v>
      </c>
      <c r="D192" s="65">
        <f t="shared" si="32"/>
        <v>0.05871341</v>
      </c>
      <c r="E192" s="88">
        <f t="shared" si="33"/>
        <v>223.496064016721</v>
      </c>
      <c r="F192" s="86"/>
      <c r="G192" s="11" t="s">
        <v>57</v>
      </c>
      <c r="H192" s="84">
        <v>0.661352917502152</v>
      </c>
      <c r="I192" s="65">
        <f t="shared" si="34"/>
        <v>0.038830285</v>
      </c>
      <c r="J192" s="65">
        <f t="shared" si="35"/>
        <v>0.038830285</v>
      </c>
      <c r="K192" s="85">
        <v>38830285</v>
      </c>
      <c r="L192" s="65">
        <f t="shared" si="36"/>
        <v>0.038830285</v>
      </c>
      <c r="M192" s="65">
        <f t="shared" si="37"/>
        <v>8.67841586214753</v>
      </c>
      <c r="N192" s="86"/>
      <c r="O192" s="40">
        <v>200</v>
      </c>
      <c r="P192" s="40">
        <v>250</v>
      </c>
      <c r="Q192" s="65">
        <f t="shared" si="38"/>
        <v>4.3355708E-2</v>
      </c>
      <c r="R192" s="65"/>
      <c r="T192" s="65"/>
      <c r="U192" s="45">
        <f t="shared" si="39"/>
        <v>0</v>
      </c>
    </row>
    <row r="193" spans="1:21" x14ac:dyDescent="0.3">
      <c r="A193" s="11" t="s">
        <v>58</v>
      </c>
      <c r="B193" s="94">
        <v>4126274</v>
      </c>
      <c r="C193" s="94">
        <v>564503446125</v>
      </c>
      <c r="D193" s="65">
        <f t="shared" si="32"/>
        <v>0.04126274</v>
      </c>
      <c r="E193" s="88">
        <f t="shared" si="33"/>
        <v>273.614135234354</v>
      </c>
      <c r="F193" s="86"/>
      <c r="G193" s="11" t="s">
        <v>58</v>
      </c>
      <c r="H193" s="84">
        <v>0.190494014697037</v>
      </c>
      <c r="I193" s="65">
        <f t="shared" si="34"/>
        <v>0.007860305</v>
      </c>
      <c r="J193" s="65">
        <f t="shared" si="35"/>
        <v>0.007860305</v>
      </c>
      <c r="K193" s="85">
        <v>7860305</v>
      </c>
      <c r="L193" s="65">
        <f t="shared" si="36"/>
        <v>0.007860305</v>
      </c>
      <c r="M193" s="65">
        <f t="shared" si="37"/>
        <v>2.15069055525327</v>
      </c>
      <c r="N193" s="86"/>
      <c r="O193" s="40">
        <v>250</v>
      </c>
      <c r="P193" s="40">
        <v>300</v>
      </c>
      <c r="Q193" s="65">
        <f t="shared" si="38"/>
        <v>1.1772573E-2</v>
      </c>
      <c r="R193" s="65"/>
      <c r="T193" s="65"/>
      <c r="U193" s="45">
        <f t="shared" si="39"/>
        <v>0</v>
      </c>
    </row>
    <row r="194" spans="1:21" x14ac:dyDescent="0.3">
      <c r="A194" s="11" t="s">
        <v>59</v>
      </c>
      <c r="B194" s="94">
        <v>2971964</v>
      </c>
      <c r="C194" s="94">
        <v>481066855400</v>
      </c>
      <c r="D194" s="65">
        <f t="shared" si="32"/>
        <v>0.02971964</v>
      </c>
      <c r="E194" s="88">
        <f t="shared" si="33"/>
        <v>323.736663970358</v>
      </c>
      <c r="F194" s="86"/>
      <c r="G194" s="11" t="s">
        <v>59</v>
      </c>
      <c r="H194" s="84">
        <v>0.206427803297752</v>
      </c>
      <c r="I194" s="65">
        <f t="shared" si="34"/>
        <v>0.00613496</v>
      </c>
      <c r="J194" s="65">
        <f t="shared" si="35"/>
        <v>0.00613496</v>
      </c>
      <c r="K194" s="85">
        <v>6134960</v>
      </c>
      <c r="L194" s="65">
        <f t="shared" si="36"/>
        <v>0.00613496</v>
      </c>
      <c r="M194" s="65">
        <f t="shared" si="37"/>
        <v>1.98611148399158</v>
      </c>
      <c r="N194" s="86"/>
      <c r="O194" s="40">
        <v>300</v>
      </c>
      <c r="P194" s="40">
        <v>350</v>
      </c>
      <c r="Q194" s="65">
        <f t="shared" si="38"/>
        <v>3.8983669999999998E-3</v>
      </c>
      <c r="R194" s="65"/>
      <c r="T194" s="65"/>
      <c r="U194" s="45">
        <f t="shared" si="39"/>
        <v>0</v>
      </c>
    </row>
    <row r="195" spans="1:21" x14ac:dyDescent="0.3">
      <c r="A195" s="11" t="s">
        <v>60</v>
      </c>
      <c r="B195" s="94">
        <v>2196543</v>
      </c>
      <c r="C195" s="94">
        <v>410539850525</v>
      </c>
      <c r="D195" s="65">
        <f t="shared" ref="D195:D226" si="40">IFERROR(B195/$B$161,0)</f>
        <v>0.02196543</v>
      </c>
      <c r="E195" s="88">
        <f t="shared" ref="E195:E226" si="41">IFERROR(C195/B195/500,0)</f>
        <v>373.805430191897</v>
      </c>
      <c r="F195" s="86"/>
      <c r="G195" s="11" t="s">
        <v>60</v>
      </c>
      <c r="H195" s="84">
        <v>0.4758327972637</v>
      </c>
      <c r="I195" s="65">
        <f t="shared" ref="I195:I226" si="42">IFERROR(B195/$B$161,0)</f>
        <v>0.010451872</v>
      </c>
      <c r="J195" s="65">
        <f t="shared" ref="J195:J226" si="43">IFERROR(K195/$B$2,0)</f>
        <v>0.010451872</v>
      </c>
      <c r="K195" s="85">
        <v>10451872</v>
      </c>
      <c r="L195" s="65">
        <f t="shared" ref="L195:L226" si="44">IFERROR(K195/$B$2,0)</f>
        <v>0.010451872</v>
      </c>
      <c r="M195" s="65">
        <f t="shared" ref="M195:M226" si="45">IFERROR(L195*E195,0)</f>
        <v>3.90696650927064</v>
      </c>
      <c r="N195" s="86"/>
      <c r="O195" s="40">
        <v>350</v>
      </c>
      <c r="P195" s="40">
        <v>400</v>
      </c>
      <c r="Q195" s="65">
        <f t="shared" ref="Q195:Q226" si="46">L195</f>
        <v>7.8935250000000002E-3</v>
      </c>
      <c r="R195" s="65"/>
      <c r="T195" s="65"/>
      <c r="U195" s="45">
        <f t="shared" ref="U195:U226" si="47">IFERROR(ROUND(T195/L195,2),0)</f>
        <v>0</v>
      </c>
    </row>
    <row r="196" spans="1:21" x14ac:dyDescent="0.3">
      <c r="A196" s="11" t="s">
        <v>61</v>
      </c>
      <c r="B196" s="94">
        <v>1656016</v>
      </c>
      <c r="C196" s="94">
        <v>350994696725</v>
      </c>
      <c r="D196" s="65">
        <f t="shared" si="40"/>
        <v>0.01656016</v>
      </c>
      <c r="E196" s="88">
        <f t="shared" si="41"/>
        <v>423.902542880021</v>
      </c>
      <c r="F196" s="86"/>
      <c r="G196" s="11" t="s">
        <v>61</v>
      </c>
      <c r="H196" s="84">
        <v>0.781947940116521</v>
      </c>
      <c r="I196" s="65">
        <f t="shared" si="42"/>
        <v>0.012949183</v>
      </c>
      <c r="J196" s="65">
        <f t="shared" si="43"/>
        <v>0.012949183</v>
      </c>
      <c r="K196" s="85">
        <v>12949183</v>
      </c>
      <c r="L196" s="65">
        <f t="shared" si="44"/>
        <v>0.012949183</v>
      </c>
      <c r="M196" s="65">
        <f t="shared" si="45"/>
        <v>5.48919160191873</v>
      </c>
      <c r="N196" s="86"/>
      <c r="O196" s="40">
        <v>400</v>
      </c>
      <c r="P196" s="40">
        <v>450</v>
      </c>
      <c r="Q196" s="65">
        <f t="shared" si="46"/>
        <v>1.187875E-2</v>
      </c>
      <c r="R196" s="65"/>
      <c r="T196" s="65"/>
      <c r="U196" s="45">
        <f t="shared" si="47"/>
        <v>0</v>
      </c>
    </row>
    <row r="197" spans="1:21" x14ac:dyDescent="0.3">
      <c r="A197" s="11" t="s">
        <v>62</v>
      </c>
      <c r="B197" s="94">
        <v>1271695</v>
      </c>
      <c r="C197" s="94">
        <v>301359642450</v>
      </c>
      <c r="D197" s="65">
        <f t="shared" si="40"/>
        <v>0.01271695</v>
      </c>
      <c r="E197" s="88">
        <f t="shared" si="41"/>
        <v>473.949559367616</v>
      </c>
      <c r="F197" s="86"/>
      <c r="G197" s="11" t="s">
        <v>62</v>
      </c>
      <c r="H197" s="84">
        <v>0.53593990697455</v>
      </c>
      <c r="I197" s="65">
        <f t="shared" si="42"/>
        <v>0.006815521</v>
      </c>
      <c r="J197" s="65">
        <f t="shared" si="43"/>
        <v>0.006815521</v>
      </c>
      <c r="K197" s="85">
        <v>6815521</v>
      </c>
      <c r="L197" s="65">
        <f t="shared" si="44"/>
        <v>0.006815521</v>
      </c>
      <c r="M197" s="65">
        <f t="shared" si="45"/>
        <v>3.23021317481073</v>
      </c>
      <c r="N197" s="86"/>
      <c r="O197" s="40">
        <v>450</v>
      </c>
      <c r="P197" s="40">
        <v>500</v>
      </c>
      <c r="Q197" s="65">
        <f t="shared" si="46"/>
        <v>7.9641880000000005E-3</v>
      </c>
      <c r="R197" s="65"/>
      <c r="T197" s="65"/>
      <c r="U197" s="45">
        <f t="shared" si="47"/>
        <v>0</v>
      </c>
    </row>
    <row r="198" spans="1:21" x14ac:dyDescent="0.3">
      <c r="A198" s="11" t="s">
        <v>63</v>
      </c>
      <c r="B198" s="94">
        <v>994180</v>
      </c>
      <c r="C198" s="94">
        <v>260496934675</v>
      </c>
      <c r="D198" s="65">
        <f t="shared" si="40"/>
        <v>0.0099418</v>
      </c>
      <c r="E198" s="88">
        <f t="shared" si="41"/>
        <v>524.043804290973</v>
      </c>
      <c r="F198" s="86"/>
      <c r="G198" s="11" t="s">
        <v>63</v>
      </c>
      <c r="H198" s="84">
        <v>0</v>
      </c>
      <c r="I198" s="65">
        <f t="shared" si="42"/>
        <v>0</v>
      </c>
      <c r="J198" s="65">
        <f t="shared" si="43"/>
        <v>0</v>
      </c>
      <c r="K198" s="85">
        <v>0</v>
      </c>
      <c r="L198" s="65">
        <f t="shared" si="44"/>
        <v>0</v>
      </c>
      <c r="M198" s="65">
        <f t="shared" si="45"/>
        <v>0</v>
      </c>
      <c r="N198" s="86"/>
      <c r="O198" s="40">
        <v>500</v>
      </c>
      <c r="P198" s="40">
        <v>550</v>
      </c>
      <c r="Q198" s="65">
        <f t="shared" si="46"/>
        <v>8.9942E-5</v>
      </c>
      <c r="R198" s="65"/>
      <c r="T198" s="65"/>
      <c r="U198" s="45">
        <f t="shared" si="47"/>
        <v>0</v>
      </c>
    </row>
    <row r="199" spans="1:21" x14ac:dyDescent="0.3">
      <c r="A199" s="11" t="s">
        <v>64</v>
      </c>
      <c r="B199" s="94">
        <v>786641</v>
      </c>
      <c r="C199" s="94">
        <v>225810482775</v>
      </c>
      <c r="D199" s="65">
        <f t="shared" si="40"/>
        <v>0.00786641</v>
      </c>
      <c r="E199" s="88">
        <f t="shared" si="41"/>
        <v>574.11317939187</v>
      </c>
      <c r="F199" s="86"/>
      <c r="G199" s="11" t="s">
        <v>64</v>
      </c>
      <c r="H199" s="84">
        <v>0.404055217055811</v>
      </c>
      <c r="I199" s="65">
        <f t="shared" si="42"/>
        <v>0.003178464</v>
      </c>
      <c r="J199" s="65">
        <f t="shared" si="43"/>
        <v>0.003178464</v>
      </c>
      <c r="K199" s="85">
        <v>3178464</v>
      </c>
      <c r="L199" s="65">
        <f t="shared" si="44"/>
        <v>0.003178464</v>
      </c>
      <c r="M199" s="65">
        <f t="shared" si="45"/>
        <v>1.8247980726226</v>
      </c>
      <c r="N199" s="86"/>
      <c r="O199" s="40">
        <v>550</v>
      </c>
      <c r="P199" s="40">
        <v>600</v>
      </c>
      <c r="Q199" s="65">
        <f t="shared" si="46"/>
        <v>8.0350030000000006E-3</v>
      </c>
      <c r="R199" s="65"/>
      <c r="T199" s="65"/>
      <c r="U199" s="45">
        <f t="shared" si="47"/>
        <v>0</v>
      </c>
    </row>
    <row r="200" spans="1:21" x14ac:dyDescent="0.3">
      <c r="A200" s="11" t="s">
        <v>65</v>
      </c>
      <c r="B200" s="94">
        <v>632559</v>
      </c>
      <c r="C200" s="94">
        <v>197403627875</v>
      </c>
      <c r="D200" s="65">
        <f t="shared" si="40"/>
        <v>0.00632559</v>
      </c>
      <c r="E200" s="88">
        <f t="shared" si="41"/>
        <v>624.142974410292</v>
      </c>
      <c r="F200" s="86"/>
      <c r="G200" s="11" t="s">
        <v>65</v>
      </c>
      <c r="H200" s="84">
        <v>0</v>
      </c>
      <c r="I200" s="65">
        <f t="shared" si="42"/>
        <v>0</v>
      </c>
      <c r="J200" s="65">
        <f t="shared" si="43"/>
        <v>0</v>
      </c>
      <c r="K200" s="85">
        <v>0</v>
      </c>
      <c r="L200" s="65">
        <f t="shared" si="44"/>
        <v>0</v>
      </c>
      <c r="M200" s="65">
        <f t="shared" si="45"/>
        <v>0</v>
      </c>
      <c r="N200" s="86"/>
      <c r="O200" s="40">
        <v>600</v>
      </c>
      <c r="P200" s="40">
        <v>650</v>
      </c>
      <c r="Q200" s="65">
        <f t="shared" si="46"/>
        <v>1.6079899999999999E-4</v>
      </c>
      <c r="R200" s="65"/>
      <c r="T200" s="65"/>
      <c r="U200" s="45">
        <f t="shared" si="47"/>
        <v>0</v>
      </c>
    </row>
    <row r="201" spans="1:21" x14ac:dyDescent="0.3">
      <c r="A201" s="11" t="s">
        <v>66</v>
      </c>
      <c r="B201" s="94">
        <v>513194</v>
      </c>
      <c r="C201" s="94">
        <v>172987742925</v>
      </c>
      <c r="D201" s="65">
        <f t="shared" si="40"/>
        <v>0.00513194</v>
      </c>
      <c r="E201" s="88">
        <f t="shared" si="41"/>
        <v>674.161205801315</v>
      </c>
      <c r="F201" s="86"/>
      <c r="G201" s="11" t="s">
        <v>66</v>
      </c>
      <c r="H201" s="84">
        <v>0</v>
      </c>
      <c r="I201" s="65">
        <f t="shared" si="42"/>
        <v>0</v>
      </c>
      <c r="J201" s="65">
        <f t="shared" si="43"/>
        <v>0</v>
      </c>
      <c r="K201" s="85">
        <v>0</v>
      </c>
      <c r="L201" s="65">
        <f t="shared" si="44"/>
        <v>0</v>
      </c>
      <c r="M201" s="65">
        <f t="shared" si="45"/>
        <v>0</v>
      </c>
      <c r="N201" s="86"/>
      <c r="O201" s="40">
        <v>650</v>
      </c>
      <c r="P201" s="40">
        <v>700</v>
      </c>
      <c r="Q201" s="65">
        <f t="shared" si="46"/>
        <v>1.9603399999999999E-4</v>
      </c>
      <c r="R201" s="65"/>
      <c r="T201" s="65"/>
      <c r="U201" s="45">
        <f t="shared" si="47"/>
        <v>0</v>
      </c>
    </row>
    <row r="202" spans="1:21" x14ac:dyDescent="0.3">
      <c r="A202" s="11" t="s">
        <v>67</v>
      </c>
      <c r="B202" s="94">
        <v>420624</v>
      </c>
      <c r="C202" s="94">
        <v>152318527675</v>
      </c>
      <c r="D202" s="65">
        <f t="shared" si="40"/>
        <v>0.00420624</v>
      </c>
      <c r="E202" s="88">
        <f t="shared" si="41"/>
        <v>724.250293254783</v>
      </c>
      <c r="F202" s="86"/>
      <c r="G202" s="11" t="s">
        <v>67</v>
      </c>
      <c r="H202" s="84">
        <v>0</v>
      </c>
      <c r="I202" s="65">
        <f t="shared" si="42"/>
        <v>0</v>
      </c>
      <c r="J202" s="65">
        <f t="shared" si="43"/>
        <v>0</v>
      </c>
      <c r="K202" s="85">
        <v>0</v>
      </c>
      <c r="L202" s="65">
        <f t="shared" si="44"/>
        <v>0</v>
      </c>
      <c r="M202" s="65">
        <f t="shared" si="45"/>
        <v>0</v>
      </c>
      <c r="N202" s="86"/>
      <c r="O202" s="40">
        <v>700</v>
      </c>
      <c r="P202" s="40">
        <v>750</v>
      </c>
      <c r="Q202" s="65">
        <f t="shared" si="46"/>
        <v>2.31404E-4</v>
      </c>
      <c r="R202" s="65"/>
      <c r="T202" s="65"/>
      <c r="U202" s="45">
        <f t="shared" si="47"/>
        <v>0</v>
      </c>
    </row>
    <row r="203" spans="1:21" x14ac:dyDescent="0.3">
      <c r="A203" s="11" t="s">
        <v>68</v>
      </c>
      <c r="B203" s="94">
        <v>349617</v>
      </c>
      <c r="C203" s="94">
        <v>135351024075</v>
      </c>
      <c r="D203" s="65">
        <f t="shared" si="40"/>
        <v>0.00349617</v>
      </c>
      <c r="E203" s="88">
        <f t="shared" si="41"/>
        <v>774.281708698376</v>
      </c>
      <c r="F203" s="86"/>
      <c r="G203" s="11" t="s">
        <v>68</v>
      </c>
      <c r="H203" s="84">
        <v>0</v>
      </c>
      <c r="I203" s="65">
        <f t="shared" si="42"/>
        <v>0</v>
      </c>
      <c r="J203" s="65">
        <f t="shared" si="43"/>
        <v>0</v>
      </c>
      <c r="K203" s="85">
        <v>0</v>
      </c>
      <c r="L203" s="65">
        <f t="shared" si="44"/>
        <v>0</v>
      </c>
      <c r="M203" s="65">
        <f t="shared" si="45"/>
        <v>0</v>
      </c>
      <c r="N203" s="86"/>
      <c r="O203" s="40">
        <v>750</v>
      </c>
      <c r="P203" s="40">
        <v>800</v>
      </c>
      <c r="Q203" s="65">
        <f t="shared" si="46"/>
        <v>2.6695499999999998E-4</v>
      </c>
      <c r="R203" s="65"/>
      <c r="T203" s="65"/>
      <c r="U203" s="45">
        <f t="shared" si="47"/>
        <v>0</v>
      </c>
    </row>
    <row r="204" spans="1:21" x14ac:dyDescent="0.3">
      <c r="A204" s="11" t="s">
        <v>69</v>
      </c>
      <c r="B204" s="94">
        <v>294650</v>
      </c>
      <c r="C204" s="94">
        <v>121449643550</v>
      </c>
      <c r="D204" s="65">
        <f t="shared" si="40"/>
        <v>0.0029465</v>
      </c>
      <c r="E204" s="88">
        <f t="shared" si="41"/>
        <v>824.365474630918</v>
      </c>
      <c r="F204" s="86"/>
      <c r="G204" s="11" t="s">
        <v>69</v>
      </c>
      <c r="H204" s="84">
        <v>0</v>
      </c>
      <c r="I204" s="65">
        <f t="shared" si="42"/>
        <v>0</v>
      </c>
      <c r="J204" s="65">
        <f t="shared" si="43"/>
        <v>0</v>
      </c>
      <c r="K204" s="85">
        <v>0</v>
      </c>
      <c r="L204" s="65">
        <f t="shared" si="44"/>
        <v>0</v>
      </c>
      <c r="M204" s="65">
        <f t="shared" si="45"/>
        <v>0</v>
      </c>
      <c r="N204" s="86"/>
      <c r="O204" s="40">
        <v>800</v>
      </c>
      <c r="P204" s="40">
        <v>850</v>
      </c>
      <c r="Q204" s="65">
        <f t="shared" si="46"/>
        <v>3.0228699999999999E-4</v>
      </c>
      <c r="R204" s="65"/>
      <c r="T204" s="65"/>
      <c r="U204" s="45">
        <f t="shared" si="47"/>
        <v>0</v>
      </c>
    </row>
    <row r="205" spans="1:21" x14ac:dyDescent="0.3">
      <c r="A205" s="11" t="s">
        <v>70</v>
      </c>
      <c r="B205" s="94">
        <v>250568</v>
      </c>
      <c r="C205" s="94">
        <v>109541734600</v>
      </c>
      <c r="D205" s="65">
        <f t="shared" si="40"/>
        <v>0.00250568</v>
      </c>
      <c r="E205" s="88">
        <f t="shared" si="41"/>
        <v>874.347359598991</v>
      </c>
      <c r="F205" s="86"/>
      <c r="G205" s="11" t="s">
        <v>70</v>
      </c>
      <c r="H205" s="84">
        <v>0</v>
      </c>
      <c r="I205" s="65">
        <f t="shared" si="42"/>
        <v>0</v>
      </c>
      <c r="J205" s="65">
        <f t="shared" si="43"/>
        <v>0</v>
      </c>
      <c r="K205" s="90">
        <v>0</v>
      </c>
      <c r="L205" s="65">
        <f t="shared" si="44"/>
        <v>0</v>
      </c>
      <c r="M205" s="65">
        <f t="shared" si="45"/>
        <v>0</v>
      </c>
      <c r="N205" s="86"/>
      <c r="O205" s="40">
        <v>850</v>
      </c>
      <c r="P205" s="40">
        <v>900</v>
      </c>
      <c r="Q205" s="65">
        <f t="shared" si="46"/>
        <v>3.3772400000000002E-4</v>
      </c>
      <c r="R205" s="65"/>
      <c r="T205" s="65"/>
      <c r="U205" s="45">
        <f t="shared" si="47"/>
        <v>0</v>
      </c>
    </row>
    <row r="206" spans="1:21" x14ac:dyDescent="0.3">
      <c r="A206" s="11" t="s">
        <v>71</v>
      </c>
      <c r="B206" s="94">
        <v>213052</v>
      </c>
      <c r="C206" s="94">
        <v>98465914350</v>
      </c>
      <c r="D206" s="65">
        <f t="shared" si="40"/>
        <v>0.00213052</v>
      </c>
      <c r="E206" s="88">
        <f t="shared" si="41"/>
        <v>924.336916339673</v>
      </c>
      <c r="F206" s="86"/>
      <c r="G206" s="11" t="s">
        <v>71</v>
      </c>
      <c r="H206" s="84">
        <v>0</v>
      </c>
      <c r="I206" s="65">
        <f t="shared" si="42"/>
        <v>0</v>
      </c>
      <c r="J206" s="65">
        <f t="shared" si="43"/>
        <v>0</v>
      </c>
      <c r="K206" s="90">
        <v>0</v>
      </c>
      <c r="L206" s="65">
        <f t="shared" si="44"/>
        <v>0</v>
      </c>
      <c r="M206" s="65">
        <f t="shared" si="45"/>
        <v>0</v>
      </c>
      <c r="N206" s="86"/>
      <c r="O206" s="40">
        <v>900</v>
      </c>
      <c r="P206" s="40">
        <v>950</v>
      </c>
      <c r="Q206" s="65">
        <f t="shared" si="46"/>
        <v>3.7277600000000001E-4</v>
      </c>
      <c r="R206" s="65"/>
      <c r="T206" s="65"/>
      <c r="U206" s="45">
        <f t="shared" si="47"/>
        <v>0</v>
      </c>
    </row>
    <row r="207" spans="1:21" x14ac:dyDescent="0.3">
      <c r="A207" s="11" t="s">
        <v>72</v>
      </c>
      <c r="B207" s="94">
        <v>183814</v>
      </c>
      <c r="C207" s="94">
        <v>89555814700</v>
      </c>
      <c r="D207" s="65">
        <f t="shared" si="40"/>
        <v>0.00183814</v>
      </c>
      <c r="E207" s="88">
        <f t="shared" si="41"/>
        <v>974.417777753599</v>
      </c>
      <c r="F207" s="86"/>
      <c r="G207" s="11" t="s">
        <v>72</v>
      </c>
      <c r="H207" s="84">
        <v>0</v>
      </c>
      <c r="I207" s="65">
        <f t="shared" si="42"/>
        <v>0</v>
      </c>
      <c r="J207" s="65">
        <f t="shared" si="43"/>
        <v>0</v>
      </c>
      <c r="K207" s="90">
        <v>0</v>
      </c>
      <c r="L207" s="65">
        <f t="shared" si="44"/>
        <v>0</v>
      </c>
      <c r="M207" s="65">
        <f t="shared" si="45"/>
        <v>0</v>
      </c>
      <c r="N207" s="86"/>
      <c r="O207" s="40">
        <v>950</v>
      </c>
      <c r="P207" s="40">
        <v>1000</v>
      </c>
      <c r="Q207" s="65">
        <f t="shared" si="46"/>
        <v>4.0789999999999999E-4</v>
      </c>
      <c r="R207" s="65"/>
      <c r="T207" s="65"/>
      <c r="U207" s="45">
        <f t="shared" si="47"/>
        <v>0</v>
      </c>
    </row>
    <row r="208" spans="1:21" x14ac:dyDescent="0.3">
      <c r="A208" s="11" t="s">
        <v>73</v>
      </c>
      <c r="B208" s="94">
        <v>1358748</v>
      </c>
      <c r="C208" s="94">
        <v>915636675575</v>
      </c>
      <c r="D208" s="65">
        <f t="shared" si="40"/>
        <v>0.01358748</v>
      </c>
      <c r="E208" s="88">
        <f t="shared" si="41"/>
        <v>1347.76525974647</v>
      </c>
      <c r="F208" s="86"/>
      <c r="G208" s="11" t="s">
        <v>73</v>
      </c>
      <c r="H208" s="84">
        <v>0</v>
      </c>
      <c r="I208" s="65">
        <f t="shared" si="42"/>
        <v>0</v>
      </c>
      <c r="J208" s="65">
        <f t="shared" si="43"/>
        <v>0</v>
      </c>
      <c r="K208" s="90">
        <v>0</v>
      </c>
      <c r="L208" s="65">
        <f t="shared" si="44"/>
        <v>0</v>
      </c>
      <c r="M208" s="65">
        <f t="shared" si="45"/>
        <v>0</v>
      </c>
      <c r="N208" s="86"/>
      <c r="O208" s="40">
        <v>1000</v>
      </c>
      <c r="P208" s="40">
        <v>2000</v>
      </c>
      <c r="Q208" s="65">
        <f t="shared" si="46"/>
        <v>6.3342699999999999E-4</v>
      </c>
      <c r="R208" s="65"/>
      <c r="T208" s="65"/>
      <c r="U208" s="45">
        <f t="shared" si="47"/>
        <v>0</v>
      </c>
    </row>
    <row r="209" spans="1:21" x14ac:dyDescent="0.3">
      <c r="A209" s="11" t="s">
        <v>74</v>
      </c>
      <c r="B209" s="94">
        <v>333499</v>
      </c>
      <c r="C209" s="94">
        <v>403521966275</v>
      </c>
      <c r="D209" s="65">
        <f t="shared" si="40"/>
        <v>0.00333499</v>
      </c>
      <c r="E209" s="88">
        <f t="shared" si="41"/>
        <v>2419.92909289083</v>
      </c>
      <c r="F209" s="86"/>
      <c r="G209" s="11" t="s">
        <v>74</v>
      </c>
      <c r="H209" s="84">
        <v>0</v>
      </c>
      <c r="I209" s="65">
        <f t="shared" si="42"/>
        <v>0</v>
      </c>
      <c r="J209" s="65">
        <f t="shared" si="43"/>
        <v>0</v>
      </c>
      <c r="K209" s="90">
        <v>0</v>
      </c>
      <c r="L209" s="65">
        <f t="shared" si="44"/>
        <v>0</v>
      </c>
      <c r="M209" s="65">
        <f t="shared" si="45"/>
        <v>0</v>
      </c>
      <c r="N209" s="86"/>
      <c r="O209" s="40">
        <v>2000</v>
      </c>
      <c r="P209" s="40">
        <v>3000</v>
      </c>
      <c r="Q209" s="65">
        <f t="shared" si="46"/>
        <v>1.4311759999999999E-3</v>
      </c>
      <c r="R209" s="65"/>
      <c r="T209" s="65"/>
      <c r="U209" s="45">
        <f t="shared" si="47"/>
        <v>0</v>
      </c>
    </row>
    <row r="210" spans="1:21" x14ac:dyDescent="0.3">
      <c r="A210" s="11" t="s">
        <v>75</v>
      </c>
      <c r="B210" s="94">
        <v>153122</v>
      </c>
      <c r="C210" s="94">
        <v>264363044325</v>
      </c>
      <c r="D210" s="65">
        <f t="shared" si="40"/>
        <v>0.00153122</v>
      </c>
      <c r="E210" s="88">
        <f t="shared" si="41"/>
        <v>3452.97271881245</v>
      </c>
      <c r="F210" s="86"/>
      <c r="G210" s="11" t="s">
        <v>75</v>
      </c>
      <c r="H210" s="84">
        <v>0</v>
      </c>
      <c r="I210" s="65">
        <f t="shared" si="42"/>
        <v>0</v>
      </c>
      <c r="J210" s="65">
        <f t="shared" si="43"/>
        <v>0</v>
      </c>
      <c r="K210" s="90">
        <v>0</v>
      </c>
      <c r="L210" s="65">
        <f t="shared" si="44"/>
        <v>0</v>
      </c>
      <c r="M210" s="65">
        <f t="shared" si="45"/>
        <v>0</v>
      </c>
      <c r="N210" s="86"/>
      <c r="O210" s="40">
        <v>3000</v>
      </c>
      <c r="P210" s="40">
        <v>4000</v>
      </c>
      <c r="Q210" s="65">
        <f t="shared" si="46"/>
        <v>0</v>
      </c>
      <c r="R210" s="65"/>
      <c r="T210" s="65"/>
      <c r="U210" s="45">
        <f t="shared" si="47"/>
        <v>0</v>
      </c>
    </row>
    <row r="211" spans="1:21" x14ac:dyDescent="0.3">
      <c r="A211" s="11" t="s">
        <v>76</v>
      </c>
      <c r="B211" s="94">
        <v>94933</v>
      </c>
      <c r="C211" s="94">
        <v>212019763550</v>
      </c>
      <c r="D211" s="65">
        <f t="shared" si="40"/>
        <v>0.00094933</v>
      </c>
      <c r="E211" s="88">
        <f t="shared" si="41"/>
        <v>4466.72418547818</v>
      </c>
      <c r="F211" s="86"/>
      <c r="G211" s="11" t="s">
        <v>76</v>
      </c>
      <c r="H211" s="84">
        <v>0</v>
      </c>
      <c r="I211" s="65">
        <f t="shared" si="42"/>
        <v>0</v>
      </c>
      <c r="J211" s="65">
        <f t="shared" si="43"/>
        <v>0</v>
      </c>
      <c r="K211" s="90">
        <v>0</v>
      </c>
      <c r="L211" s="65">
        <f t="shared" si="44"/>
        <v>0</v>
      </c>
      <c r="M211" s="65">
        <f t="shared" si="45"/>
        <v>0</v>
      </c>
      <c r="N211" s="86"/>
      <c r="O211" s="40">
        <v>4000</v>
      </c>
      <c r="P211" s="40">
        <v>5000</v>
      </c>
      <c r="Q211" s="65">
        <f t="shared" si="46"/>
        <v>0</v>
      </c>
      <c r="R211" s="65"/>
      <c r="T211" s="65"/>
      <c r="U211" s="45">
        <f t="shared" si="47"/>
        <v>0</v>
      </c>
    </row>
    <row r="212" spans="1:21" x14ac:dyDescent="0.3">
      <c r="A212" s="11" t="s">
        <v>77</v>
      </c>
      <c r="B212" s="94">
        <v>62948</v>
      </c>
      <c r="C212" s="94">
        <v>172026852150</v>
      </c>
      <c r="D212" s="65">
        <f t="shared" si="40"/>
        <v>0.00062948</v>
      </c>
      <c r="E212" s="88">
        <f t="shared" si="41"/>
        <v>5465.68126548897</v>
      </c>
      <c r="F212" s="86"/>
      <c r="G212" s="11" t="s">
        <v>77</v>
      </c>
      <c r="H212" s="84">
        <v>0</v>
      </c>
      <c r="I212" s="65">
        <f t="shared" si="42"/>
        <v>0</v>
      </c>
      <c r="J212" s="65">
        <f t="shared" si="43"/>
        <v>0</v>
      </c>
      <c r="K212" s="90">
        <v>0</v>
      </c>
      <c r="L212" s="65">
        <f t="shared" si="44"/>
        <v>0</v>
      </c>
      <c r="M212" s="65">
        <f t="shared" si="45"/>
        <v>0</v>
      </c>
      <c r="N212" s="86"/>
      <c r="O212" s="40">
        <v>5000</v>
      </c>
      <c r="P212" s="40">
        <v>6000</v>
      </c>
      <c r="Q212" s="65">
        <f t="shared" si="46"/>
        <v>0</v>
      </c>
      <c r="R212" s="65"/>
      <c r="T212" s="65"/>
      <c r="U212" s="45">
        <f t="shared" si="47"/>
        <v>0</v>
      </c>
    </row>
    <row r="213" spans="1:21" x14ac:dyDescent="0.3">
      <c r="A213" s="11" t="s">
        <v>78</v>
      </c>
      <c r="B213" s="94">
        <v>42906</v>
      </c>
      <c r="C213" s="94">
        <v>138771967350</v>
      </c>
      <c r="D213" s="65">
        <f t="shared" si="40"/>
        <v>0.00042906</v>
      </c>
      <c r="E213" s="88">
        <f t="shared" si="41"/>
        <v>6468.65088099566</v>
      </c>
      <c r="F213" s="86"/>
      <c r="G213" s="11" t="s">
        <v>78</v>
      </c>
      <c r="H213" s="84">
        <v>0</v>
      </c>
      <c r="I213" s="65">
        <f t="shared" si="42"/>
        <v>0</v>
      </c>
      <c r="J213" s="65">
        <f t="shared" si="43"/>
        <v>0</v>
      </c>
      <c r="K213" s="90">
        <v>0</v>
      </c>
      <c r="L213" s="65">
        <f t="shared" si="44"/>
        <v>0</v>
      </c>
      <c r="M213" s="65">
        <f t="shared" si="45"/>
        <v>0</v>
      </c>
      <c r="N213" s="86"/>
      <c r="O213" s="40">
        <v>6000</v>
      </c>
      <c r="P213" s="40">
        <v>7000</v>
      </c>
      <c r="Q213" s="65">
        <f t="shared" si="46"/>
        <v>0</v>
      </c>
      <c r="R213" s="65"/>
      <c r="T213" s="65"/>
      <c r="U213" s="45">
        <f t="shared" si="47"/>
        <v>0</v>
      </c>
    </row>
    <row r="214" spans="1:21" x14ac:dyDescent="0.3">
      <c r="A214" s="11" t="s">
        <v>79</v>
      </c>
      <c r="B214" s="94">
        <v>32027</v>
      </c>
      <c r="C214" s="94">
        <v>119746353100</v>
      </c>
      <c r="D214" s="65">
        <f t="shared" si="40"/>
        <v>0.00032027</v>
      </c>
      <c r="E214" s="88">
        <f t="shared" si="41"/>
        <v>7477.83764323852</v>
      </c>
      <c r="F214" s="86"/>
      <c r="G214" s="11" t="s">
        <v>79</v>
      </c>
      <c r="H214" s="84">
        <v>0</v>
      </c>
      <c r="I214" s="65">
        <f t="shared" si="42"/>
        <v>0</v>
      </c>
      <c r="J214" s="65">
        <f t="shared" si="43"/>
        <v>0</v>
      </c>
      <c r="K214" s="90">
        <v>0</v>
      </c>
      <c r="L214" s="65">
        <f t="shared" si="44"/>
        <v>0</v>
      </c>
      <c r="M214" s="65">
        <f t="shared" si="45"/>
        <v>0</v>
      </c>
      <c r="N214" s="86"/>
      <c r="O214" s="40">
        <v>7000</v>
      </c>
      <c r="P214" s="40">
        <v>8000</v>
      </c>
      <c r="Q214" s="65">
        <f t="shared" si="46"/>
        <v>0</v>
      </c>
      <c r="R214" s="65"/>
      <c r="T214" s="65"/>
      <c r="U214" s="45">
        <f t="shared" si="47"/>
        <v>0</v>
      </c>
    </row>
    <row r="215" spans="1:21" x14ac:dyDescent="0.3">
      <c r="A215" s="11" t="s">
        <v>80</v>
      </c>
      <c r="B215" s="94">
        <v>24713</v>
      </c>
      <c r="C215" s="94">
        <v>104845489950</v>
      </c>
      <c r="D215" s="65">
        <f t="shared" si="40"/>
        <v>0.00024713</v>
      </c>
      <c r="E215" s="88">
        <f t="shared" si="41"/>
        <v>8485.04754177963</v>
      </c>
      <c r="F215" s="86"/>
      <c r="G215" s="11" t="s">
        <v>80</v>
      </c>
      <c r="H215" s="84">
        <v>0</v>
      </c>
      <c r="I215" s="65">
        <f t="shared" si="42"/>
        <v>0</v>
      </c>
      <c r="J215" s="65">
        <f t="shared" si="43"/>
        <v>0</v>
      </c>
      <c r="K215" s="90">
        <v>0</v>
      </c>
      <c r="L215" s="65">
        <f t="shared" si="44"/>
        <v>0</v>
      </c>
      <c r="M215" s="65">
        <f t="shared" si="45"/>
        <v>0</v>
      </c>
      <c r="N215" s="86"/>
      <c r="O215" s="40">
        <v>8000</v>
      </c>
      <c r="P215" s="40">
        <v>9000</v>
      </c>
      <c r="Q215" s="65">
        <f t="shared" si="46"/>
        <v>0</v>
      </c>
      <c r="R215" s="65"/>
      <c r="T215" s="65"/>
      <c r="U215" s="45">
        <f t="shared" si="47"/>
        <v>0</v>
      </c>
    </row>
    <row r="216" spans="1:21" x14ac:dyDescent="0.3">
      <c r="A216" s="11" t="s">
        <v>81</v>
      </c>
      <c r="B216" s="94">
        <v>19640</v>
      </c>
      <c r="C216" s="94">
        <v>93121461925</v>
      </c>
      <c r="D216" s="65">
        <f t="shared" si="40"/>
        <v>0.0001964</v>
      </c>
      <c r="E216" s="88">
        <f t="shared" si="41"/>
        <v>9482.83726323829</v>
      </c>
      <c r="F216" s="86"/>
      <c r="G216" s="11" t="s">
        <v>81</v>
      </c>
      <c r="H216" s="84">
        <v>0</v>
      </c>
      <c r="I216" s="65">
        <f t="shared" si="42"/>
        <v>0</v>
      </c>
      <c r="J216" s="65">
        <f t="shared" si="43"/>
        <v>0</v>
      </c>
      <c r="K216" s="90">
        <v>0</v>
      </c>
      <c r="L216" s="65">
        <f t="shared" si="44"/>
        <v>0</v>
      </c>
      <c r="M216" s="65">
        <f t="shared" si="45"/>
        <v>0</v>
      </c>
      <c r="N216" s="86"/>
      <c r="O216" s="40">
        <v>9000</v>
      </c>
      <c r="P216" s="40">
        <v>10000</v>
      </c>
      <c r="Q216" s="65">
        <f t="shared" si="46"/>
        <v>0</v>
      </c>
      <c r="R216" s="65"/>
      <c r="T216" s="65"/>
      <c r="U216" s="45">
        <f t="shared" si="47"/>
        <v>0</v>
      </c>
    </row>
    <row r="217" spans="1:21" x14ac:dyDescent="0.3">
      <c r="A217" s="11" t="s">
        <v>82</v>
      </c>
      <c r="B217" s="94">
        <v>93090</v>
      </c>
      <c r="C217" s="94">
        <v>650601917750</v>
      </c>
      <c r="D217" s="65">
        <f t="shared" si="40"/>
        <v>0.0009309</v>
      </c>
      <c r="E217" s="88">
        <f t="shared" si="41"/>
        <v>13977.9120797078</v>
      </c>
      <c r="F217" s="86"/>
      <c r="G217" s="11" t="s">
        <v>82</v>
      </c>
      <c r="H217" s="84">
        <v>0</v>
      </c>
      <c r="I217" s="65">
        <f t="shared" si="42"/>
        <v>0</v>
      </c>
      <c r="J217" s="65">
        <f t="shared" si="43"/>
        <v>0</v>
      </c>
      <c r="K217" s="90">
        <v>0</v>
      </c>
      <c r="L217" s="65">
        <f t="shared" si="44"/>
        <v>0</v>
      </c>
      <c r="M217" s="65">
        <f t="shared" si="45"/>
        <v>0</v>
      </c>
      <c r="N217" s="86"/>
      <c r="O217" s="40">
        <v>10000</v>
      </c>
      <c r="P217" s="40">
        <v>20000</v>
      </c>
      <c r="Q217" s="65">
        <f t="shared" si="46"/>
        <v>0</v>
      </c>
      <c r="R217" s="65"/>
      <c r="T217" s="65"/>
      <c r="U217" s="45">
        <f t="shared" si="47"/>
        <v>0</v>
      </c>
    </row>
    <row r="218" spans="1:21" x14ac:dyDescent="0.3">
      <c r="A218" s="11" t="s">
        <v>83</v>
      </c>
      <c r="B218" s="94">
        <v>33534</v>
      </c>
      <c r="C218" s="94">
        <v>406629941525</v>
      </c>
      <c r="D218" s="65">
        <f t="shared" si="40"/>
        <v>0.00033534</v>
      </c>
      <c r="E218" s="88">
        <f t="shared" si="41"/>
        <v>24251.8006515775</v>
      </c>
      <c r="F218" s="86"/>
      <c r="G218" s="11" t="s">
        <v>83</v>
      </c>
      <c r="H218" s="84">
        <v>0</v>
      </c>
      <c r="I218" s="65">
        <f t="shared" si="42"/>
        <v>0</v>
      </c>
      <c r="J218" s="65">
        <f t="shared" si="43"/>
        <v>0</v>
      </c>
      <c r="K218" s="90">
        <v>0</v>
      </c>
      <c r="L218" s="65">
        <f t="shared" si="44"/>
        <v>0</v>
      </c>
      <c r="M218" s="65">
        <f t="shared" si="45"/>
        <v>0</v>
      </c>
      <c r="N218" s="86"/>
      <c r="O218" s="40">
        <v>20000</v>
      </c>
      <c r="P218" s="40">
        <v>30000</v>
      </c>
      <c r="Q218" s="65">
        <f t="shared" si="46"/>
        <v>0</v>
      </c>
      <c r="R218" s="65"/>
      <c r="T218" s="65"/>
      <c r="U218" s="45">
        <f t="shared" si="47"/>
        <v>0</v>
      </c>
    </row>
    <row r="219" spans="1:21" x14ac:dyDescent="0.3">
      <c r="A219" s="11" t="s">
        <v>84</v>
      </c>
      <c r="B219" s="94">
        <v>15750</v>
      </c>
      <c r="C219" s="94">
        <v>272734469250</v>
      </c>
      <c r="D219" s="65">
        <f t="shared" si="40"/>
        <v>0.0001575</v>
      </c>
      <c r="E219" s="88">
        <f t="shared" si="41"/>
        <v>34632.9484761905</v>
      </c>
      <c r="F219" s="86"/>
      <c r="G219" s="11" t="s">
        <v>84</v>
      </c>
      <c r="H219" s="84">
        <v>0</v>
      </c>
      <c r="I219" s="65">
        <f t="shared" si="42"/>
        <v>0</v>
      </c>
      <c r="J219" s="65">
        <f t="shared" si="43"/>
        <v>0</v>
      </c>
      <c r="K219" s="90">
        <v>0</v>
      </c>
      <c r="L219" s="65">
        <f t="shared" si="44"/>
        <v>0</v>
      </c>
      <c r="M219" s="65">
        <f t="shared" si="45"/>
        <v>0</v>
      </c>
      <c r="N219" s="86"/>
      <c r="O219" s="40">
        <v>30000</v>
      </c>
      <c r="P219" s="40">
        <v>40000</v>
      </c>
      <c r="Q219" s="65">
        <f t="shared" si="46"/>
        <v>0</v>
      </c>
      <c r="R219" s="65"/>
      <c r="T219" s="65"/>
      <c r="U219" s="45">
        <f t="shared" si="47"/>
        <v>0</v>
      </c>
    </row>
    <row r="220" spans="1:21" x14ac:dyDescent="0.3">
      <c r="A220" s="11" t="s">
        <v>85</v>
      </c>
      <c r="B220" s="94">
        <v>10015</v>
      </c>
      <c r="C220" s="94">
        <v>223414198100</v>
      </c>
      <c r="D220" s="65">
        <f t="shared" si="40"/>
        <v>0.00010015</v>
      </c>
      <c r="E220" s="88">
        <f t="shared" si="41"/>
        <v>44615.9157463804</v>
      </c>
      <c r="F220" s="86"/>
      <c r="G220" s="11" t="s">
        <v>85</v>
      </c>
      <c r="H220" s="84">
        <v>0</v>
      </c>
      <c r="I220" s="65">
        <f t="shared" si="42"/>
        <v>0</v>
      </c>
      <c r="J220" s="65">
        <f t="shared" si="43"/>
        <v>0</v>
      </c>
      <c r="K220" s="90">
        <v>0</v>
      </c>
      <c r="L220" s="65">
        <f t="shared" si="44"/>
        <v>0</v>
      </c>
      <c r="M220" s="65">
        <f t="shared" si="45"/>
        <v>0</v>
      </c>
      <c r="N220" s="86"/>
      <c r="O220" s="40">
        <v>40000</v>
      </c>
      <c r="P220" s="40">
        <v>50000</v>
      </c>
      <c r="Q220" s="65">
        <f t="shared" si="46"/>
        <v>0</v>
      </c>
      <c r="R220" s="65"/>
      <c r="T220" s="65"/>
      <c r="U220" s="45">
        <f t="shared" si="47"/>
        <v>0</v>
      </c>
    </row>
    <row r="221" spans="1:21" x14ac:dyDescent="0.3">
      <c r="A221" s="11" t="s">
        <v>86</v>
      </c>
      <c r="B221" s="94">
        <v>6349</v>
      </c>
      <c r="C221" s="94">
        <v>173299562700</v>
      </c>
      <c r="D221" s="65">
        <f t="shared" si="40"/>
        <v>6.349e-05</v>
      </c>
      <c r="E221" s="88">
        <f t="shared" si="41"/>
        <v>54591.136462435</v>
      </c>
      <c r="F221" s="86"/>
      <c r="G221" s="11" t="s">
        <v>86</v>
      </c>
      <c r="H221" s="84">
        <v>0</v>
      </c>
      <c r="I221" s="65">
        <f t="shared" si="42"/>
        <v>0</v>
      </c>
      <c r="J221" s="65">
        <f t="shared" si="43"/>
        <v>0</v>
      </c>
      <c r="K221" s="90">
        <v>0</v>
      </c>
      <c r="L221" s="65">
        <f t="shared" si="44"/>
        <v>0</v>
      </c>
      <c r="M221" s="65">
        <f t="shared" si="45"/>
        <v>0</v>
      </c>
      <c r="N221" s="86"/>
      <c r="O221" s="40">
        <v>50000</v>
      </c>
      <c r="P221" s="40">
        <v>60000</v>
      </c>
      <c r="Q221" s="65">
        <f t="shared" si="46"/>
        <v>0</v>
      </c>
      <c r="R221" s="65"/>
      <c r="T221" s="65"/>
      <c r="U221" s="45">
        <f t="shared" si="47"/>
        <v>0</v>
      </c>
    </row>
    <row r="222" spans="1:21" x14ac:dyDescent="0.3">
      <c r="A222" s="11" t="s">
        <v>87</v>
      </c>
      <c r="B222" s="94">
        <v>3782</v>
      </c>
      <c r="C222" s="94">
        <v>122077781350</v>
      </c>
      <c r="D222" s="65">
        <f t="shared" si="40"/>
        <v>3.782e-05</v>
      </c>
      <c r="E222" s="88">
        <f t="shared" si="41"/>
        <v>64557.2614225278</v>
      </c>
      <c r="F222" s="86"/>
      <c r="G222" s="11" t="s">
        <v>87</v>
      </c>
      <c r="H222" s="84">
        <v>0</v>
      </c>
      <c r="I222" s="65">
        <f t="shared" si="42"/>
        <v>0</v>
      </c>
      <c r="J222" s="65">
        <f t="shared" si="43"/>
        <v>0</v>
      </c>
      <c r="K222" s="90">
        <v>0</v>
      </c>
      <c r="L222" s="65">
        <f t="shared" si="44"/>
        <v>0</v>
      </c>
      <c r="M222" s="65">
        <f t="shared" si="45"/>
        <v>0</v>
      </c>
      <c r="N222" s="86"/>
      <c r="O222" s="40">
        <v>60000</v>
      </c>
      <c r="P222" s="40">
        <v>70000</v>
      </c>
      <c r="Q222" s="65">
        <f t="shared" si="46"/>
        <v>0</v>
      </c>
      <c r="R222" s="65"/>
      <c r="T222" s="65"/>
      <c r="U222" s="45">
        <f t="shared" si="47"/>
        <v>0</v>
      </c>
    </row>
    <row r="223" spans="1:21" x14ac:dyDescent="0.3">
      <c r="A223" s="11" t="s">
        <v>88</v>
      </c>
      <c r="B223" s="94">
        <v>2287</v>
      </c>
      <c r="C223" s="94">
        <v>85400205325</v>
      </c>
      <c r="D223" s="65">
        <f t="shared" si="40"/>
        <v>2.287e-05</v>
      </c>
      <c r="E223" s="88">
        <f t="shared" si="41"/>
        <v>74683.1703760385</v>
      </c>
      <c r="F223" s="86"/>
      <c r="G223" s="11" t="s">
        <v>88</v>
      </c>
      <c r="H223" s="84">
        <v>0</v>
      </c>
      <c r="I223" s="65">
        <f t="shared" si="42"/>
        <v>0</v>
      </c>
      <c r="J223" s="65">
        <f t="shared" si="43"/>
        <v>0</v>
      </c>
      <c r="K223" s="90">
        <v>0</v>
      </c>
      <c r="L223" s="65">
        <f t="shared" si="44"/>
        <v>0</v>
      </c>
      <c r="M223" s="65">
        <f t="shared" si="45"/>
        <v>0</v>
      </c>
      <c r="N223" s="86"/>
      <c r="O223" s="40">
        <v>70000</v>
      </c>
      <c r="P223" s="40">
        <v>80000</v>
      </c>
      <c r="Q223" s="65">
        <f t="shared" si="46"/>
        <v>0</v>
      </c>
      <c r="R223" s="65"/>
      <c r="T223" s="65"/>
      <c r="U223" s="45">
        <f t="shared" si="47"/>
        <v>0</v>
      </c>
    </row>
    <row r="224" spans="1:21" x14ac:dyDescent="0.3">
      <c r="A224" s="11" t="s">
        <v>89</v>
      </c>
      <c r="B224" s="94">
        <v>1415</v>
      </c>
      <c r="C224" s="94">
        <v>59902788850</v>
      </c>
      <c r="D224" s="65">
        <f t="shared" si="40"/>
        <v>1.415e-05</v>
      </c>
      <c r="E224" s="88">
        <f t="shared" si="41"/>
        <v>84668.2527915194</v>
      </c>
      <c r="F224" s="86"/>
      <c r="G224" s="11" t="s">
        <v>89</v>
      </c>
      <c r="H224" s="84">
        <v>0</v>
      </c>
      <c r="I224" s="65">
        <f t="shared" si="42"/>
        <v>0</v>
      </c>
      <c r="J224" s="65">
        <f t="shared" si="43"/>
        <v>0</v>
      </c>
      <c r="K224" s="90">
        <v>0</v>
      </c>
      <c r="L224" s="65">
        <f t="shared" si="44"/>
        <v>0</v>
      </c>
      <c r="M224" s="65">
        <f t="shared" si="45"/>
        <v>0</v>
      </c>
      <c r="N224" s="86"/>
      <c r="O224" s="40">
        <v>80000</v>
      </c>
      <c r="P224" s="40">
        <v>90000</v>
      </c>
      <c r="Q224" s="65">
        <f t="shared" si="46"/>
        <v>0</v>
      </c>
      <c r="R224" s="65"/>
      <c r="T224" s="65"/>
      <c r="U224" s="45">
        <f t="shared" si="47"/>
        <v>0</v>
      </c>
    </row>
    <row r="225" spans="1:21" x14ac:dyDescent="0.3">
      <c r="A225" s="11" t="s">
        <v>90</v>
      </c>
      <c r="B225" s="94">
        <v>848</v>
      </c>
      <c r="C225" s="94">
        <v>40032606400</v>
      </c>
      <c r="D225" s="65">
        <f t="shared" si="40"/>
        <v>8.48e-06</v>
      </c>
      <c r="E225" s="88">
        <f t="shared" si="41"/>
        <v>94416.5245283019</v>
      </c>
      <c r="F225" s="86"/>
      <c r="G225" s="11" t="s">
        <v>90</v>
      </c>
      <c r="H225" s="84">
        <v>0</v>
      </c>
      <c r="I225" s="65">
        <f t="shared" si="42"/>
        <v>0</v>
      </c>
      <c r="J225" s="65">
        <f t="shared" si="43"/>
        <v>0</v>
      </c>
      <c r="K225" s="90">
        <v>0</v>
      </c>
      <c r="L225" s="65">
        <f t="shared" si="44"/>
        <v>0</v>
      </c>
      <c r="M225" s="65">
        <f t="shared" si="45"/>
        <v>0</v>
      </c>
      <c r="N225" s="86"/>
      <c r="O225" s="40">
        <v>90000</v>
      </c>
      <c r="P225" s="40">
        <v>100000</v>
      </c>
      <c r="Q225" s="65">
        <f t="shared" si="46"/>
        <v>0</v>
      </c>
      <c r="R225" s="65"/>
      <c r="T225" s="65"/>
      <c r="U225" s="45">
        <f t="shared" si="47"/>
        <v>0</v>
      </c>
    </row>
    <row r="226" spans="1:21" x14ac:dyDescent="0.3">
      <c r="A226" s="11" t="s">
        <v>91</v>
      </c>
      <c r="B226" s="94">
        <v>1218</v>
      </c>
      <c r="C226" s="94">
        <v>74475216675</v>
      </c>
      <c r="D226" s="65">
        <f t="shared" si="40"/>
        <v>1.218e-05</v>
      </c>
      <c r="E226" s="88">
        <f t="shared" si="41"/>
        <v>122290.996182266</v>
      </c>
      <c r="F226" s="86"/>
      <c r="G226" s="11" t="s">
        <v>91</v>
      </c>
      <c r="H226" s="84">
        <v>0</v>
      </c>
      <c r="I226" s="65">
        <f t="shared" si="42"/>
        <v>0</v>
      </c>
      <c r="J226" s="65">
        <f t="shared" si="43"/>
        <v>0</v>
      </c>
      <c r="K226" s="90">
        <v>0</v>
      </c>
      <c r="L226" s="65">
        <f t="shared" si="44"/>
        <v>0</v>
      </c>
      <c r="M226" s="65">
        <f t="shared" si="45"/>
        <v>0</v>
      </c>
      <c r="N226" s="86"/>
      <c r="O226" s="40">
        <v>100000</v>
      </c>
      <c r="P226" s="40">
        <v>9999999</v>
      </c>
      <c r="Q226" s="65">
        <f t="shared" si="46"/>
        <v>0</v>
      </c>
      <c r="R226" s="65"/>
      <c r="T226" s="65"/>
      <c r="U226" s="45">
        <f t="shared" si="47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92.0000000656364</v>
      </c>
      <c r="N227" s="3"/>
      <c r="O227" s="3"/>
      <c r="P227" s="3"/>
    </row>
    <row r="230" spans="1:21" s="52" customFormat="1" ht="15.6" customHeight="1" collapsed="1" x14ac:dyDescent="0.3">
      <c r="A230" s="59" t="s">
        <v>120</v>
      </c>
      <c r="B230" s="59" t="s">
        <v>15</v>
      </c>
      <c r="C230" s="59"/>
      <c r="D230" s="49"/>
      <c r="E230" s="49"/>
      <c r="F230" s="50"/>
      <c r="G230" s="59" t="s">
        <v>101</v>
      </c>
      <c r="H230" s="59" t="s">
        <v>15</v>
      </c>
      <c r="I230" s="51"/>
      <c r="J230" s="51"/>
      <c r="K230" s="51"/>
      <c r="L230" s="51"/>
      <c r="M230" s="51"/>
      <c r="N230" s="50"/>
      <c r="O230" s="59" t="s">
        <v>101</v>
      </c>
      <c r="P230" s="59" t="s">
        <v>15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x14ac:dyDescent="0.3">
      <c r="A232" s="43" t="s">
        <v>103</v>
      </c>
      <c r="B232" s="3">
        <v>10000000</v>
      </c>
      <c r="C232" s="1"/>
      <c r="D232" s="1"/>
      <c r="E232" s="1"/>
      <c r="G232" s="43" t="s">
        <v>104</v>
      </c>
      <c r="H232" s="25"/>
      <c r="I232" s="25"/>
      <c r="J232" s="25"/>
      <c r="L232" s="25"/>
      <c r="M232" s="25"/>
      <c r="Q232" s="25"/>
      <c r="R232" s="25"/>
    </row>
    <row r="233" spans="1:21" x14ac:dyDescent="0.3">
      <c r="A233" s="7" t="s">
        <v>21</v>
      </c>
      <c r="B233" s="7" t="s">
        <v>105</v>
      </c>
      <c r="C233" s="7" t="s">
        <v>106</v>
      </c>
      <c r="D233" s="7" t="s">
        <v>96</v>
      </c>
      <c r="E233" s="7" t="s">
        <v>107</v>
      </c>
      <c r="G233" s="7" t="s">
        <v>21</v>
      </c>
      <c r="H233" s="7" t="s">
        <v>108</v>
      </c>
      <c r="I233" s="7" t="s">
        <v>109</v>
      </c>
      <c r="J233" s="7" t="s">
        <v>110</v>
      </c>
      <c r="K233" s="7" t="s">
        <v>111</v>
      </c>
      <c r="L233" s="7" t="s">
        <v>96</v>
      </c>
      <c r="M233" s="7" t="s">
        <v>112</v>
      </c>
      <c r="O233" s="7" t="s">
        <v>113</v>
      </c>
      <c r="P233" s="7" t="s">
        <v>114</v>
      </c>
      <c r="Q233" s="7" t="s">
        <v>128</v>
      </c>
      <c r="R233" s="7" t="s">
        <v>129</v>
      </c>
      <c r="T233" s="10" t="s">
        <v>130</v>
      </c>
      <c r="U233" s="10" t="s">
        <v>131</v>
      </c>
    </row>
    <row r="234" spans="1:21" x14ac:dyDescent="0.3">
      <c r="A234" s="11" t="s">
        <v>28</v>
      </c>
      <c r="B234" s="82">
        <v>0</v>
      </c>
      <c r="C234" s="82">
        <v>0</v>
      </c>
      <c r="D234" s="65">
        <f t="shared" ref="D234:D265" si="48">IFERROR(B234/$B$232,0)</f>
        <v>0</v>
      </c>
      <c r="E234" s="83">
        <f t="shared" ref="E234:E265" si="49">IFERROR(C234/B234/500,0)</f>
        <v>0</v>
      </c>
      <c r="G234" s="11" t="s">
        <v>28</v>
      </c>
      <c r="H234" s="84">
        <v>1</v>
      </c>
      <c r="I234" s="65">
        <f t="shared" ref="I234:I265" si="50">IFERROR(B234/$B$232,0)</f>
        <v>0</v>
      </c>
      <c r="J234" s="65">
        <f t="shared" ref="J234:J265" si="51">IFERROR(K234/$B$2,0)</f>
        <v>0</v>
      </c>
      <c r="K234" s="85">
        <v>0</v>
      </c>
      <c r="L234" s="65">
        <f t="shared" ref="L234:L265" si="52">IFERROR(K234/$B$2,0)</f>
        <v>0</v>
      </c>
      <c r="M234" s="65">
        <f t="shared" ref="M234:M265" si="53">IFERROR(L234*E234,0)</f>
        <v>0</v>
      </c>
      <c r="N234" s="86"/>
      <c r="O234" s="44">
        <v>-1</v>
      </c>
      <c r="P234" s="44">
        <v>0</v>
      </c>
      <c r="Q234" s="65">
        <f t="shared" ref="Q234:Q265" si="54">L234</f>
        <v>0</v>
      </c>
      <c r="R234" s="65"/>
      <c r="T234" s="65"/>
      <c r="U234" s="45">
        <f t="shared" ref="U234:U265" si="55">IFERROR(ROUND(T234/L234,2),0)</f>
        <v>0</v>
      </c>
    </row>
    <row r="235" spans="1:21" x14ac:dyDescent="0.3">
      <c r="A235" s="11" t="s">
        <v>29</v>
      </c>
      <c r="B235" s="87">
        <v>0</v>
      </c>
      <c r="C235" s="87">
        <v>0</v>
      </c>
      <c r="D235" s="65">
        <f t="shared" si="48"/>
        <v>0</v>
      </c>
      <c r="E235" s="88">
        <f t="shared" si="49"/>
        <v>0</v>
      </c>
      <c r="G235" s="11" t="s">
        <v>29</v>
      </c>
      <c r="H235" s="84">
        <v>1</v>
      </c>
      <c r="I235" s="65">
        <f t="shared" si="50"/>
        <v>0</v>
      </c>
      <c r="J235" s="65">
        <f t="shared" si="51"/>
        <v>0</v>
      </c>
      <c r="K235" s="85">
        <v>0</v>
      </c>
      <c r="L235" s="65">
        <f t="shared" si="52"/>
        <v>0</v>
      </c>
      <c r="M235" s="65">
        <f t="shared" si="53"/>
        <v>0</v>
      </c>
      <c r="N235" s="86"/>
      <c r="O235" s="40">
        <v>0</v>
      </c>
      <c r="P235" s="40">
        <v>1</v>
      </c>
      <c r="Q235" s="65">
        <f t="shared" si="54"/>
        <v>0</v>
      </c>
      <c r="R235" s="65"/>
      <c r="T235" s="65"/>
      <c r="U235" s="45">
        <f t="shared" si="55"/>
        <v>0</v>
      </c>
    </row>
    <row r="236" spans="1:21" x14ac:dyDescent="0.3">
      <c r="A236" s="11" t="s">
        <v>30</v>
      </c>
      <c r="B236" s="87">
        <v>0</v>
      </c>
      <c r="C236" s="87">
        <v>0</v>
      </c>
      <c r="D236" s="65">
        <f t="shared" si="48"/>
        <v>0</v>
      </c>
      <c r="E236" s="88">
        <f t="shared" si="49"/>
        <v>0</v>
      </c>
      <c r="F236" s="46"/>
      <c r="G236" s="11" t="s">
        <v>30</v>
      </c>
      <c r="H236" s="84">
        <v>1</v>
      </c>
      <c r="I236" s="65">
        <f t="shared" si="50"/>
        <v>0</v>
      </c>
      <c r="J236" s="65">
        <f t="shared" si="51"/>
        <v>0</v>
      </c>
      <c r="K236" s="85">
        <v>0</v>
      </c>
      <c r="L236" s="65">
        <f t="shared" si="52"/>
        <v>0</v>
      </c>
      <c r="M236" s="65">
        <f t="shared" si="53"/>
        <v>0</v>
      </c>
      <c r="N236" s="86"/>
      <c r="O236" s="40">
        <v>1</v>
      </c>
      <c r="P236" s="40">
        <v>2</v>
      </c>
      <c r="Q236" s="65">
        <f t="shared" si="54"/>
        <v>0</v>
      </c>
      <c r="R236" s="65"/>
      <c r="T236" s="65"/>
      <c r="U236" s="45">
        <f t="shared" si="55"/>
        <v>0</v>
      </c>
    </row>
    <row r="237" spans="1:21" x14ac:dyDescent="0.3">
      <c r="A237" s="11" t="s">
        <v>31</v>
      </c>
      <c r="B237" s="87">
        <v>1148</v>
      </c>
      <c r="C237" s="87">
        <v>1722000</v>
      </c>
      <c r="D237" s="65">
        <f t="shared" si="48"/>
        <v>1.148E-4</v>
      </c>
      <c r="E237" s="88">
        <f t="shared" si="49"/>
        <v>3</v>
      </c>
      <c r="F237" s="86"/>
      <c r="G237" s="11" t="s">
        <v>31</v>
      </c>
      <c r="H237" s="84">
        <v>1</v>
      </c>
      <c r="I237" s="65">
        <f t="shared" si="50"/>
        <v>1.148E-4</v>
      </c>
      <c r="J237" s="65">
        <f t="shared" si="51"/>
        <v>0</v>
      </c>
      <c r="K237" s="85">
        <v>0</v>
      </c>
      <c r="L237" s="65">
        <f t="shared" si="52"/>
        <v>0</v>
      </c>
      <c r="M237" s="65">
        <f t="shared" si="53"/>
        <v>0</v>
      </c>
      <c r="N237" s="86"/>
      <c r="O237" s="40">
        <v>2</v>
      </c>
      <c r="P237" s="40">
        <v>3</v>
      </c>
      <c r="Q237" s="65">
        <f t="shared" si="54"/>
        <v>0</v>
      </c>
      <c r="R237" s="65"/>
      <c r="T237" s="65"/>
      <c r="U237" s="45">
        <f t="shared" si="55"/>
        <v>0</v>
      </c>
    </row>
    <row r="238" spans="1:21" x14ac:dyDescent="0.3">
      <c r="A238" s="11" t="s">
        <v>32</v>
      </c>
      <c r="B238" s="87">
        <v>1024</v>
      </c>
      <c r="C238" s="87">
        <v>1857625</v>
      </c>
      <c r="D238" s="65">
        <f t="shared" si="48"/>
        <v>1.024E-4</v>
      </c>
      <c r="E238" s="88">
        <f t="shared" si="49"/>
        <v>3.628173828125</v>
      </c>
      <c r="F238" s="86"/>
      <c r="G238" s="11" t="s">
        <v>32</v>
      </c>
      <c r="H238" s="84">
        <v>1</v>
      </c>
      <c r="I238" s="65">
        <f t="shared" si="50"/>
        <v>1.024E-4</v>
      </c>
      <c r="J238" s="65">
        <f t="shared" si="51"/>
        <v>0</v>
      </c>
      <c r="K238" s="85">
        <v>0</v>
      </c>
      <c r="L238" s="65">
        <f t="shared" si="52"/>
        <v>0</v>
      </c>
      <c r="M238" s="65">
        <f t="shared" si="53"/>
        <v>0</v>
      </c>
      <c r="N238" s="86"/>
      <c r="O238" s="40">
        <v>3</v>
      </c>
      <c r="P238" s="40">
        <v>4</v>
      </c>
      <c r="Q238" s="65">
        <f t="shared" si="54"/>
        <v>0</v>
      </c>
      <c r="R238" s="65"/>
      <c r="T238" s="65"/>
      <c r="U238" s="45">
        <f t="shared" si="55"/>
        <v>0</v>
      </c>
    </row>
    <row r="239" spans="1:21" x14ac:dyDescent="0.3">
      <c r="A239" s="11" t="s">
        <v>33</v>
      </c>
      <c r="B239" s="87">
        <v>1497</v>
      </c>
      <c r="C239" s="87">
        <v>3489150</v>
      </c>
      <c r="D239" s="65">
        <f t="shared" si="48"/>
        <v>1.4970000000000001E-4</v>
      </c>
      <c r="E239" s="88">
        <f t="shared" si="49"/>
        <v>4.661523046092185</v>
      </c>
      <c r="F239" s="86"/>
      <c r="G239" s="11" t="s">
        <v>33</v>
      </c>
      <c r="H239" s="84">
        <v>1</v>
      </c>
      <c r="I239" s="65">
        <f t="shared" si="50"/>
        <v>1.4970000000000001E-4</v>
      </c>
      <c r="J239" s="65">
        <f t="shared" si="51"/>
        <v>0</v>
      </c>
      <c r="K239" s="85">
        <v>0</v>
      </c>
      <c r="L239" s="65">
        <f t="shared" si="52"/>
        <v>0</v>
      </c>
      <c r="M239" s="65">
        <f t="shared" si="53"/>
        <v>0</v>
      </c>
      <c r="N239" s="86"/>
      <c r="O239" s="40">
        <v>4</v>
      </c>
      <c r="P239" s="40">
        <v>5</v>
      </c>
      <c r="Q239" s="65">
        <f t="shared" si="54"/>
        <v>0</v>
      </c>
      <c r="R239" s="65"/>
      <c r="T239" s="65"/>
      <c r="U239" s="45">
        <f t="shared" si="55"/>
        <v>0</v>
      </c>
    </row>
    <row r="240" spans="1:21" x14ac:dyDescent="0.3">
      <c r="A240" s="11" t="s">
        <v>34</v>
      </c>
      <c r="B240" s="87">
        <v>1756</v>
      </c>
      <c r="C240" s="87">
        <v>4914025</v>
      </c>
      <c r="D240" s="65">
        <f t="shared" si="48"/>
        <v>1.7560000000000001E-4</v>
      </c>
      <c r="E240" s="88">
        <f t="shared" si="49"/>
        <v>5.5968394077448744</v>
      </c>
      <c r="F240" s="86"/>
      <c r="G240" s="11" t="s">
        <v>34</v>
      </c>
      <c r="H240" s="84">
        <v>1</v>
      </c>
      <c r="I240" s="65">
        <f t="shared" si="50"/>
        <v>1.7560000000000001E-4</v>
      </c>
      <c r="J240" s="65">
        <f t="shared" si="51"/>
        <v>0</v>
      </c>
      <c r="K240" s="85">
        <v>0</v>
      </c>
      <c r="L240" s="65">
        <f t="shared" si="52"/>
        <v>0</v>
      </c>
      <c r="M240" s="65">
        <f t="shared" si="53"/>
        <v>0</v>
      </c>
      <c r="N240" s="86"/>
      <c r="O240" s="40">
        <v>5</v>
      </c>
      <c r="P240" s="40">
        <v>6</v>
      </c>
      <c r="Q240" s="65">
        <f t="shared" si="54"/>
        <v>0</v>
      </c>
      <c r="R240" s="65"/>
      <c r="T240" s="65"/>
      <c r="U240" s="45">
        <f t="shared" si="55"/>
        <v>0</v>
      </c>
    </row>
    <row r="241" spans="1:21" x14ac:dyDescent="0.3">
      <c r="A241" s="11" t="s">
        <v>35</v>
      </c>
      <c r="B241" s="87">
        <v>2335</v>
      </c>
      <c r="C241" s="87">
        <v>7708500</v>
      </c>
      <c r="D241" s="65">
        <f t="shared" si="48"/>
        <v>2.3350000000000001E-4</v>
      </c>
      <c r="E241" s="88">
        <f t="shared" si="49"/>
        <v>6.6025695931477513</v>
      </c>
      <c r="F241" s="86"/>
      <c r="G241" s="11" t="s">
        <v>35</v>
      </c>
      <c r="H241" s="84">
        <v>1</v>
      </c>
      <c r="I241" s="65">
        <f t="shared" si="50"/>
        <v>2.3350000000000001E-4</v>
      </c>
      <c r="J241" s="65">
        <f t="shared" si="51"/>
        <v>0</v>
      </c>
      <c r="K241" s="85">
        <v>0</v>
      </c>
      <c r="L241" s="65">
        <f t="shared" si="52"/>
        <v>0</v>
      </c>
      <c r="M241" s="65">
        <f t="shared" si="53"/>
        <v>0</v>
      </c>
      <c r="N241" s="86"/>
      <c r="O241" s="40">
        <v>6</v>
      </c>
      <c r="P241" s="40">
        <v>7</v>
      </c>
      <c r="Q241" s="65">
        <f t="shared" si="54"/>
        <v>0</v>
      </c>
      <c r="R241" s="65"/>
      <c r="T241" s="65"/>
      <c r="U241" s="45">
        <f t="shared" si="55"/>
        <v>0</v>
      </c>
    </row>
    <row r="242" spans="1:21" x14ac:dyDescent="0.3">
      <c r="A242" s="11" t="s">
        <v>36</v>
      </c>
      <c r="B242" s="87">
        <v>2639</v>
      </c>
      <c r="C242" s="87">
        <v>10012850</v>
      </c>
      <c r="D242" s="65">
        <f t="shared" si="48"/>
        <v>2.6390000000000002E-4</v>
      </c>
      <c r="E242" s="88">
        <f t="shared" si="49"/>
        <v>7.5883668056081852</v>
      </c>
      <c r="F242" s="86"/>
      <c r="G242" s="11" t="s">
        <v>36</v>
      </c>
      <c r="H242" s="84">
        <v>1</v>
      </c>
      <c r="I242" s="65">
        <f t="shared" si="50"/>
        <v>2.6390000000000002E-4</v>
      </c>
      <c r="J242" s="65">
        <f t="shared" si="51"/>
        <v>0</v>
      </c>
      <c r="K242" s="85">
        <v>0</v>
      </c>
      <c r="L242" s="65">
        <f t="shared" si="52"/>
        <v>0</v>
      </c>
      <c r="M242" s="65">
        <f t="shared" si="53"/>
        <v>0</v>
      </c>
      <c r="N242" s="86"/>
      <c r="O242" s="40">
        <v>7</v>
      </c>
      <c r="P242" s="40">
        <v>8</v>
      </c>
      <c r="Q242" s="65">
        <f t="shared" si="54"/>
        <v>0</v>
      </c>
      <c r="R242" s="65"/>
      <c r="T242" s="65"/>
      <c r="U242" s="45">
        <f t="shared" si="55"/>
        <v>0</v>
      </c>
    </row>
    <row r="243" spans="1:21" x14ac:dyDescent="0.3">
      <c r="A243" s="11" t="s">
        <v>37</v>
      </c>
      <c r="B243" s="87">
        <v>3125</v>
      </c>
      <c r="C243" s="87">
        <v>13407000</v>
      </c>
      <c r="D243" s="65">
        <f t="shared" si="48"/>
        <v>3.1250000000000001E-4</v>
      </c>
      <c r="E243" s="88">
        <f t="shared" si="49"/>
        <v>8.5804799999999997</v>
      </c>
      <c r="F243" s="86"/>
      <c r="G243" s="11" t="s">
        <v>37</v>
      </c>
      <c r="H243" s="84">
        <v>1</v>
      </c>
      <c r="I243" s="65">
        <f t="shared" si="50"/>
        <v>3.1250000000000001E-4</v>
      </c>
      <c r="J243" s="65">
        <f t="shared" si="51"/>
        <v>8.2731692999999995E-2</v>
      </c>
      <c r="K243" s="85">
        <v>82731693</v>
      </c>
      <c r="L243" s="65">
        <f t="shared" si="52"/>
        <v>8.2731692999999995E-2</v>
      </c>
      <c r="M243" s="65">
        <f t="shared" si="53"/>
        <v>0.70987763715263996</v>
      </c>
      <c r="N243" s="86"/>
      <c r="O243" s="40">
        <v>8</v>
      </c>
      <c r="P243" s="40">
        <v>9</v>
      </c>
      <c r="Q243" s="65">
        <f t="shared" si="54"/>
        <v>8.2731692999999995E-2</v>
      </c>
      <c r="R243" s="65"/>
      <c r="T243" s="65"/>
      <c r="U243" s="45">
        <f t="shared" si="55"/>
        <v>0</v>
      </c>
    </row>
    <row r="244" spans="1:21" x14ac:dyDescent="0.3">
      <c r="A244" s="11" t="s">
        <v>38</v>
      </c>
      <c r="B244" s="87">
        <v>3516</v>
      </c>
      <c r="C244" s="87">
        <v>16826325</v>
      </c>
      <c r="D244" s="65">
        <f t="shared" si="48"/>
        <v>3.5159999999999998E-4</v>
      </c>
      <c r="E244" s="88">
        <f t="shared" si="49"/>
        <v>9.5712883959044373</v>
      </c>
      <c r="F244" s="86"/>
      <c r="G244" s="11" t="s">
        <v>38</v>
      </c>
      <c r="H244" s="84">
        <v>1</v>
      </c>
      <c r="I244" s="65">
        <f t="shared" si="50"/>
        <v>3.5159999999999998E-4</v>
      </c>
      <c r="J244" s="65">
        <f t="shared" si="51"/>
        <v>0</v>
      </c>
      <c r="K244" s="85">
        <v>0</v>
      </c>
      <c r="L244" s="65">
        <f t="shared" si="52"/>
        <v>0</v>
      </c>
      <c r="M244" s="65">
        <f t="shared" si="53"/>
        <v>0</v>
      </c>
      <c r="N244" s="86"/>
      <c r="O244" s="40">
        <v>9</v>
      </c>
      <c r="P244" s="40">
        <v>10</v>
      </c>
      <c r="Q244" s="65">
        <f t="shared" si="54"/>
        <v>0</v>
      </c>
      <c r="R244" s="65"/>
      <c r="T244" s="65"/>
      <c r="U244" s="45">
        <f t="shared" si="55"/>
        <v>0</v>
      </c>
    </row>
    <row r="245" spans="1:21" x14ac:dyDescent="0.3">
      <c r="A245" s="11" t="s">
        <v>39</v>
      </c>
      <c r="B245" s="87">
        <v>23999</v>
      </c>
      <c r="C245" s="87">
        <v>152876675</v>
      </c>
      <c r="D245" s="65">
        <f t="shared" si="48"/>
        <v>2.3998999999999999E-3</v>
      </c>
      <c r="E245" s="88">
        <f t="shared" si="49"/>
        <v>12.740253760573358</v>
      </c>
      <c r="F245" s="86"/>
      <c r="G245" s="11" t="s">
        <v>39</v>
      </c>
      <c r="H245" s="84">
        <v>1</v>
      </c>
      <c r="I245" s="65">
        <f t="shared" si="50"/>
        <v>2.3998999999999999E-3</v>
      </c>
      <c r="J245" s="65">
        <f t="shared" si="51"/>
        <v>3.925679E-2</v>
      </c>
      <c r="K245" s="85">
        <v>39256790</v>
      </c>
      <c r="L245" s="65">
        <f t="shared" si="52"/>
        <v>3.925679E-2</v>
      </c>
      <c r="M245" s="65">
        <f t="shared" si="53"/>
        <v>0.50014146642553858</v>
      </c>
      <c r="N245" s="86"/>
      <c r="O245" s="40">
        <v>10</v>
      </c>
      <c r="P245" s="40">
        <v>15</v>
      </c>
      <c r="Q245" s="65">
        <f t="shared" si="54"/>
        <v>3.925679E-2</v>
      </c>
      <c r="R245" s="65"/>
      <c r="T245" s="65"/>
      <c r="U245" s="45">
        <f t="shared" si="55"/>
        <v>0</v>
      </c>
    </row>
    <row r="246" spans="1:21" x14ac:dyDescent="0.3">
      <c r="A246" s="11" t="s">
        <v>40</v>
      </c>
      <c r="B246" s="87">
        <v>33435</v>
      </c>
      <c r="C246" s="87">
        <v>295122000</v>
      </c>
      <c r="D246" s="65">
        <f t="shared" si="48"/>
        <v>3.3435000000000001E-3</v>
      </c>
      <c r="E246" s="88">
        <f t="shared" si="49"/>
        <v>17.65347689546882</v>
      </c>
      <c r="F246" s="86"/>
      <c r="G246" s="11" t="s">
        <v>40</v>
      </c>
      <c r="H246" s="84">
        <v>1</v>
      </c>
      <c r="I246" s="65">
        <f t="shared" si="50"/>
        <v>3.3435000000000001E-3</v>
      </c>
      <c r="J246" s="65">
        <f t="shared" si="51"/>
        <v>6.6918888999999995E-2</v>
      </c>
      <c r="K246" s="85">
        <v>66918889</v>
      </c>
      <c r="L246" s="65">
        <f t="shared" si="52"/>
        <v>6.6918888999999995E-2</v>
      </c>
      <c r="M246" s="65">
        <f t="shared" si="53"/>
        <v>1.1813510608319424</v>
      </c>
      <c r="N246" s="86"/>
      <c r="O246" s="40">
        <v>15</v>
      </c>
      <c r="P246" s="40">
        <v>20</v>
      </c>
      <c r="Q246" s="65">
        <f t="shared" si="54"/>
        <v>6.6918888999999995E-2</v>
      </c>
      <c r="R246" s="65"/>
      <c r="T246" s="65"/>
      <c r="U246" s="45">
        <f t="shared" si="55"/>
        <v>0</v>
      </c>
    </row>
    <row r="247" spans="1:21" x14ac:dyDescent="0.3">
      <c r="A247" s="11" t="s">
        <v>41</v>
      </c>
      <c r="B247" s="87">
        <v>42291</v>
      </c>
      <c r="C247" s="87">
        <v>478270900</v>
      </c>
      <c r="D247" s="65">
        <f t="shared" si="48"/>
        <v>4.2291000000000004E-3</v>
      </c>
      <c r="E247" s="88">
        <f t="shared" si="49"/>
        <v>22.618093684235415</v>
      </c>
      <c r="F247" s="86"/>
      <c r="G247" s="11" t="s">
        <v>41</v>
      </c>
      <c r="H247" s="84">
        <v>1</v>
      </c>
      <c r="I247" s="65">
        <f t="shared" si="50"/>
        <v>4.2291000000000004E-3</v>
      </c>
      <c r="J247" s="65">
        <f t="shared" si="51"/>
        <v>3.5303964E-2</v>
      </c>
      <c r="K247" s="85">
        <v>35303964</v>
      </c>
      <c r="L247" s="65">
        <f t="shared" si="52"/>
        <v>3.5303964E-2</v>
      </c>
      <c r="M247" s="65">
        <f t="shared" si="53"/>
        <v>0.79850836517687451</v>
      </c>
      <c r="N247" s="86"/>
      <c r="O247" s="40">
        <v>20</v>
      </c>
      <c r="P247" s="40">
        <v>25</v>
      </c>
      <c r="Q247" s="65">
        <f t="shared" si="54"/>
        <v>3.5303964E-2</v>
      </c>
      <c r="R247" s="65"/>
      <c r="T247" s="65"/>
      <c r="U247" s="45">
        <f t="shared" si="55"/>
        <v>0</v>
      </c>
    </row>
    <row r="248" spans="1:21" x14ac:dyDescent="0.3">
      <c r="A248" s="11" t="s">
        <v>42</v>
      </c>
      <c r="B248" s="87">
        <v>49505</v>
      </c>
      <c r="C248" s="87">
        <v>683273950</v>
      </c>
      <c r="D248" s="65">
        <f t="shared" si="48"/>
        <v>4.9505E-3</v>
      </c>
      <c r="E248" s="88">
        <f t="shared" si="49"/>
        <v>27.604239975760024</v>
      </c>
      <c r="F248" s="86"/>
      <c r="G248" s="11" t="s">
        <v>42</v>
      </c>
      <c r="H248" s="84">
        <v>1</v>
      </c>
      <c r="I248" s="65">
        <f t="shared" si="50"/>
        <v>4.9505E-3</v>
      </c>
      <c r="J248" s="65">
        <f t="shared" si="51"/>
        <v>3.9267299999999998E-2</v>
      </c>
      <c r="K248" s="85">
        <v>39267300</v>
      </c>
      <c r="L248" s="65">
        <f t="shared" si="52"/>
        <v>3.9267299999999998E-2</v>
      </c>
      <c r="M248" s="65">
        <f t="shared" si="53"/>
        <v>1.0839439724001616</v>
      </c>
      <c r="N248" s="86"/>
      <c r="O248" s="40">
        <v>25</v>
      </c>
      <c r="P248" s="40">
        <v>30</v>
      </c>
      <c r="Q248" s="65">
        <f t="shared" si="54"/>
        <v>3.9267299999999998E-2</v>
      </c>
      <c r="R248" s="65"/>
      <c r="T248" s="65"/>
      <c r="U248" s="45">
        <f t="shared" si="55"/>
        <v>0</v>
      </c>
    </row>
    <row r="249" spans="1:21" x14ac:dyDescent="0.3">
      <c r="A249" s="11" t="s">
        <v>43</v>
      </c>
      <c r="B249" s="87">
        <v>57026</v>
      </c>
      <c r="C249" s="87">
        <v>929214975</v>
      </c>
      <c r="D249" s="65">
        <f t="shared" si="48"/>
        <v>5.7026000000000004E-3</v>
      </c>
      <c r="E249" s="88">
        <f t="shared" si="49"/>
        <v>32.589168975555012</v>
      </c>
      <c r="F249" s="86"/>
      <c r="G249" s="11" t="s">
        <v>43</v>
      </c>
      <c r="H249" s="84">
        <v>1</v>
      </c>
      <c r="I249" s="65">
        <f t="shared" si="50"/>
        <v>5.7026000000000004E-3</v>
      </c>
      <c r="J249" s="65">
        <f t="shared" si="51"/>
        <v>7.4839043999999993E-2</v>
      </c>
      <c r="K249" s="85">
        <v>74839044</v>
      </c>
      <c r="L249" s="65">
        <f t="shared" si="52"/>
        <v>7.4839043999999993E-2</v>
      </c>
      <c r="M249" s="65">
        <f t="shared" si="53"/>
        <v>2.4389422508849963</v>
      </c>
      <c r="N249" s="86"/>
      <c r="O249" s="40">
        <v>30</v>
      </c>
      <c r="P249" s="40">
        <v>35</v>
      </c>
      <c r="Q249" s="65">
        <f t="shared" si="54"/>
        <v>7.4839043999999993E-2</v>
      </c>
      <c r="R249" s="65"/>
      <c r="T249" s="65"/>
      <c r="U249" s="45">
        <f t="shared" si="55"/>
        <v>0</v>
      </c>
    </row>
    <row r="250" spans="1:21" x14ac:dyDescent="0.3">
      <c r="A250" s="11" t="s">
        <v>44</v>
      </c>
      <c r="B250" s="87">
        <v>63420</v>
      </c>
      <c r="C250" s="87">
        <v>1191452350</v>
      </c>
      <c r="D250" s="65">
        <f t="shared" si="48"/>
        <v>6.3420000000000004E-3</v>
      </c>
      <c r="E250" s="88">
        <f t="shared" si="49"/>
        <v>37.573394828129928</v>
      </c>
      <c r="F250" s="86"/>
      <c r="G250" s="11" t="s">
        <v>44</v>
      </c>
      <c r="H250" s="84">
        <v>1</v>
      </c>
      <c r="I250" s="65">
        <f t="shared" si="50"/>
        <v>6.3420000000000004E-3</v>
      </c>
      <c r="J250" s="65">
        <f t="shared" si="51"/>
        <v>4.3224155E-2</v>
      </c>
      <c r="K250" s="85">
        <v>43224155</v>
      </c>
      <c r="L250" s="65">
        <f t="shared" si="52"/>
        <v>4.3224155E-2</v>
      </c>
      <c r="M250" s="65">
        <f t="shared" si="53"/>
        <v>1.6240782419272863</v>
      </c>
      <c r="N250" s="86"/>
      <c r="O250" s="40">
        <v>35</v>
      </c>
      <c r="P250" s="40">
        <v>40</v>
      </c>
      <c r="Q250" s="65">
        <f t="shared" si="54"/>
        <v>4.3224155E-2</v>
      </c>
      <c r="R250" s="65"/>
      <c r="T250" s="65"/>
      <c r="U250" s="45">
        <f t="shared" si="55"/>
        <v>0</v>
      </c>
    </row>
    <row r="251" spans="1:21" x14ac:dyDescent="0.3">
      <c r="A251" s="11" t="s">
        <v>45</v>
      </c>
      <c r="B251" s="87">
        <v>68592</v>
      </c>
      <c r="C251" s="87">
        <v>1459931525</v>
      </c>
      <c r="D251" s="65">
        <f t="shared" si="48"/>
        <v>6.8592000000000002E-3</v>
      </c>
      <c r="E251" s="88">
        <f t="shared" si="49"/>
        <v>42.568565576160488</v>
      </c>
      <c r="F251" s="86"/>
      <c r="G251" s="11" t="s">
        <v>45</v>
      </c>
      <c r="H251" s="84">
        <v>1</v>
      </c>
      <c r="I251" s="65">
        <f t="shared" si="50"/>
        <v>6.8592000000000002E-3</v>
      </c>
      <c r="J251" s="65">
        <f t="shared" si="51"/>
        <v>3.9277876000000003E-2</v>
      </c>
      <c r="K251" s="85">
        <v>39277876</v>
      </c>
      <c r="L251" s="65">
        <f t="shared" si="52"/>
        <v>3.9277876000000003E-2</v>
      </c>
      <c r="M251" s="65">
        <f t="shared" si="53"/>
        <v>1.6720028401983003</v>
      </c>
      <c r="N251" s="86"/>
      <c r="O251" s="40">
        <v>40</v>
      </c>
      <c r="P251" s="40">
        <v>45</v>
      </c>
      <c r="Q251" s="65">
        <f t="shared" si="54"/>
        <v>3.9277876000000003E-2</v>
      </c>
      <c r="R251" s="65"/>
      <c r="T251" s="65"/>
      <c r="U251" s="45">
        <f t="shared" si="55"/>
        <v>0</v>
      </c>
    </row>
    <row r="252" spans="1:21" x14ac:dyDescent="0.3">
      <c r="A252" s="11" t="s">
        <v>46</v>
      </c>
      <c r="B252" s="87">
        <v>73256</v>
      </c>
      <c r="C252" s="87">
        <v>1741850925</v>
      </c>
      <c r="D252" s="65">
        <f t="shared" si="48"/>
        <v>7.3255999999999998E-3</v>
      </c>
      <c r="E252" s="88">
        <f t="shared" si="49"/>
        <v>47.555174320192201</v>
      </c>
      <c r="F252" s="86"/>
      <c r="G252" s="11" t="s">
        <v>46</v>
      </c>
      <c r="H252" s="84">
        <v>1</v>
      </c>
      <c r="I252" s="65">
        <f t="shared" si="50"/>
        <v>7.3255999999999998E-3</v>
      </c>
      <c r="J252" s="65">
        <f t="shared" si="51"/>
        <v>4.3231205000000002E-2</v>
      </c>
      <c r="K252" s="85">
        <v>43231205</v>
      </c>
      <c r="L252" s="65">
        <f t="shared" si="52"/>
        <v>4.3231205000000002E-2</v>
      </c>
      <c r="M252" s="65">
        <f t="shared" si="53"/>
        <v>2.0558674898469649</v>
      </c>
      <c r="N252" s="86"/>
      <c r="O252" s="40">
        <v>45</v>
      </c>
      <c r="P252" s="40">
        <v>50</v>
      </c>
      <c r="Q252" s="65">
        <f t="shared" si="54"/>
        <v>4.3231205000000002E-2</v>
      </c>
      <c r="R252" s="65"/>
      <c r="T252" s="65"/>
      <c r="U252" s="45">
        <f t="shared" si="55"/>
        <v>0</v>
      </c>
    </row>
    <row r="253" spans="1:21" x14ac:dyDescent="0.3">
      <c r="A253" s="11" t="s">
        <v>47</v>
      </c>
      <c r="B253" s="87">
        <v>158621</v>
      </c>
      <c r="C253" s="87">
        <v>4369349850</v>
      </c>
      <c r="D253" s="65">
        <f t="shared" si="48"/>
        <v>1.5862100000000001E-2</v>
      </c>
      <c r="E253" s="88">
        <f t="shared" si="49"/>
        <v>55.091694668423472</v>
      </c>
      <c r="F253" s="86"/>
      <c r="G253" s="11" t="s">
        <v>47</v>
      </c>
      <c r="H253" s="84">
        <v>1</v>
      </c>
      <c r="I253" s="65">
        <f t="shared" si="50"/>
        <v>1.5862100000000001E-2</v>
      </c>
      <c r="J253" s="65">
        <f t="shared" si="51"/>
        <v>0.10647335199999999</v>
      </c>
      <c r="K253" s="85">
        <v>106473352</v>
      </c>
      <c r="L253" s="65">
        <f t="shared" si="52"/>
        <v>0.10647335199999999</v>
      </c>
      <c r="M253" s="65">
        <f t="shared" si="53"/>
        <v>5.8657973987075751</v>
      </c>
      <c r="N253" s="86"/>
      <c r="O253" s="40">
        <v>50</v>
      </c>
      <c r="P253" s="40">
        <v>60</v>
      </c>
      <c r="Q253" s="65">
        <f t="shared" si="54"/>
        <v>0.10647335199999999</v>
      </c>
      <c r="R253" s="65"/>
      <c r="T253" s="65"/>
      <c r="U253" s="45">
        <f t="shared" si="55"/>
        <v>0</v>
      </c>
    </row>
    <row r="254" spans="1:21" x14ac:dyDescent="0.3">
      <c r="A254" s="11" t="s">
        <v>48</v>
      </c>
      <c r="B254" s="87">
        <v>171110</v>
      </c>
      <c r="C254" s="87">
        <v>5568059825</v>
      </c>
      <c r="D254" s="65">
        <f t="shared" si="48"/>
        <v>1.7111000000000001E-2</v>
      </c>
      <c r="E254" s="88">
        <f t="shared" si="49"/>
        <v>65.081641341826895</v>
      </c>
      <c r="F254" s="86"/>
      <c r="G254" s="11" t="s">
        <v>48</v>
      </c>
      <c r="H254" s="84">
        <v>1</v>
      </c>
      <c r="I254" s="65">
        <f t="shared" si="50"/>
        <v>1.7111000000000001E-2</v>
      </c>
      <c r="J254" s="65">
        <f t="shared" si="51"/>
        <v>4.3243572000000001E-2</v>
      </c>
      <c r="K254" s="85">
        <v>43243572</v>
      </c>
      <c r="L254" s="65">
        <f t="shared" si="52"/>
        <v>4.3243572000000001E-2</v>
      </c>
      <c r="M254" s="65">
        <f t="shared" si="53"/>
        <v>2.8143626432434679</v>
      </c>
      <c r="N254" s="86"/>
      <c r="O254" s="40">
        <v>60</v>
      </c>
      <c r="P254" s="40">
        <v>70</v>
      </c>
      <c r="Q254" s="65">
        <f t="shared" si="54"/>
        <v>4.3243572000000001E-2</v>
      </c>
      <c r="R254" s="65"/>
      <c r="T254" s="65"/>
      <c r="U254" s="45">
        <f t="shared" si="55"/>
        <v>0</v>
      </c>
    </row>
    <row r="255" spans="1:21" x14ac:dyDescent="0.3">
      <c r="A255" s="11" t="s">
        <v>49</v>
      </c>
      <c r="B255" s="87">
        <v>180419</v>
      </c>
      <c r="C255" s="87">
        <v>6770248675</v>
      </c>
      <c r="D255" s="65">
        <f t="shared" si="48"/>
        <v>1.80419E-2</v>
      </c>
      <c r="E255" s="88">
        <f t="shared" si="49"/>
        <v>75.050284892389371</v>
      </c>
      <c r="F255" s="86"/>
      <c r="G255" s="11" t="s">
        <v>49</v>
      </c>
      <c r="H255" s="84">
        <v>1</v>
      </c>
      <c r="I255" s="65">
        <f t="shared" si="50"/>
        <v>1.80419E-2</v>
      </c>
      <c r="J255" s="65">
        <f t="shared" si="51"/>
        <v>3.9300830000000002E-2</v>
      </c>
      <c r="K255" s="85">
        <v>39300830</v>
      </c>
      <c r="L255" s="65">
        <f t="shared" si="52"/>
        <v>3.9300830000000002E-2</v>
      </c>
      <c r="M255" s="65">
        <f t="shared" si="53"/>
        <v>2.949538488007363</v>
      </c>
      <c r="N255" s="86"/>
      <c r="O255" s="40">
        <v>70</v>
      </c>
      <c r="P255" s="40">
        <v>80</v>
      </c>
      <c r="Q255" s="65">
        <f t="shared" si="54"/>
        <v>3.9300830000000002E-2</v>
      </c>
      <c r="R255" s="65"/>
      <c r="T255" s="65"/>
      <c r="U255" s="45">
        <f t="shared" si="55"/>
        <v>0</v>
      </c>
    </row>
    <row r="256" spans="1:21" x14ac:dyDescent="0.3">
      <c r="A256" s="11" t="s">
        <v>50</v>
      </c>
      <c r="B256" s="87">
        <v>187283</v>
      </c>
      <c r="C256" s="87">
        <v>7965425900</v>
      </c>
      <c r="D256" s="65">
        <f t="shared" si="48"/>
        <v>1.87283E-2</v>
      </c>
      <c r="E256" s="88">
        <f t="shared" si="49"/>
        <v>85.062989166128261</v>
      </c>
      <c r="F256" s="86"/>
      <c r="G256" s="11" t="s">
        <v>50</v>
      </c>
      <c r="H256" s="84">
        <v>1</v>
      </c>
      <c r="I256" s="65">
        <f t="shared" si="50"/>
        <v>1.87283E-2</v>
      </c>
      <c r="J256" s="65">
        <f t="shared" si="51"/>
        <v>3.5348090999999998E-2</v>
      </c>
      <c r="K256" s="85">
        <v>35348091</v>
      </c>
      <c r="L256" s="65">
        <f t="shared" si="52"/>
        <v>3.5348090999999998E-2</v>
      </c>
      <c r="M256" s="65">
        <f t="shared" si="53"/>
        <v>3.0068142817763159</v>
      </c>
      <c r="N256" s="86"/>
      <c r="O256" s="40">
        <v>80</v>
      </c>
      <c r="P256" s="40">
        <v>90</v>
      </c>
      <c r="Q256" s="65">
        <f t="shared" si="54"/>
        <v>3.5348090999999998E-2</v>
      </c>
      <c r="R256" s="65"/>
      <c r="T256" s="65"/>
      <c r="U256" s="45">
        <f t="shared" si="55"/>
        <v>0</v>
      </c>
    </row>
    <row r="257" spans="1:21" x14ac:dyDescent="0.3">
      <c r="A257" s="11" t="s">
        <v>51</v>
      </c>
      <c r="B257" s="87">
        <v>192071</v>
      </c>
      <c r="C257" s="87">
        <v>9127933900</v>
      </c>
      <c r="D257" s="65">
        <f t="shared" si="48"/>
        <v>1.9207100000000001E-2</v>
      </c>
      <c r="E257" s="88">
        <f t="shared" si="49"/>
        <v>95.047497019331388</v>
      </c>
      <c r="F257" s="86"/>
      <c r="G257" s="11" t="s">
        <v>51</v>
      </c>
      <c r="H257" s="84">
        <v>1</v>
      </c>
      <c r="I257" s="65">
        <f t="shared" si="50"/>
        <v>1.9207100000000001E-2</v>
      </c>
      <c r="J257" s="65">
        <f t="shared" si="51"/>
        <v>3.1405324999999998E-2</v>
      </c>
      <c r="K257" s="85">
        <v>31405325</v>
      </c>
      <c r="L257" s="65">
        <f t="shared" si="52"/>
        <v>3.1405324999999998E-2</v>
      </c>
      <c r="M257" s="65">
        <f t="shared" si="53"/>
        <v>2.9849975343286332</v>
      </c>
      <c r="N257" s="86"/>
      <c r="O257" s="40">
        <v>90</v>
      </c>
      <c r="P257" s="40">
        <v>100</v>
      </c>
      <c r="Q257" s="65">
        <f t="shared" si="54"/>
        <v>3.1405324999999998E-2</v>
      </c>
      <c r="R257" s="65"/>
      <c r="T257" s="65"/>
      <c r="U257" s="45">
        <f t="shared" si="55"/>
        <v>0</v>
      </c>
    </row>
    <row r="258" spans="1:21" x14ac:dyDescent="0.3">
      <c r="A258" s="11" t="s">
        <v>52</v>
      </c>
      <c r="B258" s="87">
        <v>391227</v>
      </c>
      <c r="C258" s="87">
        <v>21525388900</v>
      </c>
      <c r="D258" s="65">
        <f t="shared" si="48"/>
        <v>3.9122700000000003E-2</v>
      </c>
      <c r="E258" s="88">
        <f t="shared" si="49"/>
        <v>110.04040569797074</v>
      </c>
      <c r="F258" s="86"/>
      <c r="G258" s="11" t="s">
        <v>52</v>
      </c>
      <c r="H258" s="84">
        <v>1</v>
      </c>
      <c r="I258" s="65">
        <f t="shared" si="50"/>
        <v>3.9122700000000003E-2</v>
      </c>
      <c r="J258" s="65">
        <f t="shared" si="51"/>
        <v>4.3275296999999997E-2</v>
      </c>
      <c r="K258" s="85">
        <v>43275297</v>
      </c>
      <c r="L258" s="65">
        <f t="shared" si="52"/>
        <v>4.3275296999999997E-2</v>
      </c>
      <c r="M258" s="65">
        <f t="shared" si="53"/>
        <v>4.7620312385801755</v>
      </c>
      <c r="N258" s="86"/>
      <c r="O258" s="40">
        <v>100</v>
      </c>
      <c r="P258" s="40">
        <v>120</v>
      </c>
      <c r="Q258" s="65">
        <f t="shared" si="54"/>
        <v>4.3275296999999997E-2</v>
      </c>
      <c r="R258" s="65"/>
      <c r="T258" s="65"/>
      <c r="U258" s="45">
        <f t="shared" si="55"/>
        <v>0</v>
      </c>
    </row>
    <row r="259" spans="1:21" x14ac:dyDescent="0.3">
      <c r="A259" s="11" t="s">
        <v>53</v>
      </c>
      <c r="B259" s="87">
        <v>391927</v>
      </c>
      <c r="C259" s="87">
        <v>25481290450</v>
      </c>
      <c r="D259" s="65">
        <f t="shared" si="48"/>
        <v>3.9192699999999997E-2</v>
      </c>
      <c r="E259" s="88">
        <f t="shared" si="49"/>
        <v>130.03079884774459</v>
      </c>
      <c r="F259" s="86"/>
      <c r="G259" s="11" t="s">
        <v>53</v>
      </c>
      <c r="H259" s="84">
        <v>1</v>
      </c>
      <c r="I259" s="65">
        <f t="shared" si="50"/>
        <v>3.9192699999999997E-2</v>
      </c>
      <c r="J259" s="65">
        <f t="shared" si="51"/>
        <v>6.3048410999999999E-2</v>
      </c>
      <c r="K259" s="85">
        <v>63048411</v>
      </c>
      <c r="L259" s="65">
        <f t="shared" si="52"/>
        <v>6.3048410999999999E-2</v>
      </c>
      <c r="M259" s="65">
        <f t="shared" si="53"/>
        <v>8.1982352484109278</v>
      </c>
      <c r="N259" s="86"/>
      <c r="O259" s="40">
        <v>120</v>
      </c>
      <c r="P259" s="40">
        <v>140</v>
      </c>
      <c r="Q259" s="65">
        <f t="shared" si="54"/>
        <v>6.3048410999999999E-2</v>
      </c>
      <c r="R259" s="65"/>
      <c r="T259" s="65"/>
      <c r="U259" s="45">
        <f t="shared" si="55"/>
        <v>0</v>
      </c>
    </row>
    <row r="260" spans="1:21" x14ac:dyDescent="0.3">
      <c r="A260" s="11" t="s">
        <v>54</v>
      </c>
      <c r="B260" s="87">
        <v>386397</v>
      </c>
      <c r="C260" s="87">
        <v>28979272825</v>
      </c>
      <c r="D260" s="65">
        <f t="shared" si="48"/>
        <v>3.8639699999999999E-2</v>
      </c>
      <c r="E260" s="88">
        <f t="shared" si="49"/>
        <v>149.99740073033692</v>
      </c>
      <c r="F260" s="86"/>
      <c r="G260" s="11" t="s">
        <v>54</v>
      </c>
      <c r="H260" s="84">
        <v>1</v>
      </c>
      <c r="I260" s="65">
        <f t="shared" si="50"/>
        <v>3.8639699999999999E-2</v>
      </c>
      <c r="J260" s="65">
        <f t="shared" si="51"/>
        <v>2.7494309000000001E-2</v>
      </c>
      <c r="K260" s="85">
        <v>27494309</v>
      </c>
      <c r="L260" s="65">
        <f t="shared" si="52"/>
        <v>2.7494309000000001E-2</v>
      </c>
      <c r="M260" s="65">
        <f t="shared" si="53"/>
        <v>4.124074884876709</v>
      </c>
      <c r="N260" s="86"/>
      <c r="O260" s="40">
        <v>140</v>
      </c>
      <c r="P260" s="40">
        <v>160</v>
      </c>
      <c r="Q260" s="65">
        <f t="shared" si="54"/>
        <v>2.7494309000000001E-2</v>
      </c>
      <c r="R260" s="65"/>
      <c r="T260" s="65"/>
      <c r="U260" s="45">
        <f t="shared" si="55"/>
        <v>0</v>
      </c>
    </row>
    <row r="261" spans="1:21" x14ac:dyDescent="0.3">
      <c r="A261" s="11" t="s">
        <v>55</v>
      </c>
      <c r="B261" s="87">
        <v>375882</v>
      </c>
      <c r="C261" s="87">
        <v>31944807250</v>
      </c>
      <c r="D261" s="65">
        <f t="shared" si="48"/>
        <v>3.7588200000000002E-2</v>
      </c>
      <c r="E261" s="88">
        <f t="shared" si="49"/>
        <v>169.97252994290761</v>
      </c>
      <c r="F261" s="86"/>
      <c r="G261" s="11" t="s">
        <v>55</v>
      </c>
      <c r="H261" s="84">
        <v>1</v>
      </c>
      <c r="I261" s="65">
        <f t="shared" si="50"/>
        <v>3.7588200000000002E-2</v>
      </c>
      <c r="J261" s="65">
        <f t="shared" si="51"/>
        <v>2.3558599E-2</v>
      </c>
      <c r="K261" s="85">
        <v>23558599</v>
      </c>
      <c r="L261" s="65">
        <f t="shared" si="52"/>
        <v>2.3558599E-2</v>
      </c>
      <c r="M261" s="65">
        <f t="shared" si="53"/>
        <v>4.0043146739404536</v>
      </c>
      <c r="N261" s="86"/>
      <c r="O261" s="40">
        <v>160</v>
      </c>
      <c r="P261" s="40">
        <v>180</v>
      </c>
      <c r="Q261" s="65">
        <f t="shared" si="54"/>
        <v>2.3558599E-2</v>
      </c>
      <c r="R261" s="65"/>
      <c r="T261" s="65"/>
      <c r="U261" s="45">
        <f t="shared" si="55"/>
        <v>0</v>
      </c>
    </row>
    <row r="262" spans="1:21" x14ac:dyDescent="0.3">
      <c r="A262" s="11" t="s">
        <v>56</v>
      </c>
      <c r="B262" s="87">
        <v>362324</v>
      </c>
      <c r="C262" s="87">
        <v>34412323325</v>
      </c>
      <c r="D262" s="65">
        <f t="shared" si="48"/>
        <v>3.6232399999999998E-2</v>
      </c>
      <c r="E262" s="88">
        <f t="shared" si="49"/>
        <v>189.95331981872579</v>
      </c>
      <c r="F262" s="86"/>
      <c r="G262" s="11" t="s">
        <v>56</v>
      </c>
      <c r="H262" s="84">
        <v>1</v>
      </c>
      <c r="I262" s="65">
        <f t="shared" si="50"/>
        <v>3.6232399999999998E-2</v>
      </c>
      <c r="J262" s="65">
        <f t="shared" si="51"/>
        <v>2.3572760000000002E-2</v>
      </c>
      <c r="K262" s="85">
        <v>23572760</v>
      </c>
      <c r="L262" s="65">
        <f t="shared" si="52"/>
        <v>2.3572760000000002E-2</v>
      </c>
      <c r="M262" s="65">
        <f t="shared" si="53"/>
        <v>4.4777240192900667</v>
      </c>
      <c r="N262" s="86"/>
      <c r="O262" s="40">
        <v>180</v>
      </c>
      <c r="P262" s="40">
        <v>200</v>
      </c>
      <c r="Q262" s="65">
        <f t="shared" si="54"/>
        <v>2.3572760000000002E-2</v>
      </c>
      <c r="R262" s="65"/>
      <c r="T262" s="65"/>
      <c r="U262" s="45">
        <f t="shared" si="55"/>
        <v>0</v>
      </c>
    </row>
    <row r="263" spans="1:21" x14ac:dyDescent="0.3">
      <c r="A263" s="11" t="s">
        <v>57</v>
      </c>
      <c r="B263" s="87">
        <v>834186</v>
      </c>
      <c r="C263" s="87">
        <v>93638745375</v>
      </c>
      <c r="D263" s="65">
        <f t="shared" si="48"/>
        <v>8.3418599999999996E-2</v>
      </c>
      <c r="E263" s="88">
        <f t="shared" si="49"/>
        <v>224.50327714682339</v>
      </c>
      <c r="F263" s="86"/>
      <c r="G263" s="11" t="s">
        <v>57</v>
      </c>
      <c r="H263" s="84">
        <v>1</v>
      </c>
      <c r="I263" s="65">
        <f t="shared" si="50"/>
        <v>8.3418599999999996E-2</v>
      </c>
      <c r="J263" s="65">
        <f t="shared" si="51"/>
        <v>4.3355708E-2</v>
      </c>
      <c r="K263" s="85">
        <v>43355708</v>
      </c>
      <c r="L263" s="65">
        <f t="shared" si="52"/>
        <v>4.3355708E-2</v>
      </c>
      <c r="M263" s="65">
        <f t="shared" si="53"/>
        <v>9.7334985290207481</v>
      </c>
      <c r="N263" s="86"/>
      <c r="O263" s="40">
        <v>200</v>
      </c>
      <c r="P263" s="40">
        <v>250</v>
      </c>
      <c r="Q263" s="65">
        <f t="shared" si="54"/>
        <v>4.3355708E-2</v>
      </c>
      <c r="R263" s="65"/>
      <c r="T263" s="65"/>
      <c r="U263" s="45">
        <f t="shared" si="55"/>
        <v>0</v>
      </c>
    </row>
    <row r="264" spans="1:21" x14ac:dyDescent="0.3">
      <c r="A264" s="11" t="s">
        <v>58</v>
      </c>
      <c r="B264" s="87">
        <v>732855</v>
      </c>
      <c r="C264" s="87">
        <v>100574663775</v>
      </c>
      <c r="D264" s="65">
        <f t="shared" si="48"/>
        <v>7.3285500000000003E-2</v>
      </c>
      <c r="E264" s="88">
        <f t="shared" si="49"/>
        <v>274.47356919172279</v>
      </c>
      <c r="F264" s="86"/>
      <c r="G264" s="11" t="s">
        <v>58</v>
      </c>
      <c r="H264" s="84">
        <v>1</v>
      </c>
      <c r="I264" s="65">
        <f t="shared" si="50"/>
        <v>7.3285500000000003E-2</v>
      </c>
      <c r="J264" s="65">
        <f t="shared" si="51"/>
        <v>1.1772573E-2</v>
      </c>
      <c r="K264" s="85">
        <v>11772573</v>
      </c>
      <c r="L264" s="65">
        <f t="shared" si="52"/>
        <v>1.1772573E-2</v>
      </c>
      <c r="M264" s="65">
        <f t="shared" si="53"/>
        <v>3.2312601298801074</v>
      </c>
      <c r="N264" s="86"/>
      <c r="O264" s="40">
        <v>250</v>
      </c>
      <c r="P264" s="40">
        <v>300</v>
      </c>
      <c r="Q264" s="65">
        <f t="shared" si="54"/>
        <v>1.1772573E-2</v>
      </c>
      <c r="R264" s="65"/>
      <c r="T264" s="65"/>
      <c r="U264" s="45">
        <f t="shared" si="55"/>
        <v>0</v>
      </c>
    </row>
    <row r="265" spans="1:21" x14ac:dyDescent="0.3">
      <c r="A265" s="11" t="s">
        <v>59</v>
      </c>
      <c r="B265" s="87">
        <v>634943</v>
      </c>
      <c r="C265" s="87">
        <v>102989687025</v>
      </c>
      <c r="D265" s="65">
        <f t="shared" si="48"/>
        <v>6.3494300000000004E-2</v>
      </c>
      <c r="E265" s="88">
        <f t="shared" si="49"/>
        <v>324.40608692433807</v>
      </c>
      <c r="F265" s="86"/>
      <c r="G265" s="11" t="s">
        <v>59</v>
      </c>
      <c r="H265" s="84">
        <v>1</v>
      </c>
      <c r="I265" s="65">
        <f t="shared" si="50"/>
        <v>6.3494300000000004E-2</v>
      </c>
      <c r="J265" s="65">
        <f t="shared" si="51"/>
        <v>3.8983669999999998E-3</v>
      </c>
      <c r="K265" s="85">
        <v>3898367</v>
      </c>
      <c r="L265" s="65">
        <f t="shared" si="52"/>
        <v>3.8983669999999998E-3</v>
      </c>
      <c r="M265" s="65">
        <f t="shared" si="53"/>
        <v>1.2646539838649709</v>
      </c>
      <c r="N265" s="86"/>
      <c r="O265" s="40">
        <v>300</v>
      </c>
      <c r="P265" s="40">
        <v>350</v>
      </c>
      <c r="Q265" s="65">
        <f t="shared" si="54"/>
        <v>3.8983669999999998E-3</v>
      </c>
      <c r="R265" s="65"/>
      <c r="T265" s="65"/>
      <c r="U265" s="45">
        <f t="shared" si="55"/>
        <v>0</v>
      </c>
    </row>
    <row r="266" spans="1:21" x14ac:dyDescent="0.3">
      <c r="A266" s="11" t="s">
        <v>60</v>
      </c>
      <c r="B266" s="87">
        <v>549244</v>
      </c>
      <c r="C266" s="87">
        <v>102817847325</v>
      </c>
      <c r="D266" s="65">
        <f t="shared" ref="D266:D297" si="56">IFERROR(B266/$B$232,0)</f>
        <v>5.4924399999999998E-2</v>
      </c>
      <c r="E266" s="88">
        <f t="shared" ref="E266:E297" si="57">IFERROR(C266/B266/500,0)</f>
        <v>374.39770784933478</v>
      </c>
      <c r="F266" s="86"/>
      <c r="G266" s="11" t="s">
        <v>60</v>
      </c>
      <c r="H266" s="84">
        <v>1</v>
      </c>
      <c r="I266" s="65">
        <f t="shared" ref="I266:I297" si="58">IFERROR(B266/$B$232,0)</f>
        <v>5.4924399999999998E-2</v>
      </c>
      <c r="J266" s="65">
        <f t="shared" ref="J266:J297" si="59">IFERROR(K266/$B$2,0)</f>
        <v>7.8935250000000002E-3</v>
      </c>
      <c r="K266" s="85">
        <v>7893525</v>
      </c>
      <c r="L266" s="65">
        <f t="shared" ref="L266:L297" si="60">IFERROR(K266/$B$2,0)</f>
        <v>7.8935250000000002E-3</v>
      </c>
      <c r="M266" s="65">
        <f t="shared" ref="M266:M297" si="61">IFERROR(L266*E266,0)</f>
        <v>2.9553176668514203</v>
      </c>
      <c r="N266" s="86"/>
      <c r="O266" s="40">
        <v>350</v>
      </c>
      <c r="P266" s="40">
        <v>400</v>
      </c>
      <c r="Q266" s="65">
        <f t="shared" ref="Q266:Q297" si="62">L266</f>
        <v>7.8935250000000002E-3</v>
      </c>
      <c r="R266" s="65"/>
      <c r="T266" s="65"/>
      <c r="U266" s="45">
        <f t="shared" ref="U266:U297" si="63">IFERROR(ROUND(T266/L266,2),0)</f>
        <v>0</v>
      </c>
    </row>
    <row r="267" spans="1:21" x14ac:dyDescent="0.3">
      <c r="A267" s="11" t="s">
        <v>61</v>
      </c>
      <c r="B267" s="87">
        <v>474685</v>
      </c>
      <c r="C267" s="87">
        <v>100736974000</v>
      </c>
      <c r="D267" s="65">
        <f t="shared" si="56"/>
        <v>4.7468499999999997E-2</v>
      </c>
      <c r="E267" s="88">
        <f t="shared" si="57"/>
        <v>424.43714884607687</v>
      </c>
      <c r="F267" s="86"/>
      <c r="G267" s="11" t="s">
        <v>61</v>
      </c>
      <c r="H267" s="84">
        <v>1</v>
      </c>
      <c r="I267" s="65">
        <f t="shared" si="58"/>
        <v>4.7468499999999997E-2</v>
      </c>
      <c r="J267" s="65">
        <f t="shared" si="59"/>
        <v>1.187875E-2</v>
      </c>
      <c r="K267" s="85">
        <v>11878750</v>
      </c>
      <c r="L267" s="65">
        <f t="shared" si="60"/>
        <v>1.187875E-2</v>
      </c>
      <c r="M267" s="65">
        <f t="shared" si="61"/>
        <v>5.0417827818553356</v>
      </c>
      <c r="N267" s="86"/>
      <c r="O267" s="40">
        <v>400</v>
      </c>
      <c r="P267" s="40">
        <v>450</v>
      </c>
      <c r="Q267" s="65">
        <f t="shared" si="62"/>
        <v>1.187875E-2</v>
      </c>
      <c r="R267" s="65"/>
      <c r="T267" s="65"/>
      <c r="U267" s="45">
        <f t="shared" si="63"/>
        <v>0</v>
      </c>
    </row>
    <row r="268" spans="1:21" x14ac:dyDescent="0.3">
      <c r="A268" s="11" t="s">
        <v>62</v>
      </c>
      <c r="B268" s="87">
        <v>410001</v>
      </c>
      <c r="C268" s="87">
        <v>97259284425</v>
      </c>
      <c r="D268" s="65">
        <f t="shared" si="56"/>
        <v>4.1000099999999998E-2</v>
      </c>
      <c r="E268" s="88">
        <f t="shared" si="57"/>
        <v>474.43437662347168</v>
      </c>
      <c r="F268" s="86"/>
      <c r="G268" s="11" t="s">
        <v>62</v>
      </c>
      <c r="H268" s="84">
        <v>1</v>
      </c>
      <c r="I268" s="65">
        <f t="shared" si="58"/>
        <v>4.1000099999999998E-2</v>
      </c>
      <c r="J268" s="65">
        <f t="shared" si="59"/>
        <v>7.9641880000000005E-3</v>
      </c>
      <c r="K268" s="85">
        <v>7964188</v>
      </c>
      <c r="L268" s="65">
        <f t="shared" si="60"/>
        <v>7.9641880000000005E-3</v>
      </c>
      <c r="M268" s="65">
        <f t="shared" si="61"/>
        <v>3.778484569092134</v>
      </c>
      <c r="N268" s="86"/>
      <c r="O268" s="40">
        <v>450</v>
      </c>
      <c r="P268" s="40">
        <v>500</v>
      </c>
      <c r="Q268" s="65">
        <f t="shared" si="62"/>
        <v>7.9641880000000005E-3</v>
      </c>
      <c r="R268" s="65"/>
      <c r="T268" s="65"/>
      <c r="U268" s="45">
        <f t="shared" si="63"/>
        <v>0</v>
      </c>
    </row>
    <row r="269" spans="1:21" x14ac:dyDescent="0.3">
      <c r="A269" s="11" t="s">
        <v>63</v>
      </c>
      <c r="B269" s="87">
        <v>357096</v>
      </c>
      <c r="C269" s="87">
        <v>93642085625</v>
      </c>
      <c r="D269" s="65">
        <f t="shared" si="56"/>
        <v>3.5709600000000001E-2</v>
      </c>
      <c r="E269" s="88">
        <f t="shared" si="57"/>
        <v>524.46448924098843</v>
      </c>
      <c r="F269" s="86"/>
      <c r="G269" s="11" t="s">
        <v>63</v>
      </c>
      <c r="H269" s="84">
        <v>1</v>
      </c>
      <c r="I269" s="65">
        <f t="shared" si="58"/>
        <v>3.5709600000000001E-2</v>
      </c>
      <c r="J269" s="65">
        <f t="shared" si="59"/>
        <v>8.9942E-5</v>
      </c>
      <c r="K269" s="85">
        <v>89942</v>
      </c>
      <c r="L269" s="65">
        <f t="shared" si="60"/>
        <v>8.9942E-5</v>
      </c>
      <c r="M269" s="65">
        <f t="shared" si="61"/>
        <v>4.7171385091312981E-2</v>
      </c>
      <c r="N269" s="86"/>
      <c r="O269" s="40">
        <v>500</v>
      </c>
      <c r="P269" s="40">
        <v>550</v>
      </c>
      <c r="Q269" s="65">
        <f t="shared" si="62"/>
        <v>8.9942E-5</v>
      </c>
      <c r="R269" s="65"/>
      <c r="T269" s="65"/>
      <c r="U269" s="45">
        <f t="shared" si="63"/>
        <v>0</v>
      </c>
    </row>
    <row r="270" spans="1:21" x14ac:dyDescent="0.3">
      <c r="A270" s="11" t="s">
        <v>64</v>
      </c>
      <c r="B270" s="87">
        <v>309666</v>
      </c>
      <c r="C270" s="87">
        <v>88939242850</v>
      </c>
      <c r="D270" s="65">
        <f t="shared" si="56"/>
        <v>3.09666E-2</v>
      </c>
      <c r="E270" s="88">
        <f t="shared" si="57"/>
        <v>574.42045849399028</v>
      </c>
      <c r="F270" s="86"/>
      <c r="G270" s="11" t="s">
        <v>64</v>
      </c>
      <c r="H270" s="84">
        <v>1</v>
      </c>
      <c r="I270" s="65">
        <f t="shared" si="58"/>
        <v>3.09666E-2</v>
      </c>
      <c r="J270" s="65">
        <f t="shared" si="59"/>
        <v>8.0350030000000006E-3</v>
      </c>
      <c r="K270" s="85">
        <v>8035003</v>
      </c>
      <c r="L270" s="65">
        <f t="shared" si="60"/>
        <v>8.0350030000000006E-3</v>
      </c>
      <c r="M270" s="65">
        <f t="shared" si="61"/>
        <v>4.6154701072605882</v>
      </c>
      <c r="N270" s="86"/>
      <c r="O270" s="40">
        <v>550</v>
      </c>
      <c r="P270" s="40">
        <v>600</v>
      </c>
      <c r="Q270" s="65">
        <f t="shared" si="62"/>
        <v>8.0350030000000006E-3</v>
      </c>
      <c r="R270" s="65"/>
      <c r="T270" s="65"/>
      <c r="U270" s="45">
        <f t="shared" si="63"/>
        <v>0</v>
      </c>
    </row>
    <row r="271" spans="1:21" x14ac:dyDescent="0.3">
      <c r="A271" s="11" t="s">
        <v>65</v>
      </c>
      <c r="B271" s="87">
        <v>269178</v>
      </c>
      <c r="C271" s="87">
        <v>84042237925</v>
      </c>
      <c r="D271" s="65">
        <f t="shared" si="56"/>
        <v>2.6917799999999999E-2</v>
      </c>
      <c r="E271" s="88">
        <f t="shared" si="57"/>
        <v>624.43615692961532</v>
      </c>
      <c r="F271" s="86"/>
      <c r="G271" s="11" t="s">
        <v>65</v>
      </c>
      <c r="H271" s="84">
        <v>1</v>
      </c>
      <c r="I271" s="65">
        <f t="shared" si="58"/>
        <v>2.6917799999999999E-2</v>
      </c>
      <c r="J271" s="65">
        <f t="shared" si="59"/>
        <v>1.6079899999999999E-4</v>
      </c>
      <c r="K271" s="85">
        <v>160799</v>
      </c>
      <c r="L271" s="65">
        <f t="shared" si="60"/>
        <v>1.6079899999999999E-4</v>
      </c>
      <c r="M271" s="65">
        <f t="shared" si="61"/>
        <v>0.1004087095981252</v>
      </c>
      <c r="N271" s="86"/>
      <c r="O271" s="40">
        <v>600</v>
      </c>
      <c r="P271" s="40">
        <v>650</v>
      </c>
      <c r="Q271" s="65">
        <f t="shared" si="62"/>
        <v>1.6079899999999999E-4</v>
      </c>
      <c r="R271" s="65"/>
      <c r="T271" s="65"/>
      <c r="U271" s="45">
        <f t="shared" si="63"/>
        <v>0</v>
      </c>
    </row>
    <row r="272" spans="1:21" x14ac:dyDescent="0.3">
      <c r="A272" s="11" t="s">
        <v>66</v>
      </c>
      <c r="B272" s="87">
        <v>234744</v>
      </c>
      <c r="C272" s="87">
        <v>79155744275</v>
      </c>
      <c r="D272" s="65">
        <f t="shared" si="56"/>
        <v>2.3474399999999999E-2</v>
      </c>
      <c r="E272" s="88">
        <f t="shared" si="57"/>
        <v>674.40057488157311</v>
      </c>
      <c r="F272" s="86"/>
      <c r="G272" s="11" t="s">
        <v>66</v>
      </c>
      <c r="H272" s="84">
        <v>1</v>
      </c>
      <c r="I272" s="65">
        <f t="shared" si="58"/>
        <v>2.3474399999999999E-2</v>
      </c>
      <c r="J272" s="65">
        <f t="shared" si="59"/>
        <v>1.9603399999999999E-4</v>
      </c>
      <c r="K272" s="85">
        <v>196034</v>
      </c>
      <c r="L272" s="65">
        <f t="shared" si="60"/>
        <v>1.9603399999999999E-4</v>
      </c>
      <c r="M272" s="65">
        <f t="shared" si="61"/>
        <v>0.1322054422963343</v>
      </c>
      <c r="N272" s="86"/>
      <c r="O272" s="40">
        <v>650</v>
      </c>
      <c r="P272" s="40">
        <v>700</v>
      </c>
      <c r="Q272" s="65">
        <f t="shared" si="62"/>
        <v>1.9603399999999999E-4</v>
      </c>
      <c r="R272" s="65"/>
      <c r="T272" s="65"/>
      <c r="U272" s="45">
        <f t="shared" si="63"/>
        <v>0</v>
      </c>
    </row>
    <row r="273" spans="1:21" x14ac:dyDescent="0.3">
      <c r="A273" s="11" t="s">
        <v>67</v>
      </c>
      <c r="B273" s="87">
        <v>206008</v>
      </c>
      <c r="C273" s="87">
        <v>74620456200</v>
      </c>
      <c r="D273" s="65">
        <f t="shared" si="56"/>
        <v>2.0600799999999999E-2</v>
      </c>
      <c r="E273" s="88">
        <f t="shared" si="57"/>
        <v>724.44231486155877</v>
      </c>
      <c r="F273" s="86"/>
      <c r="G273" s="11" t="s">
        <v>67</v>
      </c>
      <c r="H273" s="84">
        <v>1</v>
      </c>
      <c r="I273" s="65">
        <f t="shared" si="58"/>
        <v>2.0600799999999999E-2</v>
      </c>
      <c r="J273" s="65">
        <f t="shared" si="59"/>
        <v>2.31404E-4</v>
      </c>
      <c r="K273" s="85">
        <v>231404</v>
      </c>
      <c r="L273" s="65">
        <f t="shared" si="60"/>
        <v>2.31404E-4</v>
      </c>
      <c r="M273" s="65">
        <f t="shared" si="61"/>
        <v>0.16763884942822413</v>
      </c>
      <c r="N273" s="86"/>
      <c r="O273" s="40">
        <v>700</v>
      </c>
      <c r="P273" s="40">
        <v>750</v>
      </c>
      <c r="Q273" s="65">
        <f t="shared" si="62"/>
        <v>2.31404E-4</v>
      </c>
      <c r="R273" s="65"/>
      <c r="T273" s="65"/>
      <c r="U273" s="45">
        <f t="shared" si="63"/>
        <v>0</v>
      </c>
    </row>
    <row r="274" spans="1:21" x14ac:dyDescent="0.3">
      <c r="A274" s="11" t="s">
        <v>68</v>
      </c>
      <c r="B274" s="87">
        <v>180585</v>
      </c>
      <c r="C274" s="87">
        <v>69923898425</v>
      </c>
      <c r="D274" s="65">
        <f t="shared" si="56"/>
        <v>1.8058500000000002E-2</v>
      </c>
      <c r="E274" s="88">
        <f t="shared" si="57"/>
        <v>774.41535481906033</v>
      </c>
      <c r="F274" s="86"/>
      <c r="G274" s="11" t="s">
        <v>68</v>
      </c>
      <c r="H274" s="84">
        <v>1</v>
      </c>
      <c r="I274" s="65">
        <f t="shared" si="58"/>
        <v>1.8058500000000002E-2</v>
      </c>
      <c r="J274" s="65">
        <f t="shared" si="59"/>
        <v>2.6695499999999998E-4</v>
      </c>
      <c r="K274" s="85">
        <v>266955</v>
      </c>
      <c r="L274" s="65">
        <f t="shared" si="60"/>
        <v>2.6695499999999998E-4</v>
      </c>
      <c r="M274" s="65">
        <f t="shared" si="61"/>
        <v>0.20673405104572223</v>
      </c>
      <c r="N274" s="86"/>
      <c r="O274" s="40">
        <v>750</v>
      </c>
      <c r="P274" s="40">
        <v>800</v>
      </c>
      <c r="Q274" s="65">
        <f t="shared" si="62"/>
        <v>2.6695499999999998E-4</v>
      </c>
      <c r="R274" s="65"/>
      <c r="T274" s="65"/>
      <c r="U274" s="45">
        <f t="shared" si="63"/>
        <v>0</v>
      </c>
    </row>
    <row r="275" spans="1:21" x14ac:dyDescent="0.3">
      <c r="A275" s="11" t="s">
        <v>69</v>
      </c>
      <c r="B275" s="87">
        <v>158461</v>
      </c>
      <c r="C275" s="87">
        <v>65325578175</v>
      </c>
      <c r="D275" s="65">
        <f t="shared" si="56"/>
        <v>1.5846099999999998E-2</v>
      </c>
      <c r="E275" s="88">
        <f t="shared" si="57"/>
        <v>824.50039031686026</v>
      </c>
      <c r="F275" s="86"/>
      <c r="G275" s="11" t="s">
        <v>69</v>
      </c>
      <c r="H275" s="84">
        <v>1</v>
      </c>
      <c r="I275" s="65">
        <f t="shared" si="58"/>
        <v>1.5846099999999998E-2</v>
      </c>
      <c r="J275" s="65">
        <f t="shared" si="59"/>
        <v>3.0228699999999999E-4</v>
      </c>
      <c r="K275" s="85">
        <v>302287</v>
      </c>
      <c r="L275" s="65">
        <f t="shared" si="60"/>
        <v>3.0228699999999999E-4</v>
      </c>
      <c r="M275" s="65">
        <f t="shared" si="61"/>
        <v>0.24923574948771274</v>
      </c>
      <c r="N275" s="86"/>
      <c r="O275" s="40">
        <v>800</v>
      </c>
      <c r="P275" s="40">
        <v>850</v>
      </c>
      <c r="Q275" s="65">
        <f t="shared" si="62"/>
        <v>3.0228699999999999E-4</v>
      </c>
      <c r="R275" s="65"/>
      <c r="T275" s="65"/>
      <c r="U275" s="45">
        <f t="shared" si="63"/>
        <v>0</v>
      </c>
    </row>
    <row r="276" spans="1:21" x14ac:dyDescent="0.3">
      <c r="A276" s="11" t="s">
        <v>70</v>
      </c>
      <c r="B276" s="87">
        <v>139537</v>
      </c>
      <c r="C276" s="87">
        <v>61005744150</v>
      </c>
      <c r="D276" s="65">
        <f t="shared" si="56"/>
        <v>1.3953699999999999E-2</v>
      </c>
      <c r="E276" s="88">
        <f t="shared" si="57"/>
        <v>874.40240438020021</v>
      </c>
      <c r="F276" s="86"/>
      <c r="G276" s="11" t="s">
        <v>70</v>
      </c>
      <c r="H276" s="84">
        <v>1</v>
      </c>
      <c r="I276" s="65">
        <f t="shared" si="58"/>
        <v>1.3953699999999999E-2</v>
      </c>
      <c r="J276" s="65">
        <f t="shared" si="59"/>
        <v>3.3772400000000002E-4</v>
      </c>
      <c r="K276" s="90">
        <v>337724</v>
      </c>
      <c r="L276" s="65">
        <f t="shared" si="60"/>
        <v>3.3772400000000002E-4</v>
      </c>
      <c r="M276" s="65">
        <f t="shared" si="61"/>
        <v>0.29530667761689877</v>
      </c>
      <c r="N276" s="86"/>
      <c r="O276" s="40">
        <v>850</v>
      </c>
      <c r="P276" s="40">
        <v>900</v>
      </c>
      <c r="Q276" s="65">
        <f t="shared" si="62"/>
        <v>3.3772400000000002E-4</v>
      </c>
      <c r="R276" s="65"/>
      <c r="T276" s="65"/>
      <c r="U276" s="45">
        <f t="shared" si="63"/>
        <v>0</v>
      </c>
    </row>
    <row r="277" spans="1:21" x14ac:dyDescent="0.3">
      <c r="A277" s="11" t="s">
        <v>71</v>
      </c>
      <c r="B277" s="87">
        <v>123154</v>
      </c>
      <c r="C277" s="87">
        <v>56926954100</v>
      </c>
      <c r="D277" s="65">
        <f t="shared" si="56"/>
        <v>1.2315400000000001E-2</v>
      </c>
      <c r="E277" s="88">
        <f t="shared" si="57"/>
        <v>924.48404599119806</v>
      </c>
      <c r="F277" s="86"/>
      <c r="G277" s="11" t="s">
        <v>71</v>
      </c>
      <c r="H277" s="84">
        <v>1</v>
      </c>
      <c r="I277" s="65">
        <f t="shared" si="58"/>
        <v>1.2315400000000001E-2</v>
      </c>
      <c r="J277" s="65">
        <f t="shared" si="59"/>
        <v>3.7277600000000001E-4</v>
      </c>
      <c r="K277" s="90">
        <v>372776</v>
      </c>
      <c r="L277" s="65">
        <f t="shared" si="60"/>
        <v>3.7277600000000001E-4</v>
      </c>
      <c r="M277" s="65">
        <f t="shared" si="61"/>
        <v>0.34462546472841488</v>
      </c>
      <c r="N277" s="86"/>
      <c r="O277" s="40">
        <v>900</v>
      </c>
      <c r="P277" s="40">
        <v>950</v>
      </c>
      <c r="Q277" s="65">
        <f t="shared" si="62"/>
        <v>3.7277600000000001E-4</v>
      </c>
      <c r="R277" s="65"/>
      <c r="T277" s="65"/>
      <c r="U277" s="45">
        <f t="shared" si="63"/>
        <v>0</v>
      </c>
    </row>
    <row r="278" spans="1:21" x14ac:dyDescent="0.3">
      <c r="A278" s="11" t="s">
        <v>72</v>
      </c>
      <c r="B278" s="87">
        <v>108754</v>
      </c>
      <c r="C278" s="87">
        <v>52991640575</v>
      </c>
      <c r="D278" s="65">
        <f t="shared" si="56"/>
        <v>1.08754E-2</v>
      </c>
      <c r="E278" s="88">
        <f t="shared" si="57"/>
        <v>974.52306259999636</v>
      </c>
      <c r="F278" s="86"/>
      <c r="G278" s="11" t="s">
        <v>72</v>
      </c>
      <c r="H278" s="84">
        <v>1</v>
      </c>
      <c r="I278" s="65">
        <f t="shared" si="58"/>
        <v>1.08754E-2</v>
      </c>
      <c r="J278" s="65">
        <f t="shared" si="59"/>
        <v>4.0789999999999999E-4</v>
      </c>
      <c r="K278" s="90">
        <v>407900</v>
      </c>
      <c r="L278" s="65">
        <f t="shared" si="60"/>
        <v>4.0789999999999999E-4</v>
      </c>
      <c r="M278" s="65">
        <f t="shared" si="61"/>
        <v>0.39750795723453852</v>
      </c>
      <c r="N278" s="86"/>
      <c r="O278" s="40">
        <v>950</v>
      </c>
      <c r="P278" s="40">
        <v>1000</v>
      </c>
      <c r="Q278" s="65">
        <f t="shared" si="62"/>
        <v>4.0789999999999999E-4</v>
      </c>
      <c r="R278" s="65"/>
      <c r="T278" s="65"/>
      <c r="U278" s="45">
        <f t="shared" si="63"/>
        <v>0</v>
      </c>
    </row>
    <row r="279" spans="1:21" x14ac:dyDescent="0.3">
      <c r="A279" s="11" t="s">
        <v>73</v>
      </c>
      <c r="B279" s="87">
        <v>812705</v>
      </c>
      <c r="C279" s="87">
        <v>541922478250</v>
      </c>
      <c r="D279" s="65">
        <f t="shared" si="56"/>
        <v>8.1270499999999996E-2</v>
      </c>
      <c r="E279" s="88">
        <f t="shared" si="57"/>
        <v>1333.6265391501222</v>
      </c>
      <c r="F279" s="86"/>
      <c r="G279" s="11" t="s">
        <v>73</v>
      </c>
      <c r="H279" s="84">
        <v>1</v>
      </c>
      <c r="I279" s="65">
        <f t="shared" si="58"/>
        <v>8.1270499999999996E-2</v>
      </c>
      <c r="J279" s="65">
        <f t="shared" si="59"/>
        <v>6.3342699999999999E-4</v>
      </c>
      <c r="K279" s="90">
        <v>633427</v>
      </c>
      <c r="L279" s="65">
        <f t="shared" si="60"/>
        <v>6.3342699999999999E-4</v>
      </c>
      <c r="M279" s="65">
        <f t="shared" si="61"/>
        <v>0.84475505781424443</v>
      </c>
      <c r="N279" s="86"/>
      <c r="O279" s="40">
        <v>1000</v>
      </c>
      <c r="P279" s="40">
        <v>2000</v>
      </c>
      <c r="Q279" s="65">
        <f t="shared" si="62"/>
        <v>6.3342699999999999E-4</v>
      </c>
      <c r="R279" s="65"/>
      <c r="T279" s="65"/>
      <c r="U279" s="45">
        <f t="shared" si="63"/>
        <v>0</v>
      </c>
    </row>
    <row r="280" spans="1:21" x14ac:dyDescent="0.3">
      <c r="A280" s="11" t="s">
        <v>74</v>
      </c>
      <c r="B280" s="87">
        <v>121995</v>
      </c>
      <c r="C280" s="87">
        <v>144832714050</v>
      </c>
      <c r="D280" s="65">
        <f t="shared" si="56"/>
        <v>1.21995E-2</v>
      </c>
      <c r="E280" s="88">
        <f t="shared" si="57"/>
        <v>2374.4040993483341</v>
      </c>
      <c r="F280" s="86"/>
      <c r="G280" s="11" t="s">
        <v>74</v>
      </c>
      <c r="H280" s="84">
        <v>1</v>
      </c>
      <c r="I280" s="65">
        <f t="shared" si="58"/>
        <v>1.21995E-2</v>
      </c>
      <c r="J280" s="65">
        <f t="shared" si="59"/>
        <v>1.4311759999999999E-3</v>
      </c>
      <c r="K280" s="90">
        <v>1431176</v>
      </c>
      <c r="L280" s="65">
        <f t="shared" si="60"/>
        <v>1.4311759999999999E-3</v>
      </c>
      <c r="M280" s="65">
        <f t="shared" si="61"/>
        <v>3.3981901612889511</v>
      </c>
      <c r="N280" s="86"/>
      <c r="O280" s="40">
        <v>2000</v>
      </c>
      <c r="P280" s="40">
        <v>3000</v>
      </c>
      <c r="Q280" s="65">
        <f t="shared" si="62"/>
        <v>1.4311759999999999E-3</v>
      </c>
      <c r="R280" s="65"/>
      <c r="T280" s="65"/>
      <c r="U280" s="45">
        <f t="shared" si="63"/>
        <v>0</v>
      </c>
    </row>
    <row r="281" spans="1:21" x14ac:dyDescent="0.3">
      <c r="A281" s="11" t="s">
        <v>75</v>
      </c>
      <c r="B281" s="87">
        <v>32360</v>
      </c>
      <c r="C281" s="87">
        <v>55313613875</v>
      </c>
      <c r="D281" s="65">
        <f t="shared" si="56"/>
        <v>3.2360000000000002E-3</v>
      </c>
      <c r="E281" s="88">
        <f t="shared" si="57"/>
        <v>3418.641154202719</v>
      </c>
      <c r="F281" s="86"/>
      <c r="G281" s="11" t="s">
        <v>75</v>
      </c>
      <c r="H281" s="84">
        <v>1</v>
      </c>
      <c r="I281" s="65">
        <f t="shared" si="58"/>
        <v>3.2360000000000002E-3</v>
      </c>
      <c r="J281" s="65">
        <f t="shared" si="59"/>
        <v>0</v>
      </c>
      <c r="K281" s="90">
        <v>0</v>
      </c>
      <c r="L281" s="65">
        <f t="shared" si="60"/>
        <v>0</v>
      </c>
      <c r="M281" s="65">
        <f t="shared" si="61"/>
        <v>0</v>
      </c>
      <c r="N281" s="86"/>
      <c r="O281" s="40">
        <v>3000</v>
      </c>
      <c r="P281" s="40">
        <v>4000</v>
      </c>
      <c r="Q281" s="65">
        <f t="shared" si="62"/>
        <v>0</v>
      </c>
      <c r="R281" s="65"/>
      <c r="T281" s="65"/>
      <c r="U281" s="45">
        <f t="shared" si="63"/>
        <v>0</v>
      </c>
    </row>
    <row r="282" spans="1:21" x14ac:dyDescent="0.3">
      <c r="A282" s="11" t="s">
        <v>76</v>
      </c>
      <c r="B282" s="87">
        <v>13906</v>
      </c>
      <c r="C282" s="87">
        <v>30929337225</v>
      </c>
      <c r="D282" s="65">
        <f t="shared" si="56"/>
        <v>1.3906000000000001E-3</v>
      </c>
      <c r="E282" s="88">
        <f t="shared" si="57"/>
        <v>4448.3442003451746</v>
      </c>
      <c r="F282" s="86"/>
      <c r="G282" s="11" t="s">
        <v>76</v>
      </c>
      <c r="H282" s="84">
        <v>1</v>
      </c>
      <c r="I282" s="65">
        <f t="shared" si="58"/>
        <v>1.3906000000000001E-3</v>
      </c>
      <c r="J282" s="65">
        <f t="shared" si="59"/>
        <v>0</v>
      </c>
      <c r="K282" s="90">
        <v>0</v>
      </c>
      <c r="L282" s="65">
        <f t="shared" si="60"/>
        <v>0</v>
      </c>
      <c r="M282" s="65">
        <f t="shared" si="61"/>
        <v>0</v>
      </c>
      <c r="N282" s="86"/>
      <c r="O282" s="40">
        <v>4000</v>
      </c>
      <c r="P282" s="40">
        <v>5000</v>
      </c>
      <c r="Q282" s="65">
        <f t="shared" si="62"/>
        <v>0</v>
      </c>
      <c r="R282" s="65"/>
      <c r="T282" s="65"/>
      <c r="U282" s="45">
        <f t="shared" si="63"/>
        <v>0</v>
      </c>
    </row>
    <row r="283" spans="1:21" x14ac:dyDescent="0.3">
      <c r="A283" s="11" t="s">
        <v>77</v>
      </c>
      <c r="B283" s="87">
        <v>8328</v>
      </c>
      <c r="C283" s="87">
        <v>22769281575</v>
      </c>
      <c r="D283" s="65">
        <f t="shared" si="56"/>
        <v>8.3279999999999997E-4</v>
      </c>
      <c r="E283" s="88">
        <f t="shared" si="57"/>
        <v>5468.1271793948126</v>
      </c>
      <c r="F283" s="86"/>
      <c r="G283" s="11" t="s">
        <v>77</v>
      </c>
      <c r="H283" s="84">
        <v>1</v>
      </c>
      <c r="I283" s="65">
        <f t="shared" si="58"/>
        <v>8.3279999999999997E-4</v>
      </c>
      <c r="J283" s="65">
        <f t="shared" si="59"/>
        <v>0</v>
      </c>
      <c r="K283" s="90">
        <v>0</v>
      </c>
      <c r="L283" s="65">
        <f t="shared" si="60"/>
        <v>0</v>
      </c>
      <c r="M283" s="65">
        <f t="shared" si="61"/>
        <v>0</v>
      </c>
      <c r="N283" s="86"/>
      <c r="O283" s="40">
        <v>5000</v>
      </c>
      <c r="P283" s="40">
        <v>6000</v>
      </c>
      <c r="Q283" s="65">
        <f t="shared" si="62"/>
        <v>0</v>
      </c>
      <c r="R283" s="65"/>
      <c r="T283" s="65"/>
      <c r="U283" s="45">
        <f t="shared" si="63"/>
        <v>0</v>
      </c>
    </row>
    <row r="284" spans="1:21" x14ac:dyDescent="0.3">
      <c r="A284" s="11" t="s">
        <v>78</v>
      </c>
      <c r="B284" s="87">
        <v>5869</v>
      </c>
      <c r="C284" s="87">
        <v>19004181700</v>
      </c>
      <c r="D284" s="65">
        <f t="shared" si="56"/>
        <v>5.8690000000000001E-4</v>
      </c>
      <c r="E284" s="88">
        <f t="shared" si="57"/>
        <v>6476.1225762480835</v>
      </c>
      <c r="F284" s="86"/>
      <c r="G284" s="11" t="s">
        <v>78</v>
      </c>
      <c r="H284" s="84">
        <v>1</v>
      </c>
      <c r="I284" s="65">
        <f t="shared" si="58"/>
        <v>5.8690000000000001E-4</v>
      </c>
      <c r="J284" s="65">
        <f t="shared" si="59"/>
        <v>0</v>
      </c>
      <c r="K284" s="90">
        <v>0</v>
      </c>
      <c r="L284" s="65">
        <f t="shared" si="60"/>
        <v>0</v>
      </c>
      <c r="M284" s="65">
        <f t="shared" si="61"/>
        <v>0</v>
      </c>
      <c r="N284" s="86"/>
      <c r="O284" s="40">
        <v>6000</v>
      </c>
      <c r="P284" s="40">
        <v>7000</v>
      </c>
      <c r="Q284" s="65">
        <f t="shared" si="62"/>
        <v>0</v>
      </c>
      <c r="R284" s="65"/>
      <c r="T284" s="65"/>
      <c r="U284" s="45">
        <f t="shared" si="63"/>
        <v>0</v>
      </c>
    </row>
    <row r="285" spans="1:21" x14ac:dyDescent="0.3">
      <c r="A285" s="11" t="s">
        <v>79</v>
      </c>
      <c r="B285" s="87">
        <v>4567</v>
      </c>
      <c r="C285" s="87">
        <v>17073659775</v>
      </c>
      <c r="D285" s="65">
        <f t="shared" si="56"/>
        <v>4.5669999999999999E-4</v>
      </c>
      <c r="E285" s="88">
        <f t="shared" si="57"/>
        <v>7476.969465732428</v>
      </c>
      <c r="F285" s="86"/>
      <c r="G285" s="11" t="s">
        <v>79</v>
      </c>
      <c r="H285" s="84">
        <v>1</v>
      </c>
      <c r="I285" s="65">
        <f t="shared" si="58"/>
        <v>4.5669999999999999E-4</v>
      </c>
      <c r="J285" s="65">
        <f t="shared" si="59"/>
        <v>0</v>
      </c>
      <c r="K285" s="90">
        <v>0</v>
      </c>
      <c r="L285" s="65">
        <f t="shared" si="60"/>
        <v>0</v>
      </c>
      <c r="M285" s="65">
        <f t="shared" si="61"/>
        <v>0</v>
      </c>
      <c r="N285" s="86"/>
      <c r="O285" s="40">
        <v>7000</v>
      </c>
      <c r="P285" s="40">
        <v>8000</v>
      </c>
      <c r="Q285" s="65">
        <f t="shared" si="62"/>
        <v>0</v>
      </c>
      <c r="R285" s="65"/>
      <c r="T285" s="65"/>
      <c r="U285" s="45">
        <f t="shared" si="63"/>
        <v>0</v>
      </c>
    </row>
    <row r="286" spans="1:21" x14ac:dyDescent="0.3">
      <c r="A286" s="11" t="s">
        <v>80</v>
      </c>
      <c r="B286" s="87">
        <v>3824</v>
      </c>
      <c r="C286" s="87">
        <v>16222030250</v>
      </c>
      <c r="D286" s="65">
        <f t="shared" si="56"/>
        <v>3.8240000000000003E-4</v>
      </c>
      <c r="E286" s="88">
        <f t="shared" si="57"/>
        <v>8484.325444560669</v>
      </c>
      <c r="F286" s="86"/>
      <c r="G286" s="11" t="s">
        <v>80</v>
      </c>
      <c r="H286" s="84">
        <v>1</v>
      </c>
      <c r="I286" s="65">
        <f t="shared" si="58"/>
        <v>3.8240000000000003E-4</v>
      </c>
      <c r="J286" s="65">
        <f t="shared" si="59"/>
        <v>0</v>
      </c>
      <c r="K286" s="90">
        <v>0</v>
      </c>
      <c r="L286" s="65">
        <f t="shared" si="60"/>
        <v>0</v>
      </c>
      <c r="M286" s="65">
        <f t="shared" si="61"/>
        <v>0</v>
      </c>
      <c r="N286" s="86"/>
      <c r="O286" s="40">
        <v>8000</v>
      </c>
      <c r="P286" s="40">
        <v>9000</v>
      </c>
      <c r="Q286" s="65">
        <f t="shared" si="62"/>
        <v>0</v>
      </c>
      <c r="R286" s="65"/>
      <c r="T286" s="65"/>
      <c r="U286" s="45">
        <f t="shared" si="63"/>
        <v>0</v>
      </c>
    </row>
    <row r="287" spans="1:21" x14ac:dyDescent="0.3">
      <c r="A287" s="11" t="s">
        <v>81</v>
      </c>
      <c r="B287" s="87">
        <v>3053</v>
      </c>
      <c r="C287" s="87">
        <v>14485521400</v>
      </c>
      <c r="D287" s="65">
        <f t="shared" si="56"/>
        <v>3.0529999999999999E-4</v>
      </c>
      <c r="E287" s="88">
        <f t="shared" si="57"/>
        <v>9489.3687520471667</v>
      </c>
      <c r="F287" s="86"/>
      <c r="G287" s="11" t="s">
        <v>81</v>
      </c>
      <c r="H287" s="84">
        <v>1</v>
      </c>
      <c r="I287" s="65">
        <f t="shared" si="58"/>
        <v>3.0529999999999999E-4</v>
      </c>
      <c r="J287" s="65">
        <f t="shared" si="59"/>
        <v>0</v>
      </c>
      <c r="K287" s="90">
        <v>0</v>
      </c>
      <c r="L287" s="65">
        <f t="shared" si="60"/>
        <v>0</v>
      </c>
      <c r="M287" s="65">
        <f t="shared" si="61"/>
        <v>0</v>
      </c>
      <c r="N287" s="86"/>
      <c r="O287" s="40">
        <v>9000</v>
      </c>
      <c r="P287" s="40">
        <v>10000</v>
      </c>
      <c r="Q287" s="65">
        <f t="shared" si="62"/>
        <v>0</v>
      </c>
      <c r="R287" s="65"/>
      <c r="T287" s="65"/>
      <c r="U287" s="45">
        <f t="shared" si="63"/>
        <v>0</v>
      </c>
    </row>
    <row r="288" spans="1:21" x14ac:dyDescent="0.3">
      <c r="A288" s="11" t="s">
        <v>82</v>
      </c>
      <c r="B288" s="87">
        <v>15951</v>
      </c>
      <c r="C288" s="87">
        <v>112077189850</v>
      </c>
      <c r="D288" s="65">
        <f t="shared" si="56"/>
        <v>1.5950999999999999E-3</v>
      </c>
      <c r="E288" s="88">
        <f t="shared" si="57"/>
        <v>14052.685079305373</v>
      </c>
      <c r="F288" s="86"/>
      <c r="G288" s="11" t="s">
        <v>82</v>
      </c>
      <c r="H288" s="84">
        <v>1</v>
      </c>
      <c r="I288" s="65">
        <f t="shared" si="58"/>
        <v>1.5950999999999999E-3</v>
      </c>
      <c r="J288" s="65">
        <f t="shared" si="59"/>
        <v>0</v>
      </c>
      <c r="K288" s="90">
        <v>0</v>
      </c>
      <c r="L288" s="65">
        <f t="shared" si="60"/>
        <v>0</v>
      </c>
      <c r="M288" s="65">
        <f t="shared" si="61"/>
        <v>0</v>
      </c>
      <c r="N288" s="86"/>
      <c r="O288" s="40">
        <v>10000</v>
      </c>
      <c r="P288" s="40">
        <v>20000</v>
      </c>
      <c r="Q288" s="65">
        <f t="shared" si="62"/>
        <v>0</v>
      </c>
      <c r="R288" s="65"/>
      <c r="T288" s="65"/>
      <c r="U288" s="45">
        <f t="shared" si="63"/>
        <v>0</v>
      </c>
    </row>
    <row r="289" spans="1:21" x14ac:dyDescent="0.3">
      <c r="A289" s="11" t="s">
        <v>83</v>
      </c>
      <c r="B289" s="87">
        <v>6932</v>
      </c>
      <c r="C289" s="87">
        <v>85225544450</v>
      </c>
      <c r="D289" s="65">
        <f t="shared" si="56"/>
        <v>6.9320000000000004E-4</v>
      </c>
      <c r="E289" s="88">
        <f t="shared" si="57"/>
        <v>24589.020326024234</v>
      </c>
      <c r="F289" s="86"/>
      <c r="G289" s="11" t="s">
        <v>83</v>
      </c>
      <c r="H289" s="84">
        <v>1</v>
      </c>
      <c r="I289" s="65">
        <f t="shared" si="58"/>
        <v>6.9320000000000004E-4</v>
      </c>
      <c r="J289" s="65">
        <f t="shared" si="59"/>
        <v>0</v>
      </c>
      <c r="K289" s="90">
        <v>0</v>
      </c>
      <c r="L289" s="65">
        <f t="shared" si="60"/>
        <v>0</v>
      </c>
      <c r="M289" s="65">
        <f t="shared" si="61"/>
        <v>0</v>
      </c>
      <c r="N289" s="86"/>
      <c r="O289" s="40">
        <v>20000</v>
      </c>
      <c r="P289" s="40">
        <v>30000</v>
      </c>
      <c r="Q289" s="65">
        <f t="shared" si="62"/>
        <v>0</v>
      </c>
      <c r="R289" s="65"/>
      <c r="T289" s="65"/>
      <c r="U289" s="45">
        <f t="shared" si="63"/>
        <v>0</v>
      </c>
    </row>
    <row r="290" spans="1:21" x14ac:dyDescent="0.3">
      <c r="A290" s="11" t="s">
        <v>84</v>
      </c>
      <c r="B290" s="87">
        <v>4992</v>
      </c>
      <c r="C290" s="87">
        <v>86626772875</v>
      </c>
      <c r="D290" s="65">
        <f t="shared" si="56"/>
        <v>4.9919999999999999E-4</v>
      </c>
      <c r="E290" s="88">
        <f t="shared" si="57"/>
        <v>34706.23913261218</v>
      </c>
      <c r="F290" s="86"/>
      <c r="G290" s="11" t="s">
        <v>84</v>
      </c>
      <c r="H290" s="84">
        <v>1</v>
      </c>
      <c r="I290" s="65">
        <f t="shared" si="58"/>
        <v>4.9919999999999999E-4</v>
      </c>
      <c r="J290" s="65">
        <f t="shared" si="59"/>
        <v>0</v>
      </c>
      <c r="K290" s="90">
        <v>0</v>
      </c>
      <c r="L290" s="65">
        <f t="shared" si="60"/>
        <v>0</v>
      </c>
      <c r="M290" s="65">
        <f t="shared" si="61"/>
        <v>0</v>
      </c>
      <c r="N290" s="86"/>
      <c r="O290" s="40">
        <v>30000</v>
      </c>
      <c r="P290" s="40">
        <v>40000</v>
      </c>
      <c r="Q290" s="65">
        <f t="shared" si="62"/>
        <v>0</v>
      </c>
      <c r="R290" s="65"/>
      <c r="T290" s="65"/>
      <c r="U290" s="45">
        <f t="shared" si="63"/>
        <v>0</v>
      </c>
    </row>
    <row r="291" spans="1:21" x14ac:dyDescent="0.3">
      <c r="A291" s="11" t="s">
        <v>85</v>
      </c>
      <c r="B291" s="87">
        <v>3868</v>
      </c>
      <c r="C291" s="87">
        <v>86822593775</v>
      </c>
      <c r="D291" s="65">
        <f t="shared" si="56"/>
        <v>3.8680000000000002E-4</v>
      </c>
      <c r="E291" s="88">
        <f t="shared" si="57"/>
        <v>44892.757898138574</v>
      </c>
      <c r="F291" s="86"/>
      <c r="G291" s="11" t="s">
        <v>85</v>
      </c>
      <c r="H291" s="84">
        <v>1</v>
      </c>
      <c r="I291" s="65">
        <f t="shared" si="58"/>
        <v>3.8680000000000002E-4</v>
      </c>
      <c r="J291" s="65">
        <f t="shared" si="59"/>
        <v>0</v>
      </c>
      <c r="K291" s="90">
        <v>0</v>
      </c>
      <c r="L291" s="65">
        <f t="shared" si="60"/>
        <v>0</v>
      </c>
      <c r="M291" s="65">
        <f t="shared" si="61"/>
        <v>0</v>
      </c>
      <c r="N291" s="86"/>
      <c r="O291" s="40">
        <v>40000</v>
      </c>
      <c r="P291" s="40">
        <v>50000</v>
      </c>
      <c r="Q291" s="65">
        <f t="shared" si="62"/>
        <v>0</v>
      </c>
      <c r="R291" s="65"/>
      <c r="T291" s="65"/>
      <c r="U291" s="45">
        <f t="shared" si="63"/>
        <v>0</v>
      </c>
    </row>
    <row r="292" spans="1:21" x14ac:dyDescent="0.3">
      <c r="A292" s="11" t="s">
        <v>86</v>
      </c>
      <c r="B292" s="87">
        <v>3159</v>
      </c>
      <c r="C292" s="87">
        <v>86662390975</v>
      </c>
      <c r="D292" s="65">
        <f t="shared" si="56"/>
        <v>3.1589999999999998E-4</v>
      </c>
      <c r="E292" s="88">
        <f t="shared" si="57"/>
        <v>54866.977508705291</v>
      </c>
      <c r="F292" s="86"/>
      <c r="G292" s="11" t="s">
        <v>86</v>
      </c>
      <c r="H292" s="84">
        <v>1</v>
      </c>
      <c r="I292" s="65">
        <f t="shared" si="58"/>
        <v>3.1589999999999998E-4</v>
      </c>
      <c r="J292" s="65">
        <f t="shared" si="59"/>
        <v>0</v>
      </c>
      <c r="K292" s="90">
        <v>0</v>
      </c>
      <c r="L292" s="65">
        <f t="shared" si="60"/>
        <v>0</v>
      </c>
      <c r="M292" s="65">
        <f t="shared" si="61"/>
        <v>0</v>
      </c>
      <c r="N292" s="86"/>
      <c r="O292" s="40">
        <v>50000</v>
      </c>
      <c r="P292" s="40">
        <v>60000</v>
      </c>
      <c r="Q292" s="65">
        <f t="shared" si="62"/>
        <v>0</v>
      </c>
      <c r="R292" s="65"/>
      <c r="T292" s="65"/>
      <c r="U292" s="45">
        <f t="shared" si="63"/>
        <v>0</v>
      </c>
    </row>
    <row r="293" spans="1:21" x14ac:dyDescent="0.3">
      <c r="A293" s="11" t="s">
        <v>87</v>
      </c>
      <c r="B293" s="87">
        <v>2388</v>
      </c>
      <c r="C293" s="87">
        <v>77364347050</v>
      </c>
      <c r="D293" s="65">
        <f t="shared" si="56"/>
        <v>2.388E-4</v>
      </c>
      <c r="E293" s="88">
        <f t="shared" si="57"/>
        <v>64794.260510887769</v>
      </c>
      <c r="F293" s="86"/>
      <c r="G293" s="11" t="s">
        <v>87</v>
      </c>
      <c r="H293" s="84">
        <v>1</v>
      </c>
      <c r="I293" s="65">
        <f t="shared" si="58"/>
        <v>2.388E-4</v>
      </c>
      <c r="J293" s="65">
        <f t="shared" si="59"/>
        <v>0</v>
      </c>
      <c r="K293" s="90">
        <v>0</v>
      </c>
      <c r="L293" s="65">
        <f t="shared" si="60"/>
        <v>0</v>
      </c>
      <c r="M293" s="65">
        <f t="shared" si="61"/>
        <v>0</v>
      </c>
      <c r="N293" s="86"/>
      <c r="O293" s="40">
        <v>60000</v>
      </c>
      <c r="P293" s="40">
        <v>70000</v>
      </c>
      <c r="Q293" s="65">
        <f t="shared" si="62"/>
        <v>0</v>
      </c>
      <c r="R293" s="65"/>
      <c r="T293" s="65"/>
      <c r="U293" s="45">
        <f t="shared" si="63"/>
        <v>0</v>
      </c>
    </row>
    <row r="294" spans="1:21" x14ac:dyDescent="0.3">
      <c r="A294" s="11" t="s">
        <v>88</v>
      </c>
      <c r="B294" s="87">
        <v>1948</v>
      </c>
      <c r="C294" s="87">
        <v>72787068275</v>
      </c>
      <c r="D294" s="65">
        <f t="shared" si="56"/>
        <v>1.9479999999999999E-4</v>
      </c>
      <c r="E294" s="88">
        <f t="shared" si="57"/>
        <v>74730.049563655033</v>
      </c>
      <c r="F294" s="86"/>
      <c r="G294" s="11" t="s">
        <v>88</v>
      </c>
      <c r="H294" s="84">
        <v>1</v>
      </c>
      <c r="I294" s="65">
        <f t="shared" si="58"/>
        <v>1.9479999999999999E-4</v>
      </c>
      <c r="J294" s="65">
        <f t="shared" si="59"/>
        <v>0</v>
      </c>
      <c r="K294" s="90">
        <v>0</v>
      </c>
      <c r="L294" s="65">
        <f t="shared" si="60"/>
        <v>0</v>
      </c>
      <c r="M294" s="65">
        <f t="shared" si="61"/>
        <v>0</v>
      </c>
      <c r="N294" s="86"/>
      <c r="O294" s="40">
        <v>70000</v>
      </c>
      <c r="P294" s="40">
        <v>80000</v>
      </c>
      <c r="Q294" s="65">
        <f t="shared" si="62"/>
        <v>0</v>
      </c>
      <c r="R294" s="65"/>
      <c r="T294" s="65"/>
      <c r="U294" s="45">
        <f t="shared" si="63"/>
        <v>0</v>
      </c>
    </row>
    <row r="295" spans="1:21" x14ac:dyDescent="0.3">
      <c r="A295" s="11" t="s">
        <v>89</v>
      </c>
      <c r="B295" s="87">
        <v>1413</v>
      </c>
      <c r="C295" s="87">
        <v>59880956000</v>
      </c>
      <c r="D295" s="65">
        <f t="shared" si="56"/>
        <v>1.4129999999999999E-4</v>
      </c>
      <c r="E295" s="88">
        <f t="shared" si="57"/>
        <v>84757.191790516634</v>
      </c>
      <c r="F295" s="86"/>
      <c r="G295" s="11" t="s">
        <v>89</v>
      </c>
      <c r="H295" s="84">
        <v>1</v>
      </c>
      <c r="I295" s="65">
        <f t="shared" si="58"/>
        <v>1.4129999999999999E-4</v>
      </c>
      <c r="J295" s="65">
        <f t="shared" si="59"/>
        <v>0</v>
      </c>
      <c r="K295" s="90">
        <v>0</v>
      </c>
      <c r="L295" s="65">
        <f t="shared" si="60"/>
        <v>0</v>
      </c>
      <c r="M295" s="65">
        <f t="shared" si="61"/>
        <v>0</v>
      </c>
      <c r="N295" s="86"/>
      <c r="O295" s="40">
        <v>80000</v>
      </c>
      <c r="P295" s="40">
        <v>90000</v>
      </c>
      <c r="Q295" s="65">
        <f t="shared" si="62"/>
        <v>0</v>
      </c>
      <c r="R295" s="65"/>
      <c r="T295" s="65"/>
      <c r="U295" s="45">
        <f t="shared" si="63"/>
        <v>0</v>
      </c>
    </row>
    <row r="296" spans="1:21" x14ac:dyDescent="0.3">
      <c r="A296" s="11" t="s">
        <v>90</v>
      </c>
      <c r="B296" s="87">
        <v>1056</v>
      </c>
      <c r="C296" s="87">
        <v>49988540825</v>
      </c>
      <c r="D296" s="65">
        <f t="shared" si="56"/>
        <v>1.0560000000000001E-4</v>
      </c>
      <c r="E296" s="88">
        <f t="shared" si="57"/>
        <v>94675.266714015161</v>
      </c>
      <c r="F296" s="86"/>
      <c r="G296" s="11" t="s">
        <v>90</v>
      </c>
      <c r="H296" s="84">
        <v>1</v>
      </c>
      <c r="I296" s="65">
        <f t="shared" si="58"/>
        <v>1.0560000000000001E-4</v>
      </c>
      <c r="J296" s="65">
        <f t="shared" si="59"/>
        <v>0</v>
      </c>
      <c r="K296" s="90">
        <v>0</v>
      </c>
      <c r="L296" s="65">
        <f t="shared" si="60"/>
        <v>0</v>
      </c>
      <c r="M296" s="65">
        <f t="shared" si="61"/>
        <v>0</v>
      </c>
      <c r="N296" s="86"/>
      <c r="O296" s="40">
        <v>90000</v>
      </c>
      <c r="P296" s="40">
        <v>100000</v>
      </c>
      <c r="Q296" s="65">
        <f t="shared" si="62"/>
        <v>0</v>
      </c>
      <c r="R296" s="65"/>
      <c r="T296" s="65"/>
      <c r="U296" s="45">
        <f t="shared" si="63"/>
        <v>0</v>
      </c>
    </row>
    <row r="297" spans="1:21" x14ac:dyDescent="0.3">
      <c r="A297" s="11" t="s">
        <v>91</v>
      </c>
      <c r="B297" s="87">
        <v>2764</v>
      </c>
      <c r="C297" s="87">
        <v>177494407625</v>
      </c>
      <c r="D297" s="65">
        <f t="shared" si="56"/>
        <v>2.764E-4</v>
      </c>
      <c r="E297" s="88">
        <f t="shared" si="57"/>
        <v>128433.00117583212</v>
      </c>
      <c r="F297" s="86"/>
      <c r="G297" s="11" t="s">
        <v>91</v>
      </c>
      <c r="H297" s="84">
        <v>1</v>
      </c>
      <c r="I297" s="65">
        <f t="shared" si="58"/>
        <v>2.764E-4</v>
      </c>
      <c r="J297" s="65">
        <f t="shared" si="59"/>
        <v>0</v>
      </c>
      <c r="K297" s="90">
        <v>0</v>
      </c>
      <c r="L297" s="65">
        <f t="shared" si="60"/>
        <v>0</v>
      </c>
      <c r="M297" s="65">
        <f t="shared" si="61"/>
        <v>0</v>
      </c>
      <c r="N297" s="86"/>
      <c r="O297" s="40">
        <v>100000</v>
      </c>
      <c r="P297" s="40">
        <v>9999999</v>
      </c>
      <c r="Q297" s="65">
        <f t="shared" si="62"/>
        <v>0</v>
      </c>
      <c r="R297" s="65"/>
      <c r="T297" s="65"/>
      <c r="U297" s="45">
        <f t="shared" si="63"/>
        <v>0</v>
      </c>
    </row>
    <row r="298" spans="1:21" x14ac:dyDescent="0.3">
      <c r="K298" s="3">
        <f>SUM(K234:K297)</f>
        <v>1000000000</v>
      </c>
      <c r="M298" s="3">
        <f>SUM(M234:M297)</f>
        <v>92.056851009462179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5</v>
      </c>
      <c r="B3" s="72">
        <v>100</v>
      </c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1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0.200000000008975</v>
      </c>
      <c r="E7" s="76">
        <f>SUM(C7:D7)</f>
        <v>0.920000001842473</v>
      </c>
      <c r="F7" s="27">
        <v>0.00333333372535556</v>
      </c>
      <c r="G7" s="28">
        <f>1/F7</f>
        <v>299.999964718004</v>
      </c>
      <c r="H7" s="29">
        <f>D7*G7</f>
        <v>59.9999929462935</v>
      </c>
      <c r="I7" s="77">
        <f>IFERROR(LOOKUP(2,1/(K15:K78&lt;&gt;0),P15:P78),0)</f>
        <v>20</v>
      </c>
      <c r="J7" s="77">
        <f>IFERROR(LOOKUP(2,1/(K86:K149&lt;&gt;0),P86:P149),0)</f>
        <v>120</v>
      </c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121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115</v>
      </c>
      <c r="R14" s="7" t="s">
        <v>116</v>
      </c>
      <c r="T14" s="10" t="s">
        <v>115</v>
      </c>
      <c r="U14" s="10" t="s">
        <v>117</v>
      </c>
    </row>
    <row r="15" spans="1:21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>
        <v>0.72379899999999997</v>
      </c>
      <c r="T15" s="65"/>
      <c r="U15" s="45">
        <f t="shared" ref="U15:U46" si="7">IFERROR(ROUND(T15/L15,2),0)</f>
        <v>0</v>
      </c>
    </row>
    <row r="16" spans="1:21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>
        <v>0.15426599999999999</v>
      </c>
      <c r="T16" s="65"/>
      <c r="U16" s="45">
        <f t="shared" si="7"/>
        <v>0</v>
      </c>
    </row>
    <row r="17" spans="1:21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>
        <v>4.5428000000000003E-2</v>
      </c>
      <c r="T17" s="65"/>
      <c r="U17" s="45">
        <f t="shared" si="7"/>
        <v>0</v>
      </c>
    </row>
    <row r="18" spans="1:21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>
        <v>2.0910000000000002E-2</v>
      </c>
      <c r="T18" s="65"/>
      <c r="U18" s="45">
        <f t="shared" si="7"/>
        <v>0</v>
      </c>
    </row>
    <row r="19" spans="1:21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>
        <v>1.2886E-2</v>
      </c>
      <c r="T19" s="65"/>
      <c r="U19" s="45">
        <f t="shared" si="7"/>
        <v>0</v>
      </c>
    </row>
    <row r="20" spans="1:21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>
        <v>8.4060000000000003E-3</v>
      </c>
      <c r="T20" s="65"/>
      <c r="U20" s="45">
        <f t="shared" si="7"/>
        <v>0</v>
      </c>
    </row>
    <row r="21" spans="1:21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>
        <v>6.5170000000000002E-3</v>
      </c>
      <c r="T21" s="65"/>
      <c r="U21" s="45">
        <f t="shared" si="7"/>
        <v>0</v>
      </c>
    </row>
    <row r="22" spans="1:21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>
        <v>3.5239999999999998E-3</v>
      </c>
      <c r="T22" s="65"/>
      <c r="U22" s="45">
        <f t="shared" si="7"/>
        <v>0</v>
      </c>
    </row>
    <row r="23" spans="1:21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>
        <v>3.9699999999999996E-3</v>
      </c>
      <c r="T23" s="65"/>
      <c r="U23" s="45">
        <f t="shared" si="7"/>
        <v>0</v>
      </c>
    </row>
    <row r="24" spans="1:21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>
        <v>3.2269999999999998E-3</v>
      </c>
      <c r="T24" s="65"/>
      <c r="U24" s="45">
        <f t="shared" si="7"/>
        <v>0</v>
      </c>
    </row>
    <row r="25" spans="1:21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>
        <v>2.1020000000000001E-3</v>
      </c>
      <c r="T25" s="65"/>
      <c r="U25" s="45">
        <f t="shared" si="7"/>
        <v>0</v>
      </c>
    </row>
    <row r="26" spans="1:21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>
        <v>6.4320000000000002E-3</v>
      </c>
      <c r="T26" s="65"/>
      <c r="U26" s="45">
        <f t="shared" si="7"/>
        <v>0</v>
      </c>
    </row>
    <row r="27" spans="1:21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>
        <v>2.823E-3</v>
      </c>
      <c r="T27" s="65"/>
      <c r="U27" s="45">
        <f t="shared" si="7"/>
        <v>0</v>
      </c>
    </row>
    <row r="28" spans="1:21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1.6130000000000001E-3</v>
      </c>
      <c r="T28" s="65"/>
      <c r="U28" s="45">
        <f t="shared" si="7"/>
        <v>0</v>
      </c>
    </row>
    <row r="29" spans="1:21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1.3159999999999999E-3</v>
      </c>
      <c r="T29" s="65"/>
      <c r="U29" s="45">
        <f t="shared" si="7"/>
        <v>0</v>
      </c>
    </row>
    <row r="30" spans="1:21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6.3699999999999998E-4</v>
      </c>
      <c r="T30" s="65"/>
      <c r="U30" s="45">
        <f t="shared" si="7"/>
        <v>0</v>
      </c>
    </row>
    <row r="31" spans="1:21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4.46E-4</v>
      </c>
      <c r="T31" s="65"/>
      <c r="U31" s="45">
        <f t="shared" si="7"/>
        <v>0</v>
      </c>
    </row>
    <row r="32" spans="1:21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2.7599999999999999E-4</v>
      </c>
      <c r="T32" s="65"/>
      <c r="U32" s="45">
        <f t="shared" si="7"/>
        <v>0</v>
      </c>
    </row>
    <row r="33" spans="1:21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2.34E-4</v>
      </c>
      <c r="T33" s="65"/>
      <c r="U33" s="45">
        <f t="shared" si="7"/>
        <v>0</v>
      </c>
    </row>
    <row r="34" spans="1:21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5.0900000000000001E-4</v>
      </c>
      <c r="T34" s="65"/>
      <c r="U34" s="45">
        <f t="shared" si="7"/>
        <v>0</v>
      </c>
    </row>
    <row r="35" spans="1:21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2.9700000000000001E-4</v>
      </c>
      <c r="T35" s="65"/>
      <c r="U35" s="45">
        <f t="shared" si="7"/>
        <v>0</v>
      </c>
    </row>
    <row r="36" spans="1:21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1.06E-4</v>
      </c>
      <c r="T36" s="65"/>
      <c r="U36" s="45">
        <f t="shared" si="7"/>
        <v>0</v>
      </c>
    </row>
    <row r="37" spans="1:21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6.3999999999999997E-5</v>
      </c>
      <c r="T37" s="65"/>
      <c r="U37" s="45">
        <f t="shared" si="7"/>
        <v>0</v>
      </c>
    </row>
    <row r="38" spans="1:21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1.06E-4</v>
      </c>
      <c r="T38" s="65"/>
      <c r="U38" s="45">
        <f t="shared" si="7"/>
        <v>0</v>
      </c>
    </row>
    <row r="39" spans="1:21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6.3999999999999997E-5</v>
      </c>
      <c r="T39" s="65"/>
      <c r="U39" s="45">
        <f t="shared" si="7"/>
        <v>0</v>
      </c>
    </row>
    <row r="40" spans="1:21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2.0999999999999999E-5</v>
      </c>
      <c r="T40" s="65"/>
      <c r="U40" s="45">
        <f t="shared" si="7"/>
        <v>0</v>
      </c>
    </row>
    <row r="41" spans="1:21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0</v>
      </c>
      <c r="T41" s="65"/>
      <c r="U41" s="45">
        <f t="shared" si="7"/>
        <v>0</v>
      </c>
    </row>
    <row r="42" spans="1:21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0</v>
      </c>
      <c r="T42" s="65"/>
      <c r="U42" s="45">
        <f t="shared" si="7"/>
        <v>0</v>
      </c>
    </row>
    <row r="43" spans="1:21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2.0999999999999999E-5</v>
      </c>
      <c r="T43" s="65"/>
      <c r="U43" s="45">
        <f t="shared" si="7"/>
        <v>0</v>
      </c>
    </row>
    <row r="44" spans="1:21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0</v>
      </c>
      <c r="T44" s="65"/>
      <c r="U44" s="45">
        <f t="shared" si="7"/>
        <v>0</v>
      </c>
    </row>
    <row r="45" spans="1:21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0</v>
      </c>
      <c r="T45" s="65"/>
      <c r="U45" s="45">
        <f t="shared" si="7"/>
        <v>0</v>
      </c>
    </row>
    <row r="46" spans="1:21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0</v>
      </c>
      <c r="T46" s="65"/>
      <c r="U46" s="45">
        <f t="shared" si="7"/>
        <v>0</v>
      </c>
    </row>
    <row r="47" spans="1:21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</row>
    <row r="48" spans="1:21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0</v>
      </c>
      <c r="T48" s="65"/>
      <c r="U48" s="45">
        <f t="shared" si="15"/>
        <v>0</v>
      </c>
    </row>
    <row r="49" spans="1:21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</row>
    <row r="50" spans="1:21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</row>
    <row r="51" spans="1:21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</row>
    <row r="52" spans="1:21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</row>
    <row r="53" spans="1:21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</row>
    <row r="54" spans="1:21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</row>
    <row r="55" spans="1:21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</row>
    <row r="56" spans="1:21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</row>
    <row r="57" spans="1:21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</row>
    <row r="58" spans="1:21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</row>
    <row r="59" spans="1:21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</row>
    <row r="60" spans="1:21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</row>
    <row r="61" spans="1:21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</row>
    <row r="62" spans="1:21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</row>
    <row r="63" spans="1:21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</row>
    <row r="64" spans="1:21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</row>
    <row r="65" spans="1:21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</row>
    <row r="66" spans="1:21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</row>
    <row r="67" spans="1:21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</row>
    <row r="68" spans="1:21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</row>
    <row r="69" spans="1:21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</row>
    <row r="70" spans="1:21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</row>
    <row r="71" spans="1:21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</row>
    <row r="72" spans="1:21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</row>
    <row r="73" spans="1:21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</row>
    <row r="74" spans="1:21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</row>
    <row r="75" spans="1:21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</row>
    <row r="76" spans="1:21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</row>
    <row r="77" spans="1:21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</row>
    <row r="78" spans="1:21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</row>
    <row r="79" spans="1:21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122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115</v>
      </c>
      <c r="R85" s="7" t="s">
        <v>116</v>
      </c>
      <c r="T85" s="10" t="s">
        <v>115</v>
      </c>
      <c r="U85" s="10" t="s">
        <v>117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>
        <v>2.069E-2</v>
      </c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>
        <v>6.8970000000000004E-3</v>
      </c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62"/>
      <c r="O88" s="40">
        <v>1</v>
      </c>
      <c r="P88" s="40">
        <v>2</v>
      </c>
      <c r="Q88" s="65">
        <f t="shared" si="22"/>
        <v>2.6174599999999998E-4</v>
      </c>
      <c r="R88" s="65">
        <v>6.8970000000000004E-3</v>
      </c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62"/>
      <c r="O89" s="40">
        <v>2</v>
      </c>
      <c r="P89" s="40">
        <v>3</v>
      </c>
      <c r="Q89" s="65">
        <f t="shared" si="22"/>
        <v>2.59337E-4</v>
      </c>
      <c r="R89" s="65">
        <v>6.8970000000000004E-3</v>
      </c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62"/>
      <c r="O90" s="40">
        <v>3</v>
      </c>
      <c r="P90" s="40">
        <v>4</v>
      </c>
      <c r="Q90" s="65">
        <f t="shared" si="22"/>
        <v>2.5520099999999998E-4</v>
      </c>
      <c r="R90" s="65">
        <v>6.8970000000000004E-3</v>
      </c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62"/>
      <c r="O91" s="40">
        <v>4</v>
      </c>
      <c r="P91" s="40">
        <v>5</v>
      </c>
      <c r="Q91" s="65">
        <f t="shared" si="22"/>
        <v>2.52358E-4</v>
      </c>
      <c r="R91" s="65">
        <v>6.8970000000000004E-3</v>
      </c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62"/>
      <c r="O92" s="40">
        <v>5</v>
      </c>
      <c r="P92" s="40">
        <v>6</v>
      </c>
      <c r="Q92" s="65">
        <f t="shared" si="22"/>
        <v>2.4892399999999998E-4</v>
      </c>
      <c r="R92" s="65">
        <v>6.8970000000000004E-3</v>
      </c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>
        <v>2.069E-2</v>
      </c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>
        <v>0</v>
      </c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>
        <v>6.8970000000000004E-3</v>
      </c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>
        <v>0</v>
      </c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>
        <v>6.2068999999999999E-2</v>
      </c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>
        <v>2.7585999999999999E-2</v>
      </c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0.0118333316553809</v>
      </c>
      <c r="I99" s="65">
        <f t="shared" si="18"/>
        <v>0.000441953</v>
      </c>
      <c r="J99" s="65">
        <f t="shared" si="19"/>
        <v>0.000441953</v>
      </c>
      <c r="K99" s="85">
        <v>441953</v>
      </c>
      <c r="L99" s="65">
        <f t="shared" si="20"/>
        <v>0.000441953</v>
      </c>
      <c r="M99" s="65">
        <f t="shared" si="21"/>
        <v>0.00990928633065296</v>
      </c>
      <c r="N99" s="86"/>
      <c r="O99" s="40">
        <v>20</v>
      </c>
      <c r="P99" s="40">
        <v>25</v>
      </c>
      <c r="Q99" s="65">
        <f t="shared" si="22"/>
        <v>1.9566700000000001E-4</v>
      </c>
      <c r="R99" s="65">
        <v>2.069E-2</v>
      </c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2.97310390078249</v>
      </c>
      <c r="I100" s="65">
        <f t="shared" si="18"/>
        <v>0.10123833</v>
      </c>
      <c r="J100" s="65">
        <f t="shared" si="19"/>
        <v>0.10123833</v>
      </c>
      <c r="K100" s="85">
        <v>101238330</v>
      </c>
      <c r="L100" s="65">
        <f t="shared" si="20"/>
        <v>0.10123833</v>
      </c>
      <c r="M100" s="65">
        <f t="shared" si="21"/>
        <v>2.79148582773939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>
        <v>8.9654999999999999E-2</v>
      </c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3.1663705782219</v>
      </c>
      <c r="I101" s="65">
        <f t="shared" si="18"/>
        <v>0.097952574</v>
      </c>
      <c r="J101" s="65">
        <f t="shared" si="19"/>
        <v>0.097952574</v>
      </c>
      <c r="K101" s="85">
        <v>97952574</v>
      </c>
      <c r="L101" s="65">
        <f t="shared" si="20"/>
        <v>0.097952574</v>
      </c>
      <c r="M101" s="65">
        <f t="shared" si="21"/>
        <v>3.18612553894905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>
        <v>3.4483E-2</v>
      </c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0.99113742073617</v>
      </c>
      <c r="I102" s="65">
        <f t="shared" si="18"/>
        <v>0.031556333</v>
      </c>
      <c r="J102" s="65">
        <f t="shared" si="19"/>
        <v>0.031556333</v>
      </c>
      <c r="K102" s="85">
        <v>31556333</v>
      </c>
      <c r="L102" s="65">
        <f t="shared" si="20"/>
        <v>0.031556333</v>
      </c>
      <c r="M102" s="65">
        <f t="shared" si="21"/>
        <v>1.18265974363035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>
        <v>6.2068999999999999E-2</v>
      </c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2.15512382292173</v>
      </c>
      <c r="I103" s="65">
        <f t="shared" si="18"/>
        <v>0.060927043</v>
      </c>
      <c r="J103" s="65">
        <f t="shared" si="19"/>
        <v>0.060927043</v>
      </c>
      <c r="K103" s="85">
        <v>60927043</v>
      </c>
      <c r="L103" s="65">
        <f t="shared" si="20"/>
        <v>0.060927043</v>
      </c>
      <c r="M103" s="65">
        <f t="shared" si="21"/>
        <v>2.58455728214976</v>
      </c>
      <c r="N103" s="86"/>
      <c r="O103" s="40">
        <v>40</v>
      </c>
      <c r="P103" s="40">
        <v>45</v>
      </c>
      <c r="Q103" s="65">
        <f t="shared" si="22"/>
        <v>2.7160212E-2</v>
      </c>
      <c r="R103" s="65">
        <v>5.5171999999999999E-2</v>
      </c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5.74995142744779</v>
      </c>
      <c r="I104" s="65">
        <f t="shared" si="18"/>
        <v>0.146715556</v>
      </c>
      <c r="J104" s="65">
        <f t="shared" si="19"/>
        <v>0.146715556</v>
      </c>
      <c r="K104" s="85">
        <v>146715556</v>
      </c>
      <c r="L104" s="65">
        <f t="shared" si="20"/>
        <v>0.146715556</v>
      </c>
      <c r="M104" s="65">
        <f t="shared" si="21"/>
        <v>6.96724909721203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>
        <v>4.8275999999999999E-2</v>
      </c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1.43576131032478</v>
      </c>
      <c r="I105" s="65">
        <f t="shared" si="18"/>
        <v>0.073269669</v>
      </c>
      <c r="J105" s="65">
        <f t="shared" si="19"/>
        <v>0.073269669</v>
      </c>
      <c r="K105" s="85">
        <v>73269669</v>
      </c>
      <c r="L105" s="65">
        <f t="shared" si="20"/>
        <v>0.073269669</v>
      </c>
      <c r="M105" s="65">
        <f t="shared" si="21"/>
        <v>4.02051422735814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>
        <v>4.8275999999999999E-2</v>
      </c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3.1517787050997</v>
      </c>
      <c r="I106" s="65">
        <f t="shared" si="18"/>
        <v>0.144187862</v>
      </c>
      <c r="J106" s="65">
        <f t="shared" si="19"/>
        <v>0.144187862</v>
      </c>
      <c r="K106" s="85">
        <v>144187862</v>
      </c>
      <c r="L106" s="65">
        <f t="shared" si="20"/>
        <v>0.144187862</v>
      </c>
      <c r="M106" s="65">
        <f t="shared" si="21"/>
        <v>9.36208371866604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>
        <v>6.8966E-2</v>
      </c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3.47890463076412</v>
      </c>
      <c r="I107" s="65">
        <f t="shared" si="18"/>
        <v>0.14187106</v>
      </c>
      <c r="J107" s="65">
        <f t="shared" si="19"/>
        <v>0.14187106</v>
      </c>
      <c r="K107" s="85">
        <v>141871060</v>
      </c>
      <c r="L107" s="65">
        <f t="shared" si="20"/>
        <v>0.14187106</v>
      </c>
      <c r="M107" s="65">
        <f t="shared" si="21"/>
        <v>10.6173991775116</v>
      </c>
      <c r="N107" s="86"/>
      <c r="O107" s="40">
        <v>70</v>
      </c>
      <c r="P107" s="40">
        <v>80</v>
      </c>
      <c r="Q107" s="65">
        <f t="shared" si="22"/>
        <v>5.4075616E-2</v>
      </c>
      <c r="R107" s="65">
        <v>3.4483E-2</v>
      </c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2.99904478521236</v>
      </c>
      <c r="I108" s="65">
        <f t="shared" si="18"/>
        <v>0.10523677</v>
      </c>
      <c r="J108" s="65">
        <f t="shared" si="19"/>
        <v>0.10523677</v>
      </c>
      <c r="K108" s="85">
        <v>105236770</v>
      </c>
      <c r="L108" s="65">
        <f t="shared" si="20"/>
        <v>0.10523677</v>
      </c>
      <c r="M108" s="65">
        <f t="shared" si="21"/>
        <v>8.94615479292407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>
        <v>6.8966E-2</v>
      </c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0.558019445991989</v>
      </c>
      <c r="I109" s="47">
        <f t="shared" si="18"/>
        <v>0.018875336</v>
      </c>
      <c r="J109" s="47">
        <f t="shared" si="19"/>
        <v>0.018875336</v>
      </c>
      <c r="K109" s="85">
        <v>18875336</v>
      </c>
      <c r="L109" s="65">
        <f t="shared" si="20"/>
        <v>0.018875336</v>
      </c>
      <c r="M109" s="65">
        <f t="shared" si="21"/>
        <v>1.79001943090521</v>
      </c>
      <c r="N109" s="86"/>
      <c r="O109" s="40">
        <v>90</v>
      </c>
      <c r="P109" s="40">
        <v>100</v>
      </c>
      <c r="Q109" s="65">
        <f t="shared" si="22"/>
        <v>1.3473977E-2</v>
      </c>
      <c r="R109" s="65">
        <v>2.7585999999999999E-2</v>
      </c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1.38465031576991</v>
      </c>
      <c r="I110" s="47">
        <f t="shared" si="18"/>
        <v>0.077727514</v>
      </c>
      <c r="J110" s="47">
        <f t="shared" si="19"/>
        <v>0.077727514</v>
      </c>
      <c r="K110" s="85">
        <v>77727514</v>
      </c>
      <c r="L110" s="65">
        <f t="shared" si="20"/>
        <v>0.077727514</v>
      </c>
      <c r="M110" s="65">
        <f t="shared" si="21"/>
        <v>8.54183482291714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>
        <v>6.8966E-2</v>
      </c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>
        <v>2.7585999999999999E-2</v>
      </c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>
        <v>4.8275999999999999E-2</v>
      </c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>
        <v>2.7585999999999999E-2</v>
      </c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>
        <v>3.4483E-2</v>
      </c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</v>
      </c>
      <c r="I115" s="47">
        <f t="shared" si="18"/>
        <v>0</v>
      </c>
      <c r="J115" s="47">
        <f t="shared" si="19"/>
        <v>0</v>
      </c>
      <c r="K115" s="85">
        <v>0</v>
      </c>
      <c r="L115" s="65">
        <f t="shared" si="20"/>
        <v>0</v>
      </c>
      <c r="M115" s="65">
        <f t="shared" si="21"/>
        <v>0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>
        <v>1.3793E-2</v>
      </c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>
        <v>1.3793E-2</v>
      </c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>
        <v>6.8970000000000004E-3</v>
      </c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>
        <v>6.8970000000000004E-3</v>
      </c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>
        <v>0</v>
      </c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>
        <v>0</v>
      </c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>
        <v>0</v>
      </c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>
        <v>0</v>
      </c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>
        <v>6.8970000000000004E-3</v>
      </c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>
        <v>0</v>
      </c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>
        <v>0</v>
      </c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>
        <v>0</v>
      </c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>
        <v>0</v>
      </c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>
        <v>0</v>
      </c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>
        <v>6.8970000000000004E-3</v>
      </c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>
        <v>0</v>
      </c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>
        <v>0</v>
      </c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>
        <v>0</v>
      </c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>
        <v>0</v>
      </c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>
        <v>0</v>
      </c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>
        <v>0</v>
      </c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>
        <v>0</v>
      </c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>
        <v>0</v>
      </c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>
        <v>0</v>
      </c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>
        <v>0</v>
      </c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>
        <v>0</v>
      </c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>
        <v>0</v>
      </c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>
        <v>0</v>
      </c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>
        <v>0</v>
      </c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>
        <v>0</v>
      </c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>
        <v>0</v>
      </c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>
        <v>0</v>
      </c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>
        <v>0</v>
      </c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>
        <v>0</v>
      </c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>
        <v>0</v>
      </c>
      <c r="T149" s="65"/>
      <c r="U149" s="45">
        <f t="shared" si="31"/>
        <v>0</v>
      </c>
    </row>
    <row r="150" spans="1:21" x14ac:dyDescent="0.3">
      <c r="F150" s="3"/>
      <c r="K150">
        <f>SUM(K86:K149)</f>
        <v>1000000000</v>
      </c>
      <c r="M150">
        <f>SUM(M86:M149)</f>
        <v>59.9999929462935</v>
      </c>
      <c r="N150" s="3"/>
      <c r="O150" s="3"/>
      <c r="P150" s="3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92</v>
      </c>
      <c r="C2" s="95">
        <v>10000000000</v>
      </c>
    </row>
    <row r="4" spans="1:3" x14ac:dyDescent="0.3">
      <c r="B4" s="10" t="s">
        <v>7</v>
      </c>
      <c r="C4" s="10" t="s">
        <v>123</v>
      </c>
    </row>
    <row r="5" spans="1:3" x14ac:dyDescent="0.3">
      <c r="A5" s="18"/>
      <c r="B5" s="12" t="s">
        <v>124</v>
      </c>
      <c r="C5" s="66">
        <v>3615908800</v>
      </c>
    </row>
    <row r="6" spans="1:3" x14ac:dyDescent="0.3">
      <c r="A6" s="18"/>
      <c r="B6" s="12" t="s">
        <v>125</v>
      </c>
      <c r="C6" s="66">
        <v>3617019900</v>
      </c>
    </row>
    <row r="7" spans="1:3" x14ac:dyDescent="0.3">
      <c r="A7" s="18"/>
      <c r="B7" s="12" t="s">
        <v>126</v>
      </c>
      <c r="C7" s="66">
        <v>38131173000</v>
      </c>
    </row>
    <row r="8" spans="1:3" x14ac:dyDescent="0.3">
      <c r="B8" s="12" t="s">
        <v>127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2026-09-02T02:25:33Z</dcterms:modified>
</cp:coreProperties>
</file>