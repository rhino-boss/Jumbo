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3.0.0.5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>
        <v>676050363</v>
      </c>
      <c r="C4" s="10">
        <v>0</v>
      </c>
      <c r="D4" s="10">
        <v>676050363</v>
      </c>
      <c r="E4" s="10">
        <v>0</v>
      </c>
      <c r="F4" s="10">
        <v>0</v>
      </c>
      <c r="G4" s="10" t="n">
        <v>0</v>
      </c>
    </row>
    <row r="5">
      <c r="A5" s="13" t="inlineStr">
        <is>
          <t>(0, 1]</t>
        </is>
      </c>
      <c r="B5" s="10">
        <v>173598347</v>
      </c>
      <c r="C5" s="10">
        <v>0</v>
      </c>
      <c r="D5" s="10">
        <v>173598347</v>
      </c>
      <c r="E5" s="10">
        <v>0</v>
      </c>
      <c r="F5" s="10">
        <v>0</v>
      </c>
      <c r="G5" s="10" t="n">
        <v>0</v>
      </c>
    </row>
    <row r="6">
      <c r="A6" s="13" t="inlineStr">
        <is>
          <t>(1, 2]</t>
        </is>
      </c>
      <c r="B6" s="10">
        <v>60225774</v>
      </c>
      <c r="C6" s="10">
        <v>0</v>
      </c>
      <c r="D6" s="10">
        <v>60225774</v>
      </c>
      <c r="E6" s="10">
        <v>0</v>
      </c>
      <c r="F6" s="10">
        <v>0</v>
      </c>
      <c r="G6" s="10" t="n">
        <v>0</v>
      </c>
    </row>
    <row r="7">
      <c r="A7" s="13" t="inlineStr">
        <is>
          <t>(2, 3]</t>
        </is>
      </c>
      <c r="B7" s="10">
        <v>26162370</v>
      </c>
      <c r="C7" s="10">
        <v>0</v>
      </c>
      <c r="D7" s="10">
        <v>26162370</v>
      </c>
      <c r="E7" s="10">
        <v>0</v>
      </c>
      <c r="F7" s="10">
        <v>0</v>
      </c>
      <c r="G7" s="10" t="n">
        <v>0</v>
      </c>
    </row>
    <row r="8">
      <c r="A8" s="13" t="inlineStr">
        <is>
          <t>(3, 4]</t>
        </is>
      </c>
      <c r="B8" s="10">
        <v>17944906</v>
      </c>
      <c r="C8" s="10">
        <v>0</v>
      </c>
      <c r="D8" s="10">
        <v>17944906</v>
      </c>
      <c r="E8" s="10">
        <v>0</v>
      </c>
      <c r="F8" s="10">
        <v>0</v>
      </c>
      <c r="G8" s="10" t="n">
        <v>0</v>
      </c>
    </row>
    <row r="9">
      <c r="A9" s="13" t="inlineStr">
        <is>
          <t>(4, 5]</t>
        </is>
      </c>
      <c r="B9" s="10">
        <v>10096690</v>
      </c>
      <c r="C9" s="10">
        <v>0</v>
      </c>
      <c r="D9" s="10">
        <v>10096690</v>
      </c>
      <c r="E9" s="10">
        <v>0</v>
      </c>
      <c r="F9" s="10">
        <v>0</v>
      </c>
      <c r="G9" s="10" t="n">
        <v>0</v>
      </c>
    </row>
    <row r="10">
      <c r="A10" s="13" t="inlineStr">
        <is>
          <t>(5, 6]</t>
        </is>
      </c>
      <c r="B10" s="10">
        <v>4908945</v>
      </c>
      <c r="C10" s="10">
        <v>0</v>
      </c>
      <c r="D10" s="10">
        <v>4908945</v>
      </c>
      <c r="E10" s="10">
        <v>0</v>
      </c>
      <c r="F10" s="10">
        <v>0</v>
      </c>
      <c r="G10" s="10" t="n">
        <v>0</v>
      </c>
    </row>
    <row r="11">
      <c r="A11" s="13" t="inlineStr">
        <is>
          <t>(6, 7]</t>
        </is>
      </c>
      <c r="B11" s="10">
        <v>4380743</v>
      </c>
      <c r="C11" s="10">
        <v>0</v>
      </c>
      <c r="D11" s="10">
        <v>4380743</v>
      </c>
      <c r="E11" s="10">
        <v>0</v>
      </c>
      <c r="F11" s="10">
        <v>0</v>
      </c>
      <c r="G11" s="10" t="n">
        <v>0</v>
      </c>
    </row>
    <row r="12">
      <c r="A12" s="13" t="inlineStr">
        <is>
          <t>(7, 8]</t>
        </is>
      </c>
      <c r="B12" s="10">
        <v>3278096</v>
      </c>
      <c r="C12" s="10">
        <v>0</v>
      </c>
      <c r="D12" s="10">
        <v>3278096</v>
      </c>
      <c r="E12" s="10">
        <v>0</v>
      </c>
      <c r="F12" s="10">
        <v>0</v>
      </c>
      <c r="G12" s="10" t="n">
        <v>0</v>
      </c>
    </row>
    <row r="13">
      <c r="A13" s="13" t="inlineStr">
        <is>
          <t>(8, 9]</t>
        </is>
      </c>
      <c r="B13" s="10">
        <v>2691069</v>
      </c>
      <c r="C13" s="10">
        <v>0</v>
      </c>
      <c r="D13" s="10">
        <v>2691069</v>
      </c>
      <c r="E13" s="10">
        <v>0</v>
      </c>
      <c r="F13" s="10">
        <v>0</v>
      </c>
      <c r="G13" s="10" t="n">
        <v>82640010</v>
      </c>
    </row>
    <row r="14">
      <c r="A14" s="13" t="inlineStr">
        <is>
          <t>(9, 10]</t>
        </is>
      </c>
      <c r="B14" s="10">
        <v>3673493</v>
      </c>
      <c r="C14" s="10">
        <v>0</v>
      </c>
      <c r="D14" s="10">
        <v>3673493</v>
      </c>
      <c r="E14" s="10">
        <v>0</v>
      </c>
      <c r="F14" s="10">
        <v>0</v>
      </c>
      <c r="G14" s="10" t="n">
        <v>0</v>
      </c>
    </row>
    <row r="15">
      <c r="A15" s="13" t="inlineStr">
        <is>
          <t>(10, 15]</t>
        </is>
      </c>
      <c r="B15" s="10">
        <v>11221093</v>
      </c>
      <c r="C15" s="10">
        <v>0</v>
      </c>
      <c r="D15" s="10">
        <v>11221093</v>
      </c>
      <c r="E15" s="10">
        <v>0</v>
      </c>
      <c r="F15" s="10">
        <v>0</v>
      </c>
      <c r="G15" s="10" t="n">
        <v>39166084</v>
      </c>
    </row>
    <row r="16">
      <c r="A16" s="13" t="inlineStr">
        <is>
          <t>(15, 20]</t>
        </is>
      </c>
      <c r="B16" s="10">
        <v>5768111</v>
      </c>
      <c r="C16" s="10">
        <v>0</v>
      </c>
      <c r="D16" s="10">
        <v>5768111</v>
      </c>
      <c r="E16" s="10">
        <v>0</v>
      </c>
      <c r="F16" s="10">
        <v>0</v>
      </c>
      <c r="G16" s="10" t="n">
        <v>66829347</v>
      </c>
    </row>
    <row r="17">
      <c r="A17" s="13" t="inlineStr">
        <is>
          <t>(20, 25]</t>
        </is>
      </c>
      <c r="B17" s="10">
        <v>0</v>
      </c>
      <c r="C17" s="10">
        <v>441953</v>
      </c>
      <c r="D17" s="10">
        <v>0</v>
      </c>
      <c r="E17" s="10">
        <v>2559776</v>
      </c>
      <c r="F17" s="10">
        <v>47867530</v>
      </c>
      <c r="G17" s="10" t="n">
        <v>35215592</v>
      </c>
    </row>
    <row r="18">
      <c r="A18" s="13" t="inlineStr">
        <is>
          <t>(25, 30]</t>
        </is>
      </c>
      <c r="B18" s="10">
        <v>0</v>
      </c>
      <c r="C18" s="10">
        <v>101238330</v>
      </c>
      <c r="D18" s="10">
        <v>0</v>
      </c>
      <c r="E18" s="10">
        <v>118180899</v>
      </c>
      <c r="F18" s="10">
        <v>52954510</v>
      </c>
      <c r="G18" s="10" t="n">
        <v>39180109</v>
      </c>
    </row>
    <row r="19">
      <c r="A19" s="13" t="inlineStr">
        <is>
          <t>(30, 35]</t>
        </is>
      </c>
      <c r="B19" s="10">
        <v>0</v>
      </c>
      <c r="C19" s="10">
        <v>97952574</v>
      </c>
      <c r="D19" s="10">
        <v>0</v>
      </c>
      <c r="E19" s="10">
        <v>112241621</v>
      </c>
      <c r="F19" s="10">
        <v>100173387</v>
      </c>
      <c r="G19" s="10" t="n">
        <v>74753030</v>
      </c>
    </row>
    <row r="20">
      <c r="A20" s="13" t="inlineStr">
        <is>
          <t>(35, 40]</t>
        </is>
      </c>
      <c r="B20" s="10">
        <v>0</v>
      </c>
      <c r="C20" s="10">
        <v>31556333</v>
      </c>
      <c r="D20" s="10">
        <v>0</v>
      </c>
      <c r="E20" s="10">
        <v>35435444</v>
      </c>
      <c r="F20" s="10">
        <v>57740323</v>
      </c>
      <c r="G20" s="10" t="n">
        <v>43139322</v>
      </c>
    </row>
    <row r="21">
      <c r="A21" s="13" t="inlineStr">
        <is>
          <t>(40, 45]</t>
        </is>
      </c>
      <c r="B21" s="10">
        <v>0</v>
      </c>
      <c r="C21" s="10">
        <v>60927043</v>
      </c>
      <c r="D21" s="10">
        <v>0</v>
      </c>
      <c r="E21" s="10">
        <v>66920198</v>
      </c>
      <c r="F21" s="10">
        <v>52259549</v>
      </c>
      <c r="G21" s="10" t="n">
        <v>39194222</v>
      </c>
    </row>
    <row r="22">
      <c r="A22" s="13" t="inlineStr">
        <is>
          <t>(45, 50]</t>
        </is>
      </c>
      <c r="B22" s="10">
        <v>0</v>
      </c>
      <c r="C22" s="10">
        <v>146715556</v>
      </c>
      <c r="D22" s="10">
        <v>0</v>
      </c>
      <c r="E22" s="10">
        <v>150000000</v>
      </c>
      <c r="F22" s="10">
        <v>57230694</v>
      </c>
      <c r="G22" s="10" t="n">
        <v>43148730</v>
      </c>
    </row>
    <row r="23">
      <c r="A23" s="13" t="inlineStr">
        <is>
          <t>(50, 60]</t>
        </is>
      </c>
      <c r="B23" s="10">
        <v>0</v>
      </c>
      <c r="C23" s="10">
        <v>73269669</v>
      </c>
      <c r="D23" s="10">
        <v>0</v>
      </c>
      <c r="E23" s="10">
        <v>77279040</v>
      </c>
      <c r="F23" s="10">
        <v>139546072</v>
      </c>
      <c r="G23" s="10" t="n">
        <v>106392652</v>
      </c>
    </row>
    <row r="24">
      <c r="A24" s="13" t="inlineStr">
        <is>
          <t>(60, 70]</t>
        </is>
      </c>
      <c r="B24" s="10">
        <v>0</v>
      </c>
      <c r="C24" s="10">
        <v>144187862</v>
      </c>
      <c r="D24" s="10">
        <v>0</v>
      </c>
      <c r="E24" s="10">
        <v>145926723</v>
      </c>
      <c r="F24" s="10">
        <v>56342352</v>
      </c>
      <c r="G24" s="10" t="n">
        <v>43165233</v>
      </c>
    </row>
    <row r="25">
      <c r="A25" s="13" t="inlineStr">
        <is>
          <t>(70, 80]</t>
        </is>
      </c>
      <c r="B25" s="10">
        <v>0</v>
      </c>
      <c r="C25" s="10">
        <v>141871060</v>
      </c>
      <c r="D25" s="10">
        <v>0</v>
      </c>
      <c r="E25" s="10">
        <v>137422683</v>
      </c>
      <c r="F25" s="10">
        <v>50756928</v>
      </c>
      <c r="G25" s="10" t="n">
        <v>39224852</v>
      </c>
    </row>
    <row r="26">
      <c r="A26" s="13" t="inlineStr">
        <is>
          <t>(80, 90]</t>
        </is>
      </c>
      <c r="B26" s="10">
        <v>0</v>
      </c>
      <c r="C26" s="10">
        <v>105236770</v>
      </c>
      <c r="D26" s="10">
        <v>0</v>
      </c>
      <c r="E26" s="10">
        <v>82198286</v>
      </c>
      <c r="F26" s="10">
        <v>45264374</v>
      </c>
      <c r="G26" s="10" t="n">
        <v>35274475</v>
      </c>
    </row>
    <row r="27">
      <c r="A27" s="13" t="inlineStr">
        <is>
          <t>(90, 100]</t>
        </is>
      </c>
      <c r="B27" s="10">
        <v>0</v>
      </c>
      <c r="C27" s="10">
        <v>18875336</v>
      </c>
      <c r="D27" s="10">
        <v>0</v>
      </c>
      <c r="E27" s="10">
        <v>12513569</v>
      </c>
      <c r="F27" s="10">
        <v>39864281</v>
      </c>
      <c r="G27" s="10" t="n">
        <v>31334063</v>
      </c>
    </row>
    <row r="28">
      <c r="A28" s="13" t="inlineStr">
        <is>
          <t>(100, 120]</t>
        </is>
      </c>
      <c r="B28" s="10">
        <v>0</v>
      </c>
      <c r="C28" s="10">
        <v>77727514</v>
      </c>
      <c r="D28" s="10">
        <v>0</v>
      </c>
      <c r="E28" s="10">
        <v>32473155</v>
      </c>
      <c r="F28" s="10">
        <v>53755458</v>
      </c>
      <c r="G28" s="10" t="n">
        <v>43207567</v>
      </c>
    </row>
    <row r="29">
      <c r="A29" s="13" t="inlineStr">
        <is>
          <t>(120, 140]</t>
        </is>
      </c>
      <c r="B29" s="10">
        <v>0</v>
      </c>
      <c r="C29" s="10">
        <v>0</v>
      </c>
      <c r="D29" s="10">
        <v>0</v>
      </c>
      <c r="E29" s="10">
        <v>0</v>
      </c>
      <c r="F29" s="10">
        <v>76706833</v>
      </c>
      <c r="G29" s="10" t="n">
        <v>62985397</v>
      </c>
    </row>
    <row r="30">
      <c r="A30" s="13" t="inlineStr">
        <is>
          <t>(140, 160]</t>
        </is>
      </c>
      <c r="B30" s="10">
        <v>0</v>
      </c>
      <c r="C30" s="10">
        <v>0</v>
      </c>
      <c r="D30" s="10">
        <v>0</v>
      </c>
      <c r="E30" s="10">
        <v>0</v>
      </c>
      <c r="F30" s="10">
        <v>30775419</v>
      </c>
      <c r="G30" s="10" t="n">
        <v>27436018</v>
      </c>
    </row>
    <row r="31">
      <c r="A31" s="13" t="inlineStr">
        <is>
          <t>(160, 180]</t>
        </is>
      </c>
      <c r="B31" s="10">
        <v>0</v>
      </c>
      <c r="C31" s="10">
        <v>0</v>
      </c>
      <c r="D31" s="10">
        <v>0</v>
      </c>
      <c r="E31" s="10">
        <v>0</v>
      </c>
      <c r="F31" s="10">
        <v>23993011</v>
      </c>
      <c r="G31" s="10" t="n">
        <v>23505019</v>
      </c>
    </row>
    <row r="32">
      <c r="A32" s="13" t="inlineStr">
        <is>
          <t>(180, 200]</t>
        </is>
      </c>
      <c r="B32" s="10">
        <v>0</v>
      </c>
      <c r="C32" s="10">
        <v>0</v>
      </c>
      <c r="D32" s="10">
        <v>0</v>
      </c>
      <c r="E32" s="10">
        <v>0</v>
      </c>
      <c r="F32" s="10">
        <v>23437046</v>
      </c>
      <c r="G32" s="10" t="n">
        <v>23523917</v>
      </c>
    </row>
    <row r="33">
      <c r="A33" s="13" t="inlineStr">
        <is>
          <t>(200, 250]</t>
        </is>
      </c>
      <c r="B33" s="10">
        <v>0</v>
      </c>
      <c r="C33" s="10">
        <v>0</v>
      </c>
      <c r="D33" s="10">
        <v>0</v>
      </c>
      <c r="E33" s="10">
        <v>26848606</v>
      </c>
      <c r="F33" s="10">
        <v>41248947</v>
      </c>
      <c r="G33" s="10" t="n">
        <v>43314870</v>
      </c>
    </row>
    <row r="34">
      <c r="A34" s="13" t="inlineStr">
        <is>
          <t>(250, 300]</t>
        </is>
      </c>
      <c r="B34" s="10">
        <v>0</v>
      </c>
      <c r="C34" s="10">
        <v>0</v>
      </c>
      <c r="D34" s="10">
        <v>0</v>
      </c>
      <c r="E34" s="10">
        <v>0</v>
      </c>
      <c r="F34" s="10">
        <v>10553286</v>
      </c>
      <c r="G34" s="10" t="n">
        <v>11743534</v>
      </c>
    </row>
    <row r="35">
      <c r="A35" s="13" t="inlineStr">
        <is>
          <t>(300, 350]</t>
        </is>
      </c>
      <c r="B35" s="10">
        <v>0</v>
      </c>
      <c r="C35" s="10">
        <v>0</v>
      </c>
      <c r="D35" s="10">
        <v>0</v>
      </c>
      <c r="E35" s="10">
        <v>0</v>
      </c>
      <c r="F35" s="10">
        <v>4509662</v>
      </c>
      <c r="G35" s="10" t="n">
        <v>3881165</v>
      </c>
    </row>
    <row r="36">
      <c r="A36" s="13" t="inlineStr">
        <is>
          <t>(350, 400]</t>
        </is>
      </c>
      <c r="B36" s="10">
        <v>0</v>
      </c>
      <c r="C36" s="10">
        <v>0</v>
      </c>
      <c r="D36" s="10">
        <v>0</v>
      </c>
      <c r="E36" s="10">
        <v>0</v>
      </c>
      <c r="F36" s="10">
        <v>8555506</v>
      </c>
      <c r="G36" s="10" t="n">
        <v>7888147</v>
      </c>
    </row>
    <row r="37">
      <c r="A37" s="13" t="inlineStr">
        <is>
          <t>(400, 450]</t>
        </is>
      </c>
      <c r="B37" s="10">
        <v>0</v>
      </c>
      <c r="C37" s="10">
        <v>0</v>
      </c>
      <c r="D37" s="10">
        <v>0</v>
      </c>
      <c r="E37" s="10">
        <v>0</v>
      </c>
      <c r="F37" s="10">
        <v>12137132</v>
      </c>
      <c r="G37" s="10" t="n">
        <v>11885219</v>
      </c>
    </row>
    <row r="38">
      <c r="A38" s="13" t="inlineStr">
        <is>
          <t>(450, 500]</t>
        </is>
      </c>
      <c r="B38" s="10">
        <v>0</v>
      </c>
      <c r="C38" s="10">
        <v>0</v>
      </c>
      <c r="D38" s="10">
        <v>0</v>
      </c>
      <c r="E38" s="10">
        <v>0</v>
      </c>
      <c r="F38" s="10">
        <v>7627795</v>
      </c>
      <c r="G38" s="10" t="n">
        <v>7982442</v>
      </c>
    </row>
    <row r="39">
      <c r="A39" s="13" t="inlineStr">
        <is>
          <t>(500, 550]</t>
        </is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 t="n">
        <v>120020</v>
      </c>
    </row>
    <row r="40">
      <c r="A40" s="13" t="inlineStr">
        <is>
          <t>(550, 600]</t>
        </is>
      </c>
      <c r="B40" s="10">
        <v>0</v>
      </c>
      <c r="C40" s="10">
        <v>0</v>
      </c>
      <c r="D40" s="10">
        <v>0</v>
      </c>
      <c r="E40" s="10">
        <v>0</v>
      </c>
      <c r="F40" s="10">
        <v>6699905</v>
      </c>
      <c r="G40" s="10" t="n">
        <v>8076939</v>
      </c>
    </row>
    <row r="41">
      <c r="A41" s="13" t="inlineStr">
        <is>
          <t>(600, 650]</t>
        </is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 t="n">
        <v>214573</v>
      </c>
    </row>
    <row r="42">
      <c r="A42" s="13" t="inlineStr">
        <is>
          <t>(650, 700]</t>
        </is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 t="n">
        <v>261592</v>
      </c>
    </row>
    <row r="43">
      <c r="A43" s="13" t="inlineStr">
        <is>
          <t>(700, 750]</t>
        </is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 t="n">
        <v>308790</v>
      </c>
    </row>
    <row r="44">
      <c r="A44" s="13" t="inlineStr">
        <is>
          <t>(750, 800]</t>
        </is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 t="n">
        <v>356230</v>
      </c>
    </row>
    <row r="45">
      <c r="A45" s="13" t="inlineStr">
        <is>
          <t>(800, 850]</t>
        </is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 t="n">
        <v>403378</v>
      </c>
    </row>
    <row r="46">
      <c r="A46" s="13" t="inlineStr">
        <is>
          <t>(850, 900]</t>
        </is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 t="n">
        <v>450666</v>
      </c>
    </row>
    <row r="47">
      <c r="A47" s="13" t="inlineStr">
        <is>
          <t>(900, 950]</t>
        </is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 t="n">
        <v>497440</v>
      </c>
    </row>
    <row r="48">
      <c r="A48" s="13" t="inlineStr">
        <is>
          <t>(950, 1000]</t>
        </is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 t="n">
        <v>544310</v>
      </c>
    </row>
    <row r="49">
      <c r="A49" s="13" t="inlineStr">
        <is>
          <t>(1000, 2000]</t>
        </is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 t="n">
        <v>845257</v>
      </c>
    </row>
    <row r="50">
      <c r="A50" s="13" t="inlineStr">
        <is>
          <t>(2000, 3000]</t>
        </is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 t="n">
        <v>1909789</v>
      </c>
    </row>
    <row r="51">
      <c r="A51" s="13" t="inlineStr">
        <is>
          <t>(3000, 4000]</t>
        </is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 t="n">
        <v>0</v>
      </c>
    </row>
    <row r="52">
      <c r="A52" s="13" t="inlineStr">
        <is>
          <t>(4000, 5000]</t>
        </is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 t="n">
        <v>0</v>
      </c>
    </row>
    <row r="53">
      <c r="A53" s="13" t="inlineStr">
        <is>
          <t>(5000, 6000]</t>
        </is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 t="n">
        <v>0</v>
      </c>
    </row>
    <row r="54">
      <c r="A54" s="13" t="inlineStr">
        <is>
          <t>(6000, 7000]</t>
        </is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 t="n">
        <v>0</v>
      </c>
    </row>
    <row r="55">
      <c r="A55" s="13" t="inlineStr">
        <is>
          <t>(7000, 8000]</t>
        </is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 t="n">
        <v>0</v>
      </c>
    </row>
    <row r="56">
      <c r="A56" s="13" t="inlineStr">
        <is>
          <t>(8000, 9000]</t>
        </is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 t="n">
        <v>0</v>
      </c>
    </row>
    <row r="57">
      <c r="A57" s="13" t="inlineStr">
        <is>
          <t>(9000, 10000]</t>
        </is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 t="n">
        <v>0</v>
      </c>
    </row>
    <row r="58">
      <c r="A58" s="13" t="inlineStr">
        <is>
          <t>(10000, 20000]</t>
        </is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 t="n">
        <v>0</v>
      </c>
    </row>
    <row r="59">
      <c r="A59" s="13" t="inlineStr">
        <is>
          <t>(20000, 30000]</t>
        </is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 t="n">
        <v>0</v>
      </c>
    </row>
    <row r="60">
      <c r="A60" s="13" t="inlineStr">
        <is>
          <t>(30000, 40000]</t>
        </is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 t="n">
        <v>0</v>
      </c>
    </row>
    <row r="61">
      <c r="A61" s="13" t="inlineStr">
        <is>
          <t>(40000, 50000]</t>
        </is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 t="n">
        <v>0</v>
      </c>
    </row>
    <row r="62">
      <c r="A62" s="13" t="inlineStr">
        <is>
          <t>(50000, 60000]</t>
        </is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 t="n">
        <v>0</v>
      </c>
    </row>
    <row r="63">
      <c r="A63" s="13" t="inlineStr">
        <is>
          <t>(60000, 70000]</t>
        </is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 t="n">
        <v>0</v>
      </c>
    </row>
    <row r="64">
      <c r="A64" s="13" t="inlineStr">
        <is>
          <t>(70000, 80000]</t>
        </is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 t="n">
        <v>0</v>
      </c>
    </row>
    <row r="65">
      <c r="A65" s="13" t="inlineStr">
        <is>
          <t>(80000, 90000]</t>
        </is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 t="n">
        <v>0</v>
      </c>
    </row>
    <row r="66">
      <c r="A66" s="13" t="inlineStr">
        <is>
          <t>(90000, 100000]</t>
        </is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 t="n">
        <v>0</v>
      </c>
    </row>
    <row r="67">
      <c r="A67" s="13" t="inlineStr">
        <is>
          <t>(100000, 9999999]</t>
        </is>
      </c>
      <c r="B67" s="10">
        <v>0</v>
      </c>
      <c r="C67" s="25">
        <v>0</v>
      </c>
      <c r="D67" s="24">
        <v>0</v>
      </c>
      <c r="E67" s="25">
        <v>0</v>
      </c>
      <c r="F67" s="11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SUM(M15:M79)</f>
        <v>0.740000000992208</v>
      </c>
      <c r="D7" s="118">
        <f>SUM(M86:M149)*F7</f>
        <v>0.199999999738222</v>
      </c>
      <c r="E7" s="119">
        <f>SUM(C7:D7)</f>
        <v>0.940000000730431</v>
      </c>
      <c r="F7" s="30">
        <v>0.00333333372535556</v>
      </c>
      <c r="G7" s="31">
        <f>1/F7</f>
        <v>299.999964718004</v>
      </c>
      <c r="H7" s="32">
        <f>D7*G7</f>
        <v>59.9999928650676</v>
      </c>
      <c r="I7" s="120">
        <f>IFERROR(LOOKUP(2,1/(K15:K78&lt;&gt;0),P15:P78),0)</f>
        <v>20</v>
      </c>
      <c r="J7" s="120">
        <f>IFERROR(LOOKUP(2,1/(K86:K149&lt;&gt;0),P86:P149),0)</f>
        <v>250</v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>
        <v>0</v>
      </c>
      <c r="D8" s="118">
        <f>SUM(M163:M226)/B8</f>
        <v>0.940000000360977</v>
      </c>
      <c r="E8" s="119">
        <f>SUM(C8:D8)</f>
        <v>0.940000000360977</v>
      </c>
      <c r="F8" s="33">
        <f>D156</f>
        <v>1</v>
      </c>
      <c r="G8" s="31">
        <f>1/F8</f>
        <v>1</v>
      </c>
      <c r="H8" s="32">
        <f>D8*G8*B8</f>
        <v>94.0000000360977</v>
      </c>
      <c r="I8" s="121" t="n"/>
      <c r="J8" s="121">
        <f>IFERROR(LOOKUP(2,1/(K163:K226&lt;&gt;0),P163:P226),0)</f>
        <v>600</v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>
        <v>10000000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>
        <v>7157620</v>
      </c>
      <c r="C15" s="125">
        <v>0</v>
      </c>
      <c r="D15" s="27">
        <f>IFERROR(B15/$B$13,0)</f>
        <v>0.715762</v>
      </c>
      <c r="E15" s="126">
        <f>IFERROR(C15/B15/500.0,0)</f>
        <v>0</v>
      </c>
      <c r="G15" s="13" t="inlineStr">
        <is>
          <t>(-1, 0]</t>
        </is>
      </c>
      <c r="H15" s="127">
        <v>0.944518377617141</v>
      </c>
      <c r="I15" s="99">
        <f>IFERROR(B15/$B$13,0)</f>
        <v>0.676050363</v>
      </c>
      <c r="J15" s="99">
        <f>IFERROR(K15/$B$2,0)</f>
        <v>0.676050363</v>
      </c>
      <c r="K15" s="128">
        <v>676050363</v>
      </c>
      <c r="L15" s="99">
        <f>IFERROR(K15/SUM($K$15:$K$79),0)</f>
        <v>0.673796861524973</v>
      </c>
      <c r="M15" s="99">
        <f>IFERROR(L15*E15,0)</f>
        <v>0</v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>
        <v>1667211</v>
      </c>
      <c r="C16" s="130">
        <v>416306550</v>
      </c>
      <c r="D16" s="99">
        <f>IFERROR(B16/$B$13,0)</f>
        <v>0.1667211</v>
      </c>
      <c r="E16" s="131">
        <f>IFERROR(C16/B16/500.0,0)</f>
        <v>0.499404754407211</v>
      </c>
      <c r="G16" s="13" t="inlineStr">
        <is>
          <t>(0, 1]</t>
        </is>
      </c>
      <c r="H16" s="127">
        <v>1.04125000974682</v>
      </c>
      <c r="I16" s="99">
        <f>IFERROR(B16/$B$13,0)</f>
        <v>0.173598347</v>
      </c>
      <c r="J16" s="99">
        <f>IFERROR(K16/$B$2,0)</f>
        <v>0.173598347</v>
      </c>
      <c r="K16" s="128">
        <v>173598347</v>
      </c>
      <c r="L16" s="99">
        <f>IFERROR(K16/SUM($K$15:$K$79),0)</f>
        <v>0.173019685775279</v>
      </c>
      <c r="M16" s="99">
        <f>IFERROR(L16*E16,0)</f>
        <v>0.0864068536822159</v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>
        <v>538090</v>
      </c>
      <c r="C17" s="130">
        <v>401573875</v>
      </c>
      <c r="D17" s="99">
        <f>IFERROR(B17/$B$13,0)</f>
        <v>0.053809</v>
      </c>
      <c r="E17" s="131">
        <f>IFERROR(C17/B17/500.0,0)</f>
        <v>1.49258999423888</v>
      </c>
      <c r="F17" s="50" t="n"/>
      <c r="G17" s="13" t="inlineStr">
        <is>
          <t>(1, 2]</t>
        </is>
      </c>
      <c r="H17" s="127">
        <v>1.11925094315077</v>
      </c>
      <c r="I17" s="99">
        <f>IFERROR(B17/$B$13,0)</f>
        <v>0.060225774</v>
      </c>
      <c r="J17" s="99">
        <f>IFERROR(K17/$B$2,0)</f>
        <v>0.060225774</v>
      </c>
      <c r="K17" s="128">
        <v>60225774</v>
      </c>
      <c r="L17" s="99">
        <f>IFERROR(K17/SUM($K$15:$K$79),0)</f>
        <v>0.0600250213963902</v>
      </c>
      <c r="M17" s="99">
        <f>IFERROR(L17*E17,0)</f>
        <v>0.0895927463402268</v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>
        <v>224385</v>
      </c>
      <c r="C18" s="130">
        <v>287523200</v>
      </c>
      <c r="D18" s="99">
        <f>IFERROR(B18/$B$13,0)</f>
        <v>0.0224385</v>
      </c>
      <c r="E18" s="131">
        <f>IFERROR(C18/B18/500.0,0)</f>
        <v>2.56276667335161</v>
      </c>
      <c r="F18" s="50" t="n"/>
      <c r="G18" s="13" t="inlineStr">
        <is>
          <t>(2, 3]</t>
        </is>
      </c>
      <c r="H18" s="127">
        <v>1.16595895447557</v>
      </c>
      <c r="I18" s="99">
        <f>IFERROR(B18/$B$13,0)</f>
        <v>0.02616237</v>
      </c>
      <c r="J18" s="99">
        <f>IFERROR(K18/$B$2,0)</f>
        <v>0.02616237</v>
      </c>
      <c r="K18" s="128">
        <v>26162370</v>
      </c>
      <c r="L18" s="99">
        <f>IFERROR(K18/SUM($K$15:$K$79),0)</f>
        <v>0.0260751620897438</v>
      </c>
      <c r="M18" s="99">
        <f>IFERROR(L18*E18,0)</f>
        <v>0.0668245564058365</v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>
        <v>132955</v>
      </c>
      <c r="C19" s="130">
        <v>232983725</v>
      </c>
      <c r="D19" s="99">
        <f>IFERROR(B19/$B$13,0)</f>
        <v>0.0132955</v>
      </c>
      <c r="E19" s="131">
        <f>IFERROR(C19/B19/500.0,0)</f>
        <v>3.50470046256252</v>
      </c>
      <c r="F19" s="132" t="n"/>
      <c r="G19" s="13" t="inlineStr">
        <is>
          <t>(3, 4]</t>
        </is>
      </c>
      <c r="H19" s="127">
        <v>1.34969771727276</v>
      </c>
      <c r="I19" s="99">
        <f>IFERROR(B19/$B$13,0)</f>
        <v>0.017944906</v>
      </c>
      <c r="J19" s="99">
        <f>IFERROR(K19/$B$2,0)</f>
        <v>0.017944906</v>
      </c>
      <c r="K19" s="128">
        <v>17944906</v>
      </c>
      <c r="L19" s="99">
        <f>IFERROR(K19/SUM($K$15:$K$79),0)</f>
        <v>0.0178850896396319</v>
      </c>
      <c r="M19" s="99">
        <f>IFERROR(L19*E19,0)</f>
        <v>0.06268188193299</v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>
        <v>69633</v>
      </c>
      <c r="C20" s="130">
        <v>158342550</v>
      </c>
      <c r="D20" s="99">
        <f>IFERROR(B20/$B$13,0)</f>
        <v>0.0069633</v>
      </c>
      <c r="E20" s="131">
        <f>IFERROR(C20/B20/500.0,0)</f>
        <v>4.54791693593555</v>
      </c>
      <c r="F20" s="132" t="n"/>
      <c r="G20" s="13" t="inlineStr">
        <is>
          <t>(4, 5]</t>
        </is>
      </c>
      <c r="H20" s="127">
        <v>1.44998635704336</v>
      </c>
      <c r="I20" s="99">
        <f>IFERROR(B20/$B$13,0)</f>
        <v>0.01009669</v>
      </c>
      <c r="J20" s="99">
        <f>IFERROR(K20/$B$2,0)</f>
        <v>0.01009669</v>
      </c>
      <c r="K20" s="128">
        <v>10096690</v>
      </c>
      <c r="L20" s="99">
        <f>IFERROR(K20/SUM($K$15:$K$79),0)</f>
        <v>0.0100630343627085</v>
      </c>
      <c r="M20" s="99">
        <f>IFERROR(L20*E20,0)</f>
        <v>0.0457658444050635</v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>
        <v>36941</v>
      </c>
      <c r="C21" s="130">
        <v>102200425</v>
      </c>
      <c r="D21" s="99">
        <f>IFERROR(B21/$B$13,0)</f>
        <v>0.0036941</v>
      </c>
      <c r="E21" s="131">
        <f>IFERROR(C21/B21/500.0,0)</f>
        <v>5.53317046100539</v>
      </c>
      <c r="F21" s="132" t="n"/>
      <c r="G21" s="13" t="inlineStr">
        <is>
          <t>(5, 6]</t>
        </is>
      </c>
      <c r="H21" s="127">
        <v>1.32886088627812</v>
      </c>
      <c r="I21" s="99">
        <f>IFERROR(B21/$B$13,0)</f>
        <v>0.004908945</v>
      </c>
      <c r="J21" s="99">
        <f>IFERROR(K21/$B$2,0)</f>
        <v>0.004908945</v>
      </c>
      <c r="K21" s="128">
        <v>4908945</v>
      </c>
      <c r="L21" s="99">
        <f>IFERROR(K21/SUM($K$15:$K$79),0)</f>
        <v>0.00489258184807558</v>
      </c>
      <c r="M21" s="99">
        <f>IFERROR(L21*E21,0)</f>
        <v>0.027071489359823</v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>
        <v>22473</v>
      </c>
      <c r="C22" s="130">
        <v>72923550</v>
      </c>
      <c r="D22" s="99">
        <f>IFERROR(B22/$B$13,0)</f>
        <v>0.0022473</v>
      </c>
      <c r="E22" s="131">
        <f>IFERROR(C22/B22/500.0,0)</f>
        <v>6.48988119076225</v>
      </c>
      <c r="F22" s="132" t="n"/>
      <c r="G22" s="13" t="inlineStr">
        <is>
          <t>(6, 7]</t>
        </is>
      </c>
      <c r="H22" s="127">
        <v>1.94933609219953</v>
      </c>
      <c r="I22" s="99">
        <f>IFERROR(B22/$B$13,0)</f>
        <v>0.004380743</v>
      </c>
      <c r="J22" s="99">
        <f>IFERROR(K22/$B$2,0)</f>
        <v>0.004380743</v>
      </c>
      <c r="K22" s="128">
        <v>4380743</v>
      </c>
      <c r="L22" s="99">
        <f>IFERROR(K22/SUM($K$15:$K$79),0)</f>
        <v>0.00436614052161598</v>
      </c>
      <c r="M22" s="99">
        <f>IFERROR(L22*E22,0)</f>
        <v>0.0283357332474605</v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>
        <v>17491</v>
      </c>
      <c r="C23" s="130">
        <v>66123350</v>
      </c>
      <c r="D23" s="99">
        <f>IFERROR(B23/$B$13,0)</f>
        <v>0.0017491</v>
      </c>
      <c r="E23" s="131">
        <f>IFERROR(C23/B23/500.0,0)</f>
        <v>7.56084271911269</v>
      </c>
      <c r="F23" s="132" t="n"/>
      <c r="G23" s="13" t="inlineStr">
        <is>
          <t>(7, 8]</t>
        </is>
      </c>
      <c r="H23" s="127">
        <v>1.87416156880681</v>
      </c>
      <c r="I23" s="99">
        <f>IFERROR(B23/$B$13,0)</f>
        <v>0.003278096</v>
      </c>
      <c r="J23" s="99">
        <f>IFERROR(K23/$B$2,0)</f>
        <v>0.003278096</v>
      </c>
      <c r="K23" s="128">
        <v>3278096</v>
      </c>
      <c r="L23" s="99">
        <f>IFERROR(K23/SUM($K$15:$K$79),0)</f>
        <v>0.00326716901204825</v>
      </c>
      <c r="M23" s="99">
        <f>IFERROR(L23*E23,0)</f>
        <v>0.0247025510368556</v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>
        <v>10394</v>
      </c>
      <c r="C24" s="130">
        <v>44647150</v>
      </c>
      <c r="D24" s="99">
        <f>IFERROR(B24/$B$13,0)</f>
        <v>0.0010394</v>
      </c>
      <c r="E24" s="131">
        <f>IFERROR(C24/B24/500.0,0)</f>
        <v>8.59094670001924</v>
      </c>
      <c r="F24" s="132" t="n"/>
      <c r="G24" s="13" t="inlineStr">
        <is>
          <t>(8, 9]</t>
        </is>
      </c>
      <c r="H24" s="127">
        <v>2.58906003463537</v>
      </c>
      <c r="I24" s="99">
        <f>IFERROR(B24/$B$13,0)</f>
        <v>0.002691069</v>
      </c>
      <c r="J24" s="99">
        <f>IFERROR(K24/$B$2,0)</f>
        <v>0.002691069</v>
      </c>
      <c r="K24" s="128">
        <v>2691069</v>
      </c>
      <c r="L24" s="99">
        <f>IFERROR(K24/SUM($K$15:$K$79),0)</f>
        <v>0.00268209876894504</v>
      </c>
      <c r="M24" s="99">
        <f>IFERROR(L24*E24,0)</f>
        <v>0.0230417675681941</v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>
        <v>14993</v>
      </c>
      <c r="C25" s="130">
        <v>73230375</v>
      </c>
      <c r="D25" s="99">
        <f>IFERROR(B25/$B$13,0)</f>
        <v>0.0014993</v>
      </c>
      <c r="E25" s="131">
        <f>IFERROR(C25/B25/500.0,0)</f>
        <v>9.76860868405256</v>
      </c>
      <c r="F25" s="132" t="n"/>
      <c r="G25" s="13" t="inlineStr">
        <is>
          <t>(9, 10]</t>
        </is>
      </c>
      <c r="H25" s="127">
        <v>2.45013873140799</v>
      </c>
      <c r="I25" s="99">
        <f>IFERROR(B25/$B$13,0)</f>
        <v>0.003673493</v>
      </c>
      <c r="J25" s="99">
        <f>IFERROR(K25/$B$2,0)</f>
        <v>0.003673493</v>
      </c>
      <c r="K25" s="128">
        <v>3673493</v>
      </c>
      <c r="L25" s="99">
        <f>IFERROR(K25/SUM($K$15:$K$79),0)</f>
        <v>0.00366124802189324</v>
      </c>
      <c r="M25" s="99">
        <f>IFERROR(L25*E25,0)</f>
        <v>0.0357652992211366</v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>
        <v>40743</v>
      </c>
      <c r="C26" s="130">
        <v>248220825</v>
      </c>
      <c r="D26" s="99">
        <f>IFERROR(B26/$B$13,0)</f>
        <v>0.0040743</v>
      </c>
      <c r="E26" s="131">
        <f>IFERROR(C26/B26/500.0,0)</f>
        <v>12.1847102569767</v>
      </c>
      <c r="F26" s="132" t="n"/>
      <c r="G26" s="13" t="inlineStr">
        <is>
          <t>(10, 15]</t>
        </is>
      </c>
      <c r="H26" s="127">
        <v>2.75411555359203</v>
      </c>
      <c r="I26" s="99">
        <f>IFERROR(B26/$B$13,0)</f>
        <v>0.011221093</v>
      </c>
      <c r="J26" s="99">
        <f>IFERROR(K26/$B$2,0)</f>
        <v>0.011221093</v>
      </c>
      <c r="K26" s="128">
        <v>11221093</v>
      </c>
      <c r="L26" s="99">
        <f>IFERROR(K26/SUM($K$15:$K$79),0)</f>
        <v>0.0111836893522677</v>
      </c>
      <c r="M26" s="99">
        <f>IFERROR(L26*E26,0)</f>
        <v>0.136270014361417</v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>
        <v>15959</v>
      </c>
      <c r="C27" s="130">
        <v>138781325</v>
      </c>
      <c r="D27" s="99">
        <f>IFERROR(B27/$B$13,0)</f>
        <v>0.0015959</v>
      </c>
      <c r="E27" s="131">
        <f>IFERROR(C27/B27/500.0,0)</f>
        <v>17.392233222633</v>
      </c>
      <c r="F27" s="132" t="n"/>
      <c r="G27" s="13" t="inlineStr">
        <is>
          <t>(15, 20]</t>
        </is>
      </c>
      <c r="H27" s="127">
        <v>3.61433109843975</v>
      </c>
      <c r="I27" s="99">
        <f>IFERROR(B27/$B$13,0)</f>
        <v>0.005768111</v>
      </c>
      <c r="J27" s="99">
        <f>IFERROR(K27/$B$2,0)</f>
        <v>0.005768111</v>
      </c>
      <c r="K27" s="128">
        <v>5768111</v>
      </c>
      <c r="L27" s="99">
        <f>IFERROR(K27/SUM($K$15:$K$79),0)</f>
        <v>0.00574888396107211</v>
      </c>
      <c r="M27" s="99">
        <f>IFERROR(L27*E27,0)</f>
        <v>0.0999859306208202</v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>
        <v>9353</v>
      </c>
      <c r="C28" s="130">
        <v>106497650</v>
      </c>
      <c r="D28" s="99">
        <f>IFERROR(B28/$B$13,0)</f>
        <v>0.0009353</v>
      </c>
      <c r="E28" s="131">
        <f>IFERROR(C28/B28/500.0,0)</f>
        <v>22.7729391639046</v>
      </c>
      <c r="F28" s="132" t="n"/>
      <c r="G28" s="13" t="inlineStr">
        <is>
          <t>(20, 25]</t>
        </is>
      </c>
      <c r="H28" s="127">
        <v>0</v>
      </c>
      <c r="I28" s="99">
        <f>IFERROR(B28/$B$13,0)</f>
        <v>0</v>
      </c>
      <c r="J28" s="99">
        <f>IFERROR(K28/$B$2,0)</f>
        <v>0</v>
      </c>
      <c r="K28" s="128">
        <v>0</v>
      </c>
      <c r="L28" s="99">
        <f>IFERROR(K28/SUM($K$15:$K$79),0)</f>
        <v>0</v>
      </c>
      <c r="M28" s="99">
        <f>IFERROR(L28*E28,0)</f>
        <v>0</v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>
        <v>7163</v>
      </c>
      <c r="C29" s="130">
        <v>99122525</v>
      </c>
      <c r="D29" s="99">
        <f>IFERROR(B29/$B$13,0)</f>
        <v>0.0007163</v>
      </c>
      <c r="E29" s="131">
        <f>IFERROR(C29/B29/500.0,0)</f>
        <v>27.6762599469496</v>
      </c>
      <c r="F29" s="132" t="n"/>
      <c r="G29" s="13" t="inlineStr">
        <is>
          <t>(25, 30]</t>
        </is>
      </c>
      <c r="H29" s="127">
        <v>0</v>
      </c>
      <c r="I29" s="99">
        <f>IFERROR(B29/$B$13,0)</f>
        <v>0</v>
      </c>
      <c r="J29" s="99">
        <f>IFERROR(K29/$B$2,0)</f>
        <v>0</v>
      </c>
      <c r="K29" s="128">
        <v>0</v>
      </c>
      <c r="L29" s="99">
        <f>IFERROR(K29/SUM($K$15:$K$79),0)</f>
        <v>0</v>
      </c>
      <c r="M29" s="99">
        <f>IFERROR(L29*E29,0)</f>
        <v>0</v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>
        <v>4526</v>
      </c>
      <c r="C30" s="130">
        <v>73593650</v>
      </c>
      <c r="D30" s="99">
        <f>IFERROR(B30/$B$13,0)</f>
        <v>0.0004526</v>
      </c>
      <c r="E30" s="131">
        <f>IFERROR(C30/B30/500.0,0)</f>
        <v>32.5203932832523</v>
      </c>
      <c r="F30" s="132" t="n"/>
      <c r="G30" s="13" t="inlineStr">
        <is>
          <t>(30, 35]</t>
        </is>
      </c>
      <c r="H30" s="127">
        <v>0</v>
      </c>
      <c r="I30" s="99">
        <f>IFERROR(B30/$B$13,0)</f>
        <v>0</v>
      </c>
      <c r="J30" s="99">
        <f>IFERROR(K30/$B$2,0)</f>
        <v>0</v>
      </c>
      <c r="K30" s="128">
        <v>0</v>
      </c>
      <c r="L30" s="99">
        <f>IFERROR(K30/SUM($K$15:$K$79),0)</f>
        <v>0</v>
      </c>
      <c r="M30" s="99">
        <f>IFERROR(L30*E30,0)</f>
        <v>0</v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>
        <v>4228</v>
      </c>
      <c r="C31" s="130">
        <v>79634100</v>
      </c>
      <c r="D31" s="99">
        <f>IFERROR(B31/$B$13,0)</f>
        <v>0.0004228</v>
      </c>
      <c r="E31" s="131">
        <f>IFERROR(C31/B31/500.0,0)</f>
        <v>37.6698675496689</v>
      </c>
      <c r="F31" s="132" t="n"/>
      <c r="G31" s="13" t="inlineStr">
        <is>
          <t>(35, 40]</t>
        </is>
      </c>
      <c r="H31" s="127">
        <v>0</v>
      </c>
      <c r="I31" s="99">
        <f>IFERROR(B31/$B$13,0)</f>
        <v>0</v>
      </c>
      <c r="J31" s="99">
        <f>IFERROR(K31/$B$2,0)</f>
        <v>0</v>
      </c>
      <c r="K31" s="128">
        <v>0</v>
      </c>
      <c r="L31" s="99">
        <f>IFERROR(K31/SUM($K$15:$K$79),0)</f>
        <v>0</v>
      </c>
      <c r="M31" s="99">
        <f>IFERROR(L31*E31,0)</f>
        <v>0</v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>
        <v>2967</v>
      </c>
      <c r="C32" s="130">
        <v>63386350</v>
      </c>
      <c r="D32" s="99">
        <f>IFERROR(B32/$B$13,0)</f>
        <v>0.0002967</v>
      </c>
      <c r="E32" s="131">
        <f>IFERROR(C32/B32/500.0,0)</f>
        <v>42.7275699359623</v>
      </c>
      <c r="F32" s="132" t="n"/>
      <c r="G32" s="13" t="inlineStr">
        <is>
          <t>(40, 45]</t>
        </is>
      </c>
      <c r="H32" s="127">
        <v>0</v>
      </c>
      <c r="I32" s="99">
        <f>IFERROR(B32/$B$13,0)</f>
        <v>0</v>
      </c>
      <c r="J32" s="99">
        <f>IFERROR(K32/$B$2,0)</f>
        <v>0</v>
      </c>
      <c r="K32" s="128">
        <v>0</v>
      </c>
      <c r="L32" s="99">
        <f>IFERROR(K32/SUM($K$15:$K$79),0)</f>
        <v>0</v>
      </c>
      <c r="M32" s="99">
        <f>IFERROR(L32*E32,0)</f>
        <v>0</v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>
        <v>2541</v>
      </c>
      <c r="C33" s="130">
        <v>60843175</v>
      </c>
      <c r="D33" s="99">
        <f>IFERROR(B33/$B$13,0)</f>
        <v>0.0002541</v>
      </c>
      <c r="E33" s="131">
        <f>IFERROR(C33/B33/500.0,0)</f>
        <v>47.8891578118851</v>
      </c>
      <c r="F33" s="132" t="n"/>
      <c r="G33" s="13" t="inlineStr">
        <is>
          <t>(45, 50]</t>
        </is>
      </c>
      <c r="H33" s="127">
        <v>0</v>
      </c>
      <c r="I33" s="99">
        <f>IFERROR(B33/$B$13,0)</f>
        <v>0</v>
      </c>
      <c r="J33" s="99">
        <f>IFERROR(K33/$B$2,0)</f>
        <v>0</v>
      </c>
      <c r="K33" s="128">
        <v>0</v>
      </c>
      <c r="L33" s="99">
        <f>IFERROR(K33/SUM($K$15:$K$79),0)</f>
        <v>0</v>
      </c>
      <c r="M33" s="99">
        <f>IFERROR(L33*E33,0)</f>
        <v>0</v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>
        <v>3633</v>
      </c>
      <c r="C34" s="130">
        <v>99909275</v>
      </c>
      <c r="D34" s="99">
        <f>IFERROR(B34/$B$13,0)</f>
        <v>0.0003633</v>
      </c>
      <c r="E34" s="131">
        <f>IFERROR(C34/B34/500.0,0)</f>
        <v>55.0009771538673</v>
      </c>
      <c r="F34" s="132" t="n"/>
      <c r="G34" s="13" t="inlineStr">
        <is>
          <t>(50, 60]</t>
        </is>
      </c>
      <c r="H34" s="127">
        <v>0</v>
      </c>
      <c r="I34" s="99">
        <f>IFERROR(B34/$B$13,0)</f>
        <v>0</v>
      </c>
      <c r="J34" s="99">
        <f>IFERROR(K34/$B$2,0)</f>
        <v>0</v>
      </c>
      <c r="K34" s="128">
        <v>0</v>
      </c>
      <c r="L34" s="99">
        <f>IFERROR(K34/SUM($K$15:$K$79),0)</f>
        <v>0</v>
      </c>
      <c r="M34" s="99">
        <f>IFERROR(L34*E34,0)</f>
        <v>0</v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>
        <v>2543</v>
      </c>
      <c r="C35" s="130">
        <v>82437200</v>
      </c>
      <c r="D35" s="99">
        <f>IFERROR(B35/$B$13,0)</f>
        <v>0.0002543</v>
      </c>
      <c r="E35" s="131">
        <f>IFERROR(C35/B35/500.0,0)</f>
        <v>64.8346047974833</v>
      </c>
      <c r="F35" s="132" t="n"/>
      <c r="G35" s="13" t="inlineStr">
        <is>
          <t>(60, 70]</t>
        </is>
      </c>
      <c r="H35" s="127">
        <v>0</v>
      </c>
      <c r="I35" s="99">
        <f>IFERROR(B35/$B$13,0)</f>
        <v>0</v>
      </c>
      <c r="J35" s="99">
        <f>IFERROR(K35/$B$2,0)</f>
        <v>0</v>
      </c>
      <c r="K35" s="128">
        <v>0</v>
      </c>
      <c r="L35" s="99">
        <f>IFERROR(K35/SUM($K$15:$K$79),0)</f>
        <v>0</v>
      </c>
      <c r="M35" s="99">
        <f>IFERROR(L35*E35,0)</f>
        <v>0</v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>
        <v>2147</v>
      </c>
      <c r="C36" s="130">
        <v>80658150</v>
      </c>
      <c r="D36" s="99">
        <f>IFERROR(B36/$B$13,0)</f>
        <v>0.0002147</v>
      </c>
      <c r="E36" s="131">
        <f>IFERROR(C36/B36/500.0,0)</f>
        <v>75.1356776897997</v>
      </c>
      <c r="F36" s="132" t="n"/>
      <c r="G36" s="13" t="inlineStr">
        <is>
          <t>(70, 80]</t>
        </is>
      </c>
      <c r="H36" s="127">
        <v>0</v>
      </c>
      <c r="I36" s="99">
        <f>IFERROR(B36/$B$13,0)</f>
        <v>0</v>
      </c>
      <c r="J36" s="99">
        <f>IFERROR(K36/$B$2,0)</f>
        <v>0</v>
      </c>
      <c r="K36" s="128">
        <v>0</v>
      </c>
      <c r="L36" s="99">
        <f>IFERROR(K36/SUM($K$15:$K$79),0)</f>
        <v>0</v>
      </c>
      <c r="M36" s="99">
        <f>IFERROR(L36*E36,0)</f>
        <v>0</v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>
        <v>1594</v>
      </c>
      <c r="C37" s="130">
        <v>67905075</v>
      </c>
      <c r="D37" s="99">
        <f>IFERROR(B37/$B$13,0)</f>
        <v>0.0001594</v>
      </c>
      <c r="E37" s="131">
        <f>IFERROR(C37/B37/500.0,0)</f>
        <v>85.2008469259724</v>
      </c>
      <c r="F37" s="132" t="n"/>
      <c r="G37" s="13" t="inlineStr">
        <is>
          <t>(80, 90]</t>
        </is>
      </c>
      <c r="H37" s="127">
        <v>0</v>
      </c>
      <c r="I37" s="99">
        <f>IFERROR(B37/$B$13,0)</f>
        <v>0</v>
      </c>
      <c r="J37" s="99">
        <f>IFERROR(K37/$B$2,0)</f>
        <v>0</v>
      </c>
      <c r="K37" s="128">
        <v>0</v>
      </c>
      <c r="L37" s="99">
        <f>IFERROR(K37/SUM($K$15:$K$79),0)</f>
        <v>0</v>
      </c>
      <c r="M37" s="99">
        <f>IFERROR(L37*E37,0)</f>
        <v>0</v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>
        <v>1262</v>
      </c>
      <c r="C38" s="130">
        <v>60399650</v>
      </c>
      <c r="D38" s="99">
        <f>IFERROR(B38/$B$13,0)</f>
        <v>0.0001262</v>
      </c>
      <c r="E38" s="131">
        <f>IFERROR(C38/B38/500.0,0)</f>
        <v>95.7205229793978</v>
      </c>
      <c r="F38" s="132" t="n"/>
      <c r="G38" s="13" t="inlineStr">
        <is>
          <t>(90, 100]</t>
        </is>
      </c>
      <c r="H38" s="127">
        <v>0</v>
      </c>
      <c r="I38" s="99">
        <f>IFERROR(B38/$B$13,0)</f>
        <v>0</v>
      </c>
      <c r="J38" s="99">
        <f>IFERROR(K38/$B$2,0)</f>
        <v>0</v>
      </c>
      <c r="K38" s="128">
        <v>0</v>
      </c>
      <c r="L38" s="99">
        <f>IFERROR(K38/SUM($K$15:$K$79),0)</f>
        <v>0</v>
      </c>
      <c r="M38" s="99">
        <f>IFERROR(L38*E38,0)</f>
        <v>0</v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>
        <v>1802</v>
      </c>
      <c r="C39" s="130">
        <v>98996350</v>
      </c>
      <c r="D39" s="99">
        <f>IFERROR(B39/$B$13,0)</f>
        <v>0.0001802</v>
      </c>
      <c r="E39" s="131">
        <f>IFERROR(C39/B39/500.0,0)</f>
        <v>109.873862375139</v>
      </c>
      <c r="F39" s="132" t="n"/>
      <c r="G39" s="13" t="inlineStr">
        <is>
          <t>(100, 120]</t>
        </is>
      </c>
      <c r="H39" s="127">
        <v>0</v>
      </c>
      <c r="I39" s="99">
        <f>IFERROR(B39/$B$13,0)</f>
        <v>0</v>
      </c>
      <c r="J39" s="99">
        <f>IFERROR(K39/$B$2,0)</f>
        <v>0</v>
      </c>
      <c r="K39" s="128">
        <v>0</v>
      </c>
      <c r="L39" s="99">
        <f>IFERROR(K39/SUM($K$15:$K$79),0)</f>
        <v>0</v>
      </c>
      <c r="M39" s="99">
        <f>IFERROR(L39*E39,0)</f>
        <v>0</v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>
        <v>1247</v>
      </c>
      <c r="C40" s="130">
        <v>80574600</v>
      </c>
      <c r="D40" s="99">
        <f>IFERROR(B40/$B$13,0)</f>
        <v>0.0001247</v>
      </c>
      <c r="E40" s="131">
        <f>IFERROR(C40/B40/500.0,0)</f>
        <v>129.229510825982</v>
      </c>
      <c r="F40" s="132" t="n"/>
      <c r="G40" s="13" t="inlineStr">
        <is>
          <t>(120, 140]</t>
        </is>
      </c>
      <c r="H40" s="127">
        <v>0</v>
      </c>
      <c r="I40" s="99">
        <f>IFERROR(B40/$B$13,0)</f>
        <v>0</v>
      </c>
      <c r="J40" s="99">
        <f>IFERROR(K40/$B$2,0)</f>
        <v>0</v>
      </c>
      <c r="K40" s="128">
        <v>0</v>
      </c>
      <c r="L40" s="99">
        <f>IFERROR(K40/SUM($K$15:$K$79),0)</f>
        <v>0</v>
      </c>
      <c r="M40" s="99">
        <f>IFERROR(L40*E40,0)</f>
        <v>0</v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>
        <v>861</v>
      </c>
      <c r="C41" s="130">
        <v>64573325</v>
      </c>
      <c r="D41" s="99">
        <f>IFERROR(B41/$B$13,0)</f>
        <v>8.61e-05</v>
      </c>
      <c r="E41" s="131">
        <f>IFERROR(C41/B41/500.0,0)</f>
        <v>149.996109175377</v>
      </c>
      <c r="F41" s="132" t="n"/>
      <c r="G41" s="13" t="inlineStr">
        <is>
          <t>(140, 160]</t>
        </is>
      </c>
      <c r="H41" s="127">
        <v>0</v>
      </c>
      <c r="I41" s="99">
        <f>IFERROR(B41/$B$13,0)</f>
        <v>0</v>
      </c>
      <c r="J41" s="99">
        <f>IFERROR(K41/$B$2,0)</f>
        <v>0</v>
      </c>
      <c r="K41" s="128">
        <v>0</v>
      </c>
      <c r="L41" s="99">
        <f>IFERROR(K41/SUM($K$15:$K$79),0)</f>
        <v>0</v>
      </c>
      <c r="M41" s="99">
        <f>IFERROR(L41*E41,0)</f>
        <v>0</v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>
        <v>649</v>
      </c>
      <c r="C42" s="130">
        <v>55036100</v>
      </c>
      <c r="D42" s="99">
        <f>IFERROR(B42/$B$13,0)</f>
        <v>6.49e-05</v>
      </c>
      <c r="E42" s="131">
        <f>IFERROR(C42/B42/500.0,0)</f>
        <v>169.602773497689</v>
      </c>
      <c r="F42" s="132" t="n"/>
      <c r="G42" s="13" t="inlineStr">
        <is>
          <t>(160, 180]</t>
        </is>
      </c>
      <c r="H42" s="127">
        <v>0</v>
      </c>
      <c r="I42" s="99">
        <f>IFERROR(B42/$B$13,0)</f>
        <v>0</v>
      </c>
      <c r="J42" s="99">
        <f>IFERROR(K42/$B$2,0)</f>
        <v>0</v>
      </c>
      <c r="K42" s="128">
        <v>0</v>
      </c>
      <c r="L42" s="99">
        <f>IFERROR(K42/SUM($K$15:$K$79),0)</f>
        <v>0</v>
      </c>
      <c r="M42" s="99">
        <f>IFERROR(L42*E42,0)</f>
        <v>0</v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>
        <v>545</v>
      </c>
      <c r="C43" s="130">
        <v>51916900</v>
      </c>
      <c r="D43" s="99">
        <f>IFERROR(B43/$B$13,0)</f>
        <v>5.45e-05</v>
      </c>
      <c r="E43" s="131">
        <f>IFERROR(C43/B43/500.0,0)</f>
        <v>190.520733944954</v>
      </c>
      <c r="F43" s="132" t="n"/>
      <c r="G43" s="13" t="inlineStr">
        <is>
          <t>(180, 200]</t>
        </is>
      </c>
      <c r="H43" s="127">
        <v>0</v>
      </c>
      <c r="I43" s="99">
        <f>IFERROR(B43/$B$13,0)</f>
        <v>0</v>
      </c>
      <c r="J43" s="99">
        <f>IFERROR(K43/$B$2,0)</f>
        <v>0</v>
      </c>
      <c r="K43" s="128">
        <v>0</v>
      </c>
      <c r="L43" s="99">
        <f>IFERROR(K43/SUM($K$15:$K$79),0)</f>
        <v>0</v>
      </c>
      <c r="M43" s="99">
        <f>IFERROR(L43*E43,0)</f>
        <v>0</v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>
        <v>871</v>
      </c>
      <c r="C44" s="130">
        <v>98088375</v>
      </c>
      <c r="D44" s="99">
        <f>IFERROR(B44/$B$13,0)</f>
        <v>8.71e-05</v>
      </c>
      <c r="E44" s="131">
        <f>IFERROR(C44/B44/500.0,0)</f>
        <v>225.231630309989</v>
      </c>
      <c r="F44" s="132" t="n"/>
      <c r="G44" s="13" t="inlineStr">
        <is>
          <t>(200, 250]</t>
        </is>
      </c>
      <c r="H44" s="127">
        <v>0</v>
      </c>
      <c r="I44" s="99">
        <f>IFERROR(B44/$B$13,0)</f>
        <v>0</v>
      </c>
      <c r="J44" s="99">
        <f>IFERROR(K44/$B$2,0)</f>
        <v>0</v>
      </c>
      <c r="K44" s="128">
        <v>0</v>
      </c>
      <c r="L44" s="99">
        <f>IFERROR(K44/SUM($K$15:$K$79),0)</f>
        <v>0</v>
      </c>
      <c r="M44" s="99">
        <f>IFERROR(L44*E44,0)</f>
        <v>0</v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>
        <v>509</v>
      </c>
      <c r="C45" s="130">
        <v>69456450</v>
      </c>
      <c r="D45" s="99">
        <f>IFERROR(B45/$B$13,0)</f>
        <v>5.09e-05</v>
      </c>
      <c r="E45" s="131">
        <f>IFERROR(C45/B45/500.0,0)</f>
        <v>272.913359528487</v>
      </c>
      <c r="F45" s="132" t="n"/>
      <c r="G45" s="13" t="inlineStr">
        <is>
          <t>(250, 300]</t>
        </is>
      </c>
      <c r="H45" s="127">
        <v>0</v>
      </c>
      <c r="I45" s="99">
        <f>IFERROR(B45/$B$13,0)</f>
        <v>0</v>
      </c>
      <c r="J45" s="99">
        <f>IFERROR(K45/$B$2,0)</f>
        <v>0</v>
      </c>
      <c r="K45" s="128">
        <v>0</v>
      </c>
      <c r="L45" s="99">
        <f>IFERROR(K45/SUM($K$15:$K$79),0)</f>
        <v>0</v>
      </c>
      <c r="M45" s="99">
        <f>IFERROR(L45*E45,0)</f>
        <v>0</v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>
        <v>341</v>
      </c>
      <c r="C46" s="130">
        <v>55264575</v>
      </c>
      <c r="D46" s="99">
        <f>IFERROR(B46/$B$13,0)</f>
        <v>3.41e-05</v>
      </c>
      <c r="E46" s="131">
        <f>IFERROR(C46/B46/500.0,0)</f>
        <v>324.132404692082</v>
      </c>
      <c r="F46" s="132" t="n"/>
      <c r="G46" s="13" t="inlineStr">
        <is>
          <t>(300, 350]</t>
        </is>
      </c>
      <c r="H46" s="127">
        <v>0</v>
      </c>
      <c r="I46" s="99">
        <f>IFERROR(B46/$B$13,0)</f>
        <v>0</v>
      </c>
      <c r="J46" s="99">
        <f>IFERROR(K46/$B$2,0)</f>
        <v>0</v>
      </c>
      <c r="K46" s="128">
        <v>0</v>
      </c>
      <c r="L46" s="99">
        <f>IFERROR(K46/SUM($K$15:$K$79),0)</f>
        <v>0</v>
      </c>
      <c r="M46" s="99">
        <f>IFERROR(L46*E46,0)</f>
        <v>0</v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>
        <v>282</v>
      </c>
      <c r="C47" s="130">
        <v>53271550</v>
      </c>
      <c r="D47" s="99">
        <f>IFERROR(B47/$B$13,0)</f>
        <v>2.82e-05</v>
      </c>
      <c r="E47" s="131">
        <f>IFERROR(C47/B47/500.0,0)</f>
        <v>377.812411347518</v>
      </c>
      <c r="F47" s="132" t="n"/>
      <c r="G47" s="13" t="inlineStr">
        <is>
          <t>(350, 400]</t>
        </is>
      </c>
      <c r="H47" s="127">
        <v>0</v>
      </c>
      <c r="I47" s="99">
        <f>IFERROR(B47/$B$13,0)</f>
        <v>0</v>
      </c>
      <c r="J47" s="99">
        <f>IFERROR(K47/$B$2,0)</f>
        <v>0</v>
      </c>
      <c r="K47" s="128">
        <v>0</v>
      </c>
      <c r="L47" s="99">
        <f>IFERROR(K47/SUM($K$15:$K$79),0)</f>
        <v>0</v>
      </c>
      <c r="M47" s="99">
        <f>IFERROR(L47*E47,0)</f>
        <v>0</v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>
        <v>182</v>
      </c>
      <c r="C48" s="130">
        <v>38558400</v>
      </c>
      <c r="D48" s="99">
        <f>IFERROR(B48/$B$13,0)</f>
        <v>1.82e-05</v>
      </c>
      <c r="E48" s="131">
        <f>IFERROR(C48/B48/500.0,0)</f>
        <v>423.718681318681</v>
      </c>
      <c r="F48" s="132" t="n"/>
      <c r="G48" s="13" t="inlineStr">
        <is>
          <t>(400, 450]</t>
        </is>
      </c>
      <c r="H48" s="127">
        <v>0</v>
      </c>
      <c r="I48" s="99">
        <f>IFERROR(B48/$B$13,0)</f>
        <v>0</v>
      </c>
      <c r="J48" s="99">
        <f>IFERROR(K48/$B$2,0)</f>
        <v>0</v>
      </c>
      <c r="K48" s="128">
        <v>0</v>
      </c>
      <c r="L48" s="99">
        <f>IFERROR(K48/SUM($K$15:$K$79),0)</f>
        <v>0</v>
      </c>
      <c r="M48" s="99">
        <f>IFERROR(L48*E48,0)</f>
        <v>0</v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>
        <v>148</v>
      </c>
      <c r="C49" s="130">
        <v>35492675</v>
      </c>
      <c r="D49" s="99">
        <f>IFERROR(B49/$B$13,0)</f>
        <v>1.48e-05</v>
      </c>
      <c r="E49" s="131">
        <f>IFERROR(C49/B49/500.0,0)</f>
        <v>479.630743243243</v>
      </c>
      <c r="F49" s="132" t="n"/>
      <c r="G49" s="13" t="inlineStr">
        <is>
          <t>(450, 500]</t>
        </is>
      </c>
      <c r="H49" s="127">
        <v>0</v>
      </c>
      <c r="I49" s="99">
        <f>IFERROR(B49/$B$13,0)</f>
        <v>0</v>
      </c>
      <c r="J49" s="99">
        <f>IFERROR(K49/$B$2,0)</f>
        <v>0</v>
      </c>
      <c r="K49" s="128">
        <v>0</v>
      </c>
      <c r="L49" s="99">
        <f>IFERROR(K49/SUM($K$15:$K$79),0)</f>
        <v>0</v>
      </c>
      <c r="M49" s="99">
        <f>IFERROR(L49*E49,0)</f>
        <v>0</v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>
        <v>112</v>
      </c>
      <c r="C50" s="130">
        <v>29411950</v>
      </c>
      <c r="D50" s="99">
        <f>IFERROR(B50/$B$13,0)</f>
        <v>1.12e-05</v>
      </c>
      <c r="E50" s="131">
        <f>IFERROR(C50/B50/500.0,0)</f>
        <v>525.213392857143</v>
      </c>
      <c r="F50" s="132" t="n"/>
      <c r="G50" s="13" t="inlineStr">
        <is>
          <t>(500, 550]</t>
        </is>
      </c>
      <c r="H50" s="127">
        <v>0</v>
      </c>
      <c r="I50" s="99">
        <f>IFERROR(B50/$B$13,0)</f>
        <v>0</v>
      </c>
      <c r="J50" s="99">
        <f>IFERROR(K50/$B$2,0)</f>
        <v>0</v>
      </c>
      <c r="K50" s="128">
        <v>0</v>
      </c>
      <c r="L50" s="99">
        <f>IFERROR(K50/SUM($K$15:$K$79),0)</f>
        <v>0</v>
      </c>
      <c r="M50" s="99">
        <f>IFERROR(L50*E50,0)</f>
        <v>0</v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>
        <v>92</v>
      </c>
      <c r="C51" s="130">
        <v>26408600</v>
      </c>
      <c r="D51" s="99">
        <f>IFERROR(B51/$B$13,0)</f>
        <v>9.2e-06</v>
      </c>
      <c r="E51" s="131">
        <f>IFERROR(C51/B51/500.0,0)</f>
        <v>574.1</v>
      </c>
      <c r="F51" s="132" t="n"/>
      <c r="G51" s="13" t="inlineStr">
        <is>
          <t>(550, 600]</t>
        </is>
      </c>
      <c r="H51" s="127">
        <v>0</v>
      </c>
      <c r="I51" s="99">
        <f>IFERROR(B51/$B$13,0)</f>
        <v>0</v>
      </c>
      <c r="J51" s="99">
        <f>IFERROR(K51/$B$2,0)</f>
        <v>0</v>
      </c>
      <c r="K51" s="128">
        <v>0</v>
      </c>
      <c r="L51" s="99">
        <f>IFERROR(K51/SUM($K$15:$K$79),0)</f>
        <v>0</v>
      </c>
      <c r="M51" s="99">
        <f>IFERROR(L51*E51,0)</f>
        <v>0</v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>
        <v>119</v>
      </c>
      <c r="C52" s="130">
        <v>37244775</v>
      </c>
      <c r="D52" s="99">
        <f>IFERROR(B52/$B$13,0)</f>
        <v>1.19e-05</v>
      </c>
      <c r="E52" s="131">
        <f>IFERROR(C52/B52/500.0,0)</f>
        <v>625.962605042017</v>
      </c>
      <c r="F52" s="132" t="n"/>
      <c r="G52" s="13" t="inlineStr">
        <is>
          <t>(600, 650]</t>
        </is>
      </c>
      <c r="H52" s="127">
        <v>0</v>
      </c>
      <c r="I52" s="99">
        <f>IFERROR(B52/$B$13,0)</f>
        <v>0</v>
      </c>
      <c r="J52" s="99">
        <f>IFERROR(K52/$B$2,0)</f>
        <v>0</v>
      </c>
      <c r="K52" s="128">
        <v>0</v>
      </c>
      <c r="L52" s="99">
        <f>IFERROR(K52/SUM($K$15:$K$79),0)</f>
        <v>0</v>
      </c>
      <c r="M52" s="99">
        <f>IFERROR(L52*E52,0)</f>
        <v>0</v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>
        <v>60</v>
      </c>
      <c r="C53" s="130">
        <v>20179775</v>
      </c>
      <c r="D53" s="99">
        <f>IFERROR(B53/$B$13,0)</f>
        <v>6e-06</v>
      </c>
      <c r="E53" s="131">
        <f>IFERROR(C53/B53/500.0,0)</f>
        <v>672.659166666667</v>
      </c>
      <c r="F53" s="132" t="n"/>
      <c r="G53" s="13" t="inlineStr">
        <is>
          <t>(650, 700]</t>
        </is>
      </c>
      <c r="H53" s="127">
        <v>0</v>
      </c>
      <c r="I53" s="99">
        <f>IFERROR(B53/$B$13,0)</f>
        <v>0</v>
      </c>
      <c r="J53" s="99">
        <f>IFERROR(K53/$B$2,0)</f>
        <v>0</v>
      </c>
      <c r="K53" s="128">
        <v>0</v>
      </c>
      <c r="L53" s="99">
        <f>IFERROR(K53/SUM($K$15:$K$79),0)</f>
        <v>0</v>
      </c>
      <c r="M53" s="99">
        <f>IFERROR(L53*E53,0)</f>
        <v>0</v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>
        <v>74</v>
      </c>
      <c r="C54" s="130">
        <v>27076125</v>
      </c>
      <c r="D54" s="99">
        <f>IFERROR(B54/$B$13,0)</f>
        <v>7.4e-06</v>
      </c>
      <c r="E54" s="131">
        <f>IFERROR(C54/B54/500.0,0)</f>
        <v>731.787162162162</v>
      </c>
      <c r="F54" s="132" t="n"/>
      <c r="G54" s="13" t="inlineStr">
        <is>
          <t>(700, 750]</t>
        </is>
      </c>
      <c r="H54" s="127">
        <v>0</v>
      </c>
      <c r="I54" s="99">
        <f>IFERROR(B54/$B$13,0)</f>
        <v>0</v>
      </c>
      <c r="J54" s="99">
        <f>IFERROR(K54/$B$2,0)</f>
        <v>0</v>
      </c>
      <c r="K54" s="128">
        <v>0</v>
      </c>
      <c r="L54" s="99">
        <f>IFERROR(K54/SUM($K$15:$K$79),0)</f>
        <v>0</v>
      </c>
      <c r="M54" s="99">
        <f>IFERROR(L54*E54,0)</f>
        <v>0</v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>
        <v>54</v>
      </c>
      <c r="C55" s="130">
        <v>20933425</v>
      </c>
      <c r="D55" s="99">
        <f>IFERROR(B55/$B$13,0)</f>
        <v>5.4e-06</v>
      </c>
      <c r="E55" s="131">
        <f>IFERROR(C55/B55/500.0,0)</f>
        <v>775.312037037037</v>
      </c>
      <c r="F55" s="132" t="n"/>
      <c r="G55" s="13" t="inlineStr">
        <is>
          <t>(750, 800]</t>
        </is>
      </c>
      <c r="H55" s="127">
        <v>0</v>
      </c>
      <c r="I55" s="99">
        <f>IFERROR(B55/$B$13,0)</f>
        <v>0</v>
      </c>
      <c r="J55" s="99">
        <f>IFERROR(K55/$B$2,0)</f>
        <v>0</v>
      </c>
      <c r="K55" s="128">
        <v>0</v>
      </c>
      <c r="L55" s="99">
        <f>IFERROR(K55/SUM($K$15:$K$79),0)</f>
        <v>0</v>
      </c>
      <c r="M55" s="99">
        <f>IFERROR(L55*E55,0)</f>
        <v>0</v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>
        <v>50</v>
      </c>
      <c r="C56" s="130">
        <v>20619450</v>
      </c>
      <c r="D56" s="99">
        <f>IFERROR(B56/$B$13,0)</f>
        <v>5e-06</v>
      </c>
      <c r="E56" s="131">
        <f>IFERROR(C56/B56/500.0,0)</f>
        <v>824.778</v>
      </c>
      <c r="F56" s="132" t="n"/>
      <c r="G56" s="13" t="inlineStr">
        <is>
          <t>(800, 850]</t>
        </is>
      </c>
      <c r="H56" s="127">
        <v>0</v>
      </c>
      <c r="I56" s="99">
        <f>IFERROR(B56/$B$13,0)</f>
        <v>0</v>
      </c>
      <c r="J56" s="99">
        <f>IFERROR(K56/$B$2,0)</f>
        <v>0</v>
      </c>
      <c r="K56" s="128">
        <v>0</v>
      </c>
      <c r="L56" s="99">
        <f>IFERROR(K56/SUM($K$15:$K$79),0)</f>
        <v>0</v>
      </c>
      <c r="M56" s="99">
        <f>IFERROR(L56*E56,0)</f>
        <v>0</v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>
        <v>43</v>
      </c>
      <c r="C57" s="130">
        <v>18868450</v>
      </c>
      <c r="D57" s="99">
        <f>IFERROR(B57/$B$13,0)</f>
        <v>4.3e-06</v>
      </c>
      <c r="E57" s="131">
        <f>IFERROR(C57/B57/500.0,0)</f>
        <v>877.602325581395</v>
      </c>
      <c r="F57" s="132" t="n"/>
      <c r="G57" s="13" t="inlineStr">
        <is>
          <t>(850, 900]</t>
        </is>
      </c>
      <c r="H57" s="127">
        <v>0</v>
      </c>
      <c r="I57" s="99">
        <f>IFERROR(B57/$B$13,0)</f>
        <v>0</v>
      </c>
      <c r="J57" s="99">
        <f>IFERROR(K57/$B$2,0)</f>
        <v>0</v>
      </c>
      <c r="K57" s="133">
        <v>0</v>
      </c>
      <c r="L57" s="99">
        <f>IFERROR(K57/SUM($K$15:$K$79),0)</f>
        <v>0</v>
      </c>
      <c r="M57" s="99">
        <f>IFERROR(L57*E57,0)</f>
        <v>0</v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>
        <v>24</v>
      </c>
      <c r="C58" s="130">
        <v>11082500</v>
      </c>
      <c r="D58" s="99">
        <f>IFERROR(B58/$B$13,0)</f>
        <v>2.4e-06</v>
      </c>
      <c r="E58" s="131">
        <f>IFERROR(C58/B58/500.0,0)</f>
        <v>923.541666666667</v>
      </c>
      <c r="F58" s="132" t="n"/>
      <c r="G58" s="13" t="inlineStr">
        <is>
          <t>(900, 950]</t>
        </is>
      </c>
      <c r="H58" s="127">
        <v>0</v>
      </c>
      <c r="I58" s="99">
        <f>IFERROR(B58/$B$13,0)</f>
        <v>0</v>
      </c>
      <c r="J58" s="99">
        <f>IFERROR(K58/$B$2,0)</f>
        <v>0</v>
      </c>
      <c r="K58" s="133">
        <v>0</v>
      </c>
      <c r="L58" s="99">
        <f>IFERROR(K58/SUM($K$15:$K$79),0)</f>
        <v>0</v>
      </c>
      <c r="M58" s="99">
        <f>IFERROR(L58*E58,0)</f>
        <v>0</v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>
        <v>58</v>
      </c>
      <c r="C59" s="130">
        <v>28661725</v>
      </c>
      <c r="D59" s="99">
        <f>IFERROR(B59/$B$13,0)</f>
        <v>5.8e-06</v>
      </c>
      <c r="E59" s="131">
        <f>IFERROR(C59/B59/500.0,0)</f>
        <v>988.335344827586</v>
      </c>
      <c r="F59" s="132" t="n"/>
      <c r="G59" s="13" t="inlineStr">
        <is>
          <t>(950, 1000]</t>
        </is>
      </c>
      <c r="H59" s="127">
        <v>0</v>
      </c>
      <c r="I59" s="99">
        <f>IFERROR(B59/$B$13,0)</f>
        <v>0</v>
      </c>
      <c r="J59" s="99">
        <f>IFERROR(K59/$B$2,0)</f>
        <v>0</v>
      </c>
      <c r="K59" s="133">
        <v>0</v>
      </c>
      <c r="L59" s="99">
        <f>IFERROR(K59/SUM($K$15:$K$79),0)</f>
        <v>0</v>
      </c>
      <c r="M59" s="99">
        <f>IFERROR(L59*E59,0)</f>
        <v>0</v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>
        <v>398</v>
      </c>
      <c r="C60" s="130">
        <v>290887625</v>
      </c>
      <c r="D60" s="99">
        <f>IFERROR(B60/$B$13,0)</f>
        <v>3.98e-05</v>
      </c>
      <c r="E60" s="131">
        <f>IFERROR(C60/B60/500.0,0)</f>
        <v>1461.74685929648</v>
      </c>
      <c r="F60" s="132" t="n"/>
      <c r="G60" s="13" t="inlineStr">
        <is>
          <t>(1000, 2000]</t>
        </is>
      </c>
      <c r="H60" s="127">
        <v>0</v>
      </c>
      <c r="I60" s="99">
        <f>IFERROR(B60/$B$13,0)</f>
        <v>0</v>
      </c>
      <c r="J60" s="99">
        <f>IFERROR(K60/$B$2,0)</f>
        <v>0</v>
      </c>
      <c r="K60" s="133">
        <v>0</v>
      </c>
      <c r="L60" s="99">
        <f>IFERROR(K60/SUM($K$15:$K$79),0)</f>
        <v>0</v>
      </c>
      <c r="M60" s="99">
        <f>IFERROR(L60*E60,0)</f>
        <v>0</v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>
        <v>169</v>
      </c>
      <c r="C61" s="130">
        <v>207887825</v>
      </c>
      <c r="D61" s="99">
        <f>IFERROR(B61/$B$13,0)</f>
        <v>1.69e-05</v>
      </c>
      <c r="E61" s="131">
        <f>IFERROR(C61/B61/500.0,0)</f>
        <v>2460.21094674556</v>
      </c>
      <c r="F61" s="132" t="n"/>
      <c r="G61" s="13" t="inlineStr">
        <is>
          <t>(2000, 3000]</t>
        </is>
      </c>
      <c r="H61" s="127">
        <v>0</v>
      </c>
      <c r="I61" s="99">
        <f>IFERROR(B61/$B$13,0)</f>
        <v>0</v>
      </c>
      <c r="J61" s="99">
        <f>IFERROR(K61/$B$2,0)</f>
        <v>0</v>
      </c>
      <c r="K61" s="133">
        <v>0</v>
      </c>
      <c r="L61" s="99">
        <f>IFERROR(K61/SUM($K$15:$K$79),0)</f>
        <v>0</v>
      </c>
      <c r="M61" s="99">
        <f>IFERROR(L61*E61,0)</f>
        <v>0</v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>
        <v>129</v>
      </c>
      <c r="C62" s="130">
        <v>228629050</v>
      </c>
      <c r="D62" s="99">
        <f>IFERROR(B62/$B$13,0)</f>
        <v>1.29e-05</v>
      </c>
      <c r="E62" s="131">
        <f>IFERROR(C62/B62/500.0,0)</f>
        <v>3544.63643410853</v>
      </c>
      <c r="F62" s="132" t="n"/>
      <c r="G62" s="13" t="inlineStr">
        <is>
          <t>(3000, 4000]</t>
        </is>
      </c>
      <c r="H62" s="127">
        <v>0</v>
      </c>
      <c r="I62" s="99">
        <f>IFERROR(B62/$B$13,0)</f>
        <v>0</v>
      </c>
      <c r="J62" s="99">
        <f>IFERROR(K62/$B$2,0)</f>
        <v>0</v>
      </c>
      <c r="K62" s="133">
        <v>0</v>
      </c>
      <c r="L62" s="99">
        <f>IFERROR(K62/SUM($K$15:$K$79),0)</f>
        <v>0</v>
      </c>
      <c r="M62" s="99">
        <f>IFERROR(L62*E62,0)</f>
        <v>0</v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>
        <v>70</v>
      </c>
      <c r="C63" s="130">
        <v>156306500</v>
      </c>
      <c r="D63" s="99">
        <f>IFERROR(B63/$B$13,0)</f>
        <v>7e-06</v>
      </c>
      <c r="E63" s="131">
        <f>IFERROR(C63/B63/500.0,0)</f>
        <v>4465.9</v>
      </c>
      <c r="F63" s="132" t="n"/>
      <c r="G63" s="13" t="inlineStr">
        <is>
          <t>(4000, 5000]</t>
        </is>
      </c>
      <c r="H63" s="127">
        <v>0</v>
      </c>
      <c r="I63" s="99">
        <f>IFERROR(B63/$B$13,0)</f>
        <v>0</v>
      </c>
      <c r="J63" s="99">
        <f>IFERROR(K63/$B$2,0)</f>
        <v>0</v>
      </c>
      <c r="K63" s="133">
        <v>0</v>
      </c>
      <c r="L63" s="99">
        <f>IFERROR(K63/SUM($K$15:$K$79),0)</f>
        <v>0</v>
      </c>
      <c r="M63" s="99">
        <f>IFERROR(L63*E63,0)</f>
        <v>0</v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>
        <v>39</v>
      </c>
      <c r="C64" s="130">
        <v>107019550</v>
      </c>
      <c r="D64" s="99">
        <f>IFERROR(B64/$B$13,0)</f>
        <v>3.9e-06</v>
      </c>
      <c r="E64" s="131">
        <f>IFERROR(C64/B64/500.0,0)</f>
        <v>5488.18205128205</v>
      </c>
      <c r="F64" s="132" t="n"/>
      <c r="G64" s="13" t="inlineStr">
        <is>
          <t>(5000, 6000]</t>
        </is>
      </c>
      <c r="H64" s="127">
        <v>0</v>
      </c>
      <c r="I64" s="99">
        <f>IFERROR(B64/$B$13,0)</f>
        <v>0</v>
      </c>
      <c r="J64" s="99">
        <f>IFERROR(K64/$B$2,0)</f>
        <v>0</v>
      </c>
      <c r="K64" s="133">
        <v>0</v>
      </c>
      <c r="L64" s="99">
        <f>IFERROR(K64/SUM($K$15:$K$79),0)</f>
        <v>0</v>
      </c>
      <c r="M64" s="99">
        <f>IFERROR(L64*E64,0)</f>
        <v>0</v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>
        <v>39</v>
      </c>
      <c r="C65" s="130">
        <v>127413550</v>
      </c>
      <c r="D65" s="99">
        <f>IFERROR(B65/$B$13,0)</f>
        <v>3.9e-06</v>
      </c>
      <c r="E65" s="131">
        <f>IFERROR(C65/B65/500.0,0)</f>
        <v>6534.0282051282</v>
      </c>
      <c r="F65" s="132" t="n"/>
      <c r="G65" s="13" t="inlineStr">
        <is>
          <t>(6000, 7000]</t>
        </is>
      </c>
      <c r="H65" s="127">
        <v>0</v>
      </c>
      <c r="I65" s="99">
        <f>IFERROR(B65/$B$13,0)</f>
        <v>0</v>
      </c>
      <c r="J65" s="99">
        <f>IFERROR(K65/$B$2,0)</f>
        <v>0</v>
      </c>
      <c r="K65" s="133">
        <v>0</v>
      </c>
      <c r="L65" s="99">
        <f>IFERROR(K65/SUM($K$15:$K$79),0)</f>
        <v>0</v>
      </c>
      <c r="M65" s="99">
        <f>IFERROR(L65*E65,0)</f>
        <v>0</v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>
        <v>31</v>
      </c>
      <c r="C66" s="130">
        <v>117916900</v>
      </c>
      <c r="D66" s="99">
        <f>IFERROR(B66/$B$13,0)</f>
        <v>3.1e-06</v>
      </c>
      <c r="E66" s="131">
        <f>IFERROR(C66/B66/500.0,0)</f>
        <v>7607.54193548387</v>
      </c>
      <c r="F66" s="132" t="n"/>
      <c r="G66" s="13" t="inlineStr">
        <is>
          <t>(7000, 8000]</t>
        </is>
      </c>
      <c r="H66" s="127">
        <v>0</v>
      </c>
      <c r="I66" s="99">
        <f>IFERROR(B66/$B$13,0)</f>
        <v>0</v>
      </c>
      <c r="J66" s="99">
        <f>IFERROR(K66/$B$2,0)</f>
        <v>0</v>
      </c>
      <c r="K66" s="133">
        <v>0</v>
      </c>
      <c r="L66" s="99">
        <f>IFERROR(K66/SUM($K$15:$K$79),0)</f>
        <v>0</v>
      </c>
      <c r="M66" s="99">
        <f>IFERROR(L66*E66,0)</f>
        <v>0</v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>
        <v>22</v>
      </c>
      <c r="C67" s="130">
        <v>93282225</v>
      </c>
      <c r="D67" s="99">
        <f>IFERROR(B67/$B$13,0)</f>
        <v>2.2e-06</v>
      </c>
      <c r="E67" s="131">
        <f>IFERROR(C67/B67/500.0,0)</f>
        <v>8480.20227272727</v>
      </c>
      <c r="F67" s="132" t="n"/>
      <c r="G67" s="13" t="inlineStr">
        <is>
          <t>(8000, 9000]</t>
        </is>
      </c>
      <c r="H67" s="127">
        <v>0</v>
      </c>
      <c r="I67" s="99">
        <f>IFERROR(B67/$B$13,0)</f>
        <v>0</v>
      </c>
      <c r="J67" s="99">
        <f>IFERROR(K67/$B$2,0)</f>
        <v>0</v>
      </c>
      <c r="K67" s="133">
        <v>0</v>
      </c>
      <c r="L67" s="99">
        <f>IFERROR(K67/SUM($K$15:$K$79),0)</f>
        <v>0</v>
      </c>
      <c r="M67" s="99">
        <f>IFERROR(L67*E67,0)</f>
        <v>0</v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>
        <v>13</v>
      </c>
      <c r="C68" s="130">
        <v>61536625</v>
      </c>
      <c r="D68" s="99">
        <f>IFERROR(B68/$B$13,0)</f>
        <v>1.3e-06</v>
      </c>
      <c r="E68" s="131">
        <f>IFERROR(C68/B68/500.0,0)</f>
        <v>9467.17307692308</v>
      </c>
      <c r="F68" s="132" t="n"/>
      <c r="G68" s="13" t="inlineStr">
        <is>
          <t>(9000, 10000]</t>
        </is>
      </c>
      <c r="H68" s="127">
        <v>0</v>
      </c>
      <c r="I68" s="99">
        <f>IFERROR(B68/$B$13,0)</f>
        <v>0</v>
      </c>
      <c r="J68" s="99">
        <f>IFERROR(K68/$B$2,0)</f>
        <v>0</v>
      </c>
      <c r="K68" s="133">
        <v>0</v>
      </c>
      <c r="L68" s="99">
        <f>IFERROR(K68/SUM($K$15:$K$79),0)</f>
        <v>0</v>
      </c>
      <c r="M68" s="99">
        <f>IFERROR(L68*E68,0)</f>
        <v>0</v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>
        <v>97</v>
      </c>
      <c r="C69" s="130">
        <v>670412775</v>
      </c>
      <c r="D69" s="99">
        <f>IFERROR(B69/$B$13,0)</f>
        <v>9.7e-06</v>
      </c>
      <c r="E69" s="131">
        <f>IFERROR(C69/B69/500.0,0)</f>
        <v>13822.943814433</v>
      </c>
      <c r="F69" s="132" t="n"/>
      <c r="G69" s="13" t="inlineStr">
        <is>
          <t>(10000, 20000]</t>
        </is>
      </c>
      <c r="H69" s="127">
        <v>0</v>
      </c>
      <c r="I69" s="99">
        <f>IFERROR(B69/$B$13,0)</f>
        <v>0</v>
      </c>
      <c r="J69" s="99">
        <f>IFERROR(K69/$B$2,0)</f>
        <v>0</v>
      </c>
      <c r="K69" s="133">
        <v>0</v>
      </c>
      <c r="L69" s="99">
        <f>IFERROR(K69/SUM($K$15:$K$79),0)</f>
        <v>0</v>
      </c>
      <c r="M69" s="99">
        <f>IFERROR(L69*E69,0)</f>
        <v>0</v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>
        <v>10</v>
      </c>
      <c r="C70" s="130">
        <v>116279275</v>
      </c>
      <c r="D70" s="99">
        <f>IFERROR(B70/$B$13,0)</f>
        <v>1e-06</v>
      </c>
      <c r="E70" s="131">
        <f>IFERROR(C70/B70/500.0,0)</f>
        <v>23255.855</v>
      </c>
      <c r="F70" s="132" t="n"/>
      <c r="G70" s="13" t="inlineStr">
        <is>
          <t>(20000, 30000]</t>
        </is>
      </c>
      <c r="H70" s="127">
        <v>0</v>
      </c>
      <c r="I70" s="99">
        <f>IFERROR(B70/$B$13,0)</f>
        <v>0</v>
      </c>
      <c r="J70" s="99">
        <f>IFERROR(K70/$B$2,0)</f>
        <v>0</v>
      </c>
      <c r="K70" s="133">
        <v>0</v>
      </c>
      <c r="L70" s="99">
        <f>IFERROR(K70/SUM($K$15:$K$79),0)</f>
        <v>0</v>
      </c>
      <c r="M70" s="99">
        <f>IFERROR(L70*E70,0)</f>
        <v>0</v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>
        <v>9</v>
      </c>
      <c r="C71" s="130">
        <v>148717000</v>
      </c>
      <c r="D71" s="99">
        <f>IFERROR(B71/$B$13,0)</f>
        <v>9e-07</v>
      </c>
      <c r="E71" s="131">
        <f>IFERROR(C71/B71/500.0,0)</f>
        <v>33048.2222222222</v>
      </c>
      <c r="F71" s="132" t="n"/>
      <c r="G71" s="13" t="inlineStr">
        <is>
          <t>(30000, 40000]</t>
        </is>
      </c>
      <c r="H71" s="127">
        <v>0</v>
      </c>
      <c r="I71" s="99">
        <f>IFERROR(B71/$B$13,0)</f>
        <v>0</v>
      </c>
      <c r="J71" s="99">
        <f>IFERROR(K71/$B$2,0)</f>
        <v>0</v>
      </c>
      <c r="K71" s="133">
        <v>0</v>
      </c>
      <c r="L71" s="99">
        <f>IFERROR(K71/SUM($K$15:$K$79),0)</f>
        <v>0</v>
      </c>
      <c r="M71" s="99">
        <f>IFERROR(L71*E71,0)</f>
        <v>0</v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>
        <v>2</v>
      </c>
      <c r="C72" s="130">
        <v>41812500</v>
      </c>
      <c r="D72" s="99">
        <f>IFERROR(B72/$B$13,0)</f>
        <v>2e-07</v>
      </c>
      <c r="E72" s="131">
        <f>IFERROR(C72/B72/500.0,0)</f>
        <v>41812.5</v>
      </c>
      <c r="F72" s="132" t="n"/>
      <c r="G72" s="13" t="inlineStr">
        <is>
          <t>(40000, 50000]</t>
        </is>
      </c>
      <c r="H72" s="127">
        <v>0</v>
      </c>
      <c r="I72" s="99">
        <f>IFERROR(B72/$B$13,0)</f>
        <v>0</v>
      </c>
      <c r="J72" s="99">
        <f>IFERROR(K72/$B$2,0)</f>
        <v>0</v>
      </c>
      <c r="K72" s="133">
        <v>0</v>
      </c>
      <c r="L72" s="99">
        <f>IFERROR(K72/SUM($K$15:$K$79),0)</f>
        <v>0</v>
      </c>
      <c r="M72" s="99">
        <f>IFERROR(L72*E72,0)</f>
        <v>0</v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>
        <v>2</v>
      </c>
      <c r="C73" s="130">
        <v>54968100</v>
      </c>
      <c r="D73" s="99">
        <f>IFERROR(B73/$B$13,0)</f>
        <v>2e-07</v>
      </c>
      <c r="E73" s="131">
        <f>IFERROR(C73/B73/500.0,0)</f>
        <v>54968.1</v>
      </c>
      <c r="F73" s="132" t="n"/>
      <c r="G73" s="13" t="inlineStr">
        <is>
          <t>(50000, 60000]</t>
        </is>
      </c>
      <c r="H73" s="127">
        <v>0</v>
      </c>
      <c r="I73" s="99">
        <f>IFERROR(B73/$B$13,0)</f>
        <v>0</v>
      </c>
      <c r="J73" s="99">
        <f>IFERROR(K73/$B$2,0)</f>
        <v>0</v>
      </c>
      <c r="K73" s="133">
        <v>0</v>
      </c>
      <c r="L73" s="99">
        <f>IFERROR(K73/SUM($K$15:$K$79),0)</f>
        <v>0</v>
      </c>
      <c r="M73" s="99">
        <f>IFERROR(L73*E73,0)</f>
        <v>0</v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>
        <v>2</v>
      </c>
      <c r="C74" s="130">
        <v>63437500</v>
      </c>
      <c r="D74" s="99">
        <f>IFERROR(B74/$B$13,0)</f>
        <v>2e-07</v>
      </c>
      <c r="E74" s="131">
        <f>IFERROR(C74/B74/500.0,0)</f>
        <v>63437.5</v>
      </c>
      <c r="F74" s="132" t="n"/>
      <c r="G74" s="13" t="inlineStr">
        <is>
          <t>(60000, 70000]</t>
        </is>
      </c>
      <c r="H74" s="127">
        <v>0</v>
      </c>
      <c r="I74" s="99">
        <f>IFERROR(B74/$B$13,0)</f>
        <v>0</v>
      </c>
      <c r="J74" s="99">
        <f>IFERROR(K74/$B$2,0)</f>
        <v>0</v>
      </c>
      <c r="K74" s="133">
        <v>0</v>
      </c>
      <c r="L74" s="99">
        <f>IFERROR(K74/SUM($K$15:$K$79),0)</f>
        <v>0</v>
      </c>
      <c r="M74" s="99">
        <f>IFERROR(L74*E74,0)</f>
        <v>0</v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>
        <v>0</v>
      </c>
      <c r="C75" s="130">
        <v>0</v>
      </c>
      <c r="D75" s="99">
        <f>IFERROR(B75/$B$13,0)</f>
        <v>0</v>
      </c>
      <c r="E75" s="131">
        <f>IFERROR(C75/B75/500.0,0)</f>
        <v>0</v>
      </c>
      <c r="F75" s="132" t="n"/>
      <c r="G75" s="13" t="inlineStr">
        <is>
          <t>(70000, 80000]</t>
        </is>
      </c>
      <c r="H75" s="127">
        <v>0</v>
      </c>
      <c r="I75" s="99">
        <f>IFERROR(B75/$B$13,0)</f>
        <v>0</v>
      </c>
      <c r="J75" s="99">
        <f>IFERROR(K75/$B$2,0)</f>
        <v>0</v>
      </c>
      <c r="K75" s="133">
        <v>0</v>
      </c>
      <c r="L75" s="99">
        <f>IFERROR(K75/SUM($K$15:$K$79),0)</f>
        <v>0</v>
      </c>
      <c r="M75" s="99">
        <f>IFERROR(L75*E75,0)</f>
        <v>0</v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>
        <v>0</v>
      </c>
      <c r="C76" s="130">
        <v>0</v>
      </c>
      <c r="D76" s="99">
        <f>IFERROR(B76/$B$13,0)</f>
        <v>0</v>
      </c>
      <c r="E76" s="131">
        <f>IFERROR(C76/B76/500.0,0)</f>
        <v>0</v>
      </c>
      <c r="F76" s="132" t="n"/>
      <c r="G76" s="13" t="inlineStr">
        <is>
          <t>(80000, 90000]</t>
        </is>
      </c>
      <c r="H76" s="127">
        <v>0</v>
      </c>
      <c r="I76" s="99">
        <f>IFERROR(B76/$B$13,0)</f>
        <v>0</v>
      </c>
      <c r="J76" s="99">
        <f>IFERROR(K76/$B$2,0)</f>
        <v>0</v>
      </c>
      <c r="K76" s="133">
        <v>0</v>
      </c>
      <c r="L76" s="99">
        <f>IFERROR(K76/SUM($K$15:$K$79),0)</f>
        <v>0</v>
      </c>
      <c r="M76" s="99">
        <f>IFERROR(L76*E76,0)</f>
        <v>0</v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>
        <v>0</v>
      </c>
      <c r="C77" s="130">
        <v>0</v>
      </c>
      <c r="D77" s="99">
        <f>IFERROR(B77/$B$13,0)</f>
        <v>0</v>
      </c>
      <c r="E77" s="131">
        <f>IFERROR(C77/B77/500.0,0)</f>
        <v>0</v>
      </c>
      <c r="F77" s="132" t="n"/>
      <c r="G77" s="13" t="inlineStr">
        <is>
          <t>(90000, 100000]</t>
        </is>
      </c>
      <c r="H77" s="127">
        <v>0</v>
      </c>
      <c r="I77" s="99">
        <f>IFERROR(B77/$B$13,0)</f>
        <v>0</v>
      </c>
      <c r="J77" s="99">
        <f>IFERROR(K77/$B$2,0)</f>
        <v>0</v>
      </c>
      <c r="K77" s="133">
        <v>0</v>
      </c>
      <c r="L77" s="99">
        <f>IFERROR(K77/SUM($K$15:$K$79),0)</f>
        <v>0</v>
      </c>
      <c r="M77" s="99">
        <f>IFERROR(L77*E77,0)</f>
        <v>0</v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>
        <v>0</v>
      </c>
      <c r="C78" s="130">
        <v>0</v>
      </c>
      <c r="D78" s="99">
        <f>IFERROR(B78/$B$13,0)</f>
        <v>0</v>
      </c>
      <c r="E78" s="131">
        <f>IFERROR(C78/B78/500.0,0)</f>
        <v>0</v>
      </c>
      <c r="F78" s="132" t="n"/>
      <c r="G78" s="13" t="inlineStr">
        <is>
          <t>(100000, 9999999]</t>
        </is>
      </c>
      <c r="H78" s="127">
        <v>0</v>
      </c>
      <c r="I78" s="99">
        <f>IFERROR(B78/$B$13,0)</f>
        <v>0</v>
      </c>
      <c r="J78" s="99">
        <f>IFERROR(K78/$B$2,0)</f>
        <v>0</v>
      </c>
      <c r="K78" s="133">
        <v>0</v>
      </c>
      <c r="L78" s="99">
        <f>IFERROR(K78/SUM($K$15:$K$79),0)</f>
        <v>0</v>
      </c>
      <c r="M78" s="99">
        <f>IFERROR(L78*E78,0)</f>
        <v>0</v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>
        <v>22040</v>
      </c>
      <c r="C79" s="130">
        <v>44813925</v>
      </c>
      <c r="D79" s="99">
        <f>B79/B13</f>
        <v>0.002204</v>
      </c>
      <c r="E79" s="131">
        <f>IFERROR(C79/B79/$B$3,0)</f>
        <v>4.06659936479129</v>
      </c>
      <c r="F79" s="132" t="n"/>
      <c r="G79" s="13" t="inlineStr">
        <is>
          <t>Free Game</t>
        </is>
      </c>
      <c r="H79" s="127">
        <v>1.51240187175842</v>
      </c>
      <c r="I79" s="99">
        <f>D79*H79</f>
        <v>0.00333333372535556</v>
      </c>
      <c r="J79" s="99">
        <f>I79</f>
        <v>0.00333333372535556</v>
      </c>
      <c r="K79" s="133">
        <v>3344482</v>
      </c>
      <c r="L79" s="99">
        <f>IFERROR(K79/SUM($K$15:$K$79),0)</f>
        <v>0.00333333372535556</v>
      </c>
      <c r="M79" s="99">
        <f>L79*E79</f>
        <v>0.0135553328101683</v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>
        <v>22143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>
        <v>4</v>
      </c>
      <c r="C86" s="125">
        <v>0</v>
      </c>
      <c r="D86" s="99">
        <f>IFERROR(B86/$B$84,0)</f>
        <v>0.000180643995845188</v>
      </c>
      <c r="E86" s="126">
        <f>IFERROR(C86/B86/500.0,0)</f>
        <v>0</v>
      </c>
      <c r="G86" s="13" t="inlineStr">
        <is>
          <t>(-1, 0]</t>
        </is>
      </c>
      <c r="H86" s="127">
        <v>0</v>
      </c>
      <c r="I86" s="99">
        <f>IFERROR(B86/$B$84,0)</f>
        <v>0</v>
      </c>
      <c r="J86" s="99">
        <f>IFERROR(K86/$B$2,0)</f>
        <v>0</v>
      </c>
      <c r="K86" s="128">
        <v>0</v>
      </c>
      <c r="L86" s="99">
        <f>IFERROR(K86/$B$2,0)</f>
        <v>0</v>
      </c>
      <c r="M86" s="99">
        <f>IFERROR(L86*E86,0)</f>
        <v>0</v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>
        <v>27</v>
      </c>
      <c r="C87" s="130">
        <v>9150</v>
      </c>
      <c r="D87" s="99">
        <f>IFERROR(B87/$B$84,0)</f>
        <v>0.00121934697195502</v>
      </c>
      <c r="E87" s="131">
        <f>IFERROR(C87/B87/500.0,0)</f>
        <v>0.677777777777778</v>
      </c>
      <c r="G87" s="13" t="inlineStr">
        <is>
          <t>(0, 1]</t>
        </is>
      </c>
      <c r="H87" s="127">
        <v>0</v>
      </c>
      <c r="I87" s="99">
        <f>IFERROR(B87/$B$84,0)</f>
        <v>0</v>
      </c>
      <c r="J87" s="99">
        <f>IFERROR(K87/$B$2,0)</f>
        <v>0</v>
      </c>
      <c r="K87" s="128">
        <v>0</v>
      </c>
      <c r="L87" s="99">
        <f>IFERROR(K87/$B$2,0)</f>
        <v>0</v>
      </c>
      <c r="M87" s="99">
        <f>IFERROR(L87*E87,0)</f>
        <v>0</v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>
        <v>49</v>
      </c>
      <c r="C88" s="130">
        <v>38975</v>
      </c>
      <c r="D88" s="99">
        <f>IFERROR(B88/$B$84,0)</f>
        <v>0.00221288894910355</v>
      </c>
      <c r="E88" s="131">
        <f>IFERROR(C88/B88/500.0,0)</f>
        <v>1.59081632653061</v>
      </c>
      <c r="F88" s="50" t="n"/>
      <c r="G88" s="13" t="inlineStr">
        <is>
          <t>(1, 2]</t>
        </is>
      </c>
      <c r="H88" s="127">
        <v>0</v>
      </c>
      <c r="I88" s="99">
        <f>IFERROR(B88/$B$84,0)</f>
        <v>0</v>
      </c>
      <c r="J88" s="99">
        <f>IFERROR(K88/$B$2,0)</f>
        <v>0</v>
      </c>
      <c r="K88" s="128">
        <v>0</v>
      </c>
      <c r="L88" s="99">
        <f>IFERROR(K88/$B$2,0)</f>
        <v>0</v>
      </c>
      <c r="M88" s="99">
        <f>IFERROR(L88*E88,0)</f>
        <v>0</v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>
        <v>70</v>
      </c>
      <c r="C89" s="130">
        <v>90475</v>
      </c>
      <c r="D89" s="99">
        <f>IFERROR(B89/$B$84,0)</f>
        <v>0.00316126992729079</v>
      </c>
      <c r="E89" s="131">
        <f>IFERROR(C89/B89/500.0,0)</f>
        <v>2.585</v>
      </c>
      <c r="F89" s="129" t="n"/>
      <c r="G89" s="13" t="inlineStr">
        <is>
          <t>(2, 3]</t>
        </is>
      </c>
      <c r="H89" s="127">
        <v>0</v>
      </c>
      <c r="I89" s="99">
        <f>IFERROR(B89/$B$84,0)</f>
        <v>0</v>
      </c>
      <c r="J89" s="99">
        <f>IFERROR(K89/$B$2,0)</f>
        <v>0</v>
      </c>
      <c r="K89" s="128">
        <v>0</v>
      </c>
      <c r="L89" s="99">
        <f>IFERROR(K89/$B$2,0)</f>
        <v>0</v>
      </c>
      <c r="M89" s="99">
        <f>IFERROR(L89*E89,0)</f>
        <v>0</v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>
        <v>116</v>
      </c>
      <c r="C90" s="130">
        <v>205200</v>
      </c>
      <c r="D90" s="99">
        <f>IFERROR(B90/$B$84,0)</f>
        <v>0.00523867587951045</v>
      </c>
      <c r="E90" s="131">
        <f>IFERROR(C90/B90/500.0,0)</f>
        <v>3.53793103448276</v>
      </c>
      <c r="F90" s="129" t="n"/>
      <c r="G90" s="13" t="inlineStr">
        <is>
          <t>(3, 4]</t>
        </is>
      </c>
      <c r="H90" s="127">
        <v>0</v>
      </c>
      <c r="I90" s="99">
        <f>IFERROR(B90/$B$84,0)</f>
        <v>0</v>
      </c>
      <c r="J90" s="99">
        <f>IFERROR(K90/$B$2,0)</f>
        <v>0</v>
      </c>
      <c r="K90" s="128">
        <v>0</v>
      </c>
      <c r="L90" s="99">
        <f>IFERROR(K90/$B$2,0)</f>
        <v>0</v>
      </c>
      <c r="M90" s="99">
        <f>IFERROR(L90*E90,0)</f>
        <v>0</v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>
        <v>140</v>
      </c>
      <c r="C91" s="130">
        <v>316600</v>
      </c>
      <c r="D91" s="99">
        <f>IFERROR(B91/$B$84,0)</f>
        <v>0.00632253985458158</v>
      </c>
      <c r="E91" s="131">
        <f>IFERROR(C91/B91/500.0,0)</f>
        <v>4.52285714285714</v>
      </c>
      <c r="F91" s="129" t="n"/>
      <c r="G91" s="13" t="inlineStr">
        <is>
          <t>(4, 5]</t>
        </is>
      </c>
      <c r="H91" s="127">
        <v>0</v>
      </c>
      <c r="I91" s="99">
        <f>IFERROR(B91/$B$84,0)</f>
        <v>0</v>
      </c>
      <c r="J91" s="99">
        <f>IFERROR(K91/$B$2,0)</f>
        <v>0</v>
      </c>
      <c r="K91" s="128">
        <v>0</v>
      </c>
      <c r="L91" s="99">
        <f>IFERROR(K91/$B$2,0)</f>
        <v>0</v>
      </c>
      <c r="M91" s="99">
        <f>IFERROR(L91*E91,0)</f>
        <v>0</v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>
        <v>136</v>
      </c>
      <c r="C92" s="130">
        <v>375325</v>
      </c>
      <c r="D92" s="99">
        <f>IFERROR(B92/$B$84,0)</f>
        <v>0.0061418958587364</v>
      </c>
      <c r="E92" s="131">
        <f>IFERROR(C92/B92/500.0,0)</f>
        <v>5.51948529411765</v>
      </c>
      <c r="F92" s="129" t="n"/>
      <c r="G92" s="13" t="inlineStr">
        <is>
          <t>(5, 6]</t>
        </is>
      </c>
      <c r="H92" s="127">
        <v>0</v>
      </c>
      <c r="I92" s="99">
        <f>IFERROR(B92/$B$84,0)</f>
        <v>0</v>
      </c>
      <c r="J92" s="99">
        <f>IFERROR(K92/$B$2,0)</f>
        <v>0</v>
      </c>
      <c r="K92" s="128">
        <v>0</v>
      </c>
      <c r="L92" s="99">
        <f>IFERROR(K92/$B$2,0)</f>
        <v>0</v>
      </c>
      <c r="M92" s="99">
        <f>IFERROR(L92*E92,0)</f>
        <v>0</v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>
        <v>165</v>
      </c>
      <c r="C93" s="130">
        <v>539050</v>
      </c>
      <c r="D93" s="99">
        <f>IFERROR(B93/$B$84,0)</f>
        <v>0.00745156482861401</v>
      </c>
      <c r="E93" s="131">
        <f>IFERROR(C93/B93/500.0,0)</f>
        <v>6.53393939393939</v>
      </c>
      <c r="F93" s="129" t="n"/>
      <c r="G93" s="13" t="inlineStr">
        <is>
          <t>(6, 7]</t>
        </is>
      </c>
      <c r="H93" s="127">
        <v>0</v>
      </c>
      <c r="I93" s="99">
        <f>IFERROR(B93/$B$84,0)</f>
        <v>0</v>
      </c>
      <c r="J93" s="99">
        <f>IFERROR(K93/$B$2,0)</f>
        <v>0</v>
      </c>
      <c r="K93" s="128">
        <v>0</v>
      </c>
      <c r="L93" s="99">
        <f>IFERROR(K93/$B$2,0)</f>
        <v>0</v>
      </c>
      <c r="M93" s="99">
        <f>IFERROR(L93*E93,0)</f>
        <v>0</v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>
        <v>177</v>
      </c>
      <c r="C94" s="130">
        <v>664400</v>
      </c>
      <c r="D94" s="99">
        <f>IFERROR(B94/$B$84,0)</f>
        <v>0.00799349681614957</v>
      </c>
      <c r="E94" s="131">
        <f>IFERROR(C94/B94/500.0,0)</f>
        <v>7.50734463276836</v>
      </c>
      <c r="F94" s="129" t="n"/>
      <c r="G94" s="13" t="inlineStr">
        <is>
          <t>(7, 8]</t>
        </is>
      </c>
      <c r="H94" s="127">
        <v>0</v>
      </c>
      <c r="I94" s="99">
        <f>IFERROR(B94/$B$84,0)</f>
        <v>0</v>
      </c>
      <c r="J94" s="99">
        <f>IFERROR(K94/$B$2,0)</f>
        <v>0</v>
      </c>
      <c r="K94" s="128">
        <v>0</v>
      </c>
      <c r="L94" s="99">
        <f>IFERROR(K94/$B$2,0)</f>
        <v>0</v>
      </c>
      <c r="M94" s="99">
        <f>IFERROR(L94*E94,0)</f>
        <v>0</v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>
        <v>199</v>
      </c>
      <c r="C95" s="130">
        <v>848525</v>
      </c>
      <c r="D95" s="99">
        <f>IFERROR(B95/$B$84,0)</f>
        <v>0.00898703879329811</v>
      </c>
      <c r="E95" s="131">
        <f>IFERROR(C95/B95/500.0,0)</f>
        <v>8.52788944723618</v>
      </c>
      <c r="F95" s="129" t="n"/>
      <c r="G95" s="13" t="inlineStr">
        <is>
          <t>(8, 9]</t>
        </is>
      </c>
      <c r="H95" s="127">
        <v>0</v>
      </c>
      <c r="I95" s="99">
        <f>IFERROR(B95/$B$84,0)</f>
        <v>0</v>
      </c>
      <c r="J95" s="99">
        <f>IFERROR(K95/$B$2,0)</f>
        <v>0</v>
      </c>
      <c r="K95" s="128">
        <v>0</v>
      </c>
      <c r="L95" s="99">
        <f>IFERROR(K95/$B$2,0)</f>
        <v>0</v>
      </c>
      <c r="M95" s="99">
        <f>IFERROR(L95*E95,0)</f>
        <v>0</v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>
        <v>189</v>
      </c>
      <c r="C96" s="130">
        <v>903125</v>
      </c>
      <c r="D96" s="99">
        <f>IFERROR(B96/$B$84,0)</f>
        <v>0.00853542880368514</v>
      </c>
      <c r="E96" s="131">
        <f>IFERROR(C96/B96/500.0,0)</f>
        <v>9.55687830687831</v>
      </c>
      <c r="F96" s="129" t="n"/>
      <c r="G96" s="13" t="inlineStr">
        <is>
          <t>(9, 10]</t>
        </is>
      </c>
      <c r="H96" s="127">
        <v>0</v>
      </c>
      <c r="I96" s="99">
        <f>IFERROR(B96/$B$84,0)</f>
        <v>0</v>
      </c>
      <c r="J96" s="99">
        <f>IFERROR(K96/$B$2,0)</f>
        <v>0</v>
      </c>
      <c r="K96" s="128">
        <v>0</v>
      </c>
      <c r="L96" s="99">
        <f>IFERROR(K96/$B$2,0)</f>
        <v>0</v>
      </c>
      <c r="M96" s="99">
        <f>IFERROR(L96*E96,0)</f>
        <v>0</v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>
        <v>897</v>
      </c>
      <c r="C97" s="130">
        <v>5616400</v>
      </c>
      <c r="D97" s="99">
        <f>IFERROR(B97/$B$84,0)</f>
        <v>0.0405094160682834</v>
      </c>
      <c r="E97" s="131">
        <f>IFERROR(C97/B97/500.0,0)</f>
        <v>12.5226309921962</v>
      </c>
      <c r="F97" s="129" t="n"/>
      <c r="G97" s="13" t="inlineStr">
        <is>
          <t>(10, 15]</t>
        </is>
      </c>
      <c r="H97" s="127">
        <v>0</v>
      </c>
      <c r="I97" s="99">
        <f>IFERROR(B97/$B$84,0)</f>
        <v>0</v>
      </c>
      <c r="J97" s="99">
        <f>IFERROR(K97/$B$2,0)</f>
        <v>0</v>
      </c>
      <c r="K97" s="128">
        <v>0</v>
      </c>
      <c r="L97" s="99">
        <f>IFERROR(K97/$B$2,0)</f>
        <v>0</v>
      </c>
      <c r="M97" s="99">
        <f>IFERROR(L97*E97,0)</f>
        <v>0</v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>
        <v>904</v>
      </c>
      <c r="C98" s="130">
        <v>7931900</v>
      </c>
      <c r="D98" s="99">
        <f>IFERROR(B98/$B$84,0)</f>
        <v>0.0408255430610125</v>
      </c>
      <c r="E98" s="131">
        <f>IFERROR(C98/B98/500.0,0)</f>
        <v>17.5484513274336</v>
      </c>
      <c r="F98" s="129" t="n"/>
      <c r="G98" s="13" t="inlineStr">
        <is>
          <t>(15, 20]</t>
        </is>
      </c>
      <c r="H98" s="127">
        <v>0</v>
      </c>
      <c r="I98" s="99">
        <f>IFERROR(B98/$B$84,0)</f>
        <v>0</v>
      </c>
      <c r="J98" s="99">
        <f>IFERROR(K98/$B$2,0)</f>
        <v>0</v>
      </c>
      <c r="K98" s="128">
        <v>0</v>
      </c>
      <c r="L98" s="99">
        <f>IFERROR(K98/$B$2,0)</f>
        <v>0</v>
      </c>
      <c r="M98" s="99">
        <f>IFERROR(L98*E98,0)</f>
        <v>0</v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>
        <v>827</v>
      </c>
      <c r="C99" s="130">
        <v>9271325</v>
      </c>
      <c r="D99" s="99">
        <f>IFERROR(B99/$B$84,0)</f>
        <v>0.0373481461409926</v>
      </c>
      <c r="E99" s="131">
        <f>IFERROR(C99/B99/500.0,0)</f>
        <v>22.4215840386941</v>
      </c>
      <c r="F99" s="129" t="n"/>
      <c r="G99" s="13" t="inlineStr">
        <is>
          <t>(20, 25]</t>
        </is>
      </c>
      <c r="H99" s="127">
        <v>0.0685382345441354</v>
      </c>
      <c r="I99" s="99">
        <f>IFERROR(B99/$B$84,0)</f>
        <v>0.002559776</v>
      </c>
      <c r="J99" s="99">
        <f>IFERROR(K99/$B$2,0)</f>
        <v>0.002559776</v>
      </c>
      <c r="K99" s="128">
        <v>2559776</v>
      </c>
      <c r="L99" s="99">
        <f>IFERROR(K99/$B$2,0)</f>
        <v>0.002559776</v>
      </c>
      <c r="M99" s="99">
        <f>IFERROR(L99*E99,0)</f>
        <v>0.0573942327042322</v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>
        <v>754</v>
      </c>
      <c r="C100" s="130">
        <v>10395175</v>
      </c>
      <c r="D100" s="99">
        <f>IFERROR(B100/$B$84,0)</f>
        <v>0.034051393216818</v>
      </c>
      <c r="E100" s="131">
        <f>IFERROR(C100/B100/500.0,0)</f>
        <v>27.5734084880637</v>
      </c>
      <c r="F100" s="129" t="n"/>
      <c r="G100" s="13" t="inlineStr">
        <is>
          <t>(25, 30]</t>
        </is>
      </c>
      <c r="H100" s="127">
        <v>3.47066266121618</v>
      </c>
      <c r="I100" s="99">
        <f>IFERROR(B100/$B$84,0)</f>
        <v>0.118180899</v>
      </c>
      <c r="J100" s="99">
        <f>IFERROR(K100/$B$2,0)</f>
        <v>0.118180899</v>
      </c>
      <c r="K100" s="128">
        <v>118180899</v>
      </c>
      <c r="L100" s="99">
        <f>IFERROR(K100/$B$2,0)</f>
        <v>0.118180899</v>
      </c>
      <c r="M100" s="99">
        <f>IFERROR(L100*E100,0)</f>
        <v>3.25865020361359</v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>
        <v>685</v>
      </c>
      <c r="C101" s="130">
        <v>11140575</v>
      </c>
      <c r="D101" s="99">
        <f>IFERROR(B101/$B$84,0)</f>
        <v>0.0309352842884885</v>
      </c>
      <c r="E101" s="131">
        <f>IFERROR(C101/B101/500.0,0)</f>
        <v>32.5272262773723</v>
      </c>
      <c r="F101" s="129" t="n"/>
      <c r="G101" s="13" t="inlineStr">
        <is>
          <t>(30, 35]</t>
        </is>
      </c>
      <c r="H101" s="127">
        <v>3.62827184496788</v>
      </c>
      <c r="I101" s="99">
        <f>IFERROR(B101/$B$84,0)</f>
        <v>0.112241621</v>
      </c>
      <c r="J101" s="99">
        <f>IFERROR(K101/$B$2,0)</f>
        <v>0.112241621</v>
      </c>
      <c r="K101" s="128">
        <v>112241621</v>
      </c>
      <c r="L101" s="99">
        <f>IFERROR(K101/$B$2,0)</f>
        <v>0.112241621</v>
      </c>
      <c r="M101" s="99">
        <f>IFERROR(L101*E101,0)</f>
        <v>3.65090860400606</v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>
        <v>705</v>
      </c>
      <c r="C102" s="130">
        <v>13210900</v>
      </c>
      <c r="D102" s="99">
        <f>IFERROR(B102/$B$84,0)</f>
        <v>0.0318385042677144</v>
      </c>
      <c r="E102" s="131">
        <f>IFERROR(C102/B102/500.0,0)</f>
        <v>37.4777304964539</v>
      </c>
      <c r="F102" s="129" t="n"/>
      <c r="G102" s="13" t="inlineStr">
        <is>
          <t>(35, 40]</t>
        </is>
      </c>
      <c r="H102" s="127">
        <v>1.11297451984681</v>
      </c>
      <c r="I102" s="99">
        <f>IFERROR(B102/$B$84,0)</f>
        <v>0.035435444</v>
      </c>
      <c r="J102" s="99">
        <f>IFERROR(K102/$B$2,0)</f>
        <v>0.035435444</v>
      </c>
      <c r="K102" s="128">
        <v>35435444</v>
      </c>
      <c r="L102" s="99">
        <f>IFERROR(K102/$B$2,0)</f>
        <v>0.035435444</v>
      </c>
      <c r="M102" s="99">
        <f>IFERROR(L102*E102,0)</f>
        <v>1.32804002025418</v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>
        <v>626</v>
      </c>
      <c r="C103" s="130">
        <v>13277625</v>
      </c>
      <c r="D103" s="99">
        <f>IFERROR(B103/$B$84,0)</f>
        <v>0.0282707853497719</v>
      </c>
      <c r="E103" s="131">
        <f>IFERROR(C103/B103/500.0,0)</f>
        <v>42.4205271565495</v>
      </c>
      <c r="F103" s="129" t="n"/>
      <c r="G103" s="13" t="inlineStr">
        <is>
          <t>(40, 45]</t>
        </is>
      </c>
      <c r="H103" s="127">
        <v>2.36711492701917</v>
      </c>
      <c r="I103" s="99">
        <f>IFERROR(B103/$B$84,0)</f>
        <v>0.066920198</v>
      </c>
      <c r="J103" s="99">
        <f>IFERROR(K103/$B$2,0)</f>
        <v>0.066920198</v>
      </c>
      <c r="K103" s="128">
        <v>66920198</v>
      </c>
      <c r="L103" s="99">
        <f>IFERROR(K103/$B$2,0)</f>
        <v>0.066920198</v>
      </c>
      <c r="M103" s="99">
        <f>IFERROR(L103*E103,0)</f>
        <v>2.83879007658067</v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>
        <v>565</v>
      </c>
      <c r="C104" s="130">
        <v>13415400</v>
      </c>
      <c r="D104" s="99">
        <f>IFERROR(B104/$B$84,0)</f>
        <v>0.0255159644131328</v>
      </c>
      <c r="E104" s="131">
        <f>IFERROR(C104/B104/500.0,0)</f>
        <v>47.4881415929203</v>
      </c>
      <c r="F104" s="129" t="n"/>
      <c r="G104" s="13" t="inlineStr">
        <is>
          <t>(45, 50]</t>
        </is>
      </c>
      <c r="H104" s="127">
        <v>5.87867256637168</v>
      </c>
      <c r="I104" s="99">
        <f>IFERROR(B104/$B$84,0)</f>
        <v>0.15</v>
      </c>
      <c r="J104" s="99">
        <f>IFERROR(K104/$B$2,0)</f>
        <v>0.15</v>
      </c>
      <c r="K104" s="128">
        <v>150000000</v>
      </c>
      <c r="L104" s="99">
        <f>IFERROR(K104/$B$2,0)</f>
        <v>0.15</v>
      </c>
      <c r="M104" s="99">
        <f>IFERROR(L104*E104,0)</f>
        <v>7.12322123893805</v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>
        <v>1130</v>
      </c>
      <c r="C105" s="130">
        <v>31003150</v>
      </c>
      <c r="D105" s="99">
        <f>IFERROR(B105/$B$84,0)</f>
        <v>0.0510319288262656</v>
      </c>
      <c r="E105" s="131">
        <f>IFERROR(C105/B105/500.0,0)</f>
        <v>54.8728318584071</v>
      </c>
      <c r="F105" s="129" t="n"/>
      <c r="G105" s="13" t="inlineStr">
        <is>
          <t>(50, 60]</t>
        </is>
      </c>
      <c r="H105" s="127">
        <v>1.51432724134513</v>
      </c>
      <c r="I105" s="99">
        <f>IFERROR(B105/$B$84,0)</f>
        <v>0.07727904</v>
      </c>
      <c r="J105" s="99">
        <f>IFERROR(K105/$B$2,0)</f>
        <v>0.07727904</v>
      </c>
      <c r="K105" s="128">
        <v>77279040</v>
      </c>
      <c r="L105" s="99">
        <f>IFERROR(K105/$B$2,0)</f>
        <v>0.07727904</v>
      </c>
      <c r="M105" s="99">
        <f>IFERROR(L105*E105,0)</f>
        <v>4.24051976809911</v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>
        <v>1013</v>
      </c>
      <c r="C106" s="130">
        <v>32886925</v>
      </c>
      <c r="D106" s="99">
        <f>IFERROR(B106/$B$84,0)</f>
        <v>0.0457480919477939</v>
      </c>
      <c r="E106" s="131">
        <f>IFERROR(C106/B106/500.0,0)</f>
        <v>64.9297630799605</v>
      </c>
      <c r="F106" s="129" t="n"/>
      <c r="G106" s="13" t="inlineStr">
        <is>
          <t>(60, 70]</t>
        </is>
      </c>
      <c r="H106" s="127">
        <v>3.18978818103554</v>
      </c>
      <c r="I106" s="99">
        <f>IFERROR(B106/$B$84,0)</f>
        <v>0.145926723</v>
      </c>
      <c r="J106" s="99">
        <f>IFERROR(K106/$B$2,0)</f>
        <v>0.145926723</v>
      </c>
      <c r="K106" s="128">
        <v>145926723</v>
      </c>
      <c r="L106" s="99">
        <f>IFERROR(K106/$B$2,0)</f>
        <v>0.145926723</v>
      </c>
      <c r="M106" s="99">
        <f>IFERROR(L106*E106,0)</f>
        <v>9.47498755142503</v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>
        <v>903</v>
      </c>
      <c r="C107" s="130">
        <v>33789525</v>
      </c>
      <c r="D107" s="99">
        <f>IFERROR(B107/$B$84,0)</f>
        <v>0.0407803820620512</v>
      </c>
      <c r="E107" s="131">
        <f>IFERROR(C107/B107/500.0,0)</f>
        <v>74.8383720930233</v>
      </c>
      <c r="F107" s="129" t="n"/>
      <c r="G107" s="13" t="inlineStr">
        <is>
          <t>(70, 80]</t>
        </is>
      </c>
      <c r="H107" s="127">
        <v>3.36982333296678</v>
      </c>
      <c r="I107" s="99">
        <f>IFERROR(B107/$B$84,0)</f>
        <v>0.137422683</v>
      </c>
      <c r="J107" s="99">
        <f>IFERROR(K107/$B$2,0)</f>
        <v>0.137422683</v>
      </c>
      <c r="K107" s="128">
        <v>137422683</v>
      </c>
      <c r="L107" s="99">
        <f>IFERROR(K107/$B$2,0)</f>
        <v>0.137422683</v>
      </c>
      <c r="M107" s="99">
        <f>IFERROR(L107*E107,0)</f>
        <v>10.2844898843756</v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>
        <v>777</v>
      </c>
      <c r="C108" s="130">
        <v>33026300</v>
      </c>
      <c r="D108" s="99">
        <f>IFERROR(B108/$B$84,0)</f>
        <v>0.0350900961929278</v>
      </c>
      <c r="E108" s="131">
        <f>IFERROR(C108/B108/500.0,0)</f>
        <v>85.0097812097812</v>
      </c>
      <c r="F108" s="129" t="n"/>
      <c r="G108" s="13" t="inlineStr">
        <is>
          <t>(80, 90]</t>
        </is>
      </c>
      <c r="H108" s="127">
        <v>2.34249246705019</v>
      </c>
      <c r="I108" s="99">
        <f>IFERROR(B108/$B$84,0)</f>
        <v>0.082198286</v>
      </c>
      <c r="J108" s="99">
        <f>IFERROR(K108/$B$2,0)</f>
        <v>0.082198286</v>
      </c>
      <c r="K108" s="128">
        <v>82198286</v>
      </c>
      <c r="L108" s="99">
        <f>IFERROR(K108/$B$2,0)</f>
        <v>0.082198286</v>
      </c>
      <c r="M108" s="99">
        <f>IFERROR(L108*E108,0)</f>
        <v>6.98765830867902</v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>
        <v>749</v>
      </c>
      <c r="C109" s="130">
        <v>35515250</v>
      </c>
      <c r="D109" s="99">
        <f>IFERROR(B109/$B$84,0)</f>
        <v>0.0338255882220115</v>
      </c>
      <c r="E109" s="131">
        <f>IFERROR(C109/B109/500.0,0)</f>
        <v>94.8337783711615</v>
      </c>
      <c r="F109" s="129" t="n"/>
      <c r="G109" s="13" t="inlineStr">
        <is>
          <t>(90, 100]</t>
        </is>
      </c>
      <c r="H109" s="135">
        <v>0.369943869648865</v>
      </c>
      <c r="I109" s="51">
        <f>IFERROR(B109/$B$84,0)</f>
        <v>0.012513569</v>
      </c>
      <c r="J109" s="51">
        <f>IFERROR(K109/$B$2,0)</f>
        <v>0.012513569</v>
      </c>
      <c r="K109" s="128">
        <v>12513569</v>
      </c>
      <c r="L109" s="99">
        <f>IFERROR(K109/$B$2,0)</f>
        <v>0.012513569</v>
      </c>
      <c r="M109" s="99">
        <f>IFERROR(L109*E109,0)</f>
        <v>1.18670902917824</v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>
        <v>1243</v>
      </c>
      <c r="C110" s="130">
        <v>68299500</v>
      </c>
      <c r="D110" s="99">
        <f>IFERROR(B110/$B$84,0)</f>
        <v>0.0561351217088922</v>
      </c>
      <c r="E110" s="131">
        <f>IFERROR(C110/B110/500.0,0)</f>
        <v>109.894609814964</v>
      </c>
      <c r="F110" s="129" t="n"/>
      <c r="G110" s="13" t="inlineStr">
        <is>
          <t>(100, 120]</t>
        </is>
      </c>
      <c r="H110" s="135">
        <v>0.578481955884956</v>
      </c>
      <c r="I110" s="51">
        <f>IFERROR(B110/$B$84,0)</f>
        <v>0.032473155</v>
      </c>
      <c r="J110" s="51">
        <f>IFERROR(K110/$B$2,0)</f>
        <v>0.032473155</v>
      </c>
      <c r="K110" s="128">
        <v>32473155</v>
      </c>
      <c r="L110" s="99">
        <f>IFERROR(K110/$B$2,0)</f>
        <v>0.032473155</v>
      </c>
      <c r="M110" s="99">
        <f>IFERROR(L110*E110,0)</f>
        <v>3.56862469818584</v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>
        <v>1087</v>
      </c>
      <c r="C111" s="130">
        <v>70565050</v>
      </c>
      <c r="D111" s="99">
        <f>IFERROR(B111/$B$84,0)</f>
        <v>0.0490900058709299</v>
      </c>
      <c r="E111" s="131">
        <f>IFERROR(C111/B111/500.0,0)</f>
        <v>129.834498620055</v>
      </c>
      <c r="F111" s="129" t="n"/>
      <c r="G111" s="13" t="inlineStr">
        <is>
          <t>(120, 140]</t>
        </is>
      </c>
      <c r="H111" s="135">
        <v>0</v>
      </c>
      <c r="I111" s="51">
        <f>IFERROR(B111/$B$84,0)</f>
        <v>0</v>
      </c>
      <c r="J111" s="51">
        <f>IFERROR(K111/$B$2,0)</f>
        <v>0</v>
      </c>
      <c r="K111" s="128">
        <v>0</v>
      </c>
      <c r="L111" s="99">
        <f>IFERROR(K111/$B$2,0)</f>
        <v>0</v>
      </c>
      <c r="M111" s="99">
        <f>IFERROR(L111*E111,0)</f>
        <v>0</v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>
        <v>948</v>
      </c>
      <c r="C112" s="130">
        <v>70839325</v>
      </c>
      <c r="D112" s="99">
        <f>IFERROR(B112/$B$84,0)</f>
        <v>0.0428126270153096</v>
      </c>
      <c r="E112" s="131">
        <f>IFERROR(C112/B112/500.0,0)</f>
        <v>149.450052742616</v>
      </c>
      <c r="F112" s="129" t="n"/>
      <c r="G112" s="13" t="inlineStr">
        <is>
          <t>(140, 160]</t>
        </is>
      </c>
      <c r="H112" s="135">
        <v>0</v>
      </c>
      <c r="I112" s="51">
        <f>IFERROR(B112/$B$84,0)</f>
        <v>0</v>
      </c>
      <c r="J112" s="51">
        <f>IFERROR(K112/$B$2,0)</f>
        <v>0</v>
      </c>
      <c r="K112" s="128">
        <v>0</v>
      </c>
      <c r="L112" s="99">
        <f>IFERROR(K112/$B$2,0)</f>
        <v>0</v>
      </c>
      <c r="M112" s="99">
        <f>IFERROR(L112*E112,0)</f>
        <v>0</v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>
        <v>764</v>
      </c>
      <c r="C113" s="130">
        <v>64789150</v>
      </c>
      <c r="D113" s="99">
        <f>IFERROR(B113/$B$84,0)</f>
        <v>0.0345030032064309</v>
      </c>
      <c r="E113" s="131">
        <f>IFERROR(C113/B113/500.0,0)</f>
        <v>169.605104712042</v>
      </c>
      <c r="F113" s="129" t="n"/>
      <c r="G113" s="13" t="inlineStr">
        <is>
          <t>(160, 180]</t>
        </is>
      </c>
      <c r="H113" s="135">
        <v>0</v>
      </c>
      <c r="I113" s="51">
        <f>IFERROR(B113/$B$84,0)</f>
        <v>0</v>
      </c>
      <c r="J113" s="51">
        <f>IFERROR(K113/$B$2,0)</f>
        <v>0</v>
      </c>
      <c r="K113" s="128">
        <v>0</v>
      </c>
      <c r="L113" s="99">
        <f>IFERROR(K113/$B$2,0)</f>
        <v>0</v>
      </c>
      <c r="M113" s="99">
        <f>IFERROR(L113*E113,0)</f>
        <v>0</v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>
        <v>655</v>
      </c>
      <c r="C114" s="130">
        <v>62216775</v>
      </c>
      <c r="D114" s="99">
        <f>IFERROR(B114/$B$84,0)</f>
        <v>0.0295804543196495</v>
      </c>
      <c r="E114" s="131">
        <f>IFERROR(C114/B114/500.0,0)</f>
        <v>189.974885496183</v>
      </c>
      <c r="F114" s="129" t="n"/>
      <c r="G114" s="13" t="inlineStr">
        <is>
          <t>(180, 200]</t>
        </is>
      </c>
      <c r="H114" s="135">
        <v>0</v>
      </c>
      <c r="I114" s="51">
        <f>IFERROR(B114/$B$84,0)</f>
        <v>0</v>
      </c>
      <c r="J114" s="51">
        <f>IFERROR(K114/$B$2,0)</f>
        <v>0</v>
      </c>
      <c r="K114" s="128">
        <v>0</v>
      </c>
      <c r="L114" s="99">
        <f>IFERROR(K114/$B$2,0)</f>
        <v>0</v>
      </c>
      <c r="M114" s="99">
        <f>IFERROR(L114*E114,0)</f>
        <v>0</v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>
        <v>1338</v>
      </c>
      <c r="C115" s="130">
        <v>149504950</v>
      </c>
      <c r="D115" s="99">
        <f>IFERROR(B115/$B$84,0)</f>
        <v>0.0604254166102154</v>
      </c>
      <c r="E115" s="131">
        <f>IFERROR(C115/B115/500.0,0)</f>
        <v>223.475261584454</v>
      </c>
      <c r="F115" s="129" t="n"/>
      <c r="G115" s="13" t="inlineStr">
        <is>
          <t>(200, 250]</t>
        </is>
      </c>
      <c r="H115" s="135">
        <v>0.444326369699552</v>
      </c>
      <c r="I115" s="51">
        <f>IFERROR(B115/$B$84,0)</f>
        <v>0.026848606</v>
      </c>
      <c r="J115" s="51">
        <f>IFERROR(K115/$B$2,0)</f>
        <v>0.026848606</v>
      </c>
      <c r="K115" s="128">
        <v>26848606</v>
      </c>
      <c r="L115" s="99">
        <f>IFERROR(K115/$B$2,0)</f>
        <v>0.026848606</v>
      </c>
      <c r="M115" s="99">
        <f>IFERROR(L115*E115,0)</f>
        <v>5.99999924902795</v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>
        <v>924</v>
      </c>
      <c r="C116" s="130">
        <v>126534650</v>
      </c>
      <c r="D116" s="99">
        <f>IFERROR(B116/$B$84,0)</f>
        <v>0.0417287630402385</v>
      </c>
      <c r="E116" s="131">
        <f>IFERROR(C116/B116/500.0,0)</f>
        <v>273.884523809524</v>
      </c>
      <c r="F116" s="129" t="n"/>
      <c r="G116" s="13" t="inlineStr">
        <is>
          <t>(250, 300]</t>
        </is>
      </c>
      <c r="H116" s="135">
        <v>0</v>
      </c>
      <c r="I116" s="51">
        <f>IFERROR(B116/$B$84,0)</f>
        <v>0</v>
      </c>
      <c r="J116" s="51">
        <f>IFERROR(K116/$B$2,0)</f>
        <v>0</v>
      </c>
      <c r="K116" s="128">
        <v>0</v>
      </c>
      <c r="L116" s="99">
        <f>IFERROR(K116/$B$2,0)</f>
        <v>0</v>
      </c>
      <c r="M116" s="99">
        <f>IFERROR(L116*E116,0)</f>
        <v>0</v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>
        <v>652</v>
      </c>
      <c r="C117" s="130">
        <v>105515575</v>
      </c>
      <c r="D117" s="99">
        <f>IFERROR(B117/$B$84,0)</f>
        <v>0.0294449713227657</v>
      </c>
      <c r="E117" s="131">
        <f>IFERROR(C117/B117/500.0,0)</f>
        <v>323.66740797546</v>
      </c>
      <c r="F117" s="129" t="n"/>
      <c r="G117" s="13" t="inlineStr">
        <is>
          <t>(300, 350]</t>
        </is>
      </c>
      <c r="H117" s="135">
        <v>0</v>
      </c>
      <c r="I117" s="51">
        <f>IFERROR(B117/$B$84,0)</f>
        <v>0</v>
      </c>
      <c r="J117" s="51">
        <f>IFERROR(K117/$B$2,0)</f>
        <v>0</v>
      </c>
      <c r="K117" s="128">
        <v>0</v>
      </c>
      <c r="L117" s="99">
        <f>IFERROR(K117/$B$2,0)</f>
        <v>0</v>
      </c>
      <c r="M117" s="99">
        <f>IFERROR(L117*E117,0)</f>
        <v>0</v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>
        <v>487</v>
      </c>
      <c r="C118" s="130">
        <v>91133400</v>
      </c>
      <c r="D118" s="99">
        <f>IFERROR(B118/$B$84,0)</f>
        <v>0.0219934064941517</v>
      </c>
      <c r="E118" s="131">
        <f>IFERROR(C118/B118/500.0,0)</f>
        <v>374.264476386037</v>
      </c>
      <c r="F118" s="129" t="n"/>
      <c r="G118" s="13" t="inlineStr">
        <is>
          <t>(350, 400]</t>
        </is>
      </c>
      <c r="H118" s="135">
        <v>0</v>
      </c>
      <c r="I118" s="51">
        <f>IFERROR(B118/$B$84,0)</f>
        <v>0</v>
      </c>
      <c r="J118" s="51">
        <f>IFERROR(K118/$B$2,0)</f>
        <v>0</v>
      </c>
      <c r="K118" s="128">
        <v>0</v>
      </c>
      <c r="L118" s="99">
        <f>IFERROR(K118/$B$2,0)</f>
        <v>0</v>
      </c>
      <c r="M118" s="99">
        <f>IFERROR(L118*E118,0)</f>
        <v>0</v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>
        <v>376</v>
      </c>
      <c r="C119" s="130">
        <v>79656475</v>
      </c>
      <c r="D119" s="99">
        <f>IFERROR(B119/$B$84,0)</f>
        <v>0.0169805356094477</v>
      </c>
      <c r="E119" s="131">
        <f>IFERROR(C119/B119/500.0,0)</f>
        <v>423.704654255319</v>
      </c>
      <c r="F119" s="129" t="n"/>
      <c r="G119" s="13" t="inlineStr">
        <is>
          <t>(400, 450]</t>
        </is>
      </c>
      <c r="H119" s="135">
        <v>0</v>
      </c>
      <c r="I119" s="51">
        <f>IFERROR(B119/$B$84,0)</f>
        <v>0</v>
      </c>
      <c r="J119" s="51">
        <f>IFERROR(K119/$B$2,0)</f>
        <v>0</v>
      </c>
      <c r="K119" s="128">
        <v>0</v>
      </c>
      <c r="L119" s="99">
        <f>IFERROR(K119/$B$2,0)</f>
        <v>0</v>
      </c>
      <c r="M119" s="99">
        <f>IFERROR(L119*E119,0)</f>
        <v>0</v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>
        <v>266</v>
      </c>
      <c r="C120" s="130">
        <v>63172300</v>
      </c>
      <c r="D120" s="99">
        <f>IFERROR(B120/$B$84,0)</f>
        <v>0.012012825723705</v>
      </c>
      <c r="E120" s="131">
        <f>IFERROR(C120/B120/500.0,0)</f>
        <v>474.97969924812</v>
      </c>
      <c r="F120" s="129" t="n"/>
      <c r="G120" s="13" t="inlineStr">
        <is>
          <t>(450, 500]</t>
        </is>
      </c>
      <c r="H120" s="135">
        <v>0</v>
      </c>
      <c r="I120" s="51">
        <f>IFERROR(B120/$B$84,0)</f>
        <v>0</v>
      </c>
      <c r="J120" s="51">
        <f>IFERROR(K120/$B$2,0)</f>
        <v>0</v>
      </c>
      <c r="K120" s="128">
        <v>0</v>
      </c>
      <c r="L120" s="99">
        <f>IFERROR(K120/$B$2,0)</f>
        <v>0</v>
      </c>
      <c r="M120" s="99">
        <f>IFERROR(L120*E120,0)</f>
        <v>0</v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>
        <v>191</v>
      </c>
      <c r="C121" s="130">
        <v>50053025</v>
      </c>
      <c r="D121" s="99">
        <f>IFERROR(B121/$B$84,0)</f>
        <v>0.00862575080160773</v>
      </c>
      <c r="E121" s="131">
        <f>IFERROR(C121/B121/500.0,0)</f>
        <v>524.115445026178</v>
      </c>
      <c r="F121" s="129" t="n"/>
      <c r="G121" s="13" t="inlineStr">
        <is>
          <t>(500, 550]</t>
        </is>
      </c>
      <c r="H121" s="135">
        <v>0</v>
      </c>
      <c r="I121" s="51">
        <f>IFERROR(B121/$B$84,0)</f>
        <v>0</v>
      </c>
      <c r="J121" s="51">
        <f>IFERROR(K121/$B$2,0)</f>
        <v>0</v>
      </c>
      <c r="K121" s="128">
        <v>0</v>
      </c>
      <c r="L121" s="99">
        <f>IFERROR(K121/$B$2,0)</f>
        <v>0</v>
      </c>
      <c r="M121" s="99">
        <f>IFERROR(L121*E121,0)</f>
        <v>0</v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>
        <v>160</v>
      </c>
      <c r="C122" s="130">
        <v>45869475</v>
      </c>
      <c r="D122" s="99">
        <f>IFERROR(B122/$B$84,0)</f>
        <v>0.00722575983380752</v>
      </c>
      <c r="E122" s="131">
        <f>IFERROR(C122/B122/500.0,0)</f>
        <v>573.3684375</v>
      </c>
      <c r="F122" s="129" t="n"/>
      <c r="G122" s="13" t="i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</f>
        <v>0</v>
      </c>
      <c r="K122" s="128">
        <v>0</v>
      </c>
      <c r="L122" s="99">
        <f>IFERROR(K122/$B$2,0)</f>
        <v>0</v>
      </c>
      <c r="M122" s="99">
        <f>IFERROR(L122*E122,0)</f>
        <v>0</v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>
        <v>136</v>
      </c>
      <c r="C123" s="130">
        <v>42467175</v>
      </c>
      <c r="D123" s="99">
        <f>IFERROR(B123/$B$84,0)</f>
        <v>0.0061418958587364</v>
      </c>
      <c r="E123" s="131">
        <f>IFERROR(C123/B123/500.0,0)</f>
        <v>624.517279411765</v>
      </c>
      <c r="F123" s="129" t="n"/>
      <c r="G123" s="13" t="inlineStr">
        <is>
          <t>(600, 650]</t>
        </is>
      </c>
      <c r="H123" s="127">
        <v>0</v>
      </c>
      <c r="I123" s="99">
        <f>IFERROR(B123/$B$84,0)</f>
        <v>0</v>
      </c>
      <c r="J123" s="99">
        <f>IFERROR(K123/$B$2,0)</f>
        <v>0</v>
      </c>
      <c r="K123" s="128">
        <v>0</v>
      </c>
      <c r="L123" s="99">
        <f>IFERROR(K123/$B$2,0)</f>
        <v>0</v>
      </c>
      <c r="M123" s="99">
        <f>IFERROR(L123*E123,0)</f>
        <v>0</v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>
        <v>111</v>
      </c>
      <c r="C124" s="130">
        <v>37432250</v>
      </c>
      <c r="D124" s="99">
        <f>IFERROR(B124/$B$84,0)</f>
        <v>0.00501287088470397</v>
      </c>
      <c r="E124" s="131">
        <f>IFERROR(C124/B124/500.0,0)</f>
        <v>674.454954954955</v>
      </c>
      <c r="F124" s="129" t="n"/>
      <c r="G124" s="13" t="inlineStr">
        <is>
          <t>(650, 700]</t>
        </is>
      </c>
      <c r="H124" s="127">
        <v>0</v>
      </c>
      <c r="I124" s="99">
        <f>IFERROR(B124/$B$84,0)</f>
        <v>0</v>
      </c>
      <c r="J124" s="99">
        <f>IFERROR(K124/$B$2,0)</f>
        <v>0</v>
      </c>
      <c r="K124" s="128">
        <v>0</v>
      </c>
      <c r="L124" s="99">
        <f>IFERROR(K124/$B$2,0)</f>
        <v>0</v>
      </c>
      <c r="M124" s="99">
        <f>IFERROR(L124*E124,0)</f>
        <v>0</v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>
        <v>110</v>
      </c>
      <c r="C125" s="130">
        <v>39826600</v>
      </c>
      <c r="D125" s="99">
        <f>IFERROR(B125/$B$84,0)</f>
        <v>0.00496770988574267</v>
      </c>
      <c r="E125" s="131">
        <f>IFERROR(C125/B125/500.0,0)</f>
        <v>724.12</v>
      </c>
      <c r="F125" s="129" t="n"/>
      <c r="G125" s="13" t="inlineStr">
        <is>
          <t>(700, 750]</t>
        </is>
      </c>
      <c r="H125" s="127">
        <v>0</v>
      </c>
      <c r="I125" s="99">
        <f>IFERROR(B125/$B$84,0)</f>
        <v>0</v>
      </c>
      <c r="J125" s="99">
        <f>IFERROR(K125/$B$2,0)</f>
        <v>0</v>
      </c>
      <c r="K125" s="128">
        <v>0</v>
      </c>
      <c r="L125" s="99">
        <f>IFERROR(K125/$B$2,0)</f>
        <v>0</v>
      </c>
      <c r="M125" s="99">
        <f>IFERROR(L125*E125,0)</f>
        <v>0</v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>
        <v>70</v>
      </c>
      <c r="C126" s="130">
        <v>27146550</v>
      </c>
      <c r="D126" s="99">
        <f>IFERROR(B126/$B$84,0)</f>
        <v>0.00316126992729079</v>
      </c>
      <c r="E126" s="131">
        <f>IFERROR(C126/B126/500.0,0)</f>
        <v>775.615714285714</v>
      </c>
      <c r="F126" s="129" t="n"/>
      <c r="G126" s="13" t="inlineStr">
        <is>
          <t>(750, 800]</t>
        </is>
      </c>
      <c r="H126" s="127">
        <v>0</v>
      </c>
      <c r="I126" s="99">
        <f>IFERROR(B126/$B$84,0)</f>
        <v>0</v>
      </c>
      <c r="J126" s="99">
        <f>IFERROR(K126/$B$2,0)</f>
        <v>0</v>
      </c>
      <c r="K126" s="128">
        <v>0</v>
      </c>
      <c r="L126" s="99">
        <f>IFERROR(K126/$B$2,0)</f>
        <v>0</v>
      </c>
      <c r="M126" s="99">
        <f>IFERROR(L126*E126,0)</f>
        <v>0</v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>
        <v>57</v>
      </c>
      <c r="C127" s="130">
        <v>23470475</v>
      </c>
      <c r="D127" s="99">
        <f>IFERROR(B127/$B$84,0)</f>
        <v>0.00257417694079393</v>
      </c>
      <c r="E127" s="131">
        <f>IFERROR(C127/B127/500.0,0)</f>
        <v>823.525438596491</v>
      </c>
      <c r="F127" s="129" t="n"/>
      <c r="G127" s="13" t="inlineStr">
        <is>
          <t>(800, 850]</t>
        </is>
      </c>
      <c r="H127" s="127">
        <v>0</v>
      </c>
      <c r="I127" s="99">
        <f>IFERROR(B127/$B$84,0)</f>
        <v>0</v>
      </c>
      <c r="J127" s="99">
        <f>IFERROR(K127/$B$2,0)</f>
        <v>0</v>
      </c>
      <c r="K127" s="128">
        <v>0</v>
      </c>
      <c r="L127" s="99">
        <f>IFERROR(K127/$B$2,0)</f>
        <v>0</v>
      </c>
      <c r="M127" s="99">
        <f>IFERROR(L127*E127,0)</f>
        <v>0</v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>
        <v>45</v>
      </c>
      <c r="C128" s="130">
        <v>19698500</v>
      </c>
      <c r="D128" s="99">
        <f>IFERROR(B128/$B$84,0)</f>
        <v>0.00203224495325837</v>
      </c>
      <c r="E128" s="131">
        <f>IFERROR(C128/B128/500.0,0)</f>
        <v>875.488888888889</v>
      </c>
      <c r="F128" s="129" t="n"/>
      <c r="G128" s="13" t="inlineStr">
        <is>
          <t>(850, 900]</t>
        </is>
      </c>
      <c r="H128" s="127">
        <v>0</v>
      </c>
      <c r="I128" s="99">
        <f>IFERROR(B128/$B$84,0)</f>
        <v>0</v>
      </c>
      <c r="J128" s="99">
        <f>IFERROR(K128/$B$2,0)</f>
        <v>0</v>
      </c>
      <c r="K128" s="133">
        <v>0</v>
      </c>
      <c r="L128" s="99">
        <f>IFERROR(K128/$B$2,0)</f>
        <v>0</v>
      </c>
      <c r="M128" s="99">
        <f>IFERROR(L128*E128,0)</f>
        <v>0</v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>
        <v>46</v>
      </c>
      <c r="C129" s="130">
        <v>21257275</v>
      </c>
      <c r="D129" s="99">
        <f>IFERROR(B129/$B$84,0)</f>
        <v>0.00207740595221966</v>
      </c>
      <c r="E129" s="131">
        <f>IFERROR(C129/B129/500.0,0)</f>
        <v>924.229347826087</v>
      </c>
      <c r="F129" s="129" t="n"/>
      <c r="G129" s="13" t="inlineStr">
        <is>
          <t>(900, 950]</t>
        </is>
      </c>
      <c r="H129" s="127">
        <v>0</v>
      </c>
      <c r="I129" s="99">
        <f>IFERROR(B129/$B$84,0)</f>
        <v>0</v>
      </c>
      <c r="J129" s="99">
        <f>IFERROR(K129/$B$2,0)</f>
        <v>0</v>
      </c>
      <c r="K129" s="133">
        <v>0</v>
      </c>
      <c r="L129" s="99">
        <f>IFERROR(K129/$B$2,0)</f>
        <v>0</v>
      </c>
      <c r="M129" s="99">
        <f>IFERROR(L129*E129,0)</f>
        <v>0</v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>
        <v>38</v>
      </c>
      <c r="C130" s="130">
        <v>18530225</v>
      </c>
      <c r="D130" s="99">
        <f>IFERROR(B130/$B$84,0)</f>
        <v>0.00171611796052929</v>
      </c>
      <c r="E130" s="131">
        <f>IFERROR(C130/B130/500.0,0)</f>
        <v>975.275</v>
      </c>
      <c r="F130" s="129" t="n"/>
      <c r="G130" s="13" t="inlineStr">
        <is>
          <t>(950, 1000]</t>
        </is>
      </c>
      <c r="H130" s="127">
        <v>0</v>
      </c>
      <c r="I130" s="99">
        <f>IFERROR(B130/$B$84,0)</f>
        <v>0</v>
      </c>
      <c r="J130" s="99">
        <f>IFERROR(K130/$B$2,0)</f>
        <v>0</v>
      </c>
      <c r="K130" s="133">
        <v>0</v>
      </c>
      <c r="L130" s="99">
        <f>IFERROR(K130/$B$2,0)</f>
        <v>0</v>
      </c>
      <c r="M130" s="99">
        <f>IFERROR(L130*E130,0)</f>
        <v>0</v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>
        <v>282</v>
      </c>
      <c r="C131" s="130">
        <v>189427400</v>
      </c>
      <c r="D131" s="99">
        <f>IFERROR(B131/$B$84,0)</f>
        <v>0.0127354017070858</v>
      </c>
      <c r="E131" s="131">
        <f>IFERROR(C131/B131/500.0,0)</f>
        <v>1343.45673758865</v>
      </c>
      <c r="F131" s="129" t="n"/>
      <c r="G131" s="13" t="inlineStr">
        <is>
          <t>(1000, 2000]</t>
        </is>
      </c>
      <c r="H131" s="127">
        <v>0</v>
      </c>
      <c r="I131" s="99">
        <f>IFERROR(B131/$B$84,0)</f>
        <v>0</v>
      </c>
      <c r="J131" s="99">
        <f>IFERROR(K131/$B$2,0)</f>
        <v>0</v>
      </c>
      <c r="K131" s="133">
        <v>0</v>
      </c>
      <c r="L131" s="99">
        <f>IFERROR(K131/$B$2,0)</f>
        <v>0</v>
      </c>
      <c r="M131" s="99">
        <f>IFERROR(L131*E131,0)</f>
        <v>0</v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>
        <v>108</v>
      </c>
      <c r="C132" s="130">
        <v>131241425</v>
      </c>
      <c r="D132" s="99">
        <f>IFERROR(B132/$B$84,0)</f>
        <v>0.00487738788782008</v>
      </c>
      <c r="E132" s="131">
        <f>IFERROR(C132/B132/500.0,0)</f>
        <v>2430.39675925926</v>
      </c>
      <c r="F132" s="129" t="n"/>
      <c r="G132" s="13" t="inlineStr">
        <is>
          <t>(2000, 3000]</t>
        </is>
      </c>
      <c r="H132" s="127">
        <v>0</v>
      </c>
      <c r="I132" s="99">
        <f>IFERROR(B132/$B$84,0)</f>
        <v>0</v>
      </c>
      <c r="J132" s="99">
        <f>IFERROR(K132/$B$2,0)</f>
        <v>0</v>
      </c>
      <c r="K132" s="133">
        <v>0</v>
      </c>
      <c r="L132" s="99">
        <f>IFERROR(K132/$B$2,0)</f>
        <v>0</v>
      </c>
      <c r="M132" s="99">
        <f>IFERROR(L132*E132,0)</f>
        <v>0</v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>
        <v>48</v>
      </c>
      <c r="C133" s="130">
        <v>81755950</v>
      </c>
      <c r="D133" s="99">
        <f>IFERROR(B133/$B$84,0)</f>
        <v>0.00216772795014226</v>
      </c>
      <c r="E133" s="131">
        <f>IFERROR(C133/B133/500.0,0)</f>
        <v>3406.49791666667</v>
      </c>
      <c r="F133" s="129" t="n"/>
      <c r="G133" s="13" t="inlineStr">
        <is>
          <t>(3000, 4000]</t>
        </is>
      </c>
      <c r="H133" s="127">
        <v>0</v>
      </c>
      <c r="I133" s="99">
        <f>IFERROR(B133/$B$84,0)</f>
        <v>0</v>
      </c>
      <c r="J133" s="99">
        <f>IFERROR(K133/$B$2,0)</f>
        <v>0</v>
      </c>
      <c r="K133" s="133">
        <v>0</v>
      </c>
      <c r="L133" s="99">
        <f>IFERROR(K133/$B$2,0)</f>
        <v>0</v>
      </c>
      <c r="M133" s="99">
        <f>IFERROR(L133*E133,0)</f>
        <v>0</v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>
        <v>29</v>
      </c>
      <c r="C134" s="130">
        <v>64193125</v>
      </c>
      <c r="D134" s="99">
        <f>IFERROR(B134/$B$84,0)</f>
        <v>0.00130966896987761</v>
      </c>
      <c r="E134" s="131">
        <f>IFERROR(C134/B134/500.0,0)</f>
        <v>4427.11206896552</v>
      </c>
      <c r="F134" s="129" t="n"/>
      <c r="G134" s="13" t="inlineStr">
        <is>
          <t>(4000, 5000]</t>
        </is>
      </c>
      <c r="H134" s="127">
        <v>0</v>
      </c>
      <c r="I134" s="99">
        <f>IFERROR(B134/$B$84,0)</f>
        <v>0</v>
      </c>
      <c r="J134" s="99">
        <f>IFERROR(K134/$B$2,0)</f>
        <v>0</v>
      </c>
      <c r="K134" s="133">
        <v>0</v>
      </c>
      <c r="L134" s="99">
        <f>IFERROR(K134/$B$2,0)</f>
        <v>0</v>
      </c>
      <c r="M134" s="99">
        <f>IFERROR(L134*E134,0)</f>
        <v>0</v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>
        <v>24</v>
      </c>
      <c r="C135" s="130">
        <v>65473300</v>
      </c>
      <c r="D135" s="99">
        <f>IFERROR(B135/$B$84,0)</f>
        <v>0.00108386397507113</v>
      </c>
      <c r="E135" s="131">
        <f>IFERROR(C135/B135/500.0,0)</f>
        <v>5456.10833333333</v>
      </c>
      <c r="F135" s="129" t="n"/>
      <c r="G135" s="13" t="inlineStr">
        <is>
          <t>(5000, 6000]</t>
        </is>
      </c>
      <c r="H135" s="127">
        <v>0</v>
      </c>
      <c r="I135" s="99">
        <f>IFERROR(B135/$B$84,0)</f>
        <v>0</v>
      </c>
      <c r="J135" s="99">
        <f>IFERROR(K135/$B$2,0)</f>
        <v>0</v>
      </c>
      <c r="K135" s="133">
        <v>0</v>
      </c>
      <c r="L135" s="99">
        <f>IFERROR(K135/$B$2,0)</f>
        <v>0</v>
      </c>
      <c r="M135" s="99">
        <f>IFERROR(L135*E135,0)</f>
        <v>0</v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>
        <v>11</v>
      </c>
      <c r="C136" s="130">
        <v>35415325</v>
      </c>
      <c r="D136" s="99">
        <f>IFERROR(B136/$B$84,0)</f>
        <v>0.000496770988574267</v>
      </c>
      <c r="E136" s="131">
        <f>IFERROR(C136/B136/500.0,0)</f>
        <v>6439.15</v>
      </c>
      <c r="F136" s="129" t="n"/>
      <c r="G136" s="13" t="inlineStr">
        <is>
          <t>(6000, 7000]</t>
        </is>
      </c>
      <c r="H136" s="127">
        <v>0</v>
      </c>
      <c r="I136" s="99">
        <f>IFERROR(B136/$B$84,0)</f>
        <v>0</v>
      </c>
      <c r="J136" s="99">
        <f>IFERROR(K136/$B$2,0)</f>
        <v>0</v>
      </c>
      <c r="K136" s="133">
        <v>0</v>
      </c>
      <c r="L136" s="99">
        <f>IFERROR(K136/$B$2,0)</f>
        <v>0</v>
      </c>
      <c r="M136" s="99">
        <f>IFERROR(L136*E136,0)</f>
        <v>0</v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>
        <v>21</v>
      </c>
      <c r="C137" s="130">
        <v>78000875</v>
      </c>
      <c r="D137" s="99">
        <f>IFERROR(B137/$B$84,0)</f>
        <v>0.000948380978187237</v>
      </c>
      <c r="E137" s="131">
        <f>IFERROR(C137/B137/500.0,0)</f>
        <v>7428.65476190476</v>
      </c>
      <c r="F137" s="129" t="n"/>
      <c r="G137" s="13" t="inlineStr">
        <is>
          <t>(7000, 8000]</t>
        </is>
      </c>
      <c r="H137" s="127">
        <v>0</v>
      </c>
      <c r="I137" s="99">
        <f>IFERROR(B137/$B$84,0)</f>
        <v>0</v>
      </c>
      <c r="J137" s="99">
        <f>IFERROR(K137/$B$2,0)</f>
        <v>0</v>
      </c>
      <c r="K137" s="133">
        <v>0</v>
      </c>
      <c r="L137" s="99">
        <f>IFERROR(K137/$B$2,0)</f>
        <v>0</v>
      </c>
      <c r="M137" s="99">
        <f>IFERROR(L137*E137,0)</f>
        <v>0</v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>
        <v>13</v>
      </c>
      <c r="C138" s="130">
        <v>55288500</v>
      </c>
      <c r="D138" s="99">
        <f>IFERROR(B138/$B$84,0)</f>
        <v>0.000587092986496861</v>
      </c>
      <c r="E138" s="131">
        <f>IFERROR(C138/B138/500.0,0)</f>
        <v>8505.92307692308</v>
      </c>
      <c r="F138" s="129" t="n"/>
      <c r="G138" s="13" t="inlineStr">
        <is>
          <t>(8000, 9000]</t>
        </is>
      </c>
      <c r="H138" s="127">
        <v>0</v>
      </c>
      <c r="I138" s="99">
        <f>IFERROR(B138/$B$84,0)</f>
        <v>0</v>
      </c>
      <c r="J138" s="99">
        <f>IFERROR(K138/$B$2,0)</f>
        <v>0</v>
      </c>
      <c r="K138" s="133">
        <v>0</v>
      </c>
      <c r="L138" s="99">
        <f>IFERROR(K138/$B$2,0)</f>
        <v>0</v>
      </c>
      <c r="M138" s="99">
        <f>IFERROR(L138*E138,0)</f>
        <v>0</v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>
        <v>8</v>
      </c>
      <c r="C139" s="130">
        <v>37807150</v>
      </c>
      <c r="D139" s="99">
        <f>IFERROR(B139/$B$84,0)</f>
        <v>0.000361287991690376</v>
      </c>
      <c r="E139" s="131">
        <f>IFERROR(C139/B139/500.0,0)</f>
        <v>9451.7875</v>
      </c>
      <c r="F139" s="129" t="n"/>
      <c r="G139" s="13" t="inlineStr">
        <is>
          <t>(9000, 10000]</t>
        </is>
      </c>
      <c r="H139" s="127">
        <v>0</v>
      </c>
      <c r="I139" s="99">
        <f>IFERROR(B139/$B$84,0)</f>
        <v>0</v>
      </c>
      <c r="J139" s="99">
        <f>IFERROR(K139/$B$2,0)</f>
        <v>0</v>
      </c>
      <c r="K139" s="133">
        <v>0</v>
      </c>
      <c r="L139" s="99">
        <f>IFERROR(K139/$B$2,0)</f>
        <v>0</v>
      </c>
      <c r="M139" s="99">
        <f>IFERROR(L139*E139,0)</f>
        <v>0</v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>
        <v>50</v>
      </c>
      <c r="C140" s="130">
        <v>336658675</v>
      </c>
      <c r="D140" s="99">
        <f>IFERROR(B140/$B$84,0)</f>
        <v>0.00225804994806485</v>
      </c>
      <c r="E140" s="131">
        <f>IFERROR(C140/B140/500.0,0)</f>
        <v>13466.347</v>
      </c>
      <c r="F140" s="129" t="n"/>
      <c r="G140" s="13" t="inlineStr">
        <is>
          <t>(10000, 20000]</t>
        </is>
      </c>
      <c r="H140" s="127">
        <v>0</v>
      </c>
      <c r="I140" s="99">
        <f>IFERROR(B140/$B$84,0)</f>
        <v>0</v>
      </c>
      <c r="J140" s="99">
        <f>IFERROR(K140/$B$2,0)</f>
        <v>0</v>
      </c>
      <c r="K140" s="133">
        <v>0</v>
      </c>
      <c r="L140" s="99">
        <f>IFERROR(K140/$B$2,0)</f>
        <v>0</v>
      </c>
      <c r="M140" s="99">
        <f>IFERROR(L140*E140,0)</f>
        <v>0</v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>
        <v>16</v>
      </c>
      <c r="C141" s="130">
        <v>187660300</v>
      </c>
      <c r="D141" s="99">
        <f>IFERROR(B141/$B$84,0)</f>
        <v>0.000722575983380752</v>
      </c>
      <c r="E141" s="131">
        <f>IFERROR(C141/B141/500.0,0)</f>
        <v>23457.5375</v>
      </c>
      <c r="F141" s="129" t="n"/>
      <c r="G141" s="13" t="inlineStr">
        <is>
          <t>(20000, 30000]</t>
        </is>
      </c>
      <c r="H141" s="127">
        <v>0</v>
      </c>
      <c r="I141" s="99">
        <f>IFERROR(B141/$B$84,0)</f>
        <v>0</v>
      </c>
      <c r="J141" s="99">
        <f>IFERROR(K141/$B$2,0)</f>
        <v>0</v>
      </c>
      <c r="K141" s="133">
        <v>0</v>
      </c>
      <c r="L141" s="99">
        <f>IFERROR(K141/$B$2,0)</f>
        <v>0</v>
      </c>
      <c r="M141" s="99">
        <f>IFERROR(L141*E141,0)</f>
        <v>0</v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>
        <v>9</v>
      </c>
      <c r="C142" s="130">
        <v>151608925</v>
      </c>
      <c r="D142" s="99">
        <f>IFERROR(B142/$B$84,0)</f>
        <v>0.000406448990651673</v>
      </c>
      <c r="E142" s="131">
        <f>IFERROR(C142/B142/500.0,0)</f>
        <v>33690.8722222222</v>
      </c>
      <c r="F142" s="129" t="n"/>
      <c r="G142" s="13" t="inlineStr">
        <is>
          <t>(30000, 40000]</t>
        </is>
      </c>
      <c r="H142" s="127">
        <v>0</v>
      </c>
      <c r="I142" s="99">
        <f>IFERROR(B142/$B$84,0)</f>
        <v>0</v>
      </c>
      <c r="J142" s="99">
        <f>IFERROR(K142/$B$2,0)</f>
        <v>0</v>
      </c>
      <c r="K142" s="133">
        <v>0</v>
      </c>
      <c r="L142" s="99">
        <f>IFERROR(K142/$B$2,0)</f>
        <v>0</v>
      </c>
      <c r="M142" s="99">
        <f>IFERROR(L142*E142,0)</f>
        <v>0</v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>
        <v>5</v>
      </c>
      <c r="C143" s="130">
        <v>108769475</v>
      </c>
      <c r="D143" s="99">
        <f>IFERROR(B143/$B$84,0)</f>
        <v>0.000225804994806485</v>
      </c>
      <c r="E143" s="131">
        <f>IFERROR(C143/B143/500.0,0)</f>
        <v>43507.79</v>
      </c>
      <c r="F143" s="129" t="n"/>
      <c r="G143" s="13" t="inlineStr">
        <is>
          <t>(40000, 50000]</t>
        </is>
      </c>
      <c r="H143" s="127">
        <v>0</v>
      </c>
      <c r="I143" s="99">
        <f>IFERROR(B143/$B$84,0)</f>
        <v>0</v>
      </c>
      <c r="J143" s="99">
        <f>IFERROR(K143/$B$2,0)</f>
        <v>0</v>
      </c>
      <c r="K143" s="133">
        <v>0</v>
      </c>
      <c r="L143" s="99">
        <f>IFERROR(K143/$B$2,0)</f>
        <v>0</v>
      </c>
      <c r="M143" s="99">
        <f>IFERROR(L143*E143,0)</f>
        <v>0</v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>
        <v>3</v>
      </c>
      <c r="C144" s="130">
        <v>84692275</v>
      </c>
      <c r="D144" s="99">
        <f>IFERROR(B144/$B$84,0)</f>
        <v>0.000135482996883891</v>
      </c>
      <c r="E144" s="131">
        <f>IFERROR(C144/B144/500.0,0)</f>
        <v>56461.5166666667</v>
      </c>
      <c r="F144" s="129" t="n"/>
      <c r="G144" s="13" t="inlineStr">
        <is>
          <t>(50000, 60000]</t>
        </is>
      </c>
      <c r="H144" s="127">
        <v>0</v>
      </c>
      <c r="I144" s="99">
        <f>IFERROR(B144/$B$84,0)</f>
        <v>0</v>
      </c>
      <c r="J144" s="99">
        <f>IFERROR(K144/$B$2,0)</f>
        <v>0</v>
      </c>
      <c r="K144" s="133">
        <v>0</v>
      </c>
      <c r="L144" s="99">
        <f>IFERROR(K144/$B$2,0)</f>
        <v>0</v>
      </c>
      <c r="M144" s="99">
        <f>IFERROR(L144*E144,0)</f>
        <v>0</v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>
        <v>1</v>
      </c>
      <c r="C145" s="130">
        <v>31146150</v>
      </c>
      <c r="D145" s="99">
        <f>IFERROR(B145/$B$84,0)</f>
        <v>4.5160998961297e-05</v>
      </c>
      <c r="E145" s="131">
        <f>IFERROR(C145/B145/500.0,0)</f>
        <v>62292.3</v>
      </c>
      <c r="F145" s="129" t="n"/>
      <c r="G145" s="13" t="inlineStr">
        <is>
          <t>(60000, 70000]</t>
        </is>
      </c>
      <c r="H145" s="127">
        <v>0</v>
      </c>
      <c r="I145" s="99">
        <f>IFERROR(B145/$B$84,0)</f>
        <v>0</v>
      </c>
      <c r="J145" s="99">
        <f>IFERROR(K145/$B$2,0)</f>
        <v>0</v>
      </c>
      <c r="K145" s="133">
        <v>0</v>
      </c>
      <c r="L145" s="99">
        <f>IFERROR(K145/$B$2,0)</f>
        <v>0</v>
      </c>
      <c r="M145" s="99">
        <f>IFERROR(L145*E145,0)</f>
        <v>0</v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>
        <v>3</v>
      </c>
      <c r="C146" s="130">
        <v>111421575</v>
      </c>
      <c r="D146" s="99">
        <f>IFERROR(B146/$B$84,0)</f>
        <v>0.000135482996883891</v>
      </c>
      <c r="E146" s="131">
        <f>IFERROR(C146/B146/500.0,0)</f>
        <v>74281.05</v>
      </c>
      <c r="F146" s="129" t="n"/>
      <c r="G146" s="13" t="inlineStr">
        <is>
          <t>(70000, 80000]</t>
        </is>
      </c>
      <c r="H146" s="127">
        <v>0</v>
      </c>
      <c r="I146" s="99">
        <f>IFERROR(B146/$B$84,0)</f>
        <v>0</v>
      </c>
      <c r="J146" s="99">
        <f>IFERROR(K146/$B$2,0)</f>
        <v>0</v>
      </c>
      <c r="K146" s="133">
        <v>0</v>
      </c>
      <c r="L146" s="99">
        <f>IFERROR(K146/$B$2,0)</f>
        <v>0</v>
      </c>
      <c r="M146" s="99">
        <f>IFERROR(L146*E146,0)</f>
        <v>0</v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>
        <v>1</v>
      </c>
      <c r="C147" s="130">
        <v>40959900</v>
      </c>
      <c r="D147" s="99">
        <f>IFERROR(B147/$B$84,0)</f>
        <v>4.5160998961297e-05</v>
      </c>
      <c r="E147" s="131">
        <f>IFERROR(C147/B147/500.0,0)</f>
        <v>81919.8</v>
      </c>
      <c r="F147" s="129" t="n"/>
      <c r="G147" s="13" t="inlineStr">
        <is>
          <t>(80000, 90000]</t>
        </is>
      </c>
      <c r="H147" s="127">
        <v>0</v>
      </c>
      <c r="I147" s="99">
        <f>IFERROR(B147/$B$84,0)</f>
        <v>0</v>
      </c>
      <c r="J147" s="99">
        <f>IFERROR(K147/$B$2,0)</f>
        <v>0</v>
      </c>
      <c r="K147" s="133">
        <v>0</v>
      </c>
      <c r="L147" s="99">
        <f>IFERROR(K147/$B$2,0)</f>
        <v>0</v>
      </c>
      <c r="M147" s="99">
        <f>IFERROR(L147*E147,0)</f>
        <v>0</v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>
        <v>0</v>
      </c>
      <c r="C148" s="130">
        <v>0</v>
      </c>
      <c r="D148" s="99">
        <f>IFERROR(B148/$B$84,0)</f>
        <v>0</v>
      </c>
      <c r="E148" s="131">
        <f>IFERROR(C148/B148/500.0,0)</f>
        <v>0</v>
      </c>
      <c r="F148" s="129" t="n"/>
      <c r="G148" s="13" t="inlineStr">
        <is>
          <t>(90000, 100000]</t>
        </is>
      </c>
      <c r="H148" s="127">
        <v>0</v>
      </c>
      <c r="I148" s="99">
        <f>IFERROR(B148/$B$84,0)</f>
        <v>0</v>
      </c>
      <c r="J148" s="99">
        <f>IFERROR(K148/$B$2,0)</f>
        <v>0</v>
      </c>
      <c r="K148" s="133">
        <v>0</v>
      </c>
      <c r="L148" s="99">
        <f>IFERROR(K148/$B$2,0)</f>
        <v>0</v>
      </c>
      <c r="M148" s="99">
        <f>IFERROR(L148*E148,0)</f>
        <v>0</v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>
        <v>0</v>
      </c>
      <c r="C149" s="130">
        <v>0</v>
      </c>
      <c r="D149" s="99">
        <f>IFERROR(B149/$B$84,0)</f>
        <v>0</v>
      </c>
      <c r="E149" s="131">
        <f>IFERROR(C149/B149/500.0,0)</f>
        <v>0</v>
      </c>
      <c r="F149" s="129" t="n"/>
      <c r="G149" s="13" t="inlineStr">
        <is>
          <t>(100000, 9999999]</t>
        </is>
      </c>
      <c r="H149" s="127">
        <v>0</v>
      </c>
      <c r="I149" s="99">
        <f>IFERROR(B149/$B$84,0)</f>
        <v>0</v>
      </c>
      <c r="J149" s="99">
        <f>IFERROR(K149/$B$2,0)</f>
        <v>0</v>
      </c>
      <c r="K149" s="133">
        <v>0</v>
      </c>
      <c r="L149" s="99">
        <f>IFERROR(K149/$B$2,0)</f>
        <v>0</v>
      </c>
      <c r="M149" s="99">
        <f>IFERROR(L149*E149,0)</f>
        <v>0</v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>1000000000</v>
      </c>
      <c r="M150">
        <f>SUM(M86:M149)</f>
        <v>59.9999928650676</v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>
        <v>100000000</v>
      </c>
      <c r="C156" s="130">
        <v>0</v>
      </c>
      <c r="D156" s="52">
        <v>1</v>
      </c>
      <c r="E156" s="131">
        <f>C156/B156/B3</f>
        <v>0</v>
      </c>
      <c r="F156" s="132" t="n"/>
      <c r="G156" s="13" t="inlineStr">
        <is>
          <t>Buy Feature</t>
        </is>
      </c>
      <c r="H156" s="127" t="n">
        <v>1</v>
      </c>
      <c r="I156" s="99">
        <f>D156*H156</f>
        <v>1</v>
      </c>
      <c r="J156" s="52">
        <f>I156/SUM(I156)</f>
        <v>1</v>
      </c>
      <c r="K156" s="128">
        <f>INT(J156*$B$2)</f>
        <v>1000000000</v>
      </c>
      <c r="L156" s="99">
        <f>IFERROR(K156/SUM(K156),0)</f>
        <v>1</v>
      </c>
      <c r="M156" s="99">
        <f>L156*E156</f>
        <v>0</v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>
        <v>0</v>
      </c>
      <c r="C163" s="136">
        <v>0</v>
      </c>
      <c r="D163" s="99">
        <f>IFERROR(B163/$B$161,0)</f>
        <v>0</v>
      </c>
      <c r="E163" s="126">
        <f>IFERROR(C163/B163/500.0,0)</f>
        <v>0</v>
      </c>
      <c r="G163" s="13" t="inlineStr">
        <is>
          <t>(-1, 0]</t>
        </is>
      </c>
      <c r="H163" s="127">
        <v>0</v>
      </c>
      <c r="I163" s="99">
        <f>IFERROR(B163/$B$161,0)</f>
        <v>0</v>
      </c>
      <c r="J163" s="99">
        <f>IFERROR(K163/$B$2,0)</f>
        <v>0</v>
      </c>
      <c r="K163" s="128">
        <v>0</v>
      </c>
      <c r="L163" s="99">
        <f>IFERROR(K163/$B$2,0)</f>
        <v>0</v>
      </c>
      <c r="M163" s="99">
        <f>IFERROR(L163*E163,0)</f>
        <v>0</v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>
        <v>0</v>
      </c>
      <c r="C164" s="137">
        <v>0</v>
      </c>
      <c r="D164" s="99">
        <f>IFERROR(B164/$B$161,0)</f>
        <v>0</v>
      </c>
      <c r="E164" s="131">
        <f>IFERROR(C164/B164/500.0,0)</f>
        <v>0</v>
      </c>
      <c r="G164" s="13" t="inlineStr">
        <is>
          <t>(0, 1]</t>
        </is>
      </c>
      <c r="H164" s="127">
        <v>0</v>
      </c>
      <c r="I164" s="99">
        <f>IFERROR(B164/$B$161,0)</f>
        <v>0</v>
      </c>
      <c r="J164" s="99">
        <f>IFERROR(K164/$B$2,0)</f>
        <v>0</v>
      </c>
      <c r="K164" s="128">
        <v>0</v>
      </c>
      <c r="L164" s="99">
        <f>IFERROR(K164/$B$2,0)</f>
        <v>0</v>
      </c>
      <c r="M164" s="99">
        <f>IFERROR(L164*E164,0)</f>
        <v>0</v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>
        <v>1</v>
      </c>
      <c r="C165" s="137">
        <v>950</v>
      </c>
      <c r="D165" s="99">
        <f>IFERROR(B165/$B$161,0)</f>
        <v>1e-08</v>
      </c>
      <c r="E165" s="131">
        <f>IFERROR(C165/B165/500.0,0)</f>
        <v>1.9</v>
      </c>
      <c r="F165" s="50" t="n"/>
      <c r="G165" s="13" t="inlineStr">
        <is>
          <t>(1, 2]</t>
        </is>
      </c>
      <c r="H165" s="127">
        <v>0</v>
      </c>
      <c r="I165" s="99">
        <f>IFERROR(B165/$B$161,0)</f>
        <v>0</v>
      </c>
      <c r="J165" s="99">
        <f>IFERROR(K165/$B$2,0)</f>
        <v>0</v>
      </c>
      <c r="K165" s="128">
        <v>0</v>
      </c>
      <c r="L165" s="99">
        <f>IFERROR(K165/$B$2,0)</f>
        <v>0</v>
      </c>
      <c r="M165" s="99">
        <f>IFERROR(L165*E165,0)</f>
        <v>0</v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>
        <v>15063</v>
      </c>
      <c r="C166" s="137">
        <v>22594000</v>
      </c>
      <c r="D166" s="99">
        <f>IFERROR(B166/$B$161,0)</f>
        <v>0.00015063</v>
      </c>
      <c r="E166" s="131">
        <f>IFERROR(C166/B166/500.0,0)</f>
        <v>2.99993361216225</v>
      </c>
      <c r="F166" s="129" t="n"/>
      <c r="G166" s="13" t="inlineStr">
        <is>
          <t>(2, 3]</t>
        </is>
      </c>
      <c r="H166" s="127">
        <v>0</v>
      </c>
      <c r="I166" s="99">
        <f>IFERROR(B166/$B$161,0)</f>
        <v>0</v>
      </c>
      <c r="J166" s="99">
        <f>IFERROR(K166/$B$2,0)</f>
        <v>0</v>
      </c>
      <c r="K166" s="128">
        <v>0</v>
      </c>
      <c r="L166" s="99">
        <f>IFERROR(K166/$B$2,0)</f>
        <v>0</v>
      </c>
      <c r="M166" s="99">
        <f>IFERROR(L166*E166,0)</f>
        <v>0</v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>
        <v>91536</v>
      </c>
      <c r="C167" s="137">
        <v>169451525</v>
      </c>
      <c r="D167" s="99">
        <f>IFERROR(B167/$B$161,0)</f>
        <v>0.00091536</v>
      </c>
      <c r="E167" s="131">
        <f>IFERROR(C167/B167/500.0,0)</f>
        <v>3.70240178727495</v>
      </c>
      <c r="F167" s="129" t="n"/>
      <c r="G167" s="13" t="inlineStr">
        <is>
          <t>(3, 4]</t>
        </is>
      </c>
      <c r="H167" s="127">
        <v>0</v>
      </c>
      <c r="I167" s="99">
        <f>IFERROR(B167/$B$161,0)</f>
        <v>0</v>
      </c>
      <c r="J167" s="99">
        <f>IFERROR(K167/$B$2,0)</f>
        <v>0</v>
      </c>
      <c r="K167" s="128">
        <v>0</v>
      </c>
      <c r="L167" s="99">
        <f>IFERROR(K167/$B$2,0)</f>
        <v>0</v>
      </c>
      <c r="M167" s="99">
        <f>IFERROR(L167*E167,0)</f>
        <v>0</v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>
        <v>223256</v>
      </c>
      <c r="C168" s="137">
        <v>513368875</v>
      </c>
      <c r="D168" s="99">
        <f>IFERROR(B168/$B$161,0)</f>
        <v>0.00223256</v>
      </c>
      <c r="E168" s="131">
        <f>IFERROR(C168/B168/500.0,0)</f>
        <v>4.59892567277027</v>
      </c>
      <c r="F168" s="129" t="n"/>
      <c r="G168" s="13" t="inlineStr">
        <is>
          <t>(4, 5]</t>
        </is>
      </c>
      <c r="H168" s="127">
        <v>0</v>
      </c>
      <c r="I168" s="99">
        <f>IFERROR(B168/$B$161,0)</f>
        <v>0</v>
      </c>
      <c r="J168" s="99">
        <f>IFERROR(K168/$B$2,0)</f>
        <v>0</v>
      </c>
      <c r="K168" s="128">
        <v>0</v>
      </c>
      <c r="L168" s="99">
        <f>IFERROR(K168/$B$2,0)</f>
        <v>0</v>
      </c>
      <c r="M168" s="99">
        <f>IFERROR(L168*E168,0)</f>
        <v>0</v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>
        <v>370619</v>
      </c>
      <c r="C169" s="137">
        <v>1031066750</v>
      </c>
      <c r="D169" s="99">
        <f>IFERROR(B169/$B$161,0)</f>
        <v>0.00370619</v>
      </c>
      <c r="E169" s="131">
        <f>IFERROR(C169/B169/500.0,0)</f>
        <v>5.56402531980282</v>
      </c>
      <c r="F169" s="129" t="n"/>
      <c r="G169" s="13" t="inlineStr">
        <is>
          <t>(5, 6]</t>
        </is>
      </c>
      <c r="H169" s="127">
        <v>0</v>
      </c>
      <c r="I169" s="99">
        <f>IFERROR(B169/$B$161,0)</f>
        <v>0</v>
      </c>
      <c r="J169" s="99">
        <f>IFERROR(K169/$B$2,0)</f>
        <v>0</v>
      </c>
      <c r="K169" s="128">
        <v>0</v>
      </c>
      <c r="L169" s="99">
        <f>IFERROR(K169/$B$2,0)</f>
        <v>0</v>
      </c>
      <c r="M169" s="99">
        <f>IFERROR(L169*E169,0)</f>
        <v>0</v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>
        <v>504428</v>
      </c>
      <c r="C170" s="137">
        <v>1651485850</v>
      </c>
      <c r="D170" s="99">
        <f>IFERROR(B170/$B$161,0)</f>
        <v>0.00504428</v>
      </c>
      <c r="E170" s="131">
        <f>IFERROR(C170/B170/500.0,0)</f>
        <v>6.54795471306113</v>
      </c>
      <c r="F170" s="129" t="n"/>
      <c r="G170" s="13" t="inlineStr">
        <is>
          <t>(6, 7]</t>
        </is>
      </c>
      <c r="H170" s="127">
        <v>0</v>
      </c>
      <c r="I170" s="99">
        <f>IFERROR(B170/$B$161,0)</f>
        <v>0</v>
      </c>
      <c r="J170" s="99">
        <f>IFERROR(K170/$B$2,0)</f>
        <v>0</v>
      </c>
      <c r="K170" s="128">
        <v>0</v>
      </c>
      <c r="L170" s="99">
        <f>IFERROR(K170/$B$2,0)</f>
        <v>0</v>
      </c>
      <c r="M170" s="99">
        <f>IFERROR(L170*E170,0)</f>
        <v>0</v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>
        <v>613690</v>
      </c>
      <c r="C171" s="137">
        <v>2313641425</v>
      </c>
      <c r="D171" s="99">
        <f>IFERROR(B171/$B$161,0)</f>
        <v>0.0061369</v>
      </c>
      <c r="E171" s="131">
        <f>IFERROR(C171/B171/500.0,0)</f>
        <v>7.54009817660382</v>
      </c>
      <c r="F171" s="129" t="n"/>
      <c r="G171" s="13" t="inlineStr">
        <is>
          <t>(7, 8]</t>
        </is>
      </c>
      <c r="H171" s="127">
        <v>0</v>
      </c>
      <c r="I171" s="99">
        <f>IFERROR(B171/$B$161,0)</f>
        <v>0</v>
      </c>
      <c r="J171" s="99">
        <f>IFERROR(K171/$B$2,0)</f>
        <v>0</v>
      </c>
      <c r="K171" s="128">
        <v>0</v>
      </c>
      <c r="L171" s="99">
        <f>IFERROR(K171/$B$2,0)</f>
        <v>0</v>
      </c>
      <c r="M171" s="99">
        <f>IFERROR(L171*E171,0)</f>
        <v>0</v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>
        <v>698850</v>
      </c>
      <c r="C172" s="137">
        <v>2982664600</v>
      </c>
      <c r="D172" s="99">
        <f>IFERROR(B172/$B$161,0)</f>
        <v>0.0069885</v>
      </c>
      <c r="E172" s="131">
        <f>IFERROR(C172/B172/500.0,0)</f>
        <v>8.53592215783072</v>
      </c>
      <c r="F172" s="129" t="n"/>
      <c r="G172" s="13" t="inlineStr">
        <is>
          <t>(8, 9]</t>
        </is>
      </c>
      <c r="H172" s="127">
        <v>0</v>
      </c>
      <c r="I172" s="99">
        <f>IFERROR(B172/$B$161,0)</f>
        <v>0</v>
      </c>
      <c r="J172" s="99">
        <f>IFERROR(K172/$B$2,0)</f>
        <v>0</v>
      </c>
      <c r="K172" s="128">
        <v>0</v>
      </c>
      <c r="L172" s="99">
        <f>IFERROR(K172/$B$2,0)</f>
        <v>0</v>
      </c>
      <c r="M172" s="99">
        <f>IFERROR(L172*E172,0)</f>
        <v>0</v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>
        <v>762827</v>
      </c>
      <c r="C173" s="137">
        <v>3635592975</v>
      </c>
      <c r="D173" s="99">
        <f>IFERROR(B173/$B$161,0)</f>
        <v>0.00762827</v>
      </c>
      <c r="E173" s="131">
        <f>IFERROR(C173/B173/500.0,0)</f>
        <v>9.53189379767628</v>
      </c>
      <c r="F173" s="129" t="n"/>
      <c r="G173" s="13" t="inlineStr">
        <is>
          <t>(9, 10]</t>
        </is>
      </c>
      <c r="H173" s="127">
        <v>0</v>
      </c>
      <c r="I173" s="99">
        <f>IFERROR(B173/$B$161,0)</f>
        <v>0</v>
      </c>
      <c r="J173" s="99">
        <f>IFERROR(K173/$B$2,0)</f>
        <v>0</v>
      </c>
      <c r="K173" s="128">
        <v>0</v>
      </c>
      <c r="L173" s="99">
        <f>IFERROR(K173/$B$2,0)</f>
        <v>0</v>
      </c>
      <c r="M173" s="99">
        <f>IFERROR(L173*E173,0)</f>
        <v>0</v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>
        <v>4182387</v>
      </c>
      <c r="C174" s="137">
        <v>26250689600</v>
      </c>
      <c r="D174" s="99">
        <f>IFERROR(B174/$B$161,0)</f>
        <v>0.04182387</v>
      </c>
      <c r="E174" s="131">
        <f>IFERROR(C174/B174/500.0,0)</f>
        <v>12.5529701579505</v>
      </c>
      <c r="F174" s="129" t="n"/>
      <c r="G174" s="13" t="inlineStr">
        <is>
          <t>(10, 15]</t>
        </is>
      </c>
      <c r="H174" s="127">
        <v>0</v>
      </c>
      <c r="I174" s="99">
        <f>IFERROR(B174/$B$161,0)</f>
        <v>0</v>
      </c>
      <c r="J174" s="99">
        <f>IFERROR(K174/$B$2,0)</f>
        <v>0</v>
      </c>
      <c r="K174" s="128">
        <v>0</v>
      </c>
      <c r="L174" s="99">
        <f>IFERROR(K174/$B$2,0)</f>
        <v>0</v>
      </c>
      <c r="M174" s="99">
        <f>IFERROR(L174*E174,0)</f>
        <v>0</v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>
        <v>4178241</v>
      </c>
      <c r="C175" s="137">
        <v>36572728875</v>
      </c>
      <c r="D175" s="99">
        <f>IFERROR(B175/$B$161,0)</f>
        <v>0.04178241</v>
      </c>
      <c r="E175" s="131">
        <f>IFERROR(C175/B175/500.0,0)</f>
        <v>17.5062802145688</v>
      </c>
      <c r="F175" s="129" t="n"/>
      <c r="G175" s="13" t="inlineStr">
        <is>
          <t>(15, 20]</t>
        </is>
      </c>
      <c r="H175" s="127">
        <v>0</v>
      </c>
      <c r="I175" s="99">
        <f>IFERROR(B175/$B$161,0)</f>
        <v>0</v>
      </c>
      <c r="J175" s="99">
        <f>IFERROR(K175/$B$2,0)</f>
        <v>0</v>
      </c>
      <c r="K175" s="128">
        <v>0</v>
      </c>
      <c r="L175" s="99">
        <f>IFERROR(K175/$B$2,0)</f>
        <v>0</v>
      </c>
      <c r="M175" s="99">
        <f>IFERROR(L175*E175,0)</f>
        <v>0</v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>
        <v>3933148</v>
      </c>
      <c r="C176" s="137">
        <v>44239791700</v>
      </c>
      <c r="D176" s="99">
        <f>IFERROR(B176/$B$161,0)</f>
        <v>0.03933148</v>
      </c>
      <c r="E176" s="131">
        <f>IFERROR(C176/B176/500.0,0)</f>
        <v>22.4958693138422</v>
      </c>
      <c r="F176" s="129" t="n"/>
      <c r="G176" s="13" t="inlineStr">
        <is>
          <t>(20, 25]</t>
        </is>
      </c>
      <c r="H176" s="127">
        <v>1.2170284464251</v>
      </c>
      <c r="I176" s="99">
        <f>IFERROR(B176/$B$161,0)</f>
        <v>0.04786753</v>
      </c>
      <c r="J176" s="99">
        <f>IFERROR(K176/$B$2,0)</f>
        <v>0.04786753</v>
      </c>
      <c r="K176" s="128">
        <v>47867530</v>
      </c>
      <c r="L176" s="99">
        <f>IFERROR(K176/$B$2,0)</f>
        <v>0.04786753</v>
      </c>
      <c r="M176" s="99">
        <f>IFERROR(L176*E176,0)</f>
        <v>1.07682169925642</v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>
        <v>3660982</v>
      </c>
      <c r="C177" s="137">
        <v>50332563875</v>
      </c>
      <c r="D177" s="99">
        <f>IFERROR(B177/$B$161,0)</f>
        <v>0.03660982</v>
      </c>
      <c r="E177" s="131">
        <f>IFERROR(C177/B177/500.0,0)</f>
        <v>27.4967557201865</v>
      </c>
      <c r="F177" s="129" t="n"/>
      <c r="G177" s="13" t="inlineStr">
        <is>
          <t>(25, 30]</t>
        </is>
      </c>
      <c r="H177" s="127">
        <v>1.44645644256104</v>
      </c>
      <c r="I177" s="99">
        <f>IFERROR(B177/$B$161,0)</f>
        <v>0.05295451</v>
      </c>
      <c r="J177" s="99">
        <f>IFERROR(K177/$B$2,0)</f>
        <v>0.05295451</v>
      </c>
      <c r="K177" s="128">
        <v>52954510</v>
      </c>
      <c r="L177" s="99">
        <f>IFERROR(K177/$B$2,0)</f>
        <v>0.05295451</v>
      </c>
      <c r="M177" s="99">
        <f>IFERROR(L177*E177,0)</f>
        <v>1.45607722575218</v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>
        <v>3422334</v>
      </c>
      <c r="C178" s="137">
        <v>55610483025</v>
      </c>
      <c r="D178" s="99">
        <f>IFERROR(B178/$B$161,0)</f>
        <v>0.03422334</v>
      </c>
      <c r="E178" s="131">
        <f>IFERROR(C178/B178/500.0,0)</f>
        <v>32.4985714573738</v>
      </c>
      <c r="F178" s="129" t="n"/>
      <c r="G178" s="13" t="inlineStr">
        <is>
          <t>(30, 35]</t>
        </is>
      </c>
      <c r="H178" s="127">
        <v>2.92704882106773</v>
      </c>
      <c r="I178" s="99">
        <f>IFERROR(B178/$B$161,0)</f>
        <v>0.100173387</v>
      </c>
      <c r="J178" s="99">
        <f>IFERROR(K178/$B$2,0)</f>
        <v>0.100173387</v>
      </c>
      <c r="K178" s="128">
        <v>100173387</v>
      </c>
      <c r="L178" s="99">
        <f>IFERROR(K178/$B$2,0)</f>
        <v>0.100173387</v>
      </c>
      <c r="M178" s="99">
        <f>IFERROR(L178*E178,0)</f>
        <v>3.25549197554666</v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>
        <v>3213747</v>
      </c>
      <c r="C179" s="137">
        <v>60256708900</v>
      </c>
      <c r="D179" s="99">
        <f>IFERROR(B179/$B$161,0)</f>
        <v>0.03213747</v>
      </c>
      <c r="E179" s="131">
        <f>IFERROR(C179/B179/500.0,0)</f>
        <v>37.4993482063149</v>
      </c>
      <c r="F179" s="129" t="n"/>
      <c r="G179" s="13" t="inlineStr">
        <is>
          <t>(35, 40]</t>
        </is>
      </c>
      <c r="H179" s="127">
        <v>1.79666672578769</v>
      </c>
      <c r="I179" s="99">
        <f>IFERROR(B179/$B$161,0)</f>
        <v>0.057740323</v>
      </c>
      <c r="J179" s="99">
        <f>IFERROR(K179/$B$2,0)</f>
        <v>0.057740323</v>
      </c>
      <c r="K179" s="128">
        <v>57740323</v>
      </c>
      <c r="L179" s="99">
        <f>IFERROR(K179/$B$2,0)</f>
        <v>0.057740323</v>
      </c>
      <c r="M179" s="99">
        <f>IFERROR(L179*E179,0)</f>
        <v>2.1652244777221</v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>
        <v>3013224</v>
      </c>
      <c r="C180" s="137">
        <v>64031926775</v>
      </c>
      <c r="D180" s="99">
        <f>IFERROR(B180/$B$161,0)</f>
        <v>0.03013224</v>
      </c>
      <c r="E180" s="131">
        <f>IFERROR(C180/B180/500.0,0)</f>
        <v>42.5006085010607</v>
      </c>
      <c r="F180" s="129" t="n"/>
      <c r="G180" s="13" t="inlineStr">
        <is>
          <t>(40, 45]</t>
        </is>
      </c>
      <c r="H180" s="127">
        <v>1.73433999596446</v>
      </c>
      <c r="I180" s="99">
        <f>IFERROR(B180/$B$161,0)</f>
        <v>0.052259549</v>
      </c>
      <c r="J180" s="99">
        <f>IFERROR(K180/$B$2,0)</f>
        <v>0.052259549</v>
      </c>
      <c r="K180" s="128">
        <v>52259549</v>
      </c>
      <c r="L180" s="99">
        <f>IFERROR(K180/$B$2,0)</f>
        <v>0.052259549</v>
      </c>
      <c r="M180" s="99">
        <f>IFERROR(L180*E180,0)</f>
        <v>2.221062632491</v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>
        <v>2844186</v>
      </c>
      <c r="C181" s="137">
        <v>67551907375</v>
      </c>
      <c r="D181" s="99">
        <f>IFERROR(B181/$B$161,0)</f>
        <v>0.02844186</v>
      </c>
      <c r="E181" s="131">
        <f>IFERROR(C181/B181/500.0,0)</f>
        <v>47.5017508524407</v>
      </c>
      <c r="F181" s="129" t="n"/>
      <c r="G181" s="13" t="inlineStr">
        <is>
          <t>(45, 50]</t>
        </is>
      </c>
      <c r="H181" s="127">
        <v>2.01219941311855</v>
      </c>
      <c r="I181" s="99">
        <f>IFERROR(B181/$B$161,0)</f>
        <v>0.057230694</v>
      </c>
      <c r="J181" s="99">
        <f>IFERROR(K181/$B$2,0)</f>
        <v>0.057230694</v>
      </c>
      <c r="K181" s="128">
        <v>57230694</v>
      </c>
      <c r="L181" s="99">
        <f>IFERROR(K181/$B$2,0)</f>
        <v>0.057230694</v>
      </c>
      <c r="M181" s="99">
        <f>IFERROR(L181*E181,0)</f>
        <v>2.71855816750027</v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>
        <v>5221251</v>
      </c>
      <c r="C182" s="137">
        <v>143407859850</v>
      </c>
      <c r="D182" s="99">
        <f>IFERROR(B182/$B$161,0)</f>
        <v>0.05221251</v>
      </c>
      <c r="E182" s="131">
        <f>IFERROR(C182/B182/500.0,0)</f>
        <v>54.9323753445295</v>
      </c>
      <c r="F182" s="129" t="n"/>
      <c r="G182" s="13" t="inlineStr">
        <is>
          <t>(50, 60]</t>
        </is>
      </c>
      <c r="H182" s="127">
        <v>2.67265588266107</v>
      </c>
      <c r="I182" s="99">
        <f>IFERROR(B182/$B$161,0)</f>
        <v>0.139546072</v>
      </c>
      <c r="J182" s="99">
        <f>IFERROR(K182/$B$2,0)</f>
        <v>0.139546072</v>
      </c>
      <c r="K182" s="128">
        <v>139546072</v>
      </c>
      <c r="L182" s="99">
        <f>IFERROR(K182/$B$2,0)</f>
        <v>0.139546072</v>
      </c>
      <c r="M182" s="99">
        <f>IFERROR(L182*E182,0)</f>
        <v>7.66559720495874</v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>
        <v>4682884</v>
      </c>
      <c r="C183" s="137">
        <v>152046399050</v>
      </c>
      <c r="D183" s="99">
        <f>IFERROR(B183/$B$161,0)</f>
        <v>0.04682884</v>
      </c>
      <c r="E183" s="131">
        <f>IFERROR(C183/B183/500.0,0)</f>
        <v>64.937076831286</v>
      </c>
      <c r="F183" s="129" t="n"/>
      <c r="G183" s="13" t="inlineStr">
        <is>
          <t>(60, 70]</t>
        </is>
      </c>
      <c r="H183" s="127">
        <v>1.20315497885491</v>
      </c>
      <c r="I183" s="99">
        <f>IFERROR(B183/$B$161,0)</f>
        <v>0.056342352</v>
      </c>
      <c r="J183" s="99">
        <f>IFERROR(K183/$B$2,0)</f>
        <v>0.056342352</v>
      </c>
      <c r="K183" s="128">
        <v>56342352</v>
      </c>
      <c r="L183" s="99">
        <f>IFERROR(K183/$B$2,0)</f>
        <v>0.056342352</v>
      </c>
      <c r="M183" s="99">
        <f>IFERROR(L183*E183,0)</f>
        <v>3.65870764067936</v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>
        <v>4214802</v>
      </c>
      <c r="C184" s="137">
        <v>157931775950</v>
      </c>
      <c r="D184" s="99">
        <f>IFERROR(B184/$B$161,0)</f>
        <v>0.04214802</v>
      </c>
      <c r="E184" s="131">
        <f>IFERROR(C184/B184/500.0,0)</f>
        <v>74.9414923642914</v>
      </c>
      <c r="F184" s="129" t="n"/>
      <c r="G184" s="13" t="inlineStr">
        <is>
          <t>(70, 80]</t>
        </is>
      </c>
      <c r="H184" s="127">
        <v>1.20425415001701</v>
      </c>
      <c r="I184" s="99">
        <f>IFERROR(B184/$B$161,0)</f>
        <v>0.050756928</v>
      </c>
      <c r="J184" s="99">
        <f>IFERROR(K184/$B$2,0)</f>
        <v>0.050756928</v>
      </c>
      <c r="K184" s="128">
        <v>50756928</v>
      </c>
      <c r="L184" s="99">
        <f>IFERROR(K184/$B$2,0)</f>
        <v>0.050756928</v>
      </c>
      <c r="M184" s="99">
        <f>IFERROR(L184*E184,0)</f>
        <v>3.80379993214689</v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>
        <v>3808760</v>
      </c>
      <c r="C185" s="137">
        <v>161760501375</v>
      </c>
      <c r="D185" s="99">
        <f>IFERROR(B185/$B$161,0)</f>
        <v>0.0380876</v>
      </c>
      <c r="E185" s="131">
        <f>IFERROR(C185/B185/500.0,0)</f>
        <v>84.9412939513122</v>
      </c>
      <c r="F185" s="129" t="n"/>
      <c r="G185" s="13" t="inlineStr">
        <is>
          <t>(80, 90]</t>
        </is>
      </c>
      <c r="H185" s="127">
        <v>1.18842809733352</v>
      </c>
      <c r="I185" s="99">
        <f>IFERROR(B185/$B$161,0)</f>
        <v>0.045264374</v>
      </c>
      <c r="J185" s="99">
        <f>IFERROR(K185/$B$2,0)</f>
        <v>0.045264374</v>
      </c>
      <c r="K185" s="128">
        <v>45264374</v>
      </c>
      <c r="L185" s="99">
        <f>IFERROR(K185/$B$2,0)</f>
        <v>0.045264374</v>
      </c>
      <c r="M185" s="99">
        <f>IFERROR(L185*E185,0)</f>
        <v>3.84481449745614</v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>
        <v>3455167</v>
      </c>
      <c r="C186" s="137">
        <v>164026775175</v>
      </c>
      <c r="D186" s="99">
        <f>IFERROR(B186/$B$161,0)</f>
        <v>0.03455167</v>
      </c>
      <c r="E186" s="131">
        <f>IFERROR(C186/B186/500.0,0)</f>
        <v>94.9457870922013</v>
      </c>
      <c r="F186" s="129" t="n"/>
      <c r="G186" s="13" t="inlineStr">
        <is>
          <t>(90, 100]</t>
        </is>
      </c>
      <c r="H186" s="127">
        <v>1.15375844351373</v>
      </c>
      <c r="I186" s="99">
        <f>IFERROR(B186/$B$161,0)</f>
        <v>0.039864281</v>
      </c>
      <c r="J186" s="99">
        <f>IFERROR(K186/$B$2,0)</f>
        <v>0.039864281</v>
      </c>
      <c r="K186" s="128">
        <v>39864281</v>
      </c>
      <c r="L186" s="99">
        <f>IFERROR(K186/$B$2,0)</f>
        <v>0.039864281</v>
      </c>
      <c r="M186" s="99">
        <f>IFERROR(L186*E186,0)</f>
        <v>3.78494553640969</v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>
        <v>6012448</v>
      </c>
      <c r="C187" s="137">
        <v>329838156225</v>
      </c>
      <c r="D187" s="99">
        <f>IFERROR(B187/$B$161,0)</f>
        <v>0.06012448</v>
      </c>
      <c r="E187" s="131">
        <f>IFERROR(C187/B187/500.0,0)</f>
        <v>109.718422920248</v>
      </c>
      <c r="F187" s="129" t="n"/>
      <c r="G187" s="13" t="inlineStr">
        <is>
          <t>(100, 120]</t>
        </is>
      </c>
      <c r="H187" s="127">
        <v>0.894069404009814</v>
      </c>
      <c r="I187" s="99">
        <f>IFERROR(B187/$B$161,0)</f>
        <v>0.053755458</v>
      </c>
      <c r="J187" s="99">
        <f>IFERROR(K187/$B$2,0)</f>
        <v>0.053755458</v>
      </c>
      <c r="K187" s="128">
        <v>53755458</v>
      </c>
      <c r="L187" s="99">
        <f>IFERROR(K187/$B$2,0)</f>
        <v>0.053755458</v>
      </c>
      <c r="M187" s="99">
        <f>IFERROR(L187*E187,0)</f>
        <v>5.89796407511563</v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>
        <v>5017940</v>
      </c>
      <c r="C188" s="137">
        <v>325484189700</v>
      </c>
      <c r="D188" s="99">
        <f>IFERROR(B188/$B$161,0)</f>
        <v>0.0501794</v>
      </c>
      <c r="E188" s="131">
        <f>IFERROR(C188/B188/500.0,0)</f>
        <v>129.728211058721</v>
      </c>
      <c r="F188" s="129" t="n"/>
      <c r="G188" s="13" t="inlineStr">
        <is>
          <t>(120, 140]</t>
        </is>
      </c>
      <c r="H188" s="127">
        <v>1.52865185713659</v>
      </c>
      <c r="I188" s="99">
        <f>IFERROR(B188/$B$161,0)</f>
        <v>0.076706833</v>
      </c>
      <c r="J188" s="99">
        <f>IFERROR(K188/$B$2,0)</f>
        <v>0.076706833</v>
      </c>
      <c r="K188" s="128">
        <v>76706833</v>
      </c>
      <c r="L188" s="99">
        <f>IFERROR(K188/$B$2,0)</f>
        <v>0.076706833</v>
      </c>
      <c r="M188" s="99">
        <f>IFERROR(L188*E188,0)</f>
        <v>9.95104022107009</v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>
        <v>4218303</v>
      </c>
      <c r="C189" s="137">
        <v>315833495375</v>
      </c>
      <c r="D189" s="99">
        <f>IFERROR(B189/$B$161,0)</f>
        <v>0.04218303</v>
      </c>
      <c r="E189" s="131">
        <f>IFERROR(C189/B189/500.0,0)</f>
        <v>149.744338126019</v>
      </c>
      <c r="F189" s="129" t="n"/>
      <c r="G189" s="13" t="inlineStr">
        <is>
          <t>(140, 160]</t>
        </is>
      </c>
      <c r="H189" s="127">
        <v>0.729568715191867</v>
      </c>
      <c r="I189" s="99">
        <f>IFERROR(B189/$B$161,0)</f>
        <v>0.030775419</v>
      </c>
      <c r="J189" s="99">
        <f>IFERROR(K189/$B$2,0)</f>
        <v>0.030775419</v>
      </c>
      <c r="K189" s="128">
        <v>30775419</v>
      </c>
      <c r="L189" s="99">
        <f>IFERROR(K189/$B$2,0)</f>
        <v>0.030775419</v>
      </c>
      <c r="M189" s="99">
        <f>IFERROR(L189*E189,0)</f>
        <v>4.60844474870591</v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>
        <v>3570593</v>
      </c>
      <c r="C190" s="137">
        <v>303059416600</v>
      </c>
      <c r="D190" s="99">
        <f>IFERROR(B190/$B$161,0)</f>
        <v>0.03570593</v>
      </c>
      <c r="E190" s="131">
        <f>IFERROR(C190/B190/500.0,0)</f>
        <v>169.752988705237</v>
      </c>
      <c r="F190" s="129" t="n"/>
      <c r="G190" s="13" t="inlineStr">
        <is>
          <t>(160, 180]</t>
        </is>
      </c>
      <c r="H190" s="127">
        <v>0.671961520117247</v>
      </c>
      <c r="I190" s="99">
        <f>IFERROR(B190/$B$161,0)</f>
        <v>0.023993011</v>
      </c>
      <c r="J190" s="99">
        <f>IFERROR(K190/$B$2,0)</f>
        <v>0.023993011</v>
      </c>
      <c r="K190" s="128">
        <v>23993011</v>
      </c>
      <c r="L190" s="99">
        <f>IFERROR(K190/$B$2,0)</f>
        <v>0.023993011</v>
      </c>
      <c r="M190" s="99">
        <f>IFERROR(L190*E190,0)</f>
        <v>4.07288532528764</v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>
        <v>3045777</v>
      </c>
      <c r="C191" s="137">
        <v>288980255725</v>
      </c>
      <c r="D191" s="99">
        <f>IFERROR(B191/$B$161,0)</f>
        <v>0.03045777</v>
      </c>
      <c r="E191" s="131">
        <f>IFERROR(C191/B191/500.0,0)</f>
        <v>189.757986697647</v>
      </c>
      <c r="F191" s="129" t="n"/>
      <c r="G191" s="13" t="inlineStr">
        <is>
          <t>(180, 200]</t>
        </is>
      </c>
      <c r="H191" s="127">
        <v>0.769493170379841</v>
      </c>
      <c r="I191" s="99">
        <f>IFERROR(B191/$B$161,0)</f>
        <v>0.023437046</v>
      </c>
      <c r="J191" s="99">
        <f>IFERROR(K191/$B$2,0)</f>
        <v>0.023437046</v>
      </c>
      <c r="K191" s="128">
        <v>23437046</v>
      </c>
      <c r="L191" s="99">
        <f>IFERROR(K191/$B$2,0)</f>
        <v>0.023437046</v>
      </c>
      <c r="M191" s="99">
        <f>IFERROR(L191*E191,0)</f>
        <v>4.44736666310015</v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>
        <v>5871341</v>
      </c>
      <c r="C192" s="137">
        <v>656110802000</v>
      </c>
      <c r="D192" s="99">
        <f>IFERROR(B192/$B$161,0)</f>
        <v>0.05871341</v>
      </c>
      <c r="E192" s="131">
        <f>IFERROR(C192/B192/500.0,0)</f>
        <v>223.496064016721</v>
      </c>
      <c r="F192" s="129" t="n"/>
      <c r="G192" s="13" t="inlineStr">
        <is>
          <t>(200, 250]</t>
        </is>
      </c>
      <c r="H192" s="127">
        <v>0.702547288600679</v>
      </c>
      <c r="I192" s="99">
        <f>IFERROR(B192/$B$161,0)</f>
        <v>0.041248947</v>
      </c>
      <c r="J192" s="99">
        <f>IFERROR(K192/$B$2,0)</f>
        <v>0.041248947</v>
      </c>
      <c r="K192" s="128">
        <v>41248947</v>
      </c>
      <c r="L192" s="99">
        <f>IFERROR(K192/$B$2,0)</f>
        <v>0.041248947</v>
      </c>
      <c r="M192" s="99">
        <f>IFERROR(L192*E192,0)</f>
        <v>9.21897729933434</v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>
        <v>4126274</v>
      </c>
      <c r="C193" s="137">
        <v>564503446125</v>
      </c>
      <c r="D193" s="99">
        <f>IFERROR(B193/$B$161,0)</f>
        <v>0.04126274</v>
      </c>
      <c r="E193" s="131">
        <f>IFERROR(C193/B193/500.0,0)</f>
        <v>273.614135234354</v>
      </c>
      <c r="F193" s="129" t="n"/>
      <c r="G193" s="13" t="inlineStr">
        <is>
          <t>(250, 300]</t>
        </is>
      </c>
      <c r="H193" s="127">
        <v>0.255758245816928</v>
      </c>
      <c r="I193" s="99">
        <f>IFERROR(B193/$B$161,0)</f>
        <v>0.010553286</v>
      </c>
      <c r="J193" s="99">
        <f>IFERROR(K193/$B$2,0)</f>
        <v>0.010553286</v>
      </c>
      <c r="K193" s="128">
        <v>10553286</v>
      </c>
      <c r="L193" s="99">
        <f>IFERROR(K193/$B$2,0)</f>
        <v>0.010553286</v>
      </c>
      <c r="M193" s="99">
        <f>IFERROR(L193*E193,0)</f>
        <v>2.88752822277082</v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>
        <v>2971964</v>
      </c>
      <c r="C194" s="137">
        <v>481066855400</v>
      </c>
      <c r="D194" s="99">
        <f>IFERROR(B194/$B$161,0)</f>
        <v>0.02971964</v>
      </c>
      <c r="E194" s="131">
        <f>IFERROR(C194/B194/500.0,0)</f>
        <v>323.736663970358</v>
      </c>
      <c r="F194" s="129" t="n"/>
      <c r="G194" s="13" t="inlineStr">
        <is>
          <t>(300, 350]</t>
        </is>
      </c>
      <c r="H194" s="127">
        <v>0.151740128749877</v>
      </c>
      <c r="I194" s="99">
        <f>IFERROR(B194/$B$161,0)</f>
        <v>0.004509662</v>
      </c>
      <c r="J194" s="99">
        <f>IFERROR(K194/$B$2,0)</f>
        <v>0.004509662</v>
      </c>
      <c r="K194" s="128">
        <v>4509662</v>
      </c>
      <c r="L194" s="99">
        <f>IFERROR(K194/$B$2,0)</f>
        <v>0.004509662</v>
      </c>
      <c r="M194" s="99">
        <f>IFERROR(L194*E194,0)</f>
        <v>1.45994293151389</v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>
        <v>2196543</v>
      </c>
      <c r="C195" s="137">
        <v>410539850525</v>
      </c>
      <c r="D195" s="99">
        <f>IFERROR(B195/$B$161,0)</f>
        <v>0.02196543</v>
      </c>
      <c r="E195" s="131">
        <f>IFERROR(C195/B195/500.0,0)</f>
        <v>373.805430191897</v>
      </c>
      <c r="F195" s="129" t="n"/>
      <c r="G195" s="13" t="inlineStr">
        <is>
          <t>(350, 400]</t>
        </is>
      </c>
      <c r="H195" s="127">
        <v>0.38949868042647</v>
      </c>
      <c r="I195" s="99">
        <f>IFERROR(B195/$B$161,0)</f>
        <v>0.008555506</v>
      </c>
      <c r="J195" s="99">
        <f>IFERROR(K195/$B$2,0)</f>
        <v>0.008555506</v>
      </c>
      <c r="K195" s="128">
        <v>8555506</v>
      </c>
      <c r="L195" s="99">
        <f>IFERROR(K195/$B$2,0)</f>
        <v>0.008555506</v>
      </c>
      <c r="M195" s="99">
        <f>IFERROR(L195*E195,0)</f>
        <v>3.19809460083936</v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>
        <v>1656016</v>
      </c>
      <c r="C196" s="137">
        <v>350994696725</v>
      </c>
      <c r="D196" s="99">
        <f>IFERROR(B196/$B$161,0)</f>
        <v>0.01656016</v>
      </c>
      <c r="E196" s="131">
        <f>IFERROR(C196/B196/500.0,0)</f>
        <v>423.902542880021</v>
      </c>
      <c r="F196" s="129" t="n"/>
      <c r="G196" s="13" t="inlineStr">
        <is>
          <t>(400, 450]</t>
        </is>
      </c>
      <c r="H196" s="127">
        <v>0.732911517763113</v>
      </c>
      <c r="I196" s="99">
        <f>IFERROR(B196/$B$161,0)</f>
        <v>0.012137132</v>
      </c>
      <c r="J196" s="99">
        <f>IFERROR(K196/$B$2,0)</f>
        <v>0.012137132</v>
      </c>
      <c r="K196" s="128">
        <v>12137132</v>
      </c>
      <c r="L196" s="99">
        <f>IFERROR(K196/$B$2,0)</f>
        <v>0.012137132</v>
      </c>
      <c r="M196" s="99">
        <f>IFERROR(L196*E196,0)</f>
        <v>5.14496111807047</v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>
        <v>1271695</v>
      </c>
      <c r="C197" s="137">
        <v>301359642450</v>
      </c>
      <c r="D197" s="99">
        <f>IFERROR(B197/$B$161,0)</f>
        <v>0.01271695</v>
      </c>
      <c r="E197" s="131">
        <f>IFERROR(C197/B197/500.0,0)</f>
        <v>473.949559367616</v>
      </c>
      <c r="F197" s="129" t="n"/>
      <c r="G197" s="13" t="inlineStr">
        <is>
          <t>(450, 500]</t>
        </is>
      </c>
      <c r="H197" s="127">
        <v>0.599813241382564</v>
      </c>
      <c r="I197" s="99">
        <f>IFERROR(B197/$B$161,0)</f>
        <v>0.007627795</v>
      </c>
      <c r="J197" s="99">
        <f>IFERROR(K197/$B$2,0)</f>
        <v>0.007627795</v>
      </c>
      <c r="K197" s="128">
        <v>7627795</v>
      </c>
      <c r="L197" s="99">
        <f>IFERROR(K197/$B$2,0)</f>
        <v>0.007627795</v>
      </c>
      <c r="M197" s="99">
        <f>IFERROR(L197*E197,0)</f>
        <v>3.6151900791965</v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>
        <v>994180</v>
      </c>
      <c r="C198" s="137">
        <v>260496934675</v>
      </c>
      <c r="D198" s="99">
        <f>IFERROR(B198/$B$161,0)</f>
        <v>0.0099418</v>
      </c>
      <c r="E198" s="131">
        <f>IFERROR(C198/B198/500.0,0)</f>
        <v>524.043804290973</v>
      </c>
      <c r="F198" s="129" t="n"/>
      <c r="G198" s="13" t="inlineStr">
        <is>
          <t>(500, 550]</t>
        </is>
      </c>
      <c r="H198" s="127">
        <v>0</v>
      </c>
      <c r="I198" s="99">
        <f>IFERROR(B198/$B$161,0)</f>
        <v>0</v>
      </c>
      <c r="J198" s="99">
        <f>IFERROR(K198/$B$2,0)</f>
        <v>0</v>
      </c>
      <c r="K198" s="128">
        <v>0</v>
      </c>
      <c r="L198" s="99">
        <f>IFERROR(K198/$B$2,0)</f>
        <v>0</v>
      </c>
      <c r="M198" s="99">
        <f>IFERROR(L198*E198,0)</f>
        <v>0</v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>
        <v>786641</v>
      </c>
      <c r="C199" s="137">
        <v>225810482775</v>
      </c>
      <c r="D199" s="99">
        <f>IFERROR(B199/$B$161,0)</f>
        <v>0.00786641</v>
      </c>
      <c r="E199" s="131">
        <f>IFERROR(C199/B199/500.0,0)</f>
        <v>574.11317939187</v>
      </c>
      <c r="F199" s="129" t="n"/>
      <c r="G199" s="13" t="inlineStr">
        <is>
          <t>(550, 600]</t>
        </is>
      </c>
      <c r="H199" s="127">
        <v>0.851710627846756</v>
      </c>
      <c r="I199" s="99">
        <f>IFERROR(B199/$B$161,0)</f>
        <v>0.006699905</v>
      </c>
      <c r="J199" s="99">
        <f>IFERROR(K199/$B$2,0)</f>
        <v>0.006699905</v>
      </c>
      <c r="K199" s="128">
        <v>6699905</v>
      </c>
      <c r="L199" s="99">
        <f>IFERROR(K199/$B$2,0)</f>
        <v>0.006699905</v>
      </c>
      <c r="M199" s="99">
        <f>IFERROR(L199*E199,0)</f>
        <v>3.84650376117349</v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>
        <v>632559</v>
      </c>
      <c r="C200" s="137">
        <v>197403627875</v>
      </c>
      <c r="D200" s="99">
        <f>IFERROR(B200/$B$161,0)</f>
        <v>0.00632559</v>
      </c>
      <c r="E200" s="131">
        <f>IFERROR(C200/B200/500.0,0)</f>
        <v>624.142974410292</v>
      </c>
      <c r="F200" s="129" t="n"/>
      <c r="G200" s="13" t="inlineStr">
        <is>
          <t>(600, 650]</t>
        </is>
      </c>
      <c r="H200" s="127">
        <v>0</v>
      </c>
      <c r="I200" s="99">
        <f>IFERROR(B200/$B$161,0)</f>
        <v>0</v>
      </c>
      <c r="J200" s="99">
        <f>IFERROR(K200/$B$2,0)</f>
        <v>0</v>
      </c>
      <c r="K200" s="128">
        <v>0</v>
      </c>
      <c r="L200" s="99">
        <f>IFERROR(K200/$B$2,0)</f>
        <v>0</v>
      </c>
      <c r="M200" s="99">
        <f>IFERROR(L200*E200,0)</f>
        <v>0</v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>
        <v>513194</v>
      </c>
      <c r="C201" s="137">
        <v>172987742925</v>
      </c>
      <c r="D201" s="99">
        <f>IFERROR(B201/$B$161,0)</f>
        <v>0.00513194</v>
      </c>
      <c r="E201" s="131">
        <f>IFERROR(C201/B201/500.0,0)</f>
        <v>674.161205801315</v>
      </c>
      <c r="F201" s="129" t="n"/>
      <c r="G201" s="13" t="inlineStr">
        <is>
          <t>(650, 700]</t>
        </is>
      </c>
      <c r="H201" s="127">
        <v>0</v>
      </c>
      <c r="I201" s="99">
        <f>IFERROR(B201/$B$161,0)</f>
        <v>0</v>
      </c>
      <c r="J201" s="99">
        <f>IFERROR(K201/$B$2,0)</f>
        <v>0</v>
      </c>
      <c r="K201" s="128">
        <v>0</v>
      </c>
      <c r="L201" s="99">
        <f>IFERROR(K201/$B$2,0)</f>
        <v>0</v>
      </c>
      <c r="M201" s="99">
        <f>IFERROR(L201*E201,0)</f>
        <v>0</v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>
        <v>420624</v>
      </c>
      <c r="C202" s="137">
        <v>152318527675</v>
      </c>
      <c r="D202" s="99">
        <f>IFERROR(B202/$B$161,0)</f>
        <v>0.00420624</v>
      </c>
      <c r="E202" s="131">
        <f>IFERROR(C202/B202/500.0,0)</f>
        <v>724.250293254783</v>
      </c>
      <c r="F202" s="129" t="n"/>
      <c r="G202" s="13" t="inlineStr">
        <is>
          <t>(700, 750]</t>
        </is>
      </c>
      <c r="H202" s="127">
        <v>0</v>
      </c>
      <c r="I202" s="99">
        <f>IFERROR(B202/$B$161,0)</f>
        <v>0</v>
      </c>
      <c r="J202" s="99">
        <f>IFERROR(K202/$B$2,0)</f>
        <v>0</v>
      </c>
      <c r="K202" s="128">
        <v>0</v>
      </c>
      <c r="L202" s="99">
        <f>IFERROR(K202/$B$2,0)</f>
        <v>0</v>
      </c>
      <c r="M202" s="99">
        <f>IFERROR(L202*E202,0)</f>
        <v>0</v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>
        <v>349617</v>
      </c>
      <c r="C203" s="137">
        <v>135351024075</v>
      </c>
      <c r="D203" s="99">
        <f>IFERROR(B203/$B$161,0)</f>
        <v>0.00349617</v>
      </c>
      <c r="E203" s="131">
        <f>IFERROR(C203/B203/500.0,0)</f>
        <v>774.281708698376</v>
      </c>
      <c r="F203" s="129" t="n"/>
      <c r="G203" s="13" t="inlineStr">
        <is>
          <t>(750, 800]</t>
        </is>
      </c>
      <c r="H203" s="127">
        <v>0</v>
      </c>
      <c r="I203" s="99">
        <f>IFERROR(B203/$B$161,0)</f>
        <v>0</v>
      </c>
      <c r="J203" s="99">
        <f>IFERROR(K203/$B$2,0)</f>
        <v>0</v>
      </c>
      <c r="K203" s="128">
        <v>0</v>
      </c>
      <c r="L203" s="99">
        <f>IFERROR(K203/$B$2,0)</f>
        <v>0</v>
      </c>
      <c r="M203" s="99">
        <f>IFERROR(L203*E203,0)</f>
        <v>0</v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>
        <v>294650</v>
      </c>
      <c r="C204" s="137">
        <v>121449643550</v>
      </c>
      <c r="D204" s="99">
        <f>IFERROR(B204/$B$161,0)</f>
        <v>0.0029465</v>
      </c>
      <c r="E204" s="131">
        <f>IFERROR(C204/B204/500.0,0)</f>
        <v>824.365474630918</v>
      </c>
      <c r="F204" s="129" t="n"/>
      <c r="G204" s="13" t="inlineStr">
        <is>
          <t>(800, 850]</t>
        </is>
      </c>
      <c r="H204" s="127">
        <v>0</v>
      </c>
      <c r="I204" s="99">
        <f>IFERROR(B204/$B$161,0)</f>
        <v>0</v>
      </c>
      <c r="J204" s="99">
        <f>IFERROR(K204/$B$2,0)</f>
        <v>0</v>
      </c>
      <c r="K204" s="128">
        <v>0</v>
      </c>
      <c r="L204" s="99">
        <f>IFERROR(K204/$B$2,0)</f>
        <v>0</v>
      </c>
      <c r="M204" s="99">
        <f>IFERROR(L204*E204,0)</f>
        <v>0</v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>
        <v>250568</v>
      </c>
      <c r="C205" s="137">
        <v>109541734600</v>
      </c>
      <c r="D205" s="99">
        <f>IFERROR(B205/$B$161,0)</f>
        <v>0.00250568</v>
      </c>
      <c r="E205" s="131">
        <f>IFERROR(C205/B205/500.0,0)</f>
        <v>874.347359598991</v>
      </c>
      <c r="F205" s="129" t="n"/>
      <c r="G205" s="13" t="inlineStr">
        <is>
          <t>(850, 900]</t>
        </is>
      </c>
      <c r="H205" s="127">
        <v>0</v>
      </c>
      <c r="I205" s="99">
        <f>IFERROR(B205/$B$161,0)</f>
        <v>0</v>
      </c>
      <c r="J205" s="99">
        <f>IFERROR(K205/$B$2,0)</f>
        <v>0</v>
      </c>
      <c r="K205" s="133">
        <v>0</v>
      </c>
      <c r="L205" s="99">
        <f>IFERROR(K205/$B$2,0)</f>
        <v>0</v>
      </c>
      <c r="M205" s="99">
        <f>IFERROR(L205*E205,0)</f>
        <v>0</v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>
        <v>213052</v>
      </c>
      <c r="C206" s="137">
        <v>98465914350</v>
      </c>
      <c r="D206" s="99">
        <f>IFERROR(B206/$B$161,0)</f>
        <v>0.00213052</v>
      </c>
      <c r="E206" s="131">
        <f>IFERROR(C206/B206/500.0,0)</f>
        <v>924.336916339673</v>
      </c>
      <c r="F206" s="129" t="n"/>
      <c r="G206" s="13" t="inlineStr">
        <is>
          <t>(900, 950]</t>
        </is>
      </c>
      <c r="H206" s="127">
        <v>0</v>
      </c>
      <c r="I206" s="99">
        <f>IFERROR(B206/$B$161,0)</f>
        <v>0</v>
      </c>
      <c r="J206" s="99">
        <f>IFERROR(K206/$B$2,0)</f>
        <v>0</v>
      </c>
      <c r="K206" s="133">
        <v>0</v>
      </c>
      <c r="L206" s="99">
        <f>IFERROR(K206/$B$2,0)</f>
        <v>0</v>
      </c>
      <c r="M206" s="99">
        <f>IFERROR(L206*E206,0)</f>
        <v>0</v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>
        <v>183814</v>
      </c>
      <c r="C207" s="137">
        <v>89555814700</v>
      </c>
      <c r="D207" s="99">
        <f>IFERROR(B207/$B$161,0)</f>
        <v>0.00183814</v>
      </c>
      <c r="E207" s="131">
        <f>IFERROR(C207/B207/500.0,0)</f>
        <v>974.417777753599</v>
      </c>
      <c r="F207" s="129" t="n"/>
      <c r="G207" s="13" t="inlineStr">
        <is>
          <t>(950, 1000]</t>
        </is>
      </c>
      <c r="H207" s="127">
        <v>0</v>
      </c>
      <c r="I207" s="99">
        <f>IFERROR(B207/$B$161,0)</f>
        <v>0</v>
      </c>
      <c r="J207" s="99">
        <f>IFERROR(K207/$B$2,0)</f>
        <v>0</v>
      </c>
      <c r="K207" s="133">
        <v>0</v>
      </c>
      <c r="L207" s="99">
        <f>IFERROR(K207/$B$2,0)</f>
        <v>0</v>
      </c>
      <c r="M207" s="99">
        <f>IFERROR(L207*E207,0)</f>
        <v>0</v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>
        <v>1358748</v>
      </c>
      <c r="C208" s="137">
        <v>915636675575</v>
      </c>
      <c r="D208" s="99">
        <f>IFERROR(B208/$B$161,0)</f>
        <v>0.01358748</v>
      </c>
      <c r="E208" s="131">
        <f>IFERROR(C208/B208/500.0,0)</f>
        <v>1347.76525974647</v>
      </c>
      <c r="F208" s="129" t="n"/>
      <c r="G208" s="13" t="inlineStr">
        <is>
          <t>(1000, 2000]</t>
        </is>
      </c>
      <c r="H208" s="127">
        <v>0</v>
      </c>
      <c r="I208" s="99">
        <f>IFERROR(B208/$B$161,0)</f>
        <v>0</v>
      </c>
      <c r="J208" s="99">
        <f>IFERROR(K208/$B$2,0)</f>
        <v>0</v>
      </c>
      <c r="K208" s="133">
        <v>0</v>
      </c>
      <c r="L208" s="99">
        <f>IFERROR(K208/$B$2,0)</f>
        <v>0</v>
      </c>
      <c r="M208" s="99">
        <f>IFERROR(L208*E208,0)</f>
        <v>0</v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>
        <v>333499</v>
      </c>
      <c r="C209" s="137">
        <v>403521966275</v>
      </c>
      <c r="D209" s="99">
        <f>IFERROR(B209/$B$161,0)</f>
        <v>0.00333499</v>
      </c>
      <c r="E209" s="131">
        <f>IFERROR(C209/B209/500.0,0)</f>
        <v>2419.92909289083</v>
      </c>
      <c r="F209" s="129" t="n"/>
      <c r="G209" s="13" t="inlineStr">
        <is>
          <t>(2000, 3000]</t>
        </is>
      </c>
      <c r="H209" s="127">
        <v>0</v>
      </c>
      <c r="I209" s="99">
        <f>IFERROR(B209/$B$161,0)</f>
        <v>0</v>
      </c>
      <c r="J209" s="99">
        <f>IFERROR(K209/$B$2,0)</f>
        <v>0</v>
      </c>
      <c r="K209" s="133">
        <v>0</v>
      </c>
      <c r="L209" s="99">
        <f>IFERROR(K209/$B$2,0)</f>
        <v>0</v>
      </c>
      <c r="M209" s="99">
        <f>IFERROR(L209*E209,0)</f>
        <v>0</v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>
        <v>153122</v>
      </c>
      <c r="C210" s="137">
        <v>264363044325</v>
      </c>
      <c r="D210" s="99">
        <f>IFERROR(B210/$B$161,0)</f>
        <v>0.00153122</v>
      </c>
      <c r="E210" s="131">
        <f>IFERROR(C210/B210/500.0,0)</f>
        <v>3452.97271881245</v>
      </c>
      <c r="F210" s="129" t="n"/>
      <c r="G210" s="13" t="inlineStr">
        <is>
          <t>(3000, 4000]</t>
        </is>
      </c>
      <c r="H210" s="127">
        <v>0</v>
      </c>
      <c r="I210" s="99">
        <f>IFERROR(B210/$B$161,0)</f>
        <v>0</v>
      </c>
      <c r="J210" s="99">
        <f>IFERROR(K210/$B$2,0)</f>
        <v>0</v>
      </c>
      <c r="K210" s="133">
        <v>0</v>
      </c>
      <c r="L210" s="99">
        <f>IFERROR(K210/$B$2,0)</f>
        <v>0</v>
      </c>
      <c r="M210" s="99">
        <f>IFERROR(L210*E210,0)</f>
        <v>0</v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>
        <v>94933</v>
      </c>
      <c r="C211" s="137">
        <v>212019763550</v>
      </c>
      <c r="D211" s="99">
        <f>IFERROR(B211/$B$161,0)</f>
        <v>0.00094933</v>
      </c>
      <c r="E211" s="131">
        <f>IFERROR(C211/B211/500.0,0)</f>
        <v>4466.72418547818</v>
      </c>
      <c r="F211" s="129" t="n"/>
      <c r="G211" s="13" t="inlineStr">
        <is>
          <t>(4000, 5000]</t>
        </is>
      </c>
      <c r="H211" s="127">
        <v>0</v>
      </c>
      <c r="I211" s="99">
        <f>IFERROR(B211/$B$161,0)</f>
        <v>0</v>
      </c>
      <c r="J211" s="99">
        <f>IFERROR(K211/$B$2,0)</f>
        <v>0</v>
      </c>
      <c r="K211" s="133">
        <v>0</v>
      </c>
      <c r="L211" s="99">
        <f>IFERROR(K211/$B$2,0)</f>
        <v>0</v>
      </c>
      <c r="M211" s="99">
        <f>IFERROR(L211*E211,0)</f>
        <v>0</v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>
        <v>62948</v>
      </c>
      <c r="C212" s="137">
        <v>172026852150</v>
      </c>
      <c r="D212" s="99">
        <f>IFERROR(B212/$B$161,0)</f>
        <v>0.00062948</v>
      </c>
      <c r="E212" s="131">
        <f>IFERROR(C212/B212/500.0,0)</f>
        <v>5465.68126548897</v>
      </c>
      <c r="F212" s="129" t="n"/>
      <c r="G212" s="13" t="inlineStr">
        <is>
          <t>(5000, 6000]</t>
        </is>
      </c>
      <c r="H212" s="127">
        <v>0</v>
      </c>
      <c r="I212" s="99">
        <f>IFERROR(B212/$B$161,0)</f>
        <v>0</v>
      </c>
      <c r="J212" s="99">
        <f>IFERROR(K212/$B$2,0)</f>
        <v>0</v>
      </c>
      <c r="K212" s="133">
        <v>0</v>
      </c>
      <c r="L212" s="99">
        <f>IFERROR(K212/$B$2,0)</f>
        <v>0</v>
      </c>
      <c r="M212" s="99">
        <f>IFERROR(L212*E212,0)</f>
        <v>0</v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>
        <v>42906</v>
      </c>
      <c r="C213" s="137">
        <v>138771967350</v>
      </c>
      <c r="D213" s="99">
        <f>IFERROR(B213/$B$161,0)</f>
        <v>0.00042906</v>
      </c>
      <c r="E213" s="131">
        <f>IFERROR(C213/B213/500.0,0)</f>
        <v>6468.65088099566</v>
      </c>
      <c r="F213" s="129" t="n"/>
      <c r="G213" s="13" t="inlineStr">
        <is>
          <t>(6000, 7000]</t>
        </is>
      </c>
      <c r="H213" s="127">
        <v>0</v>
      </c>
      <c r="I213" s="99">
        <f>IFERROR(B213/$B$161,0)</f>
        <v>0</v>
      </c>
      <c r="J213" s="99">
        <f>IFERROR(K213/$B$2,0)</f>
        <v>0</v>
      </c>
      <c r="K213" s="133">
        <v>0</v>
      </c>
      <c r="L213" s="99">
        <f>IFERROR(K213/$B$2,0)</f>
        <v>0</v>
      </c>
      <c r="M213" s="99">
        <f>IFERROR(L213*E213,0)</f>
        <v>0</v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>
        <v>32027</v>
      </c>
      <c r="C214" s="137">
        <v>119746353100</v>
      </c>
      <c r="D214" s="99">
        <f>IFERROR(B214/$B$161,0)</f>
        <v>0.00032027</v>
      </c>
      <c r="E214" s="131">
        <f>IFERROR(C214/B214/500.0,0)</f>
        <v>7477.83764323852</v>
      </c>
      <c r="F214" s="129" t="n"/>
      <c r="G214" s="13" t="inlineStr">
        <is>
          <t>(7000, 8000]</t>
        </is>
      </c>
      <c r="H214" s="127">
        <v>0</v>
      </c>
      <c r="I214" s="99">
        <f>IFERROR(B214/$B$161,0)</f>
        <v>0</v>
      </c>
      <c r="J214" s="99">
        <f>IFERROR(K214/$B$2,0)</f>
        <v>0</v>
      </c>
      <c r="K214" s="133">
        <v>0</v>
      </c>
      <c r="L214" s="99">
        <f>IFERROR(K214/$B$2,0)</f>
        <v>0</v>
      </c>
      <c r="M214" s="99">
        <f>IFERROR(L214*E214,0)</f>
        <v>0</v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>
        <v>24713</v>
      </c>
      <c r="C215" s="137">
        <v>104845489950</v>
      </c>
      <c r="D215" s="99">
        <f>IFERROR(B215/$B$161,0)</f>
        <v>0.00024713</v>
      </c>
      <c r="E215" s="131">
        <f>IFERROR(C215/B215/500.0,0)</f>
        <v>8485.04754177963</v>
      </c>
      <c r="F215" s="129" t="n"/>
      <c r="G215" s="13" t="inlineStr">
        <is>
          <t>(8000, 9000]</t>
        </is>
      </c>
      <c r="H215" s="127">
        <v>0</v>
      </c>
      <c r="I215" s="99">
        <f>IFERROR(B215/$B$161,0)</f>
        <v>0</v>
      </c>
      <c r="J215" s="99">
        <f>IFERROR(K215/$B$2,0)</f>
        <v>0</v>
      </c>
      <c r="K215" s="133">
        <v>0</v>
      </c>
      <c r="L215" s="99">
        <f>IFERROR(K215/$B$2,0)</f>
        <v>0</v>
      </c>
      <c r="M215" s="99">
        <f>IFERROR(L215*E215,0)</f>
        <v>0</v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>
        <v>19640</v>
      </c>
      <c r="C216" s="137">
        <v>93121461925</v>
      </c>
      <c r="D216" s="99">
        <f>IFERROR(B216/$B$161,0)</f>
        <v>0.0001964</v>
      </c>
      <c r="E216" s="131">
        <f>IFERROR(C216/B216/500.0,0)</f>
        <v>9482.83726323829</v>
      </c>
      <c r="F216" s="129" t="n"/>
      <c r="G216" s="13" t="inlineStr">
        <is>
          <t>(9000, 10000]</t>
        </is>
      </c>
      <c r="H216" s="127">
        <v>0</v>
      </c>
      <c r="I216" s="99">
        <f>IFERROR(B216/$B$161,0)</f>
        <v>0</v>
      </c>
      <c r="J216" s="99">
        <f>IFERROR(K216/$B$2,0)</f>
        <v>0</v>
      </c>
      <c r="K216" s="133">
        <v>0</v>
      </c>
      <c r="L216" s="99">
        <f>IFERROR(K216/$B$2,0)</f>
        <v>0</v>
      </c>
      <c r="M216" s="99">
        <f>IFERROR(L216*E216,0)</f>
        <v>0</v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>
        <v>93090</v>
      </c>
      <c r="C217" s="137">
        <v>650601917750</v>
      </c>
      <c r="D217" s="99">
        <f>IFERROR(B217/$B$161,0)</f>
        <v>0.0009309</v>
      </c>
      <c r="E217" s="131">
        <f>IFERROR(C217/B217/500.0,0)</f>
        <v>13977.9120797078</v>
      </c>
      <c r="F217" s="129" t="n"/>
      <c r="G217" s="13" t="inlineStr">
        <is>
          <t>(10000, 20000]</t>
        </is>
      </c>
      <c r="H217" s="127">
        <v>0</v>
      </c>
      <c r="I217" s="99">
        <f>IFERROR(B217/$B$161,0)</f>
        <v>0</v>
      </c>
      <c r="J217" s="99">
        <f>IFERROR(K217/$B$2,0)</f>
        <v>0</v>
      </c>
      <c r="K217" s="133">
        <v>0</v>
      </c>
      <c r="L217" s="99">
        <f>IFERROR(K217/$B$2,0)</f>
        <v>0</v>
      </c>
      <c r="M217" s="99">
        <f>IFERROR(L217*E217,0)</f>
        <v>0</v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>
        <v>33534</v>
      </c>
      <c r="C218" s="137">
        <v>406629941525</v>
      </c>
      <c r="D218" s="99">
        <f>IFERROR(B218/$B$161,0)</f>
        <v>0.00033534</v>
      </c>
      <c r="E218" s="131">
        <f>IFERROR(C218/B218/500.0,0)</f>
        <v>24251.8006515775</v>
      </c>
      <c r="F218" s="129" t="n"/>
      <c r="G218" s="13" t="inlineStr">
        <is>
          <t>(20000, 30000]</t>
        </is>
      </c>
      <c r="H218" s="127">
        <v>0</v>
      </c>
      <c r="I218" s="99">
        <f>IFERROR(B218/$B$161,0)</f>
        <v>0</v>
      </c>
      <c r="J218" s="99">
        <f>IFERROR(K218/$B$2,0)</f>
        <v>0</v>
      </c>
      <c r="K218" s="133">
        <v>0</v>
      </c>
      <c r="L218" s="99">
        <f>IFERROR(K218/$B$2,0)</f>
        <v>0</v>
      </c>
      <c r="M218" s="99">
        <f>IFERROR(L218*E218,0)</f>
        <v>0</v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>
        <v>15750</v>
      </c>
      <c r="C219" s="137">
        <v>272734469250</v>
      </c>
      <c r="D219" s="99">
        <f>IFERROR(B219/$B$161,0)</f>
        <v>0.0001575</v>
      </c>
      <c r="E219" s="131">
        <f>IFERROR(C219/B219/500.0,0)</f>
        <v>34632.9484761905</v>
      </c>
      <c r="F219" s="129" t="n"/>
      <c r="G219" s="13" t="inlineStr">
        <is>
          <t>(30000, 40000]</t>
        </is>
      </c>
      <c r="H219" s="127">
        <v>0</v>
      </c>
      <c r="I219" s="99">
        <f>IFERROR(B219/$B$161,0)</f>
        <v>0</v>
      </c>
      <c r="J219" s="99">
        <f>IFERROR(K219/$B$2,0)</f>
        <v>0</v>
      </c>
      <c r="K219" s="133">
        <v>0</v>
      </c>
      <c r="L219" s="99">
        <f>IFERROR(K219/$B$2,0)</f>
        <v>0</v>
      </c>
      <c r="M219" s="99">
        <f>IFERROR(L219*E219,0)</f>
        <v>0</v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>
        <v>10015</v>
      </c>
      <c r="C220" s="137">
        <v>223414198100</v>
      </c>
      <c r="D220" s="99">
        <f>IFERROR(B220/$B$161,0)</f>
        <v>0.00010015</v>
      </c>
      <c r="E220" s="131">
        <f>IFERROR(C220/B220/500.0,0)</f>
        <v>44615.9157463804</v>
      </c>
      <c r="F220" s="129" t="n"/>
      <c r="G220" s="13" t="inlineStr">
        <is>
          <t>(40000, 50000]</t>
        </is>
      </c>
      <c r="H220" s="127">
        <v>0</v>
      </c>
      <c r="I220" s="99">
        <f>IFERROR(B220/$B$161,0)</f>
        <v>0</v>
      </c>
      <c r="J220" s="99">
        <f>IFERROR(K220/$B$2,0)</f>
        <v>0</v>
      </c>
      <c r="K220" s="133">
        <v>0</v>
      </c>
      <c r="L220" s="99">
        <f>IFERROR(K220/$B$2,0)</f>
        <v>0</v>
      </c>
      <c r="M220" s="99">
        <f>IFERROR(L220*E220,0)</f>
        <v>0</v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>
        <v>6349</v>
      </c>
      <c r="C221" s="137">
        <v>173299562700</v>
      </c>
      <c r="D221" s="99">
        <f>IFERROR(B221/$B$161,0)</f>
        <v>6.349e-05</v>
      </c>
      <c r="E221" s="131">
        <f>IFERROR(C221/B221/500.0,0)</f>
        <v>54591.136462435</v>
      </c>
      <c r="F221" s="129" t="n"/>
      <c r="G221" s="13" t="inlineStr">
        <is>
          <t>(50000, 60000]</t>
        </is>
      </c>
      <c r="H221" s="127">
        <v>0</v>
      </c>
      <c r="I221" s="99">
        <f>IFERROR(B221/$B$161,0)</f>
        <v>0</v>
      </c>
      <c r="J221" s="99">
        <f>IFERROR(K221/$B$2,0)</f>
        <v>0</v>
      </c>
      <c r="K221" s="133">
        <v>0</v>
      </c>
      <c r="L221" s="99">
        <f>IFERROR(K221/$B$2,0)</f>
        <v>0</v>
      </c>
      <c r="M221" s="99">
        <f>IFERROR(L221*E221,0)</f>
        <v>0</v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>
        <v>3782</v>
      </c>
      <c r="C222" s="137">
        <v>122077781350</v>
      </c>
      <c r="D222" s="99">
        <f>IFERROR(B222/$B$161,0)</f>
        <v>3.782e-05</v>
      </c>
      <c r="E222" s="131">
        <f>IFERROR(C222/B222/500.0,0)</f>
        <v>64557.2614225278</v>
      </c>
      <c r="F222" s="129" t="n"/>
      <c r="G222" s="13" t="inlineStr">
        <is>
          <t>(60000, 70000]</t>
        </is>
      </c>
      <c r="H222" s="127">
        <v>0</v>
      </c>
      <c r="I222" s="99">
        <f>IFERROR(B222/$B$161,0)</f>
        <v>0</v>
      </c>
      <c r="J222" s="99">
        <f>IFERROR(K222/$B$2,0)</f>
        <v>0</v>
      </c>
      <c r="K222" s="133">
        <v>0</v>
      </c>
      <c r="L222" s="99">
        <f>IFERROR(K222/$B$2,0)</f>
        <v>0</v>
      </c>
      <c r="M222" s="99">
        <f>IFERROR(L222*E222,0)</f>
        <v>0</v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>
        <v>2287</v>
      </c>
      <c r="C223" s="137">
        <v>85400205325</v>
      </c>
      <c r="D223" s="99">
        <f>IFERROR(B223/$B$161,0)</f>
        <v>2.287e-05</v>
      </c>
      <c r="E223" s="131">
        <f>IFERROR(C223/B223/500.0,0)</f>
        <v>74683.1703760385</v>
      </c>
      <c r="F223" s="129" t="n"/>
      <c r="G223" s="13" t="inlineStr">
        <is>
          <t>(70000, 80000]</t>
        </is>
      </c>
      <c r="H223" s="127">
        <v>0</v>
      </c>
      <c r="I223" s="99">
        <f>IFERROR(B223/$B$161,0)</f>
        <v>0</v>
      </c>
      <c r="J223" s="99">
        <f>IFERROR(K223/$B$2,0)</f>
        <v>0</v>
      </c>
      <c r="K223" s="133">
        <v>0</v>
      </c>
      <c r="L223" s="99">
        <f>IFERROR(K223/$B$2,0)</f>
        <v>0</v>
      </c>
      <c r="M223" s="99">
        <f>IFERROR(L223*E223,0)</f>
        <v>0</v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>
        <v>1415</v>
      </c>
      <c r="C224" s="137">
        <v>59902788850</v>
      </c>
      <c r="D224" s="99">
        <f>IFERROR(B224/$B$161,0)</f>
        <v>1.415e-05</v>
      </c>
      <c r="E224" s="131">
        <f>IFERROR(C224/B224/500.0,0)</f>
        <v>84668.2527915194</v>
      </c>
      <c r="F224" s="129" t="n"/>
      <c r="G224" s="13" t="inlineStr">
        <is>
          <t>(80000, 90000]</t>
        </is>
      </c>
      <c r="H224" s="127">
        <v>0</v>
      </c>
      <c r="I224" s="99">
        <f>IFERROR(B224/$B$161,0)</f>
        <v>0</v>
      </c>
      <c r="J224" s="99">
        <f>IFERROR(K224/$B$2,0)</f>
        <v>0</v>
      </c>
      <c r="K224" s="133">
        <v>0</v>
      </c>
      <c r="L224" s="99">
        <f>IFERROR(K224/$B$2,0)</f>
        <v>0</v>
      </c>
      <c r="M224" s="99">
        <f>IFERROR(L224*E224,0)</f>
        <v>0</v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>
        <v>848</v>
      </c>
      <c r="C225" s="137">
        <v>40032606400</v>
      </c>
      <c r="D225" s="99">
        <f>IFERROR(B225/$B$161,0)</f>
        <v>8.48e-06</v>
      </c>
      <c r="E225" s="131">
        <f>IFERROR(C225/B225/500.0,0)</f>
        <v>94416.5245283019</v>
      </c>
      <c r="F225" s="129" t="n"/>
      <c r="G225" s="13" t="inlineStr">
        <is>
          <t>(90000, 100000]</t>
        </is>
      </c>
      <c r="H225" s="127">
        <v>0</v>
      </c>
      <c r="I225" s="99">
        <f>IFERROR(B225/$B$161,0)</f>
        <v>0</v>
      </c>
      <c r="J225" s="99">
        <f>IFERROR(K225/$B$2,0)</f>
        <v>0</v>
      </c>
      <c r="K225" s="133">
        <v>0</v>
      </c>
      <c r="L225" s="99">
        <f>IFERROR(K225/$B$2,0)</f>
        <v>0</v>
      </c>
      <c r="M225" s="99">
        <f>IFERROR(L225*E225,0)</f>
        <v>0</v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>
        <v>1218</v>
      </c>
      <c r="C226" s="137">
        <v>74475216675</v>
      </c>
      <c r="D226" s="99">
        <f>IFERROR(B226/$B$161,0)</f>
        <v>1.218e-05</v>
      </c>
      <c r="E226" s="131">
        <f>IFERROR(C226/B226/500.0,0)</f>
        <v>122290.996182266</v>
      </c>
      <c r="F226" s="129" t="n"/>
      <c r="G226" s="13" t="inlineStr">
        <is>
          <t>(100000, 9999999]</t>
        </is>
      </c>
      <c r="H226" s="127">
        <v>0</v>
      </c>
      <c r="I226" s="99">
        <f>IFERROR(B226/$B$161,0)</f>
        <v>0</v>
      </c>
      <c r="J226" s="99">
        <f>IFERROR(K226/$B$2,0)</f>
        <v>0</v>
      </c>
      <c r="K226" s="133">
        <v>0</v>
      </c>
      <c r="L226" s="99">
        <f>IFERROR(K226/$B$2,0)</f>
        <v>0</v>
      </c>
      <c r="M226" s="99">
        <f>IFERROR(L226*E226,0)</f>
        <v>0</v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>1000000000</v>
      </c>
      <c r="M227">
        <f>SUM(M163:M226)</f>
        <v>94.0000000360977</v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82640010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39166084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66829347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35215592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39180109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74753030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43139322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39194222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43148730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106392652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43165233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39224852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35274475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31334063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43207567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62985397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27436018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23505019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23523917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43314870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11743534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3881165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7888147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11885219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7982442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120020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8076939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214573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261592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308790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356230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403378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450666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497440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544310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845257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1909789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SUM(M15:M79)</f>
        <v>0.740000000992208</v>
      </c>
      <c r="D7" s="118">
        <f>SUM(M86:M149)*F7</f>
        <v>0.200000000008975</v>
      </c>
      <c r="E7" s="119">
        <f>SUM(C7:D7)</f>
        <v>0.940000001001184</v>
      </c>
      <c r="F7" s="30">
        <v>0.00333333372535556</v>
      </c>
      <c r="G7" s="31">
        <f>1/F7</f>
        <v>299.999964718004</v>
      </c>
      <c r="H7" s="32">
        <f>D7*G7</f>
        <v>59.9999929462935</v>
      </c>
      <c r="I7" s="120">
        <f>IFERROR(LOOKUP(2,1/(K15:K78&lt;&gt;0),P15:P78),0)</f>
        <v>20</v>
      </c>
      <c r="J7" s="120">
        <f>IFERROR(LOOKUP(2,1/(K86:K149&lt;&gt;0),P86:P149),0)</f>
        <v>120</v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>
        <v>10000000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>
        <v>7157620</v>
      </c>
      <c r="C15" s="125">
        <v>0</v>
      </c>
      <c r="D15" s="27">
        <f>IFERROR(B15/$B$13,0)</f>
        <v>0.715762</v>
      </c>
      <c r="E15" s="126">
        <f>IFERROR(C15/B15/500.0,0)</f>
        <v>0</v>
      </c>
      <c r="G15" s="13" t="inlineStr">
        <is>
          <t>(-1, 0]</t>
        </is>
      </c>
      <c r="H15" s="127">
        <v>0.944518377617141</v>
      </c>
      <c r="I15" s="99">
        <f>IFERROR(B15/$B$13,0)</f>
        <v>0.676050363</v>
      </c>
      <c r="J15" s="99">
        <f>IFERROR(K15/$B$2,0)</f>
        <v>0.676050363</v>
      </c>
      <c r="K15" s="128">
        <v>676050363</v>
      </c>
      <c r="L15" s="99">
        <f>IFERROR(K15/SUM($K$15:$K$79),0)</f>
        <v>0.673796861524973</v>
      </c>
      <c r="M15" s="99">
        <f>IFERROR(L15*E15,0)</f>
        <v>0</v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>
        <v>1667211</v>
      </c>
      <c r="C16" s="130">
        <v>416306550</v>
      </c>
      <c r="D16" s="99">
        <f>IFERROR(B16/$B$13,0)</f>
        <v>0.1667211</v>
      </c>
      <c r="E16" s="131">
        <f>IFERROR(C16/B16/500.0,0)</f>
        <v>0.499404754407211</v>
      </c>
      <c r="G16" s="13" t="inlineStr">
        <is>
          <t>(0, 1]</t>
        </is>
      </c>
      <c r="H16" s="127">
        <v>1.04125000974682</v>
      </c>
      <c r="I16" s="99">
        <f>IFERROR(B16/$B$13,0)</f>
        <v>0.173598347</v>
      </c>
      <c r="J16" s="99">
        <f>IFERROR(K16/$B$2,0)</f>
        <v>0.173598347</v>
      </c>
      <c r="K16" s="128">
        <v>173598347</v>
      </c>
      <c r="L16" s="99">
        <f>IFERROR(K16/SUM($K$15:$K$79),0)</f>
        <v>0.173019685775279</v>
      </c>
      <c r="M16" s="99">
        <f>IFERROR(L16*E16,0)</f>
        <v>0.0864068536822159</v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>
        <v>538090</v>
      </c>
      <c r="C17" s="130">
        <v>401573875</v>
      </c>
      <c r="D17" s="99">
        <f>IFERROR(B17/$B$13,0)</f>
        <v>0.053809</v>
      </c>
      <c r="E17" s="131">
        <f>IFERROR(C17/B17/500.0,0)</f>
        <v>1.49258999423888</v>
      </c>
      <c r="F17" s="50" t="n"/>
      <c r="G17" s="13" t="inlineStr">
        <is>
          <t>(1, 2]</t>
        </is>
      </c>
      <c r="H17" s="127">
        <v>1.11925094315077</v>
      </c>
      <c r="I17" s="99">
        <f>IFERROR(B17/$B$13,0)</f>
        <v>0.060225774</v>
      </c>
      <c r="J17" s="99">
        <f>IFERROR(K17/$B$2,0)</f>
        <v>0.060225774</v>
      </c>
      <c r="K17" s="128">
        <v>60225774</v>
      </c>
      <c r="L17" s="99">
        <f>IFERROR(K17/SUM($K$15:$K$79),0)</f>
        <v>0.0600250213963902</v>
      </c>
      <c r="M17" s="99">
        <f>IFERROR(L17*E17,0)</f>
        <v>0.0895927463402268</v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>
        <v>224385</v>
      </c>
      <c r="C18" s="130">
        <v>287523200</v>
      </c>
      <c r="D18" s="99">
        <f>IFERROR(B18/$B$13,0)</f>
        <v>0.0224385</v>
      </c>
      <c r="E18" s="131">
        <f>IFERROR(C18/B18/500.0,0)</f>
        <v>2.56276667335161</v>
      </c>
      <c r="F18" s="50" t="n"/>
      <c r="G18" s="13" t="inlineStr">
        <is>
          <t>(2, 3]</t>
        </is>
      </c>
      <c r="H18" s="127">
        <v>1.16595895447557</v>
      </c>
      <c r="I18" s="99">
        <f>IFERROR(B18/$B$13,0)</f>
        <v>0.02616237</v>
      </c>
      <c r="J18" s="99">
        <f>IFERROR(K18/$B$2,0)</f>
        <v>0.02616237</v>
      </c>
      <c r="K18" s="128">
        <v>26162370</v>
      </c>
      <c r="L18" s="99">
        <f>IFERROR(K18/SUM($K$15:$K$79),0)</f>
        <v>0.0260751620897438</v>
      </c>
      <c r="M18" s="99">
        <f>IFERROR(L18*E18,0)</f>
        <v>0.0668245564058365</v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>
        <v>132955</v>
      </c>
      <c r="C19" s="130">
        <v>232983725</v>
      </c>
      <c r="D19" s="99">
        <f>IFERROR(B19/$B$13,0)</f>
        <v>0.0132955</v>
      </c>
      <c r="E19" s="131">
        <f>IFERROR(C19/B19/500.0,0)</f>
        <v>3.50470046256252</v>
      </c>
      <c r="F19" s="132" t="n"/>
      <c r="G19" s="13" t="inlineStr">
        <is>
          <t>(3, 4]</t>
        </is>
      </c>
      <c r="H19" s="127">
        <v>1.34969771727276</v>
      </c>
      <c r="I19" s="99">
        <f>IFERROR(B19/$B$13,0)</f>
        <v>0.017944906</v>
      </c>
      <c r="J19" s="99">
        <f>IFERROR(K19/$B$2,0)</f>
        <v>0.017944906</v>
      </c>
      <c r="K19" s="128">
        <v>17944906</v>
      </c>
      <c r="L19" s="99">
        <f>IFERROR(K19/SUM($K$15:$K$79),0)</f>
        <v>0.0178850896396319</v>
      </c>
      <c r="M19" s="99">
        <f>IFERROR(L19*E19,0)</f>
        <v>0.06268188193299</v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>
        <v>69633</v>
      </c>
      <c r="C20" s="130">
        <v>158342550</v>
      </c>
      <c r="D20" s="99">
        <f>IFERROR(B20/$B$13,0)</f>
        <v>0.0069633</v>
      </c>
      <c r="E20" s="131">
        <f>IFERROR(C20/B20/500.0,0)</f>
        <v>4.54791693593555</v>
      </c>
      <c r="F20" s="132" t="n"/>
      <c r="G20" s="13" t="inlineStr">
        <is>
          <t>(4, 5]</t>
        </is>
      </c>
      <c r="H20" s="127">
        <v>1.44998635704336</v>
      </c>
      <c r="I20" s="99">
        <f>IFERROR(B20/$B$13,0)</f>
        <v>0.01009669</v>
      </c>
      <c r="J20" s="99">
        <f>IFERROR(K20/$B$2,0)</f>
        <v>0.01009669</v>
      </c>
      <c r="K20" s="128">
        <v>10096690</v>
      </c>
      <c r="L20" s="99">
        <f>IFERROR(K20/SUM($K$15:$K$79),0)</f>
        <v>0.0100630343627085</v>
      </c>
      <c r="M20" s="99">
        <f>IFERROR(L20*E20,0)</f>
        <v>0.0457658444050635</v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>
        <v>36941</v>
      </c>
      <c r="C21" s="130">
        <v>102200425</v>
      </c>
      <c r="D21" s="99">
        <f>IFERROR(B21/$B$13,0)</f>
        <v>0.0036941</v>
      </c>
      <c r="E21" s="131">
        <f>IFERROR(C21/B21/500.0,0)</f>
        <v>5.53317046100539</v>
      </c>
      <c r="F21" s="132" t="n"/>
      <c r="G21" s="13" t="inlineStr">
        <is>
          <t>(5, 6]</t>
        </is>
      </c>
      <c r="H21" s="127">
        <v>1.32886088627812</v>
      </c>
      <c r="I21" s="99">
        <f>IFERROR(B21/$B$13,0)</f>
        <v>0.004908945</v>
      </c>
      <c r="J21" s="99">
        <f>IFERROR(K21/$B$2,0)</f>
        <v>0.004908945</v>
      </c>
      <c r="K21" s="128">
        <v>4908945</v>
      </c>
      <c r="L21" s="99">
        <f>IFERROR(K21/SUM($K$15:$K$79),0)</f>
        <v>0.00489258184807558</v>
      </c>
      <c r="M21" s="99">
        <f>IFERROR(L21*E21,0)</f>
        <v>0.027071489359823</v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>
        <v>22473</v>
      </c>
      <c r="C22" s="130">
        <v>72923550</v>
      </c>
      <c r="D22" s="99">
        <f>IFERROR(B22/$B$13,0)</f>
        <v>0.0022473</v>
      </c>
      <c r="E22" s="131">
        <f>IFERROR(C22/B22/500.0,0)</f>
        <v>6.48988119076225</v>
      </c>
      <c r="F22" s="132" t="n"/>
      <c r="G22" s="13" t="inlineStr">
        <is>
          <t>(6, 7]</t>
        </is>
      </c>
      <c r="H22" s="127">
        <v>1.94933609219953</v>
      </c>
      <c r="I22" s="99">
        <f>IFERROR(B22/$B$13,0)</f>
        <v>0.004380743</v>
      </c>
      <c r="J22" s="99">
        <f>IFERROR(K22/$B$2,0)</f>
        <v>0.004380743</v>
      </c>
      <c r="K22" s="128">
        <v>4380743</v>
      </c>
      <c r="L22" s="99">
        <f>IFERROR(K22/SUM($K$15:$K$79),0)</f>
        <v>0.00436614052161598</v>
      </c>
      <c r="M22" s="99">
        <f>IFERROR(L22*E22,0)</f>
        <v>0.0283357332474605</v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>
        <v>17491</v>
      </c>
      <c r="C23" s="130">
        <v>66123350</v>
      </c>
      <c r="D23" s="99">
        <f>IFERROR(B23/$B$13,0)</f>
        <v>0.0017491</v>
      </c>
      <c r="E23" s="131">
        <f>IFERROR(C23/B23/500.0,0)</f>
        <v>7.56084271911269</v>
      </c>
      <c r="F23" s="132" t="n"/>
      <c r="G23" s="13" t="inlineStr">
        <is>
          <t>(7, 8]</t>
        </is>
      </c>
      <c r="H23" s="127">
        <v>1.87416156880681</v>
      </c>
      <c r="I23" s="99">
        <f>IFERROR(B23/$B$13,0)</f>
        <v>0.003278096</v>
      </c>
      <c r="J23" s="99">
        <f>IFERROR(K23/$B$2,0)</f>
        <v>0.003278096</v>
      </c>
      <c r="K23" s="128">
        <v>3278096</v>
      </c>
      <c r="L23" s="99">
        <f>IFERROR(K23/SUM($K$15:$K$79),0)</f>
        <v>0.00326716901204825</v>
      </c>
      <c r="M23" s="99">
        <f>IFERROR(L23*E23,0)</f>
        <v>0.0247025510368556</v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>
        <v>10394</v>
      </c>
      <c r="C24" s="130">
        <v>44647150</v>
      </c>
      <c r="D24" s="99">
        <f>IFERROR(B24/$B$13,0)</f>
        <v>0.0010394</v>
      </c>
      <c r="E24" s="131">
        <f>IFERROR(C24/B24/500.0,0)</f>
        <v>8.59094670001924</v>
      </c>
      <c r="F24" s="132" t="n"/>
      <c r="G24" s="13" t="inlineStr">
        <is>
          <t>(8, 9]</t>
        </is>
      </c>
      <c r="H24" s="127">
        <v>2.58906003463537</v>
      </c>
      <c r="I24" s="99">
        <f>IFERROR(B24/$B$13,0)</f>
        <v>0.002691069</v>
      </c>
      <c r="J24" s="99">
        <f>IFERROR(K24/$B$2,0)</f>
        <v>0.002691069</v>
      </c>
      <c r="K24" s="128">
        <v>2691069</v>
      </c>
      <c r="L24" s="99">
        <f>IFERROR(K24/SUM($K$15:$K$79),0)</f>
        <v>0.00268209876894504</v>
      </c>
      <c r="M24" s="99">
        <f>IFERROR(L24*E24,0)</f>
        <v>0.0230417675681941</v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>
        <v>14993</v>
      </c>
      <c r="C25" s="130">
        <v>73230375</v>
      </c>
      <c r="D25" s="99">
        <f>IFERROR(B25/$B$13,0)</f>
        <v>0.0014993</v>
      </c>
      <c r="E25" s="131">
        <f>IFERROR(C25/B25/500.0,0)</f>
        <v>9.76860868405256</v>
      </c>
      <c r="F25" s="132" t="n"/>
      <c r="G25" s="13" t="inlineStr">
        <is>
          <t>(9, 10]</t>
        </is>
      </c>
      <c r="H25" s="127">
        <v>2.45013873140799</v>
      </c>
      <c r="I25" s="99">
        <f>IFERROR(B25/$B$13,0)</f>
        <v>0.003673493</v>
      </c>
      <c r="J25" s="99">
        <f>IFERROR(K25/$B$2,0)</f>
        <v>0.003673493</v>
      </c>
      <c r="K25" s="128">
        <v>3673493</v>
      </c>
      <c r="L25" s="99">
        <f>IFERROR(K25/SUM($K$15:$K$79),0)</f>
        <v>0.00366124802189324</v>
      </c>
      <c r="M25" s="99">
        <f>IFERROR(L25*E25,0)</f>
        <v>0.0357652992211366</v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>
        <v>40743</v>
      </c>
      <c r="C26" s="130">
        <v>248220825</v>
      </c>
      <c r="D26" s="99">
        <f>IFERROR(B26/$B$13,0)</f>
        <v>0.0040743</v>
      </c>
      <c r="E26" s="131">
        <f>IFERROR(C26/B26/500.0,0)</f>
        <v>12.1847102569767</v>
      </c>
      <c r="F26" s="132" t="n"/>
      <c r="G26" s="13" t="inlineStr">
        <is>
          <t>(10, 15]</t>
        </is>
      </c>
      <c r="H26" s="127">
        <v>2.75411555359203</v>
      </c>
      <c r="I26" s="99">
        <f>IFERROR(B26/$B$13,0)</f>
        <v>0.011221093</v>
      </c>
      <c r="J26" s="99">
        <f>IFERROR(K26/$B$2,0)</f>
        <v>0.011221093</v>
      </c>
      <c r="K26" s="128">
        <v>11221093</v>
      </c>
      <c r="L26" s="99">
        <f>IFERROR(K26/SUM($K$15:$K$79),0)</f>
        <v>0.0111836893522677</v>
      </c>
      <c r="M26" s="99">
        <f>IFERROR(L26*E26,0)</f>
        <v>0.136270014361417</v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>
        <v>15959</v>
      </c>
      <c r="C27" s="130">
        <v>138781325</v>
      </c>
      <c r="D27" s="99">
        <f>IFERROR(B27/$B$13,0)</f>
        <v>0.0015959</v>
      </c>
      <c r="E27" s="131">
        <f>IFERROR(C27/B27/500.0,0)</f>
        <v>17.392233222633</v>
      </c>
      <c r="F27" s="132" t="n"/>
      <c r="G27" s="13" t="inlineStr">
        <is>
          <t>(15, 20]</t>
        </is>
      </c>
      <c r="H27" s="127">
        <v>3.61433109843975</v>
      </c>
      <c r="I27" s="99">
        <f>IFERROR(B27/$B$13,0)</f>
        <v>0.005768111</v>
      </c>
      <c r="J27" s="99">
        <f>IFERROR(K27/$B$2,0)</f>
        <v>0.005768111</v>
      </c>
      <c r="K27" s="128">
        <v>5768111</v>
      </c>
      <c r="L27" s="99">
        <f>IFERROR(K27/SUM($K$15:$K$79),0)</f>
        <v>0.00574888396107211</v>
      </c>
      <c r="M27" s="99">
        <f>IFERROR(L27*E27,0)</f>
        <v>0.0999859306208202</v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>
        <v>9353</v>
      </c>
      <c r="C28" s="130">
        <v>106497650</v>
      </c>
      <c r="D28" s="99">
        <f>IFERROR(B28/$B$13,0)</f>
        <v>0.0009353</v>
      </c>
      <c r="E28" s="131">
        <f>IFERROR(C28/B28/500.0,0)</f>
        <v>22.7729391639046</v>
      </c>
      <c r="F28" s="132" t="n"/>
      <c r="G28" s="13" t="inlineStr">
        <is>
          <t>(20, 25]</t>
        </is>
      </c>
      <c r="H28" s="127">
        <v>0</v>
      </c>
      <c r="I28" s="99">
        <f>IFERROR(B28/$B$13,0)</f>
        <v>0</v>
      </c>
      <c r="J28" s="99">
        <f>IFERROR(K28/$B$2,0)</f>
        <v>0</v>
      </c>
      <c r="K28" s="128">
        <v>0</v>
      </c>
      <c r="L28" s="99">
        <f>IFERROR(K28/SUM($K$15:$K$79),0)</f>
        <v>0</v>
      </c>
      <c r="M28" s="99">
        <f>IFERROR(L28*E28,0)</f>
        <v>0</v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>
        <v>7163</v>
      </c>
      <c r="C29" s="130">
        <v>99122525</v>
      </c>
      <c r="D29" s="99">
        <f>IFERROR(B29/$B$13,0)</f>
        <v>0.0007163</v>
      </c>
      <c r="E29" s="131">
        <f>IFERROR(C29/B29/500.0,0)</f>
        <v>27.6762599469496</v>
      </c>
      <c r="F29" s="132" t="n"/>
      <c r="G29" s="13" t="inlineStr">
        <is>
          <t>(25, 30]</t>
        </is>
      </c>
      <c r="H29" s="127">
        <v>0</v>
      </c>
      <c r="I29" s="99">
        <f>IFERROR(B29/$B$13,0)</f>
        <v>0</v>
      </c>
      <c r="J29" s="99">
        <f>IFERROR(K29/$B$2,0)</f>
        <v>0</v>
      </c>
      <c r="K29" s="128">
        <v>0</v>
      </c>
      <c r="L29" s="99">
        <f>IFERROR(K29/SUM($K$15:$K$79),0)</f>
        <v>0</v>
      </c>
      <c r="M29" s="99">
        <f>IFERROR(L29*E29,0)</f>
        <v>0</v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>
        <v>4526</v>
      </c>
      <c r="C30" s="130">
        <v>73593650</v>
      </c>
      <c r="D30" s="99">
        <f>IFERROR(B30/$B$13,0)</f>
        <v>0.0004526</v>
      </c>
      <c r="E30" s="131">
        <f>IFERROR(C30/B30/500.0,0)</f>
        <v>32.5203932832523</v>
      </c>
      <c r="F30" s="132" t="n"/>
      <c r="G30" s="13" t="inlineStr">
        <is>
          <t>(30, 35]</t>
        </is>
      </c>
      <c r="H30" s="127">
        <v>0</v>
      </c>
      <c r="I30" s="99">
        <f>IFERROR(B30/$B$13,0)</f>
        <v>0</v>
      </c>
      <c r="J30" s="99">
        <f>IFERROR(K30/$B$2,0)</f>
        <v>0</v>
      </c>
      <c r="K30" s="128">
        <v>0</v>
      </c>
      <c r="L30" s="99">
        <f>IFERROR(K30/SUM($K$15:$K$79),0)</f>
        <v>0</v>
      </c>
      <c r="M30" s="99">
        <f>IFERROR(L30*E30,0)</f>
        <v>0</v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>
        <v>4228</v>
      </c>
      <c r="C31" s="130">
        <v>79634100</v>
      </c>
      <c r="D31" s="99">
        <f>IFERROR(B31/$B$13,0)</f>
        <v>0.0004228</v>
      </c>
      <c r="E31" s="131">
        <f>IFERROR(C31/B31/500.0,0)</f>
        <v>37.6698675496689</v>
      </c>
      <c r="F31" s="132" t="n"/>
      <c r="G31" s="13" t="inlineStr">
        <is>
          <t>(35, 40]</t>
        </is>
      </c>
      <c r="H31" s="127">
        <v>0</v>
      </c>
      <c r="I31" s="99">
        <f>IFERROR(B31/$B$13,0)</f>
        <v>0</v>
      </c>
      <c r="J31" s="99">
        <f>IFERROR(K31/$B$2,0)</f>
        <v>0</v>
      </c>
      <c r="K31" s="128">
        <v>0</v>
      </c>
      <c r="L31" s="99">
        <f>IFERROR(K31/SUM($K$15:$K$79),0)</f>
        <v>0</v>
      </c>
      <c r="M31" s="99">
        <f>IFERROR(L31*E31,0)</f>
        <v>0</v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>
        <v>2967</v>
      </c>
      <c r="C32" s="130">
        <v>63386350</v>
      </c>
      <c r="D32" s="99">
        <f>IFERROR(B32/$B$13,0)</f>
        <v>0.0002967</v>
      </c>
      <c r="E32" s="131">
        <f>IFERROR(C32/B32/500.0,0)</f>
        <v>42.7275699359623</v>
      </c>
      <c r="F32" s="132" t="n"/>
      <c r="G32" s="13" t="inlineStr">
        <is>
          <t>(40, 45]</t>
        </is>
      </c>
      <c r="H32" s="127">
        <v>0</v>
      </c>
      <c r="I32" s="99">
        <f>IFERROR(B32/$B$13,0)</f>
        <v>0</v>
      </c>
      <c r="J32" s="99">
        <f>IFERROR(K32/$B$2,0)</f>
        <v>0</v>
      </c>
      <c r="K32" s="128">
        <v>0</v>
      </c>
      <c r="L32" s="99">
        <f>IFERROR(K32/SUM($K$15:$K$79),0)</f>
        <v>0</v>
      </c>
      <c r="M32" s="99">
        <f>IFERROR(L32*E32,0)</f>
        <v>0</v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>
        <v>2541</v>
      </c>
      <c r="C33" s="130">
        <v>60843175</v>
      </c>
      <c r="D33" s="99">
        <f>IFERROR(B33/$B$13,0)</f>
        <v>0.0002541</v>
      </c>
      <c r="E33" s="131">
        <f>IFERROR(C33/B33/500.0,0)</f>
        <v>47.8891578118851</v>
      </c>
      <c r="F33" s="132" t="n"/>
      <c r="G33" s="13" t="inlineStr">
        <is>
          <t>(45, 50]</t>
        </is>
      </c>
      <c r="H33" s="127">
        <v>0</v>
      </c>
      <c r="I33" s="99">
        <f>IFERROR(B33/$B$13,0)</f>
        <v>0</v>
      </c>
      <c r="J33" s="99">
        <f>IFERROR(K33/$B$2,0)</f>
        <v>0</v>
      </c>
      <c r="K33" s="128">
        <v>0</v>
      </c>
      <c r="L33" s="99">
        <f>IFERROR(K33/SUM($K$15:$K$79),0)</f>
        <v>0</v>
      </c>
      <c r="M33" s="99">
        <f>IFERROR(L33*E33,0)</f>
        <v>0</v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>
        <v>3633</v>
      </c>
      <c r="C34" s="130">
        <v>99909275</v>
      </c>
      <c r="D34" s="99">
        <f>IFERROR(B34/$B$13,0)</f>
        <v>0.0003633</v>
      </c>
      <c r="E34" s="131">
        <f>IFERROR(C34/B34/500.0,0)</f>
        <v>55.0009771538673</v>
      </c>
      <c r="F34" s="132" t="n"/>
      <c r="G34" s="13" t="inlineStr">
        <is>
          <t>(50, 60]</t>
        </is>
      </c>
      <c r="H34" s="127">
        <v>0</v>
      </c>
      <c r="I34" s="99">
        <f>IFERROR(B34/$B$13,0)</f>
        <v>0</v>
      </c>
      <c r="J34" s="99">
        <f>IFERROR(K34/$B$2,0)</f>
        <v>0</v>
      </c>
      <c r="K34" s="128">
        <v>0</v>
      </c>
      <c r="L34" s="99">
        <f>IFERROR(K34/SUM($K$15:$K$79),0)</f>
        <v>0</v>
      </c>
      <c r="M34" s="99">
        <f>IFERROR(L34*E34,0)</f>
        <v>0</v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>
        <v>2543</v>
      </c>
      <c r="C35" s="130">
        <v>82437200</v>
      </c>
      <c r="D35" s="99">
        <f>IFERROR(B35/$B$13,0)</f>
        <v>0.0002543</v>
      </c>
      <c r="E35" s="131">
        <f>IFERROR(C35/B35/500.0,0)</f>
        <v>64.8346047974833</v>
      </c>
      <c r="F35" s="132" t="n"/>
      <c r="G35" s="13" t="inlineStr">
        <is>
          <t>(60, 70]</t>
        </is>
      </c>
      <c r="H35" s="127">
        <v>0</v>
      </c>
      <c r="I35" s="99">
        <f>IFERROR(B35/$B$13,0)</f>
        <v>0</v>
      </c>
      <c r="J35" s="99">
        <f>IFERROR(K35/$B$2,0)</f>
        <v>0</v>
      </c>
      <c r="K35" s="128">
        <v>0</v>
      </c>
      <c r="L35" s="99">
        <f>IFERROR(K35/SUM($K$15:$K$79),0)</f>
        <v>0</v>
      </c>
      <c r="M35" s="99">
        <f>IFERROR(L35*E35,0)</f>
        <v>0</v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>
        <v>2147</v>
      </c>
      <c r="C36" s="130">
        <v>80658150</v>
      </c>
      <c r="D36" s="99">
        <f>IFERROR(B36/$B$13,0)</f>
        <v>0.0002147</v>
      </c>
      <c r="E36" s="131">
        <f>IFERROR(C36/B36/500.0,0)</f>
        <v>75.1356776897997</v>
      </c>
      <c r="F36" s="132" t="n"/>
      <c r="G36" s="13" t="inlineStr">
        <is>
          <t>(70, 80]</t>
        </is>
      </c>
      <c r="H36" s="127">
        <v>0</v>
      </c>
      <c r="I36" s="99">
        <f>IFERROR(B36/$B$13,0)</f>
        <v>0</v>
      </c>
      <c r="J36" s="99">
        <f>IFERROR(K36/$B$2,0)</f>
        <v>0</v>
      </c>
      <c r="K36" s="128">
        <v>0</v>
      </c>
      <c r="L36" s="99">
        <f>IFERROR(K36/SUM($K$15:$K$79),0)</f>
        <v>0</v>
      </c>
      <c r="M36" s="99">
        <f>IFERROR(L36*E36,0)</f>
        <v>0</v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>
        <v>1594</v>
      </c>
      <c r="C37" s="130">
        <v>67905075</v>
      </c>
      <c r="D37" s="99">
        <f>IFERROR(B37/$B$13,0)</f>
        <v>0.0001594</v>
      </c>
      <c r="E37" s="131">
        <f>IFERROR(C37/B37/500.0,0)</f>
        <v>85.2008469259724</v>
      </c>
      <c r="F37" s="132" t="n"/>
      <c r="G37" s="13" t="inlineStr">
        <is>
          <t>(80, 90]</t>
        </is>
      </c>
      <c r="H37" s="127">
        <v>0</v>
      </c>
      <c r="I37" s="99">
        <f>IFERROR(B37/$B$13,0)</f>
        <v>0</v>
      </c>
      <c r="J37" s="99">
        <f>IFERROR(K37/$B$2,0)</f>
        <v>0</v>
      </c>
      <c r="K37" s="128">
        <v>0</v>
      </c>
      <c r="L37" s="99">
        <f>IFERROR(K37/SUM($K$15:$K$79),0)</f>
        <v>0</v>
      </c>
      <c r="M37" s="99">
        <f>IFERROR(L37*E37,0)</f>
        <v>0</v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>
        <v>1262</v>
      </c>
      <c r="C38" s="130">
        <v>60399650</v>
      </c>
      <c r="D38" s="99">
        <f>IFERROR(B38/$B$13,0)</f>
        <v>0.0001262</v>
      </c>
      <c r="E38" s="131">
        <f>IFERROR(C38/B38/500.0,0)</f>
        <v>95.7205229793978</v>
      </c>
      <c r="F38" s="132" t="n"/>
      <c r="G38" s="13" t="inlineStr">
        <is>
          <t>(90, 100]</t>
        </is>
      </c>
      <c r="H38" s="127">
        <v>0</v>
      </c>
      <c r="I38" s="99">
        <f>IFERROR(B38/$B$13,0)</f>
        <v>0</v>
      </c>
      <c r="J38" s="99">
        <f>IFERROR(K38/$B$2,0)</f>
        <v>0</v>
      </c>
      <c r="K38" s="128">
        <v>0</v>
      </c>
      <c r="L38" s="99">
        <f>IFERROR(K38/SUM($K$15:$K$79),0)</f>
        <v>0</v>
      </c>
      <c r="M38" s="99">
        <f>IFERROR(L38*E38,0)</f>
        <v>0</v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>
        <v>1802</v>
      </c>
      <c r="C39" s="130">
        <v>98996350</v>
      </c>
      <c r="D39" s="99">
        <f>IFERROR(B39/$B$13,0)</f>
        <v>0.0001802</v>
      </c>
      <c r="E39" s="131">
        <f>IFERROR(C39/B39/500.0,0)</f>
        <v>109.873862375139</v>
      </c>
      <c r="F39" s="132" t="n"/>
      <c r="G39" s="13" t="inlineStr">
        <is>
          <t>(100, 120]</t>
        </is>
      </c>
      <c r="H39" s="127">
        <v>0</v>
      </c>
      <c r="I39" s="99">
        <f>IFERROR(B39/$B$13,0)</f>
        <v>0</v>
      </c>
      <c r="J39" s="99">
        <f>IFERROR(K39/$B$2,0)</f>
        <v>0</v>
      </c>
      <c r="K39" s="128">
        <v>0</v>
      </c>
      <c r="L39" s="99">
        <f>IFERROR(K39/SUM($K$15:$K$79),0)</f>
        <v>0</v>
      </c>
      <c r="M39" s="99">
        <f>IFERROR(L39*E39,0)</f>
        <v>0</v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>
        <v>1247</v>
      </c>
      <c r="C40" s="130">
        <v>80574600</v>
      </c>
      <c r="D40" s="99">
        <f>IFERROR(B40/$B$13,0)</f>
        <v>0.0001247</v>
      </c>
      <c r="E40" s="131">
        <f>IFERROR(C40/B40/500.0,0)</f>
        <v>129.229510825982</v>
      </c>
      <c r="F40" s="132" t="n"/>
      <c r="G40" s="13" t="inlineStr">
        <is>
          <t>(120, 140]</t>
        </is>
      </c>
      <c r="H40" s="127">
        <v>0</v>
      </c>
      <c r="I40" s="99">
        <f>IFERROR(B40/$B$13,0)</f>
        <v>0</v>
      </c>
      <c r="J40" s="99">
        <f>IFERROR(K40/$B$2,0)</f>
        <v>0</v>
      </c>
      <c r="K40" s="128">
        <v>0</v>
      </c>
      <c r="L40" s="99">
        <f>IFERROR(K40/SUM($K$15:$K$79),0)</f>
        <v>0</v>
      </c>
      <c r="M40" s="99">
        <f>IFERROR(L40*E40,0)</f>
        <v>0</v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>
        <v>861</v>
      </c>
      <c r="C41" s="130">
        <v>64573325</v>
      </c>
      <c r="D41" s="99">
        <f>IFERROR(B41/$B$13,0)</f>
        <v>8.61e-05</v>
      </c>
      <c r="E41" s="131">
        <f>IFERROR(C41/B41/500.0,0)</f>
        <v>149.996109175377</v>
      </c>
      <c r="F41" s="132" t="n"/>
      <c r="G41" s="13" t="inlineStr">
        <is>
          <t>(140, 160]</t>
        </is>
      </c>
      <c r="H41" s="127">
        <v>0</v>
      </c>
      <c r="I41" s="99">
        <f>IFERROR(B41/$B$13,0)</f>
        <v>0</v>
      </c>
      <c r="J41" s="99">
        <f>IFERROR(K41/$B$2,0)</f>
        <v>0</v>
      </c>
      <c r="K41" s="128">
        <v>0</v>
      </c>
      <c r="L41" s="99">
        <f>IFERROR(K41/SUM($K$15:$K$79),0)</f>
        <v>0</v>
      </c>
      <c r="M41" s="99">
        <f>IFERROR(L41*E41,0)</f>
        <v>0</v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>
        <v>649</v>
      </c>
      <c r="C42" s="130">
        <v>55036100</v>
      </c>
      <c r="D42" s="99">
        <f>IFERROR(B42/$B$13,0)</f>
        <v>6.49e-05</v>
      </c>
      <c r="E42" s="131">
        <f>IFERROR(C42/B42/500.0,0)</f>
        <v>169.602773497689</v>
      </c>
      <c r="F42" s="132" t="n"/>
      <c r="G42" s="13" t="inlineStr">
        <is>
          <t>(160, 180]</t>
        </is>
      </c>
      <c r="H42" s="127">
        <v>0</v>
      </c>
      <c r="I42" s="99">
        <f>IFERROR(B42/$B$13,0)</f>
        <v>0</v>
      </c>
      <c r="J42" s="99">
        <f>IFERROR(K42/$B$2,0)</f>
        <v>0</v>
      </c>
      <c r="K42" s="128">
        <v>0</v>
      </c>
      <c r="L42" s="99">
        <f>IFERROR(K42/SUM($K$15:$K$79),0)</f>
        <v>0</v>
      </c>
      <c r="M42" s="99">
        <f>IFERROR(L42*E42,0)</f>
        <v>0</v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>
        <v>545</v>
      </c>
      <c r="C43" s="130">
        <v>51916900</v>
      </c>
      <c r="D43" s="99">
        <f>IFERROR(B43/$B$13,0)</f>
        <v>5.45e-05</v>
      </c>
      <c r="E43" s="131">
        <f>IFERROR(C43/B43/500.0,0)</f>
        <v>190.520733944954</v>
      </c>
      <c r="F43" s="132" t="n"/>
      <c r="G43" s="13" t="inlineStr">
        <is>
          <t>(180, 200]</t>
        </is>
      </c>
      <c r="H43" s="127">
        <v>0</v>
      </c>
      <c r="I43" s="99">
        <f>IFERROR(B43/$B$13,0)</f>
        <v>0</v>
      </c>
      <c r="J43" s="99">
        <f>IFERROR(K43/$B$2,0)</f>
        <v>0</v>
      </c>
      <c r="K43" s="128">
        <v>0</v>
      </c>
      <c r="L43" s="99">
        <f>IFERROR(K43/SUM($K$15:$K$79),0)</f>
        <v>0</v>
      </c>
      <c r="M43" s="99">
        <f>IFERROR(L43*E43,0)</f>
        <v>0</v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>
        <v>871</v>
      </c>
      <c r="C44" s="130">
        <v>98088375</v>
      </c>
      <c r="D44" s="99">
        <f>IFERROR(B44/$B$13,0)</f>
        <v>8.71e-05</v>
      </c>
      <c r="E44" s="131">
        <f>IFERROR(C44/B44/500.0,0)</f>
        <v>225.231630309989</v>
      </c>
      <c r="F44" s="132" t="n"/>
      <c r="G44" s="13" t="inlineStr">
        <is>
          <t>(200, 250]</t>
        </is>
      </c>
      <c r="H44" s="127">
        <v>0</v>
      </c>
      <c r="I44" s="99">
        <f>IFERROR(B44/$B$13,0)</f>
        <v>0</v>
      </c>
      <c r="J44" s="99">
        <f>IFERROR(K44/$B$2,0)</f>
        <v>0</v>
      </c>
      <c r="K44" s="128">
        <v>0</v>
      </c>
      <c r="L44" s="99">
        <f>IFERROR(K44/SUM($K$15:$K$79),0)</f>
        <v>0</v>
      </c>
      <c r="M44" s="99">
        <f>IFERROR(L44*E44,0)</f>
        <v>0</v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>
        <v>509</v>
      </c>
      <c r="C45" s="130">
        <v>69456450</v>
      </c>
      <c r="D45" s="99">
        <f>IFERROR(B45/$B$13,0)</f>
        <v>5.09e-05</v>
      </c>
      <c r="E45" s="131">
        <f>IFERROR(C45/B45/500.0,0)</f>
        <v>272.913359528487</v>
      </c>
      <c r="F45" s="132" t="n"/>
      <c r="G45" s="13" t="inlineStr">
        <is>
          <t>(250, 300]</t>
        </is>
      </c>
      <c r="H45" s="127">
        <v>0</v>
      </c>
      <c r="I45" s="99">
        <f>IFERROR(B45/$B$13,0)</f>
        <v>0</v>
      </c>
      <c r="J45" s="99">
        <f>IFERROR(K45/$B$2,0)</f>
        <v>0</v>
      </c>
      <c r="K45" s="128">
        <v>0</v>
      </c>
      <c r="L45" s="99">
        <f>IFERROR(K45/SUM($K$15:$K$79),0)</f>
        <v>0</v>
      </c>
      <c r="M45" s="99">
        <f>IFERROR(L45*E45,0)</f>
        <v>0</v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>
        <v>341</v>
      </c>
      <c r="C46" s="130">
        <v>55264575</v>
      </c>
      <c r="D46" s="99">
        <f>IFERROR(B46/$B$13,0)</f>
        <v>3.41e-05</v>
      </c>
      <c r="E46" s="131">
        <f>IFERROR(C46/B46/500.0,0)</f>
        <v>324.132404692082</v>
      </c>
      <c r="F46" s="132" t="n"/>
      <c r="G46" s="13" t="inlineStr">
        <is>
          <t>(300, 350]</t>
        </is>
      </c>
      <c r="H46" s="127">
        <v>0</v>
      </c>
      <c r="I46" s="99">
        <f>IFERROR(B46/$B$13,0)</f>
        <v>0</v>
      </c>
      <c r="J46" s="99">
        <f>IFERROR(K46/$B$2,0)</f>
        <v>0</v>
      </c>
      <c r="K46" s="128">
        <v>0</v>
      </c>
      <c r="L46" s="99">
        <f>IFERROR(K46/SUM($K$15:$K$79),0)</f>
        <v>0</v>
      </c>
      <c r="M46" s="99">
        <f>IFERROR(L46*E46,0)</f>
        <v>0</v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>
        <v>282</v>
      </c>
      <c r="C47" s="130">
        <v>53271550</v>
      </c>
      <c r="D47" s="99">
        <f>IFERROR(B47/$B$13,0)</f>
        <v>2.82e-05</v>
      </c>
      <c r="E47" s="131">
        <f>IFERROR(C47/B47/500.0,0)</f>
        <v>377.812411347518</v>
      </c>
      <c r="F47" s="132" t="n"/>
      <c r="G47" s="13" t="inlineStr">
        <is>
          <t>(350, 400]</t>
        </is>
      </c>
      <c r="H47" s="127">
        <v>0</v>
      </c>
      <c r="I47" s="99">
        <f>IFERROR(B47/$B$13,0)</f>
        <v>0</v>
      </c>
      <c r="J47" s="99">
        <f>IFERROR(K47/$B$2,0)</f>
        <v>0</v>
      </c>
      <c r="K47" s="128">
        <v>0</v>
      </c>
      <c r="L47" s="99">
        <f>IFERROR(K47/SUM($K$15:$K$79),0)</f>
        <v>0</v>
      </c>
      <c r="M47" s="99">
        <f>IFERROR(L47*E47,0)</f>
        <v>0</v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>
        <v>182</v>
      </c>
      <c r="C48" s="130">
        <v>38558400</v>
      </c>
      <c r="D48" s="99">
        <f>IFERROR(B48/$B$13,0)</f>
        <v>1.82e-05</v>
      </c>
      <c r="E48" s="131">
        <f>IFERROR(C48/B48/500.0,0)</f>
        <v>423.718681318681</v>
      </c>
      <c r="F48" s="132" t="n"/>
      <c r="G48" s="13" t="inlineStr">
        <is>
          <t>(400, 450]</t>
        </is>
      </c>
      <c r="H48" s="127">
        <v>0</v>
      </c>
      <c r="I48" s="99">
        <f>IFERROR(B48/$B$13,0)</f>
        <v>0</v>
      </c>
      <c r="J48" s="99">
        <f>IFERROR(K48/$B$2,0)</f>
        <v>0</v>
      </c>
      <c r="K48" s="128">
        <v>0</v>
      </c>
      <c r="L48" s="99">
        <f>IFERROR(K48/SUM($K$15:$K$79),0)</f>
        <v>0</v>
      </c>
      <c r="M48" s="99">
        <f>IFERROR(L48*E48,0)</f>
        <v>0</v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>
        <v>148</v>
      </c>
      <c r="C49" s="130">
        <v>35492675</v>
      </c>
      <c r="D49" s="99">
        <f>IFERROR(B49/$B$13,0)</f>
        <v>1.48e-05</v>
      </c>
      <c r="E49" s="131">
        <f>IFERROR(C49/B49/500.0,0)</f>
        <v>479.630743243243</v>
      </c>
      <c r="F49" s="132" t="n"/>
      <c r="G49" s="13" t="inlineStr">
        <is>
          <t>(450, 500]</t>
        </is>
      </c>
      <c r="H49" s="127">
        <v>0</v>
      </c>
      <c r="I49" s="99">
        <f>IFERROR(B49/$B$13,0)</f>
        <v>0</v>
      </c>
      <c r="J49" s="99">
        <f>IFERROR(K49/$B$2,0)</f>
        <v>0</v>
      </c>
      <c r="K49" s="128">
        <v>0</v>
      </c>
      <c r="L49" s="99">
        <f>IFERROR(K49/SUM($K$15:$K$79),0)</f>
        <v>0</v>
      </c>
      <c r="M49" s="99">
        <f>IFERROR(L49*E49,0)</f>
        <v>0</v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>
        <v>112</v>
      </c>
      <c r="C50" s="130">
        <v>29411950</v>
      </c>
      <c r="D50" s="99">
        <f>IFERROR(B50/$B$13,0)</f>
        <v>1.12e-05</v>
      </c>
      <c r="E50" s="131">
        <f>IFERROR(C50/B50/500.0,0)</f>
        <v>525.213392857143</v>
      </c>
      <c r="F50" s="132" t="n"/>
      <c r="G50" s="13" t="inlineStr">
        <is>
          <t>(500, 550]</t>
        </is>
      </c>
      <c r="H50" s="127">
        <v>0</v>
      </c>
      <c r="I50" s="99">
        <f>IFERROR(B50/$B$13,0)</f>
        <v>0</v>
      </c>
      <c r="J50" s="99">
        <f>IFERROR(K50/$B$2,0)</f>
        <v>0</v>
      </c>
      <c r="K50" s="128">
        <v>0</v>
      </c>
      <c r="L50" s="99">
        <f>IFERROR(K50/SUM($K$15:$K$79),0)</f>
        <v>0</v>
      </c>
      <c r="M50" s="99">
        <f>IFERROR(L50*E50,0)</f>
        <v>0</v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>
        <v>92</v>
      </c>
      <c r="C51" s="130">
        <v>26408600</v>
      </c>
      <c r="D51" s="99">
        <f>IFERROR(B51/$B$13,0)</f>
        <v>9.2e-06</v>
      </c>
      <c r="E51" s="131">
        <f>IFERROR(C51/B51/500.0,0)</f>
        <v>574.1</v>
      </c>
      <c r="F51" s="132" t="n"/>
      <c r="G51" s="13" t="inlineStr">
        <is>
          <t>(550, 600]</t>
        </is>
      </c>
      <c r="H51" s="127">
        <v>0</v>
      </c>
      <c r="I51" s="99">
        <f>IFERROR(B51/$B$13,0)</f>
        <v>0</v>
      </c>
      <c r="J51" s="99">
        <f>IFERROR(K51/$B$2,0)</f>
        <v>0</v>
      </c>
      <c r="K51" s="128">
        <v>0</v>
      </c>
      <c r="L51" s="99">
        <f>IFERROR(K51/SUM($K$15:$K$79),0)</f>
        <v>0</v>
      </c>
      <c r="M51" s="99">
        <f>IFERROR(L51*E51,0)</f>
        <v>0</v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>
        <v>119</v>
      </c>
      <c r="C52" s="130">
        <v>37244775</v>
      </c>
      <c r="D52" s="99">
        <f>IFERROR(B52/$B$13,0)</f>
        <v>1.19e-05</v>
      </c>
      <c r="E52" s="131">
        <f>IFERROR(C52/B52/500.0,0)</f>
        <v>625.962605042017</v>
      </c>
      <c r="F52" s="132" t="n"/>
      <c r="G52" s="13" t="inlineStr">
        <is>
          <t>(600, 650]</t>
        </is>
      </c>
      <c r="H52" s="127">
        <v>0</v>
      </c>
      <c r="I52" s="99">
        <f>IFERROR(B52/$B$13,0)</f>
        <v>0</v>
      </c>
      <c r="J52" s="99">
        <f>IFERROR(K52/$B$2,0)</f>
        <v>0</v>
      </c>
      <c r="K52" s="128">
        <v>0</v>
      </c>
      <c r="L52" s="99">
        <f>IFERROR(K52/SUM($K$15:$K$79),0)</f>
        <v>0</v>
      </c>
      <c r="M52" s="99">
        <f>IFERROR(L52*E52,0)</f>
        <v>0</v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>
        <v>60</v>
      </c>
      <c r="C53" s="130">
        <v>20179775</v>
      </c>
      <c r="D53" s="99">
        <f>IFERROR(B53/$B$13,0)</f>
        <v>6e-06</v>
      </c>
      <c r="E53" s="131">
        <f>IFERROR(C53/B53/500.0,0)</f>
        <v>672.659166666667</v>
      </c>
      <c r="F53" s="132" t="n"/>
      <c r="G53" s="13" t="inlineStr">
        <is>
          <t>(650, 700]</t>
        </is>
      </c>
      <c r="H53" s="127">
        <v>0</v>
      </c>
      <c r="I53" s="99">
        <f>IFERROR(B53/$B$13,0)</f>
        <v>0</v>
      </c>
      <c r="J53" s="99">
        <f>IFERROR(K53/$B$2,0)</f>
        <v>0</v>
      </c>
      <c r="K53" s="128">
        <v>0</v>
      </c>
      <c r="L53" s="99">
        <f>IFERROR(K53/SUM($K$15:$K$79),0)</f>
        <v>0</v>
      </c>
      <c r="M53" s="99">
        <f>IFERROR(L53*E53,0)</f>
        <v>0</v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>
        <v>74</v>
      </c>
      <c r="C54" s="130">
        <v>27076125</v>
      </c>
      <c r="D54" s="99">
        <f>IFERROR(B54/$B$13,0)</f>
        <v>7.4e-06</v>
      </c>
      <c r="E54" s="131">
        <f>IFERROR(C54/B54/500.0,0)</f>
        <v>731.787162162162</v>
      </c>
      <c r="F54" s="132" t="n"/>
      <c r="G54" s="13" t="inlineStr">
        <is>
          <t>(700, 750]</t>
        </is>
      </c>
      <c r="H54" s="127">
        <v>0</v>
      </c>
      <c r="I54" s="99">
        <f>IFERROR(B54/$B$13,0)</f>
        <v>0</v>
      </c>
      <c r="J54" s="99">
        <f>IFERROR(K54/$B$2,0)</f>
        <v>0</v>
      </c>
      <c r="K54" s="128">
        <v>0</v>
      </c>
      <c r="L54" s="99">
        <f>IFERROR(K54/SUM($K$15:$K$79),0)</f>
        <v>0</v>
      </c>
      <c r="M54" s="99">
        <f>IFERROR(L54*E54,0)</f>
        <v>0</v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>
        <v>54</v>
      </c>
      <c r="C55" s="130">
        <v>20933425</v>
      </c>
      <c r="D55" s="99">
        <f>IFERROR(B55/$B$13,0)</f>
        <v>5.4e-06</v>
      </c>
      <c r="E55" s="131">
        <f>IFERROR(C55/B55/500.0,0)</f>
        <v>775.312037037037</v>
      </c>
      <c r="F55" s="132" t="n"/>
      <c r="G55" s="13" t="inlineStr">
        <is>
          <t>(750, 800]</t>
        </is>
      </c>
      <c r="H55" s="127">
        <v>0</v>
      </c>
      <c r="I55" s="99">
        <f>IFERROR(B55/$B$13,0)</f>
        <v>0</v>
      </c>
      <c r="J55" s="99">
        <f>IFERROR(K55/$B$2,0)</f>
        <v>0</v>
      </c>
      <c r="K55" s="128">
        <v>0</v>
      </c>
      <c r="L55" s="99">
        <f>IFERROR(K55/SUM($K$15:$K$79),0)</f>
        <v>0</v>
      </c>
      <c r="M55" s="99">
        <f>IFERROR(L55*E55,0)</f>
        <v>0</v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>
        <v>50</v>
      </c>
      <c r="C56" s="130">
        <v>20619450</v>
      </c>
      <c r="D56" s="99">
        <f>IFERROR(B56/$B$13,0)</f>
        <v>5e-06</v>
      </c>
      <c r="E56" s="131">
        <f>IFERROR(C56/B56/500.0,0)</f>
        <v>824.778</v>
      </c>
      <c r="F56" s="132" t="n"/>
      <c r="G56" s="13" t="inlineStr">
        <is>
          <t>(800, 850]</t>
        </is>
      </c>
      <c r="H56" s="127">
        <v>0</v>
      </c>
      <c r="I56" s="99">
        <f>IFERROR(B56/$B$13,0)</f>
        <v>0</v>
      </c>
      <c r="J56" s="99">
        <f>IFERROR(K56/$B$2,0)</f>
        <v>0</v>
      </c>
      <c r="K56" s="128">
        <v>0</v>
      </c>
      <c r="L56" s="99">
        <f>IFERROR(K56/SUM($K$15:$K$79),0)</f>
        <v>0</v>
      </c>
      <c r="M56" s="99">
        <f>IFERROR(L56*E56,0)</f>
        <v>0</v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>
        <v>43</v>
      </c>
      <c r="C57" s="130">
        <v>18868450</v>
      </c>
      <c r="D57" s="99">
        <f>IFERROR(B57/$B$13,0)</f>
        <v>4.3e-06</v>
      </c>
      <c r="E57" s="131">
        <f>IFERROR(C57/B57/500.0,0)</f>
        <v>877.602325581395</v>
      </c>
      <c r="F57" s="132" t="n"/>
      <c r="G57" s="13" t="inlineStr">
        <is>
          <t>(850, 900]</t>
        </is>
      </c>
      <c r="H57" s="127">
        <v>0</v>
      </c>
      <c r="I57" s="99">
        <f>IFERROR(B57/$B$13,0)</f>
        <v>0</v>
      </c>
      <c r="J57" s="99">
        <f>IFERROR(K57/$B$2,0)</f>
        <v>0</v>
      </c>
      <c r="K57" s="133">
        <v>0</v>
      </c>
      <c r="L57" s="99">
        <f>IFERROR(K57/SUM($K$15:$K$79),0)</f>
        <v>0</v>
      </c>
      <c r="M57" s="99">
        <f>IFERROR(L57*E57,0)</f>
        <v>0</v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>
        <v>24</v>
      </c>
      <c r="C58" s="130">
        <v>11082500</v>
      </c>
      <c r="D58" s="99">
        <f>IFERROR(B58/$B$13,0)</f>
        <v>2.4e-06</v>
      </c>
      <c r="E58" s="131">
        <f>IFERROR(C58/B58/500.0,0)</f>
        <v>923.541666666667</v>
      </c>
      <c r="F58" s="132" t="n"/>
      <c r="G58" s="13" t="inlineStr">
        <is>
          <t>(900, 950]</t>
        </is>
      </c>
      <c r="H58" s="127">
        <v>0</v>
      </c>
      <c r="I58" s="99">
        <f>IFERROR(B58/$B$13,0)</f>
        <v>0</v>
      </c>
      <c r="J58" s="99">
        <f>IFERROR(K58/$B$2,0)</f>
        <v>0</v>
      </c>
      <c r="K58" s="133">
        <v>0</v>
      </c>
      <c r="L58" s="99">
        <f>IFERROR(K58/SUM($K$15:$K$79),0)</f>
        <v>0</v>
      </c>
      <c r="M58" s="99">
        <f>IFERROR(L58*E58,0)</f>
        <v>0</v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>
        <v>58</v>
      </c>
      <c r="C59" s="130">
        <v>28661725</v>
      </c>
      <c r="D59" s="99">
        <f>IFERROR(B59/$B$13,0)</f>
        <v>5.8e-06</v>
      </c>
      <c r="E59" s="131">
        <f>IFERROR(C59/B59/500.0,0)</f>
        <v>988.335344827586</v>
      </c>
      <c r="F59" s="132" t="n"/>
      <c r="G59" s="13" t="inlineStr">
        <is>
          <t>(950, 1000]</t>
        </is>
      </c>
      <c r="H59" s="127">
        <v>0</v>
      </c>
      <c r="I59" s="99">
        <f>IFERROR(B59/$B$13,0)</f>
        <v>0</v>
      </c>
      <c r="J59" s="99">
        <f>IFERROR(K59/$B$2,0)</f>
        <v>0</v>
      </c>
      <c r="K59" s="133">
        <v>0</v>
      </c>
      <c r="L59" s="99">
        <f>IFERROR(K59/SUM($K$15:$K$79),0)</f>
        <v>0</v>
      </c>
      <c r="M59" s="99">
        <f>IFERROR(L59*E59,0)</f>
        <v>0</v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>
        <v>398</v>
      </c>
      <c r="C60" s="130">
        <v>290887625</v>
      </c>
      <c r="D60" s="99">
        <f>IFERROR(B60/$B$13,0)</f>
        <v>3.98e-05</v>
      </c>
      <c r="E60" s="131">
        <f>IFERROR(C60/B60/500.0,0)</f>
        <v>1461.74685929648</v>
      </c>
      <c r="F60" s="132" t="n"/>
      <c r="G60" s="13" t="inlineStr">
        <is>
          <t>(1000, 2000]</t>
        </is>
      </c>
      <c r="H60" s="127">
        <v>0</v>
      </c>
      <c r="I60" s="99">
        <f>IFERROR(B60/$B$13,0)</f>
        <v>0</v>
      </c>
      <c r="J60" s="99">
        <f>IFERROR(K60/$B$2,0)</f>
        <v>0</v>
      </c>
      <c r="K60" s="133">
        <v>0</v>
      </c>
      <c r="L60" s="99">
        <f>IFERROR(K60/SUM($K$15:$K$79),0)</f>
        <v>0</v>
      </c>
      <c r="M60" s="99">
        <f>IFERROR(L60*E60,0)</f>
        <v>0</v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>
        <v>169</v>
      </c>
      <c r="C61" s="130">
        <v>207887825</v>
      </c>
      <c r="D61" s="99">
        <f>IFERROR(B61/$B$13,0)</f>
        <v>1.69e-05</v>
      </c>
      <c r="E61" s="131">
        <f>IFERROR(C61/B61/500.0,0)</f>
        <v>2460.21094674556</v>
      </c>
      <c r="F61" s="132" t="n"/>
      <c r="G61" s="13" t="inlineStr">
        <is>
          <t>(2000, 3000]</t>
        </is>
      </c>
      <c r="H61" s="127">
        <v>0</v>
      </c>
      <c r="I61" s="99">
        <f>IFERROR(B61/$B$13,0)</f>
        <v>0</v>
      </c>
      <c r="J61" s="99">
        <f>IFERROR(K61/$B$2,0)</f>
        <v>0</v>
      </c>
      <c r="K61" s="133">
        <v>0</v>
      </c>
      <c r="L61" s="99">
        <f>IFERROR(K61/SUM($K$15:$K$79),0)</f>
        <v>0</v>
      </c>
      <c r="M61" s="99">
        <f>IFERROR(L61*E61,0)</f>
        <v>0</v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>
        <v>129</v>
      </c>
      <c r="C62" s="130">
        <v>228629050</v>
      </c>
      <c r="D62" s="99">
        <f>IFERROR(B62/$B$13,0)</f>
        <v>1.29e-05</v>
      </c>
      <c r="E62" s="131">
        <f>IFERROR(C62/B62/500.0,0)</f>
        <v>3544.63643410853</v>
      </c>
      <c r="F62" s="132" t="n"/>
      <c r="G62" s="13" t="inlineStr">
        <is>
          <t>(3000, 4000]</t>
        </is>
      </c>
      <c r="H62" s="127">
        <v>0</v>
      </c>
      <c r="I62" s="99">
        <f>IFERROR(B62/$B$13,0)</f>
        <v>0</v>
      </c>
      <c r="J62" s="99">
        <f>IFERROR(K62/$B$2,0)</f>
        <v>0</v>
      </c>
      <c r="K62" s="133">
        <v>0</v>
      </c>
      <c r="L62" s="99">
        <f>IFERROR(K62/SUM($K$15:$K$79),0)</f>
        <v>0</v>
      </c>
      <c r="M62" s="99">
        <f>IFERROR(L62*E62,0)</f>
        <v>0</v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>
        <v>70</v>
      </c>
      <c r="C63" s="130">
        <v>156306500</v>
      </c>
      <c r="D63" s="99">
        <f>IFERROR(B63/$B$13,0)</f>
        <v>7e-06</v>
      </c>
      <c r="E63" s="131">
        <f>IFERROR(C63/B63/500.0,0)</f>
        <v>4465.9</v>
      </c>
      <c r="F63" s="132" t="n"/>
      <c r="G63" s="13" t="inlineStr">
        <is>
          <t>(4000, 5000]</t>
        </is>
      </c>
      <c r="H63" s="127">
        <v>0</v>
      </c>
      <c r="I63" s="99">
        <f>IFERROR(B63/$B$13,0)</f>
        <v>0</v>
      </c>
      <c r="J63" s="99">
        <f>IFERROR(K63/$B$2,0)</f>
        <v>0</v>
      </c>
      <c r="K63" s="133">
        <v>0</v>
      </c>
      <c r="L63" s="99">
        <f>IFERROR(K63/SUM($K$15:$K$79),0)</f>
        <v>0</v>
      </c>
      <c r="M63" s="99">
        <f>IFERROR(L63*E63,0)</f>
        <v>0</v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>
        <v>39</v>
      </c>
      <c r="C64" s="130">
        <v>107019550</v>
      </c>
      <c r="D64" s="99">
        <f>IFERROR(B64/$B$13,0)</f>
        <v>3.9e-06</v>
      </c>
      <c r="E64" s="131">
        <f>IFERROR(C64/B64/500.0,0)</f>
        <v>5488.18205128205</v>
      </c>
      <c r="F64" s="132" t="n"/>
      <c r="G64" s="13" t="inlineStr">
        <is>
          <t>(5000, 6000]</t>
        </is>
      </c>
      <c r="H64" s="127">
        <v>0</v>
      </c>
      <c r="I64" s="99">
        <f>IFERROR(B64/$B$13,0)</f>
        <v>0</v>
      </c>
      <c r="J64" s="99">
        <f>IFERROR(K64/$B$2,0)</f>
        <v>0</v>
      </c>
      <c r="K64" s="133">
        <v>0</v>
      </c>
      <c r="L64" s="99">
        <f>IFERROR(K64/SUM($K$15:$K$79),0)</f>
        <v>0</v>
      </c>
      <c r="M64" s="99">
        <f>IFERROR(L64*E64,0)</f>
        <v>0</v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>
        <v>39</v>
      </c>
      <c r="C65" s="130">
        <v>127413550</v>
      </c>
      <c r="D65" s="99">
        <f>IFERROR(B65/$B$13,0)</f>
        <v>3.9e-06</v>
      </c>
      <c r="E65" s="131">
        <f>IFERROR(C65/B65/500.0,0)</f>
        <v>6534.0282051282</v>
      </c>
      <c r="F65" s="132" t="n"/>
      <c r="G65" s="13" t="inlineStr">
        <is>
          <t>(6000, 7000]</t>
        </is>
      </c>
      <c r="H65" s="127">
        <v>0</v>
      </c>
      <c r="I65" s="99">
        <f>IFERROR(B65/$B$13,0)</f>
        <v>0</v>
      </c>
      <c r="J65" s="99">
        <f>IFERROR(K65/$B$2,0)</f>
        <v>0</v>
      </c>
      <c r="K65" s="133">
        <v>0</v>
      </c>
      <c r="L65" s="99">
        <f>IFERROR(K65/SUM($K$15:$K$79),0)</f>
        <v>0</v>
      </c>
      <c r="M65" s="99">
        <f>IFERROR(L65*E65,0)</f>
        <v>0</v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>
        <v>31</v>
      </c>
      <c r="C66" s="130">
        <v>117916900</v>
      </c>
      <c r="D66" s="99">
        <f>IFERROR(B66/$B$13,0)</f>
        <v>3.1e-06</v>
      </c>
      <c r="E66" s="131">
        <f>IFERROR(C66/B66/500.0,0)</f>
        <v>7607.54193548387</v>
      </c>
      <c r="F66" s="132" t="n"/>
      <c r="G66" s="13" t="inlineStr">
        <is>
          <t>(7000, 8000]</t>
        </is>
      </c>
      <c r="H66" s="127">
        <v>0</v>
      </c>
      <c r="I66" s="99">
        <f>IFERROR(B66/$B$13,0)</f>
        <v>0</v>
      </c>
      <c r="J66" s="99">
        <f>IFERROR(K66/$B$2,0)</f>
        <v>0</v>
      </c>
      <c r="K66" s="133">
        <v>0</v>
      </c>
      <c r="L66" s="99">
        <f>IFERROR(K66/SUM($K$15:$K$79),0)</f>
        <v>0</v>
      </c>
      <c r="M66" s="99">
        <f>IFERROR(L66*E66,0)</f>
        <v>0</v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>
        <v>22</v>
      </c>
      <c r="C67" s="130">
        <v>93282225</v>
      </c>
      <c r="D67" s="99">
        <f>IFERROR(B67/$B$13,0)</f>
        <v>2.2e-06</v>
      </c>
      <c r="E67" s="131">
        <f>IFERROR(C67/B67/500.0,0)</f>
        <v>8480.20227272727</v>
      </c>
      <c r="F67" s="132" t="n"/>
      <c r="G67" s="13" t="inlineStr">
        <is>
          <t>(8000, 9000]</t>
        </is>
      </c>
      <c r="H67" s="127">
        <v>0</v>
      </c>
      <c r="I67" s="99">
        <f>IFERROR(B67/$B$13,0)</f>
        <v>0</v>
      </c>
      <c r="J67" s="99">
        <f>IFERROR(K67/$B$2,0)</f>
        <v>0</v>
      </c>
      <c r="K67" s="133">
        <v>0</v>
      </c>
      <c r="L67" s="99">
        <f>IFERROR(K67/SUM($K$15:$K$79),0)</f>
        <v>0</v>
      </c>
      <c r="M67" s="99">
        <f>IFERROR(L67*E67,0)</f>
        <v>0</v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>
        <v>13</v>
      </c>
      <c r="C68" s="130">
        <v>61536625</v>
      </c>
      <c r="D68" s="99">
        <f>IFERROR(B68/$B$13,0)</f>
        <v>1.3e-06</v>
      </c>
      <c r="E68" s="131">
        <f>IFERROR(C68/B68/500.0,0)</f>
        <v>9467.17307692308</v>
      </c>
      <c r="F68" s="132" t="n"/>
      <c r="G68" s="13" t="inlineStr">
        <is>
          <t>(9000, 10000]</t>
        </is>
      </c>
      <c r="H68" s="127">
        <v>0</v>
      </c>
      <c r="I68" s="99">
        <f>IFERROR(B68/$B$13,0)</f>
        <v>0</v>
      </c>
      <c r="J68" s="99">
        <f>IFERROR(K68/$B$2,0)</f>
        <v>0</v>
      </c>
      <c r="K68" s="133">
        <v>0</v>
      </c>
      <c r="L68" s="99">
        <f>IFERROR(K68/SUM($K$15:$K$79),0)</f>
        <v>0</v>
      </c>
      <c r="M68" s="99">
        <f>IFERROR(L68*E68,0)</f>
        <v>0</v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>
        <v>97</v>
      </c>
      <c r="C69" s="130">
        <v>670412775</v>
      </c>
      <c r="D69" s="99">
        <f>IFERROR(B69/$B$13,0)</f>
        <v>9.7e-06</v>
      </c>
      <c r="E69" s="131">
        <f>IFERROR(C69/B69/500.0,0)</f>
        <v>13822.943814433</v>
      </c>
      <c r="F69" s="132" t="n"/>
      <c r="G69" s="13" t="inlineStr">
        <is>
          <t>(10000, 20000]</t>
        </is>
      </c>
      <c r="H69" s="127">
        <v>0</v>
      </c>
      <c r="I69" s="99">
        <f>IFERROR(B69/$B$13,0)</f>
        <v>0</v>
      </c>
      <c r="J69" s="99">
        <f>IFERROR(K69/$B$2,0)</f>
        <v>0</v>
      </c>
      <c r="K69" s="133">
        <v>0</v>
      </c>
      <c r="L69" s="99">
        <f>IFERROR(K69/SUM($K$15:$K$79),0)</f>
        <v>0</v>
      </c>
      <c r="M69" s="99">
        <f>IFERROR(L69*E69,0)</f>
        <v>0</v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>
        <v>10</v>
      </c>
      <c r="C70" s="130">
        <v>116279275</v>
      </c>
      <c r="D70" s="99">
        <f>IFERROR(B70/$B$13,0)</f>
        <v>1e-06</v>
      </c>
      <c r="E70" s="131">
        <f>IFERROR(C70/B70/500.0,0)</f>
        <v>23255.855</v>
      </c>
      <c r="F70" s="132" t="n"/>
      <c r="G70" s="13" t="inlineStr">
        <is>
          <t>(20000, 30000]</t>
        </is>
      </c>
      <c r="H70" s="127">
        <v>0</v>
      </c>
      <c r="I70" s="99">
        <f>IFERROR(B70/$B$13,0)</f>
        <v>0</v>
      </c>
      <c r="J70" s="99">
        <f>IFERROR(K70/$B$2,0)</f>
        <v>0</v>
      </c>
      <c r="K70" s="133">
        <v>0</v>
      </c>
      <c r="L70" s="99">
        <f>IFERROR(K70/SUM($K$15:$K$79),0)</f>
        <v>0</v>
      </c>
      <c r="M70" s="99">
        <f>IFERROR(L70*E70,0)</f>
        <v>0</v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>
        <v>9</v>
      </c>
      <c r="C71" s="130">
        <v>148717000</v>
      </c>
      <c r="D71" s="99">
        <f>IFERROR(B71/$B$13,0)</f>
        <v>9e-07</v>
      </c>
      <c r="E71" s="131">
        <f>IFERROR(C71/B71/500.0,0)</f>
        <v>33048.2222222222</v>
      </c>
      <c r="F71" s="132" t="n"/>
      <c r="G71" s="13" t="inlineStr">
        <is>
          <t>(30000, 40000]</t>
        </is>
      </c>
      <c r="H71" s="127">
        <v>0</v>
      </c>
      <c r="I71" s="99">
        <f>IFERROR(B71/$B$13,0)</f>
        <v>0</v>
      </c>
      <c r="J71" s="99">
        <f>IFERROR(K71/$B$2,0)</f>
        <v>0</v>
      </c>
      <c r="K71" s="133">
        <v>0</v>
      </c>
      <c r="L71" s="99">
        <f>IFERROR(K71/SUM($K$15:$K$79),0)</f>
        <v>0</v>
      </c>
      <c r="M71" s="99">
        <f>IFERROR(L71*E71,0)</f>
        <v>0</v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>
        <v>2</v>
      </c>
      <c r="C72" s="130">
        <v>41812500</v>
      </c>
      <c r="D72" s="99">
        <f>IFERROR(B72/$B$13,0)</f>
        <v>2e-07</v>
      </c>
      <c r="E72" s="131">
        <f>IFERROR(C72/B72/500.0,0)</f>
        <v>41812.5</v>
      </c>
      <c r="F72" s="132" t="n"/>
      <c r="G72" s="13" t="inlineStr">
        <is>
          <t>(40000, 50000]</t>
        </is>
      </c>
      <c r="H72" s="127">
        <v>0</v>
      </c>
      <c r="I72" s="99">
        <f>IFERROR(B72/$B$13,0)</f>
        <v>0</v>
      </c>
      <c r="J72" s="99">
        <f>IFERROR(K72/$B$2,0)</f>
        <v>0</v>
      </c>
      <c r="K72" s="133">
        <v>0</v>
      </c>
      <c r="L72" s="99">
        <f>IFERROR(K72/SUM($K$15:$K$79),0)</f>
        <v>0</v>
      </c>
      <c r="M72" s="99">
        <f>IFERROR(L72*E72,0)</f>
        <v>0</v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>
        <v>2</v>
      </c>
      <c r="C73" s="130">
        <v>54968100</v>
      </c>
      <c r="D73" s="99">
        <f>IFERROR(B73/$B$13,0)</f>
        <v>2e-07</v>
      </c>
      <c r="E73" s="131">
        <f>IFERROR(C73/B73/500.0,0)</f>
        <v>54968.1</v>
      </c>
      <c r="F73" s="132" t="n"/>
      <c r="G73" s="13" t="inlineStr">
        <is>
          <t>(50000, 60000]</t>
        </is>
      </c>
      <c r="H73" s="127">
        <v>0</v>
      </c>
      <c r="I73" s="99">
        <f>IFERROR(B73/$B$13,0)</f>
        <v>0</v>
      </c>
      <c r="J73" s="99">
        <f>IFERROR(K73/$B$2,0)</f>
        <v>0</v>
      </c>
      <c r="K73" s="133">
        <v>0</v>
      </c>
      <c r="L73" s="99">
        <f>IFERROR(K73/SUM($K$15:$K$79),0)</f>
        <v>0</v>
      </c>
      <c r="M73" s="99">
        <f>IFERROR(L73*E73,0)</f>
        <v>0</v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>
        <v>2</v>
      </c>
      <c r="C74" s="130">
        <v>63437500</v>
      </c>
      <c r="D74" s="99">
        <f>IFERROR(B74/$B$13,0)</f>
        <v>2e-07</v>
      </c>
      <c r="E74" s="131">
        <f>IFERROR(C74/B74/500.0,0)</f>
        <v>63437.5</v>
      </c>
      <c r="F74" s="132" t="n"/>
      <c r="G74" s="13" t="inlineStr">
        <is>
          <t>(60000, 70000]</t>
        </is>
      </c>
      <c r="H74" s="127">
        <v>0</v>
      </c>
      <c r="I74" s="99">
        <f>IFERROR(B74/$B$13,0)</f>
        <v>0</v>
      </c>
      <c r="J74" s="99">
        <f>IFERROR(K74/$B$2,0)</f>
        <v>0</v>
      </c>
      <c r="K74" s="133">
        <v>0</v>
      </c>
      <c r="L74" s="99">
        <f>IFERROR(K74/SUM($K$15:$K$79),0)</f>
        <v>0</v>
      </c>
      <c r="M74" s="99">
        <f>IFERROR(L74*E74,0)</f>
        <v>0</v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>
        <v>0</v>
      </c>
      <c r="C75" s="130">
        <v>0</v>
      </c>
      <c r="D75" s="99">
        <f>IFERROR(B75/$B$13,0)</f>
        <v>0</v>
      </c>
      <c r="E75" s="131">
        <f>IFERROR(C75/B75/500.0,0)</f>
        <v>0</v>
      </c>
      <c r="F75" s="132" t="n"/>
      <c r="G75" s="13" t="inlineStr">
        <is>
          <t>(70000, 80000]</t>
        </is>
      </c>
      <c r="H75" s="127">
        <v>0</v>
      </c>
      <c r="I75" s="99">
        <f>IFERROR(B75/$B$13,0)</f>
        <v>0</v>
      </c>
      <c r="J75" s="99">
        <f>IFERROR(K75/$B$2,0)</f>
        <v>0</v>
      </c>
      <c r="K75" s="133">
        <v>0</v>
      </c>
      <c r="L75" s="99">
        <f>IFERROR(K75/SUM($K$15:$K$79),0)</f>
        <v>0</v>
      </c>
      <c r="M75" s="99">
        <f>IFERROR(L75*E75,0)</f>
        <v>0</v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>
        <v>0</v>
      </c>
      <c r="C76" s="130">
        <v>0</v>
      </c>
      <c r="D76" s="99">
        <f>IFERROR(B76/$B$13,0)</f>
        <v>0</v>
      </c>
      <c r="E76" s="131">
        <f>IFERROR(C76/B76/500.0,0)</f>
        <v>0</v>
      </c>
      <c r="F76" s="132" t="n"/>
      <c r="G76" s="13" t="inlineStr">
        <is>
          <t>(80000, 90000]</t>
        </is>
      </c>
      <c r="H76" s="127">
        <v>0</v>
      </c>
      <c r="I76" s="99">
        <f>IFERROR(B76/$B$13,0)</f>
        <v>0</v>
      </c>
      <c r="J76" s="99">
        <f>IFERROR(K76/$B$2,0)</f>
        <v>0</v>
      </c>
      <c r="K76" s="133">
        <v>0</v>
      </c>
      <c r="L76" s="99">
        <f>IFERROR(K76/SUM($K$15:$K$79),0)</f>
        <v>0</v>
      </c>
      <c r="M76" s="99">
        <f>IFERROR(L76*E76,0)</f>
        <v>0</v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>
        <v>0</v>
      </c>
      <c r="C77" s="130">
        <v>0</v>
      </c>
      <c r="D77" s="99">
        <f>IFERROR(B77/$B$13,0)</f>
        <v>0</v>
      </c>
      <c r="E77" s="131">
        <f>IFERROR(C77/B77/500.0,0)</f>
        <v>0</v>
      </c>
      <c r="F77" s="132" t="n"/>
      <c r="G77" s="13" t="inlineStr">
        <is>
          <t>(90000, 100000]</t>
        </is>
      </c>
      <c r="H77" s="127">
        <v>0</v>
      </c>
      <c r="I77" s="99">
        <f>IFERROR(B77/$B$13,0)</f>
        <v>0</v>
      </c>
      <c r="J77" s="99">
        <f>IFERROR(K77/$B$2,0)</f>
        <v>0</v>
      </c>
      <c r="K77" s="133">
        <v>0</v>
      </c>
      <c r="L77" s="99">
        <f>IFERROR(K77/SUM($K$15:$K$79),0)</f>
        <v>0</v>
      </c>
      <c r="M77" s="99">
        <f>IFERROR(L77*E77,0)</f>
        <v>0</v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>
        <v>0</v>
      </c>
      <c r="C78" s="130">
        <v>0</v>
      </c>
      <c r="D78" s="99">
        <f>IFERROR(B78/$B$13,0)</f>
        <v>0</v>
      </c>
      <c r="E78" s="131">
        <f>IFERROR(C78/B78/500.0,0)</f>
        <v>0</v>
      </c>
      <c r="F78" s="132" t="n"/>
      <c r="G78" s="13" t="inlineStr">
        <is>
          <t>(100000, 9999999]</t>
        </is>
      </c>
      <c r="H78" s="127">
        <v>0</v>
      </c>
      <c r="I78" s="99">
        <f>IFERROR(B78/$B$13,0)</f>
        <v>0</v>
      </c>
      <c r="J78" s="99">
        <f>IFERROR(K78/$B$2,0)</f>
        <v>0</v>
      </c>
      <c r="K78" s="133">
        <v>0</v>
      </c>
      <c r="L78" s="99">
        <f>IFERROR(K78/SUM($K$15:$K$79),0)</f>
        <v>0</v>
      </c>
      <c r="M78" s="99">
        <f>IFERROR(L78*E78,0)</f>
        <v>0</v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>
        <v>22040</v>
      </c>
      <c r="C79" s="130">
        <v>44813925</v>
      </c>
      <c r="D79" s="99">
        <f>B79/B13</f>
        <v>0.002204</v>
      </c>
      <c r="E79" s="131">
        <f>IFERROR(C79/B79/$B$3,0)</f>
        <v>4.06659936479129</v>
      </c>
      <c r="F79" s="132" t="n"/>
      <c r="G79" s="13" t="inlineStr">
        <is>
          <t>Free Game</t>
        </is>
      </c>
      <c r="H79" s="127">
        <v>1.51240187175842</v>
      </c>
      <c r="I79" s="99">
        <f>D79*H79</f>
        <v>0.00333333372535556</v>
      </c>
      <c r="J79" s="99">
        <f>I79</f>
        <v>0.00333333372535556</v>
      </c>
      <c r="K79" s="133">
        <v>3344482</v>
      </c>
      <c r="L79" s="99">
        <f>IFERROR(K79/SUM($K$15:$K$79),0)</f>
        <v>0.00333333372535556</v>
      </c>
      <c r="M79" s="99">
        <f>L79*E79</f>
        <v>0.0135553328101683</v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>
        <v>22143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>
        <v>4</v>
      </c>
      <c r="C86" s="125">
        <v>0</v>
      </c>
      <c r="D86" s="99">
        <f>IFERROR(B86/$B$84,0)</f>
        <v>0.000180643995845188</v>
      </c>
      <c r="E86" s="126">
        <f>IFERROR(C86/B86/500.0,0)</f>
        <v>0</v>
      </c>
      <c r="G86" s="13" t="inlineStr">
        <is>
          <t>(-1, 0]</t>
        </is>
      </c>
      <c r="H86" s="127">
        <v>0</v>
      </c>
      <c r="I86" s="99">
        <f>IFERROR(B86/$B$84,0)</f>
        <v>0</v>
      </c>
      <c r="J86" s="99">
        <f>IFERROR(K86/$B$2,0)</f>
        <v>0</v>
      </c>
      <c r="K86" s="128">
        <v>0</v>
      </c>
      <c r="L86" s="99">
        <f>IFERROR(K86/$B$2,0)</f>
        <v>0</v>
      </c>
      <c r="M86" s="99">
        <f>IFERROR(L86*E86,0)</f>
        <v>0</v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>
        <v>27</v>
      </c>
      <c r="C87" s="130">
        <v>9150</v>
      </c>
      <c r="D87" s="99">
        <f>IFERROR(B87/$B$84,0)</f>
        <v>0.00121934697195502</v>
      </c>
      <c r="E87" s="131">
        <f>IFERROR(C87/B87/500.0,0)</f>
        <v>0.677777777777778</v>
      </c>
      <c r="G87" s="13" t="inlineStr">
        <is>
          <t>(0, 1]</t>
        </is>
      </c>
      <c r="H87" s="127">
        <v>0</v>
      </c>
      <c r="I87" s="99">
        <f>IFERROR(B87/$B$84,0)</f>
        <v>0</v>
      </c>
      <c r="J87" s="99">
        <f>IFERROR(K87/$B$2,0)</f>
        <v>0</v>
      </c>
      <c r="K87" s="128">
        <v>0</v>
      </c>
      <c r="L87" s="99">
        <f>IFERROR(K87/$B$2,0)</f>
        <v>0</v>
      </c>
      <c r="M87" s="99">
        <f>IFERROR(L87*E87,0)</f>
        <v>0</v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>
        <v>49</v>
      </c>
      <c r="C88" s="130">
        <v>38975</v>
      </c>
      <c r="D88" s="99">
        <f>IFERROR(B88/$B$84,0)</f>
        <v>0.00221288894910355</v>
      </c>
      <c r="E88" s="131">
        <f>IFERROR(C88/B88/500.0,0)</f>
        <v>1.59081632653061</v>
      </c>
      <c r="F88" s="50" t="n"/>
      <c r="G88" s="13" t="inlineStr">
        <is>
          <t>(1, 2]</t>
        </is>
      </c>
      <c r="H88" s="127">
        <v>0</v>
      </c>
      <c r="I88" s="99">
        <f>IFERROR(B88/$B$84,0)</f>
        <v>0</v>
      </c>
      <c r="J88" s="99">
        <f>IFERROR(K88/$B$2,0)</f>
        <v>0</v>
      </c>
      <c r="K88" s="128">
        <v>0</v>
      </c>
      <c r="L88" s="99">
        <f>IFERROR(K88/$B$2,0)</f>
        <v>0</v>
      </c>
      <c r="M88" s="99">
        <f>IFERROR(L88*E88,0)</f>
        <v>0</v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>
        <v>70</v>
      </c>
      <c r="C89" s="130">
        <v>90475</v>
      </c>
      <c r="D89" s="99">
        <f>IFERROR(B89/$B$84,0)</f>
        <v>0.00316126992729079</v>
      </c>
      <c r="E89" s="131">
        <f>IFERROR(C89/B89/500.0,0)</f>
        <v>2.585</v>
      </c>
      <c r="F89" s="129" t="n"/>
      <c r="G89" s="13" t="inlineStr">
        <is>
          <t>(2, 3]</t>
        </is>
      </c>
      <c r="H89" s="127">
        <v>0</v>
      </c>
      <c r="I89" s="99">
        <f>IFERROR(B89/$B$84,0)</f>
        <v>0</v>
      </c>
      <c r="J89" s="99">
        <f>IFERROR(K89/$B$2,0)</f>
        <v>0</v>
      </c>
      <c r="K89" s="128">
        <v>0</v>
      </c>
      <c r="L89" s="99">
        <f>IFERROR(K89/$B$2,0)</f>
        <v>0</v>
      </c>
      <c r="M89" s="99">
        <f>IFERROR(L89*E89,0)</f>
        <v>0</v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>
        <v>116</v>
      </c>
      <c r="C90" s="130">
        <v>205200</v>
      </c>
      <c r="D90" s="99">
        <f>IFERROR(B90/$B$84,0)</f>
        <v>0.00523867587951045</v>
      </c>
      <c r="E90" s="131">
        <f>IFERROR(C90/B90/500.0,0)</f>
        <v>3.53793103448276</v>
      </c>
      <c r="F90" s="129" t="n"/>
      <c r="G90" s="13" t="inlineStr">
        <is>
          <t>(3, 4]</t>
        </is>
      </c>
      <c r="H90" s="127">
        <v>0</v>
      </c>
      <c r="I90" s="99">
        <f>IFERROR(B90/$B$84,0)</f>
        <v>0</v>
      </c>
      <c r="J90" s="99">
        <f>IFERROR(K90/$B$2,0)</f>
        <v>0</v>
      </c>
      <c r="K90" s="128">
        <v>0</v>
      </c>
      <c r="L90" s="99">
        <f>IFERROR(K90/$B$2,0)</f>
        <v>0</v>
      </c>
      <c r="M90" s="99">
        <f>IFERROR(L90*E90,0)</f>
        <v>0</v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>
        <v>140</v>
      </c>
      <c r="C91" s="130">
        <v>316600</v>
      </c>
      <c r="D91" s="99">
        <f>IFERROR(B91/$B$84,0)</f>
        <v>0.00632253985458158</v>
      </c>
      <c r="E91" s="131">
        <f>IFERROR(C91/B91/500.0,0)</f>
        <v>4.52285714285714</v>
      </c>
      <c r="F91" s="129" t="n"/>
      <c r="G91" s="13" t="inlineStr">
        <is>
          <t>(4, 5]</t>
        </is>
      </c>
      <c r="H91" s="127">
        <v>0</v>
      </c>
      <c r="I91" s="99">
        <f>IFERROR(B91/$B$84,0)</f>
        <v>0</v>
      </c>
      <c r="J91" s="99">
        <f>IFERROR(K91/$B$2,0)</f>
        <v>0</v>
      </c>
      <c r="K91" s="128">
        <v>0</v>
      </c>
      <c r="L91" s="99">
        <f>IFERROR(K91/$B$2,0)</f>
        <v>0</v>
      </c>
      <c r="M91" s="99">
        <f>IFERROR(L91*E91,0)</f>
        <v>0</v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>
        <v>136</v>
      </c>
      <c r="C92" s="130">
        <v>375325</v>
      </c>
      <c r="D92" s="99">
        <f>IFERROR(B92/$B$84,0)</f>
        <v>0.0061418958587364</v>
      </c>
      <c r="E92" s="131">
        <f>IFERROR(C92/B92/500.0,0)</f>
        <v>5.51948529411765</v>
      </c>
      <c r="F92" s="129" t="n"/>
      <c r="G92" s="13" t="inlineStr">
        <is>
          <t>(5, 6]</t>
        </is>
      </c>
      <c r="H92" s="127">
        <v>0</v>
      </c>
      <c r="I92" s="99">
        <f>IFERROR(B92/$B$84,0)</f>
        <v>0</v>
      </c>
      <c r="J92" s="99">
        <f>IFERROR(K92/$B$2,0)</f>
        <v>0</v>
      </c>
      <c r="K92" s="128">
        <v>0</v>
      </c>
      <c r="L92" s="99">
        <f>IFERROR(K92/$B$2,0)</f>
        <v>0</v>
      </c>
      <c r="M92" s="99">
        <f>IFERROR(L92*E92,0)</f>
        <v>0</v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>
        <v>165</v>
      </c>
      <c r="C93" s="130">
        <v>539050</v>
      </c>
      <c r="D93" s="99">
        <f>IFERROR(B93/$B$84,0)</f>
        <v>0.00745156482861401</v>
      </c>
      <c r="E93" s="131">
        <f>IFERROR(C93/B93/500.0,0)</f>
        <v>6.53393939393939</v>
      </c>
      <c r="F93" s="129" t="n"/>
      <c r="G93" s="13" t="inlineStr">
        <is>
          <t>(6, 7]</t>
        </is>
      </c>
      <c r="H93" s="127">
        <v>0</v>
      </c>
      <c r="I93" s="99">
        <f>IFERROR(B93/$B$84,0)</f>
        <v>0</v>
      </c>
      <c r="J93" s="99">
        <f>IFERROR(K93/$B$2,0)</f>
        <v>0</v>
      </c>
      <c r="K93" s="128">
        <v>0</v>
      </c>
      <c r="L93" s="99">
        <f>IFERROR(K93/$B$2,0)</f>
        <v>0</v>
      </c>
      <c r="M93" s="99">
        <f>IFERROR(L93*E93,0)</f>
        <v>0</v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>
        <v>177</v>
      </c>
      <c r="C94" s="130">
        <v>664400</v>
      </c>
      <c r="D94" s="99">
        <f>IFERROR(B94/$B$84,0)</f>
        <v>0.00799349681614957</v>
      </c>
      <c r="E94" s="131">
        <f>IFERROR(C94/B94/500.0,0)</f>
        <v>7.50734463276836</v>
      </c>
      <c r="F94" s="129" t="n"/>
      <c r="G94" s="13" t="inlineStr">
        <is>
          <t>(7, 8]</t>
        </is>
      </c>
      <c r="H94" s="127">
        <v>0</v>
      </c>
      <c r="I94" s="99">
        <f>IFERROR(B94/$B$84,0)</f>
        <v>0</v>
      </c>
      <c r="J94" s="99">
        <f>IFERROR(K94/$B$2,0)</f>
        <v>0</v>
      </c>
      <c r="K94" s="128">
        <v>0</v>
      </c>
      <c r="L94" s="99">
        <f>IFERROR(K94/$B$2,0)</f>
        <v>0</v>
      </c>
      <c r="M94" s="99">
        <f>IFERROR(L94*E94,0)</f>
        <v>0</v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>
        <v>199</v>
      </c>
      <c r="C95" s="130">
        <v>848525</v>
      </c>
      <c r="D95" s="99">
        <f>IFERROR(B95/$B$84,0)</f>
        <v>0.00898703879329811</v>
      </c>
      <c r="E95" s="131">
        <f>IFERROR(C95/B95/500.0,0)</f>
        <v>8.52788944723618</v>
      </c>
      <c r="F95" s="129" t="n"/>
      <c r="G95" s="13" t="inlineStr">
        <is>
          <t>(8, 9]</t>
        </is>
      </c>
      <c r="H95" s="127">
        <v>0</v>
      </c>
      <c r="I95" s="99">
        <f>IFERROR(B95/$B$84,0)</f>
        <v>0</v>
      </c>
      <c r="J95" s="99">
        <f>IFERROR(K95/$B$2,0)</f>
        <v>0</v>
      </c>
      <c r="K95" s="128">
        <v>0</v>
      </c>
      <c r="L95" s="99">
        <f>IFERROR(K95/$B$2,0)</f>
        <v>0</v>
      </c>
      <c r="M95" s="99">
        <f>IFERROR(L95*E95,0)</f>
        <v>0</v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>
        <v>189</v>
      </c>
      <c r="C96" s="130">
        <v>903125</v>
      </c>
      <c r="D96" s="99">
        <f>IFERROR(B96/$B$84,0)</f>
        <v>0.00853542880368514</v>
      </c>
      <c r="E96" s="131">
        <f>IFERROR(C96/B96/500.0,0)</f>
        <v>9.55687830687831</v>
      </c>
      <c r="F96" s="129" t="n"/>
      <c r="G96" s="13" t="inlineStr">
        <is>
          <t>(9, 10]</t>
        </is>
      </c>
      <c r="H96" s="127">
        <v>0</v>
      </c>
      <c r="I96" s="99">
        <f>IFERROR(B96/$B$84,0)</f>
        <v>0</v>
      </c>
      <c r="J96" s="99">
        <f>IFERROR(K96/$B$2,0)</f>
        <v>0</v>
      </c>
      <c r="K96" s="128">
        <v>0</v>
      </c>
      <c r="L96" s="99">
        <f>IFERROR(K96/$B$2,0)</f>
        <v>0</v>
      </c>
      <c r="M96" s="99">
        <f>IFERROR(L96*E96,0)</f>
        <v>0</v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>
        <v>897</v>
      </c>
      <c r="C97" s="130">
        <v>5616400</v>
      </c>
      <c r="D97" s="99">
        <f>IFERROR(B97/$B$84,0)</f>
        <v>0.0405094160682834</v>
      </c>
      <c r="E97" s="131">
        <f>IFERROR(C97/B97/500.0,0)</f>
        <v>12.5226309921962</v>
      </c>
      <c r="F97" s="129" t="n"/>
      <c r="G97" s="13" t="inlineStr">
        <is>
          <t>(10, 15]</t>
        </is>
      </c>
      <c r="H97" s="127">
        <v>0</v>
      </c>
      <c r="I97" s="99">
        <f>IFERROR(B97/$B$84,0)</f>
        <v>0</v>
      </c>
      <c r="J97" s="99">
        <f>IFERROR(K97/$B$2,0)</f>
        <v>0</v>
      </c>
      <c r="K97" s="128">
        <v>0</v>
      </c>
      <c r="L97" s="99">
        <f>IFERROR(K97/$B$2,0)</f>
        <v>0</v>
      </c>
      <c r="M97" s="99">
        <f>IFERROR(L97*E97,0)</f>
        <v>0</v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>
        <v>904</v>
      </c>
      <c r="C98" s="130">
        <v>7931900</v>
      </c>
      <c r="D98" s="99">
        <f>IFERROR(B98/$B$84,0)</f>
        <v>0.0408255430610125</v>
      </c>
      <c r="E98" s="131">
        <f>IFERROR(C98/B98/500.0,0)</f>
        <v>17.5484513274336</v>
      </c>
      <c r="F98" s="129" t="n"/>
      <c r="G98" s="13" t="inlineStr">
        <is>
          <t>(15, 20]</t>
        </is>
      </c>
      <c r="H98" s="127">
        <v>0</v>
      </c>
      <c r="I98" s="99">
        <f>IFERROR(B98/$B$84,0)</f>
        <v>0</v>
      </c>
      <c r="J98" s="99">
        <f>IFERROR(K98/$B$2,0)</f>
        <v>0</v>
      </c>
      <c r="K98" s="128">
        <v>0</v>
      </c>
      <c r="L98" s="99">
        <f>IFERROR(K98/$B$2,0)</f>
        <v>0</v>
      </c>
      <c r="M98" s="99">
        <f>IFERROR(L98*E98,0)</f>
        <v>0</v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>
        <v>827</v>
      </c>
      <c r="C99" s="130">
        <v>9271325</v>
      </c>
      <c r="D99" s="99">
        <f>IFERROR(B99/$B$84,0)</f>
        <v>0.0373481461409926</v>
      </c>
      <c r="E99" s="131">
        <f>IFERROR(C99/B99/500.0,0)</f>
        <v>22.4215840386941</v>
      </c>
      <c r="F99" s="129" t="n"/>
      <c r="G99" s="13" t="inlineStr">
        <is>
          <t>(20, 25]</t>
        </is>
      </c>
      <c r="H99" s="127">
        <v>0.0118333316553809</v>
      </c>
      <c r="I99" s="99">
        <f>IFERROR(B99/$B$84,0)</f>
        <v>0.000441953</v>
      </c>
      <c r="J99" s="99">
        <f>IFERROR(K99/$B$2,0)</f>
        <v>0.000441953</v>
      </c>
      <c r="K99" s="128">
        <v>441953</v>
      </c>
      <c r="L99" s="99">
        <f>IFERROR(K99/$B$2,0)</f>
        <v>0.000441953</v>
      </c>
      <c r="M99" s="99">
        <f>IFERROR(L99*E99,0)</f>
        <v>0.00990928633065296</v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>
        <v>754</v>
      </c>
      <c r="C100" s="130">
        <v>10395175</v>
      </c>
      <c r="D100" s="99">
        <f>IFERROR(B100/$B$84,0)</f>
        <v>0.034051393216818</v>
      </c>
      <c r="E100" s="131">
        <f>IFERROR(C100/B100/500.0,0)</f>
        <v>27.5734084880637</v>
      </c>
      <c r="F100" s="129" t="n"/>
      <c r="G100" s="13" t="inlineStr">
        <is>
          <t>(25, 30]</t>
        </is>
      </c>
      <c r="H100" s="127">
        <v>2.97310390078249</v>
      </c>
      <c r="I100" s="99">
        <f>IFERROR(B100/$B$84,0)</f>
        <v>0.10123833</v>
      </c>
      <c r="J100" s="99">
        <f>IFERROR(K100/$B$2,0)</f>
        <v>0.10123833</v>
      </c>
      <c r="K100" s="128">
        <v>101238330</v>
      </c>
      <c r="L100" s="99">
        <f>IFERROR(K100/$B$2,0)</f>
        <v>0.10123833</v>
      </c>
      <c r="M100" s="99">
        <f>IFERROR(L100*E100,0)</f>
        <v>2.79148582773939</v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>
        <v>685</v>
      </c>
      <c r="C101" s="130">
        <v>11140575</v>
      </c>
      <c r="D101" s="99">
        <f>IFERROR(B101/$B$84,0)</f>
        <v>0.0309352842884885</v>
      </c>
      <c r="E101" s="131">
        <f>IFERROR(C101/B101/500.0,0)</f>
        <v>32.5272262773723</v>
      </c>
      <c r="F101" s="129" t="n"/>
      <c r="G101" s="13" t="inlineStr">
        <is>
          <t>(30, 35]</t>
        </is>
      </c>
      <c r="H101" s="127">
        <v>3.1663705782219</v>
      </c>
      <c r="I101" s="99">
        <f>IFERROR(B101/$B$84,0)</f>
        <v>0.097952574</v>
      </c>
      <c r="J101" s="99">
        <f>IFERROR(K101/$B$2,0)</f>
        <v>0.097952574</v>
      </c>
      <c r="K101" s="128">
        <v>97952574</v>
      </c>
      <c r="L101" s="99">
        <f>IFERROR(K101/$B$2,0)</f>
        <v>0.097952574</v>
      </c>
      <c r="M101" s="99">
        <f>IFERROR(L101*E101,0)</f>
        <v>3.18612553894905</v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>
        <v>705</v>
      </c>
      <c r="C102" s="130">
        <v>13210900</v>
      </c>
      <c r="D102" s="99">
        <f>IFERROR(B102/$B$84,0)</f>
        <v>0.0318385042677144</v>
      </c>
      <c r="E102" s="131">
        <f>IFERROR(C102/B102/500.0,0)</f>
        <v>37.4777304964539</v>
      </c>
      <c r="F102" s="129" t="n"/>
      <c r="G102" s="13" t="inlineStr">
        <is>
          <t>(35, 40]</t>
        </is>
      </c>
      <c r="H102" s="127">
        <v>0.99113742073617</v>
      </c>
      <c r="I102" s="99">
        <f>IFERROR(B102/$B$84,0)</f>
        <v>0.031556333</v>
      </c>
      <c r="J102" s="99">
        <f>IFERROR(K102/$B$2,0)</f>
        <v>0.031556333</v>
      </c>
      <c r="K102" s="128">
        <v>31556333</v>
      </c>
      <c r="L102" s="99">
        <f>IFERROR(K102/$B$2,0)</f>
        <v>0.031556333</v>
      </c>
      <c r="M102" s="99">
        <f>IFERROR(L102*E102,0)</f>
        <v>1.18265974363035</v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>
        <v>626</v>
      </c>
      <c r="C103" s="130">
        <v>13277625</v>
      </c>
      <c r="D103" s="99">
        <f>IFERROR(B103/$B$84,0)</f>
        <v>0.0282707853497719</v>
      </c>
      <c r="E103" s="131">
        <f>IFERROR(C103/B103/500.0,0)</f>
        <v>42.4205271565495</v>
      </c>
      <c r="F103" s="129" t="n"/>
      <c r="G103" s="13" t="inlineStr">
        <is>
          <t>(40, 45]</t>
        </is>
      </c>
      <c r="H103" s="127">
        <v>2.15512382292173</v>
      </c>
      <c r="I103" s="99">
        <f>IFERROR(B103/$B$84,0)</f>
        <v>0.060927043</v>
      </c>
      <c r="J103" s="99">
        <f>IFERROR(K103/$B$2,0)</f>
        <v>0.060927043</v>
      </c>
      <c r="K103" s="128">
        <v>60927043</v>
      </c>
      <c r="L103" s="99">
        <f>IFERROR(K103/$B$2,0)</f>
        <v>0.060927043</v>
      </c>
      <c r="M103" s="99">
        <f>IFERROR(L103*E103,0)</f>
        <v>2.58455728214976</v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>
        <v>565</v>
      </c>
      <c r="C104" s="130">
        <v>13415400</v>
      </c>
      <c r="D104" s="99">
        <f>IFERROR(B104/$B$84,0)</f>
        <v>0.0255159644131328</v>
      </c>
      <c r="E104" s="131">
        <f>IFERROR(C104/B104/500.0,0)</f>
        <v>47.4881415929203</v>
      </c>
      <c r="F104" s="129" t="n"/>
      <c r="G104" s="13" t="inlineStr">
        <is>
          <t>(45, 50]</t>
        </is>
      </c>
      <c r="H104" s="127">
        <v>5.74995142744779</v>
      </c>
      <c r="I104" s="99">
        <f>IFERROR(B104/$B$84,0)</f>
        <v>0.146715556</v>
      </c>
      <c r="J104" s="99">
        <f>IFERROR(K104/$B$2,0)</f>
        <v>0.146715556</v>
      </c>
      <c r="K104" s="128">
        <v>146715556</v>
      </c>
      <c r="L104" s="99">
        <f>IFERROR(K104/$B$2,0)</f>
        <v>0.146715556</v>
      </c>
      <c r="M104" s="99">
        <f>IFERROR(L104*E104,0)</f>
        <v>6.96724909721203</v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>
        <v>1130</v>
      </c>
      <c r="C105" s="130">
        <v>31003150</v>
      </c>
      <c r="D105" s="99">
        <f>IFERROR(B105/$B$84,0)</f>
        <v>0.0510319288262656</v>
      </c>
      <c r="E105" s="131">
        <f>IFERROR(C105/B105/500.0,0)</f>
        <v>54.8728318584071</v>
      </c>
      <c r="F105" s="129" t="n"/>
      <c r="G105" s="13" t="inlineStr">
        <is>
          <t>(50, 60]</t>
        </is>
      </c>
      <c r="H105" s="127">
        <v>1.43576131032478</v>
      </c>
      <c r="I105" s="99">
        <f>IFERROR(B105/$B$84,0)</f>
        <v>0.073269669</v>
      </c>
      <c r="J105" s="99">
        <f>IFERROR(K105/$B$2,0)</f>
        <v>0.073269669</v>
      </c>
      <c r="K105" s="128">
        <v>73269669</v>
      </c>
      <c r="L105" s="99">
        <f>IFERROR(K105/$B$2,0)</f>
        <v>0.073269669</v>
      </c>
      <c r="M105" s="99">
        <f>IFERROR(L105*E105,0)</f>
        <v>4.02051422735814</v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>
        <v>1013</v>
      </c>
      <c r="C106" s="130">
        <v>32886925</v>
      </c>
      <c r="D106" s="99">
        <f>IFERROR(B106/$B$84,0)</f>
        <v>0.0457480919477939</v>
      </c>
      <c r="E106" s="131">
        <f>IFERROR(C106/B106/500.0,0)</f>
        <v>64.9297630799605</v>
      </c>
      <c r="F106" s="129" t="n"/>
      <c r="G106" s="13" t="inlineStr">
        <is>
          <t>(60, 70]</t>
        </is>
      </c>
      <c r="H106" s="127">
        <v>3.1517787050997</v>
      </c>
      <c r="I106" s="99">
        <f>IFERROR(B106/$B$84,0)</f>
        <v>0.144187862</v>
      </c>
      <c r="J106" s="99">
        <f>IFERROR(K106/$B$2,0)</f>
        <v>0.144187862</v>
      </c>
      <c r="K106" s="128">
        <v>144187862</v>
      </c>
      <c r="L106" s="99">
        <f>IFERROR(K106/$B$2,0)</f>
        <v>0.144187862</v>
      </c>
      <c r="M106" s="99">
        <f>IFERROR(L106*E106,0)</f>
        <v>9.36208371866604</v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>
        <v>903</v>
      </c>
      <c r="C107" s="130">
        <v>33789525</v>
      </c>
      <c r="D107" s="99">
        <f>IFERROR(B107/$B$84,0)</f>
        <v>0.0407803820620512</v>
      </c>
      <c r="E107" s="131">
        <f>IFERROR(C107/B107/500.0,0)</f>
        <v>74.8383720930233</v>
      </c>
      <c r="F107" s="129" t="n"/>
      <c r="G107" s="13" t="inlineStr">
        <is>
          <t>(70, 80]</t>
        </is>
      </c>
      <c r="H107" s="127">
        <v>3.47890463076412</v>
      </c>
      <c r="I107" s="99">
        <f>IFERROR(B107/$B$84,0)</f>
        <v>0.14187106</v>
      </c>
      <c r="J107" s="99">
        <f>IFERROR(K107/$B$2,0)</f>
        <v>0.14187106</v>
      </c>
      <c r="K107" s="128">
        <v>141871060</v>
      </c>
      <c r="L107" s="99">
        <f>IFERROR(K107/$B$2,0)</f>
        <v>0.14187106</v>
      </c>
      <c r="M107" s="99">
        <f>IFERROR(L107*E107,0)</f>
        <v>10.6173991775116</v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>
        <v>777</v>
      </c>
      <c r="C108" s="130">
        <v>33026300</v>
      </c>
      <c r="D108" s="99">
        <f>IFERROR(B108/$B$84,0)</f>
        <v>0.0350900961929278</v>
      </c>
      <c r="E108" s="131">
        <f>IFERROR(C108/B108/500.0,0)</f>
        <v>85.0097812097812</v>
      </c>
      <c r="F108" s="129" t="n"/>
      <c r="G108" s="13" t="inlineStr">
        <is>
          <t>(80, 90]</t>
        </is>
      </c>
      <c r="H108" s="127">
        <v>2.99904478521236</v>
      </c>
      <c r="I108" s="99">
        <f>IFERROR(B108/$B$84,0)</f>
        <v>0.10523677</v>
      </c>
      <c r="J108" s="99">
        <f>IFERROR(K108/$B$2,0)</f>
        <v>0.10523677</v>
      </c>
      <c r="K108" s="128">
        <v>105236770</v>
      </c>
      <c r="L108" s="99">
        <f>IFERROR(K108/$B$2,0)</f>
        <v>0.10523677</v>
      </c>
      <c r="M108" s="99">
        <f>IFERROR(L108*E108,0)</f>
        <v>8.94615479292407</v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>
        <v>749</v>
      </c>
      <c r="C109" s="130">
        <v>35515250</v>
      </c>
      <c r="D109" s="99">
        <f>IFERROR(B109/$B$84,0)</f>
        <v>0.0338255882220115</v>
      </c>
      <c r="E109" s="131">
        <f>IFERROR(C109/B109/500.0,0)</f>
        <v>94.8337783711615</v>
      </c>
      <c r="F109" s="129" t="n"/>
      <c r="G109" s="13" t="inlineStr">
        <is>
          <t>(90, 100]</t>
        </is>
      </c>
      <c r="H109" s="135">
        <v>0.558019445991989</v>
      </c>
      <c r="I109" s="51">
        <f>IFERROR(B109/$B$84,0)</f>
        <v>0.018875336</v>
      </c>
      <c r="J109" s="51">
        <f>IFERROR(K109/$B$2,0)</f>
        <v>0.018875336</v>
      </c>
      <c r="K109" s="128">
        <v>18875336</v>
      </c>
      <c r="L109" s="99">
        <f>IFERROR(K109/$B$2,0)</f>
        <v>0.018875336</v>
      </c>
      <c r="M109" s="99">
        <f>IFERROR(L109*E109,0)</f>
        <v>1.79001943090521</v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>
        <v>1243</v>
      </c>
      <c r="C110" s="130">
        <v>68299500</v>
      </c>
      <c r="D110" s="99">
        <f>IFERROR(B110/$B$84,0)</f>
        <v>0.0561351217088922</v>
      </c>
      <c r="E110" s="131">
        <f>IFERROR(C110/B110/500.0,0)</f>
        <v>109.894609814964</v>
      </c>
      <c r="F110" s="129" t="n"/>
      <c r="G110" s="13" t="inlineStr">
        <is>
          <t>(100, 120]</t>
        </is>
      </c>
      <c r="H110" s="135">
        <v>1.38465031576991</v>
      </c>
      <c r="I110" s="51">
        <f>IFERROR(B110/$B$84,0)</f>
        <v>0.077727514</v>
      </c>
      <c r="J110" s="51">
        <f>IFERROR(K110/$B$2,0)</f>
        <v>0.077727514</v>
      </c>
      <c r="K110" s="128">
        <v>77727514</v>
      </c>
      <c r="L110" s="99">
        <f>IFERROR(K110/$B$2,0)</f>
        <v>0.077727514</v>
      </c>
      <c r="M110" s="99">
        <f>IFERROR(L110*E110,0)</f>
        <v>8.54183482291714</v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>
        <v>1087</v>
      </c>
      <c r="C111" s="130">
        <v>70565050</v>
      </c>
      <c r="D111" s="99">
        <f>IFERROR(B111/$B$84,0)</f>
        <v>0.0490900058709299</v>
      </c>
      <c r="E111" s="131">
        <f>IFERROR(C111/B111/500.0,0)</f>
        <v>129.834498620055</v>
      </c>
      <c r="F111" s="129" t="n"/>
      <c r="G111" s="13" t="inlineStr">
        <is>
          <t>(120, 140]</t>
        </is>
      </c>
      <c r="H111" s="135">
        <v>0</v>
      </c>
      <c r="I111" s="51">
        <f>IFERROR(B111/$B$84,0)</f>
        <v>0</v>
      </c>
      <c r="J111" s="51">
        <f>IFERROR(K111/$B$2,0)</f>
        <v>0</v>
      </c>
      <c r="K111" s="128">
        <v>0</v>
      </c>
      <c r="L111" s="99">
        <f>IFERROR(K111/$B$2,0)</f>
        <v>0</v>
      </c>
      <c r="M111" s="99">
        <f>IFERROR(L111*E111,0)</f>
        <v>0</v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>
        <v>948</v>
      </c>
      <c r="C112" s="130">
        <v>70839325</v>
      </c>
      <c r="D112" s="99">
        <f>IFERROR(B112/$B$84,0)</f>
        <v>0.0428126270153096</v>
      </c>
      <c r="E112" s="131">
        <f>IFERROR(C112/B112/500.0,0)</f>
        <v>149.450052742616</v>
      </c>
      <c r="F112" s="129" t="n"/>
      <c r="G112" s="13" t="inlineStr">
        <is>
          <t>(140, 160]</t>
        </is>
      </c>
      <c r="H112" s="135">
        <v>0</v>
      </c>
      <c r="I112" s="51">
        <f>IFERROR(B112/$B$84,0)</f>
        <v>0</v>
      </c>
      <c r="J112" s="51">
        <f>IFERROR(K112/$B$2,0)</f>
        <v>0</v>
      </c>
      <c r="K112" s="128">
        <v>0</v>
      </c>
      <c r="L112" s="99">
        <f>IFERROR(K112/$B$2,0)</f>
        <v>0</v>
      </c>
      <c r="M112" s="99">
        <f>IFERROR(L112*E112,0)</f>
        <v>0</v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>
        <v>764</v>
      </c>
      <c r="C113" s="130">
        <v>64789150</v>
      </c>
      <c r="D113" s="99">
        <f>IFERROR(B113/$B$84,0)</f>
        <v>0.0345030032064309</v>
      </c>
      <c r="E113" s="131">
        <f>IFERROR(C113/B113/500.0,0)</f>
        <v>169.605104712042</v>
      </c>
      <c r="F113" s="129" t="n"/>
      <c r="G113" s="13" t="inlineStr">
        <is>
          <t>(160, 180]</t>
        </is>
      </c>
      <c r="H113" s="135">
        <v>0</v>
      </c>
      <c r="I113" s="51">
        <f>IFERROR(B113/$B$84,0)</f>
        <v>0</v>
      </c>
      <c r="J113" s="51">
        <f>IFERROR(K113/$B$2,0)</f>
        <v>0</v>
      </c>
      <c r="K113" s="128">
        <v>0</v>
      </c>
      <c r="L113" s="99">
        <f>IFERROR(K113/$B$2,0)</f>
        <v>0</v>
      </c>
      <c r="M113" s="99">
        <f>IFERROR(L113*E113,0)</f>
        <v>0</v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>
        <v>655</v>
      </c>
      <c r="C114" s="130">
        <v>62216775</v>
      </c>
      <c r="D114" s="99">
        <f>IFERROR(B114/$B$84,0)</f>
        <v>0.0295804543196495</v>
      </c>
      <c r="E114" s="131">
        <f>IFERROR(C114/B114/500.0,0)</f>
        <v>189.974885496183</v>
      </c>
      <c r="F114" s="129" t="n"/>
      <c r="G114" s="13" t="inlineStr">
        <is>
          <t>(180, 200]</t>
        </is>
      </c>
      <c r="H114" s="135">
        <v>0</v>
      </c>
      <c r="I114" s="51">
        <f>IFERROR(B114/$B$84,0)</f>
        <v>0</v>
      </c>
      <c r="J114" s="51">
        <f>IFERROR(K114/$B$2,0)</f>
        <v>0</v>
      </c>
      <c r="K114" s="128">
        <v>0</v>
      </c>
      <c r="L114" s="99">
        <f>IFERROR(K114/$B$2,0)</f>
        <v>0</v>
      </c>
      <c r="M114" s="99">
        <f>IFERROR(L114*E114,0)</f>
        <v>0</v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>
        <v>1338</v>
      </c>
      <c r="C115" s="130">
        <v>149504950</v>
      </c>
      <c r="D115" s="99">
        <f>IFERROR(B115/$B$84,0)</f>
        <v>0.0604254166102154</v>
      </c>
      <c r="E115" s="131">
        <f>IFERROR(C115/B115/500.0,0)</f>
        <v>223.475261584454</v>
      </c>
      <c r="F115" s="129" t="n"/>
      <c r="G115" s="13" t="inlineStr">
        <is>
          <t>(200, 250]</t>
        </is>
      </c>
      <c r="H115" s="135">
        <v>0</v>
      </c>
      <c r="I115" s="51">
        <f>IFERROR(B115/$B$84,0)</f>
        <v>0</v>
      </c>
      <c r="J115" s="51">
        <f>IFERROR(K115/$B$2,0)</f>
        <v>0</v>
      </c>
      <c r="K115" s="128">
        <v>0</v>
      </c>
      <c r="L115" s="99">
        <f>IFERROR(K115/$B$2,0)</f>
        <v>0</v>
      </c>
      <c r="M115" s="99">
        <f>IFERROR(L115*E115,0)</f>
        <v>0</v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>
        <v>924</v>
      </c>
      <c r="C116" s="130">
        <v>126534650</v>
      </c>
      <c r="D116" s="99">
        <f>IFERROR(B116/$B$84,0)</f>
        <v>0.0417287630402385</v>
      </c>
      <c r="E116" s="131">
        <f>IFERROR(C116/B116/500.0,0)</f>
        <v>273.884523809524</v>
      </c>
      <c r="F116" s="129" t="n"/>
      <c r="G116" s="13" t="inlineStr">
        <is>
          <t>(250, 300]</t>
        </is>
      </c>
      <c r="H116" s="135">
        <v>0</v>
      </c>
      <c r="I116" s="51">
        <f>IFERROR(B116/$B$84,0)</f>
        <v>0</v>
      </c>
      <c r="J116" s="51">
        <f>IFERROR(K116/$B$2,0)</f>
        <v>0</v>
      </c>
      <c r="K116" s="128">
        <v>0</v>
      </c>
      <c r="L116" s="99">
        <f>IFERROR(K116/$B$2,0)</f>
        <v>0</v>
      </c>
      <c r="M116" s="99">
        <f>IFERROR(L116*E116,0)</f>
        <v>0</v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>
        <v>652</v>
      </c>
      <c r="C117" s="130">
        <v>105515575</v>
      </c>
      <c r="D117" s="99">
        <f>IFERROR(B117/$B$84,0)</f>
        <v>0.0294449713227657</v>
      </c>
      <c r="E117" s="131">
        <f>IFERROR(C117/B117/500.0,0)</f>
        <v>323.66740797546</v>
      </c>
      <c r="F117" s="129" t="n"/>
      <c r="G117" s="13" t="inlineStr">
        <is>
          <t>(300, 350]</t>
        </is>
      </c>
      <c r="H117" s="135">
        <v>0</v>
      </c>
      <c r="I117" s="51">
        <f>IFERROR(B117/$B$84,0)</f>
        <v>0</v>
      </c>
      <c r="J117" s="51">
        <f>IFERROR(K117/$B$2,0)</f>
        <v>0</v>
      </c>
      <c r="K117" s="128">
        <v>0</v>
      </c>
      <c r="L117" s="99">
        <f>IFERROR(K117/$B$2,0)</f>
        <v>0</v>
      </c>
      <c r="M117" s="99">
        <f>IFERROR(L117*E117,0)</f>
        <v>0</v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>
        <v>487</v>
      </c>
      <c r="C118" s="130">
        <v>91133400</v>
      </c>
      <c r="D118" s="99">
        <f>IFERROR(B118/$B$84,0)</f>
        <v>0.0219934064941517</v>
      </c>
      <c r="E118" s="131">
        <f>IFERROR(C118/B118/500.0,0)</f>
        <v>374.264476386037</v>
      </c>
      <c r="F118" s="129" t="n"/>
      <c r="G118" s="13" t="inlineStr">
        <is>
          <t>(350, 400]</t>
        </is>
      </c>
      <c r="H118" s="135">
        <v>0</v>
      </c>
      <c r="I118" s="51">
        <f>IFERROR(B118/$B$84,0)</f>
        <v>0</v>
      </c>
      <c r="J118" s="51">
        <f>IFERROR(K118/$B$2,0)</f>
        <v>0</v>
      </c>
      <c r="K118" s="128">
        <v>0</v>
      </c>
      <c r="L118" s="99">
        <f>IFERROR(K118/$B$2,0)</f>
        <v>0</v>
      </c>
      <c r="M118" s="99">
        <f>IFERROR(L118*E118,0)</f>
        <v>0</v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>
        <v>376</v>
      </c>
      <c r="C119" s="130">
        <v>79656475</v>
      </c>
      <c r="D119" s="99">
        <f>IFERROR(B119/$B$84,0)</f>
        <v>0.0169805356094477</v>
      </c>
      <c r="E119" s="131">
        <f>IFERROR(C119/B119/500.0,0)</f>
        <v>423.704654255319</v>
      </c>
      <c r="F119" s="129" t="n"/>
      <c r="G119" s="13" t="inlineStr">
        <is>
          <t>(400, 450]</t>
        </is>
      </c>
      <c r="H119" s="135">
        <v>0</v>
      </c>
      <c r="I119" s="51">
        <f>IFERROR(B119/$B$84,0)</f>
        <v>0</v>
      </c>
      <c r="J119" s="51">
        <f>IFERROR(K119/$B$2,0)</f>
        <v>0</v>
      </c>
      <c r="K119" s="128">
        <v>0</v>
      </c>
      <c r="L119" s="99">
        <f>IFERROR(K119/$B$2,0)</f>
        <v>0</v>
      </c>
      <c r="M119" s="99">
        <f>IFERROR(L119*E119,0)</f>
        <v>0</v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>
        <v>266</v>
      </c>
      <c r="C120" s="130">
        <v>63172300</v>
      </c>
      <c r="D120" s="99">
        <f>IFERROR(B120/$B$84,0)</f>
        <v>0.012012825723705</v>
      </c>
      <c r="E120" s="131">
        <f>IFERROR(C120/B120/500.0,0)</f>
        <v>474.97969924812</v>
      </c>
      <c r="F120" s="129" t="n"/>
      <c r="G120" s="13" t="inlineStr">
        <is>
          <t>(450, 500]</t>
        </is>
      </c>
      <c r="H120" s="135">
        <v>0</v>
      </c>
      <c r="I120" s="51">
        <f>IFERROR(B120/$B$84,0)</f>
        <v>0</v>
      </c>
      <c r="J120" s="51">
        <f>IFERROR(K120/$B$2,0)</f>
        <v>0</v>
      </c>
      <c r="K120" s="128">
        <v>0</v>
      </c>
      <c r="L120" s="99">
        <f>IFERROR(K120/$B$2,0)</f>
        <v>0</v>
      </c>
      <c r="M120" s="99">
        <f>IFERROR(L120*E120,0)</f>
        <v>0</v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>
        <v>191</v>
      </c>
      <c r="C121" s="130">
        <v>50053025</v>
      </c>
      <c r="D121" s="99">
        <f>IFERROR(B121/$B$84,0)</f>
        <v>0.00862575080160773</v>
      </c>
      <c r="E121" s="131">
        <f>IFERROR(C121/B121/500.0,0)</f>
        <v>524.115445026178</v>
      </c>
      <c r="F121" s="129" t="n"/>
      <c r="G121" s="13" t="inlineStr">
        <is>
          <t>(500, 550]</t>
        </is>
      </c>
      <c r="H121" s="135">
        <v>0</v>
      </c>
      <c r="I121" s="51">
        <f>IFERROR(B121/$B$84,0)</f>
        <v>0</v>
      </c>
      <c r="J121" s="51">
        <f>IFERROR(K121/$B$2,0)</f>
        <v>0</v>
      </c>
      <c r="K121" s="128">
        <v>0</v>
      </c>
      <c r="L121" s="99">
        <f>IFERROR(K121/$B$2,0)</f>
        <v>0</v>
      </c>
      <c r="M121" s="99">
        <f>IFERROR(L121*E121,0)</f>
        <v>0</v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>
        <v>160</v>
      </c>
      <c r="C122" s="130">
        <v>45869475</v>
      </c>
      <c r="D122" s="99">
        <f>IFERROR(B122/$B$84,0)</f>
        <v>0.00722575983380752</v>
      </c>
      <c r="E122" s="131">
        <f>IFERROR(C122/B122/500.0,0)</f>
        <v>573.3684375</v>
      </c>
      <c r="F122" s="129" t="n"/>
      <c r="G122" s="13" t="i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</f>
        <v>0</v>
      </c>
      <c r="K122" s="128">
        <v>0</v>
      </c>
      <c r="L122" s="99">
        <f>IFERROR(K122/$B$2,0)</f>
        <v>0</v>
      </c>
      <c r="M122" s="99">
        <f>IFERROR(L122*E122,0)</f>
        <v>0</v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>
        <v>136</v>
      </c>
      <c r="C123" s="130">
        <v>42467175</v>
      </c>
      <c r="D123" s="99">
        <f>IFERROR(B123/$B$84,0)</f>
        <v>0.0061418958587364</v>
      </c>
      <c r="E123" s="131">
        <f>IFERROR(C123/B123/500.0,0)</f>
        <v>624.517279411765</v>
      </c>
      <c r="F123" s="129" t="n"/>
      <c r="G123" s="13" t="inlineStr">
        <is>
          <t>(600, 650]</t>
        </is>
      </c>
      <c r="H123" s="127">
        <v>0</v>
      </c>
      <c r="I123" s="99">
        <f>IFERROR(B123/$B$84,0)</f>
        <v>0</v>
      </c>
      <c r="J123" s="99">
        <f>IFERROR(K123/$B$2,0)</f>
        <v>0</v>
      </c>
      <c r="K123" s="128">
        <v>0</v>
      </c>
      <c r="L123" s="99">
        <f>IFERROR(K123/$B$2,0)</f>
        <v>0</v>
      </c>
      <c r="M123" s="99">
        <f>IFERROR(L123*E123,0)</f>
        <v>0</v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>
        <v>111</v>
      </c>
      <c r="C124" s="130">
        <v>37432250</v>
      </c>
      <c r="D124" s="99">
        <f>IFERROR(B124/$B$84,0)</f>
        <v>0.00501287088470397</v>
      </c>
      <c r="E124" s="131">
        <f>IFERROR(C124/B124/500.0,0)</f>
        <v>674.454954954955</v>
      </c>
      <c r="F124" s="129" t="n"/>
      <c r="G124" s="13" t="inlineStr">
        <is>
          <t>(650, 700]</t>
        </is>
      </c>
      <c r="H124" s="127">
        <v>0</v>
      </c>
      <c r="I124" s="99">
        <f>IFERROR(B124/$B$84,0)</f>
        <v>0</v>
      </c>
      <c r="J124" s="99">
        <f>IFERROR(K124/$B$2,0)</f>
        <v>0</v>
      </c>
      <c r="K124" s="128">
        <v>0</v>
      </c>
      <c r="L124" s="99">
        <f>IFERROR(K124/$B$2,0)</f>
        <v>0</v>
      </c>
      <c r="M124" s="99">
        <f>IFERROR(L124*E124,0)</f>
        <v>0</v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>
        <v>110</v>
      </c>
      <c r="C125" s="130">
        <v>39826600</v>
      </c>
      <c r="D125" s="99">
        <f>IFERROR(B125/$B$84,0)</f>
        <v>0.00496770988574267</v>
      </c>
      <c r="E125" s="131">
        <f>IFERROR(C125/B125/500.0,0)</f>
        <v>724.12</v>
      </c>
      <c r="F125" s="129" t="n"/>
      <c r="G125" s="13" t="inlineStr">
        <is>
          <t>(700, 750]</t>
        </is>
      </c>
      <c r="H125" s="127">
        <v>0</v>
      </c>
      <c r="I125" s="99">
        <f>IFERROR(B125/$B$84,0)</f>
        <v>0</v>
      </c>
      <c r="J125" s="99">
        <f>IFERROR(K125/$B$2,0)</f>
        <v>0</v>
      </c>
      <c r="K125" s="128">
        <v>0</v>
      </c>
      <c r="L125" s="99">
        <f>IFERROR(K125/$B$2,0)</f>
        <v>0</v>
      </c>
      <c r="M125" s="99">
        <f>IFERROR(L125*E125,0)</f>
        <v>0</v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>
        <v>70</v>
      </c>
      <c r="C126" s="130">
        <v>27146550</v>
      </c>
      <c r="D126" s="99">
        <f>IFERROR(B126/$B$84,0)</f>
        <v>0.00316126992729079</v>
      </c>
      <c r="E126" s="131">
        <f>IFERROR(C126/B126/500.0,0)</f>
        <v>775.615714285714</v>
      </c>
      <c r="F126" s="129" t="n"/>
      <c r="G126" s="13" t="inlineStr">
        <is>
          <t>(750, 800]</t>
        </is>
      </c>
      <c r="H126" s="127">
        <v>0</v>
      </c>
      <c r="I126" s="99">
        <f>IFERROR(B126/$B$84,0)</f>
        <v>0</v>
      </c>
      <c r="J126" s="99">
        <f>IFERROR(K126/$B$2,0)</f>
        <v>0</v>
      </c>
      <c r="K126" s="128">
        <v>0</v>
      </c>
      <c r="L126" s="99">
        <f>IFERROR(K126/$B$2,0)</f>
        <v>0</v>
      </c>
      <c r="M126" s="99">
        <f>IFERROR(L126*E126,0)</f>
        <v>0</v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>
        <v>57</v>
      </c>
      <c r="C127" s="130">
        <v>23470475</v>
      </c>
      <c r="D127" s="99">
        <f>IFERROR(B127/$B$84,0)</f>
        <v>0.00257417694079393</v>
      </c>
      <c r="E127" s="131">
        <f>IFERROR(C127/B127/500.0,0)</f>
        <v>823.525438596491</v>
      </c>
      <c r="F127" s="129" t="n"/>
      <c r="G127" s="13" t="inlineStr">
        <is>
          <t>(800, 850]</t>
        </is>
      </c>
      <c r="H127" s="127">
        <v>0</v>
      </c>
      <c r="I127" s="99">
        <f>IFERROR(B127/$B$84,0)</f>
        <v>0</v>
      </c>
      <c r="J127" s="99">
        <f>IFERROR(K127/$B$2,0)</f>
        <v>0</v>
      </c>
      <c r="K127" s="128">
        <v>0</v>
      </c>
      <c r="L127" s="99">
        <f>IFERROR(K127/$B$2,0)</f>
        <v>0</v>
      </c>
      <c r="M127" s="99">
        <f>IFERROR(L127*E127,0)</f>
        <v>0</v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>
        <v>45</v>
      </c>
      <c r="C128" s="130">
        <v>19698500</v>
      </c>
      <c r="D128" s="99">
        <f>IFERROR(B128/$B$84,0)</f>
        <v>0.00203224495325837</v>
      </c>
      <c r="E128" s="131">
        <f>IFERROR(C128/B128/500.0,0)</f>
        <v>875.488888888889</v>
      </c>
      <c r="F128" s="129" t="n"/>
      <c r="G128" s="13" t="inlineStr">
        <is>
          <t>(850, 900]</t>
        </is>
      </c>
      <c r="H128" s="127">
        <v>0</v>
      </c>
      <c r="I128" s="99">
        <f>IFERROR(B128/$B$84,0)</f>
        <v>0</v>
      </c>
      <c r="J128" s="99">
        <f>IFERROR(K128/$B$2,0)</f>
        <v>0</v>
      </c>
      <c r="K128" s="133">
        <v>0</v>
      </c>
      <c r="L128" s="99">
        <f>IFERROR(K128/$B$2,0)</f>
        <v>0</v>
      </c>
      <c r="M128" s="99">
        <f>IFERROR(L128*E128,0)</f>
        <v>0</v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>
        <v>46</v>
      </c>
      <c r="C129" s="130">
        <v>21257275</v>
      </c>
      <c r="D129" s="99">
        <f>IFERROR(B129/$B$84,0)</f>
        <v>0.00207740595221966</v>
      </c>
      <c r="E129" s="131">
        <f>IFERROR(C129/B129/500.0,0)</f>
        <v>924.229347826087</v>
      </c>
      <c r="F129" s="129" t="n"/>
      <c r="G129" s="13" t="inlineStr">
        <is>
          <t>(900, 950]</t>
        </is>
      </c>
      <c r="H129" s="127">
        <v>0</v>
      </c>
      <c r="I129" s="99">
        <f>IFERROR(B129/$B$84,0)</f>
        <v>0</v>
      </c>
      <c r="J129" s="99">
        <f>IFERROR(K129/$B$2,0)</f>
        <v>0</v>
      </c>
      <c r="K129" s="133">
        <v>0</v>
      </c>
      <c r="L129" s="99">
        <f>IFERROR(K129/$B$2,0)</f>
        <v>0</v>
      </c>
      <c r="M129" s="99">
        <f>IFERROR(L129*E129,0)</f>
        <v>0</v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>
        <v>38</v>
      </c>
      <c r="C130" s="130">
        <v>18530225</v>
      </c>
      <c r="D130" s="99">
        <f>IFERROR(B130/$B$84,0)</f>
        <v>0.00171611796052929</v>
      </c>
      <c r="E130" s="131">
        <f>IFERROR(C130/B130/500.0,0)</f>
        <v>975.275</v>
      </c>
      <c r="F130" s="129" t="n"/>
      <c r="G130" s="13" t="inlineStr">
        <is>
          <t>(950, 1000]</t>
        </is>
      </c>
      <c r="H130" s="127">
        <v>0</v>
      </c>
      <c r="I130" s="99">
        <f>IFERROR(B130/$B$84,0)</f>
        <v>0</v>
      </c>
      <c r="J130" s="99">
        <f>IFERROR(K130/$B$2,0)</f>
        <v>0</v>
      </c>
      <c r="K130" s="133">
        <v>0</v>
      </c>
      <c r="L130" s="99">
        <f>IFERROR(K130/$B$2,0)</f>
        <v>0</v>
      </c>
      <c r="M130" s="99">
        <f>IFERROR(L130*E130,0)</f>
        <v>0</v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>
        <v>282</v>
      </c>
      <c r="C131" s="130">
        <v>189427400</v>
      </c>
      <c r="D131" s="99">
        <f>IFERROR(B131/$B$84,0)</f>
        <v>0.0127354017070858</v>
      </c>
      <c r="E131" s="131">
        <f>IFERROR(C131/B131/500.0,0)</f>
        <v>1343.45673758865</v>
      </c>
      <c r="F131" s="129" t="n"/>
      <c r="G131" s="13" t="inlineStr">
        <is>
          <t>(1000, 2000]</t>
        </is>
      </c>
      <c r="H131" s="127">
        <v>0</v>
      </c>
      <c r="I131" s="99">
        <f>IFERROR(B131/$B$84,0)</f>
        <v>0</v>
      </c>
      <c r="J131" s="99">
        <f>IFERROR(K131/$B$2,0)</f>
        <v>0</v>
      </c>
      <c r="K131" s="133">
        <v>0</v>
      </c>
      <c r="L131" s="99">
        <f>IFERROR(K131/$B$2,0)</f>
        <v>0</v>
      </c>
      <c r="M131" s="99">
        <f>IFERROR(L131*E131,0)</f>
        <v>0</v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>
        <v>108</v>
      </c>
      <c r="C132" s="130">
        <v>131241425</v>
      </c>
      <c r="D132" s="99">
        <f>IFERROR(B132/$B$84,0)</f>
        <v>0.00487738788782008</v>
      </c>
      <c r="E132" s="131">
        <f>IFERROR(C132/B132/500.0,0)</f>
        <v>2430.39675925926</v>
      </c>
      <c r="F132" s="129" t="n"/>
      <c r="G132" s="13" t="inlineStr">
        <is>
          <t>(2000, 3000]</t>
        </is>
      </c>
      <c r="H132" s="127">
        <v>0</v>
      </c>
      <c r="I132" s="99">
        <f>IFERROR(B132/$B$84,0)</f>
        <v>0</v>
      </c>
      <c r="J132" s="99">
        <f>IFERROR(K132/$B$2,0)</f>
        <v>0</v>
      </c>
      <c r="K132" s="133">
        <v>0</v>
      </c>
      <c r="L132" s="99">
        <f>IFERROR(K132/$B$2,0)</f>
        <v>0</v>
      </c>
      <c r="M132" s="99">
        <f>IFERROR(L132*E132,0)</f>
        <v>0</v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>
        <v>48</v>
      </c>
      <c r="C133" s="130">
        <v>81755950</v>
      </c>
      <c r="D133" s="99">
        <f>IFERROR(B133/$B$84,0)</f>
        <v>0.00216772795014226</v>
      </c>
      <c r="E133" s="131">
        <f>IFERROR(C133/B133/500.0,0)</f>
        <v>3406.49791666667</v>
      </c>
      <c r="F133" s="129" t="n"/>
      <c r="G133" s="13" t="inlineStr">
        <is>
          <t>(3000, 4000]</t>
        </is>
      </c>
      <c r="H133" s="127">
        <v>0</v>
      </c>
      <c r="I133" s="99">
        <f>IFERROR(B133/$B$84,0)</f>
        <v>0</v>
      </c>
      <c r="J133" s="99">
        <f>IFERROR(K133/$B$2,0)</f>
        <v>0</v>
      </c>
      <c r="K133" s="133">
        <v>0</v>
      </c>
      <c r="L133" s="99">
        <f>IFERROR(K133/$B$2,0)</f>
        <v>0</v>
      </c>
      <c r="M133" s="99">
        <f>IFERROR(L133*E133,0)</f>
        <v>0</v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>
        <v>29</v>
      </c>
      <c r="C134" s="130">
        <v>64193125</v>
      </c>
      <c r="D134" s="99">
        <f>IFERROR(B134/$B$84,0)</f>
        <v>0.00130966896987761</v>
      </c>
      <c r="E134" s="131">
        <f>IFERROR(C134/B134/500.0,0)</f>
        <v>4427.11206896552</v>
      </c>
      <c r="F134" s="129" t="n"/>
      <c r="G134" s="13" t="inlineStr">
        <is>
          <t>(4000, 5000]</t>
        </is>
      </c>
      <c r="H134" s="127">
        <v>0</v>
      </c>
      <c r="I134" s="99">
        <f>IFERROR(B134/$B$84,0)</f>
        <v>0</v>
      </c>
      <c r="J134" s="99">
        <f>IFERROR(K134/$B$2,0)</f>
        <v>0</v>
      </c>
      <c r="K134" s="133">
        <v>0</v>
      </c>
      <c r="L134" s="99">
        <f>IFERROR(K134/$B$2,0)</f>
        <v>0</v>
      </c>
      <c r="M134" s="99">
        <f>IFERROR(L134*E134,0)</f>
        <v>0</v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>
        <v>24</v>
      </c>
      <c r="C135" s="130">
        <v>65473300</v>
      </c>
      <c r="D135" s="99">
        <f>IFERROR(B135/$B$84,0)</f>
        <v>0.00108386397507113</v>
      </c>
      <c r="E135" s="131">
        <f>IFERROR(C135/B135/500.0,0)</f>
        <v>5456.10833333333</v>
      </c>
      <c r="F135" s="129" t="n"/>
      <c r="G135" s="13" t="inlineStr">
        <is>
          <t>(5000, 6000]</t>
        </is>
      </c>
      <c r="H135" s="127">
        <v>0</v>
      </c>
      <c r="I135" s="99">
        <f>IFERROR(B135/$B$84,0)</f>
        <v>0</v>
      </c>
      <c r="J135" s="99">
        <f>IFERROR(K135/$B$2,0)</f>
        <v>0</v>
      </c>
      <c r="K135" s="133">
        <v>0</v>
      </c>
      <c r="L135" s="99">
        <f>IFERROR(K135/$B$2,0)</f>
        <v>0</v>
      </c>
      <c r="M135" s="99">
        <f>IFERROR(L135*E135,0)</f>
        <v>0</v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>
        <v>11</v>
      </c>
      <c r="C136" s="130">
        <v>35415325</v>
      </c>
      <c r="D136" s="99">
        <f>IFERROR(B136/$B$84,0)</f>
        <v>0.000496770988574267</v>
      </c>
      <c r="E136" s="131">
        <f>IFERROR(C136/B136/500.0,0)</f>
        <v>6439.15</v>
      </c>
      <c r="F136" s="129" t="n"/>
      <c r="G136" s="13" t="inlineStr">
        <is>
          <t>(6000, 7000]</t>
        </is>
      </c>
      <c r="H136" s="127">
        <v>0</v>
      </c>
      <c r="I136" s="99">
        <f>IFERROR(B136/$B$84,0)</f>
        <v>0</v>
      </c>
      <c r="J136" s="99">
        <f>IFERROR(K136/$B$2,0)</f>
        <v>0</v>
      </c>
      <c r="K136" s="133">
        <v>0</v>
      </c>
      <c r="L136" s="99">
        <f>IFERROR(K136/$B$2,0)</f>
        <v>0</v>
      </c>
      <c r="M136" s="99">
        <f>IFERROR(L136*E136,0)</f>
        <v>0</v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>
        <v>21</v>
      </c>
      <c r="C137" s="130">
        <v>78000875</v>
      </c>
      <c r="D137" s="99">
        <f>IFERROR(B137/$B$84,0)</f>
        <v>0.000948380978187237</v>
      </c>
      <c r="E137" s="131">
        <f>IFERROR(C137/B137/500.0,0)</f>
        <v>7428.65476190476</v>
      </c>
      <c r="F137" s="129" t="n"/>
      <c r="G137" s="13" t="inlineStr">
        <is>
          <t>(7000, 8000]</t>
        </is>
      </c>
      <c r="H137" s="127">
        <v>0</v>
      </c>
      <c r="I137" s="99">
        <f>IFERROR(B137/$B$84,0)</f>
        <v>0</v>
      </c>
      <c r="J137" s="99">
        <f>IFERROR(K137/$B$2,0)</f>
        <v>0</v>
      </c>
      <c r="K137" s="133">
        <v>0</v>
      </c>
      <c r="L137" s="99">
        <f>IFERROR(K137/$B$2,0)</f>
        <v>0</v>
      </c>
      <c r="M137" s="99">
        <f>IFERROR(L137*E137,0)</f>
        <v>0</v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>
        <v>13</v>
      </c>
      <c r="C138" s="130">
        <v>55288500</v>
      </c>
      <c r="D138" s="99">
        <f>IFERROR(B138/$B$84,0)</f>
        <v>0.000587092986496861</v>
      </c>
      <c r="E138" s="131">
        <f>IFERROR(C138/B138/500.0,0)</f>
        <v>8505.92307692308</v>
      </c>
      <c r="F138" s="129" t="n"/>
      <c r="G138" s="13" t="inlineStr">
        <is>
          <t>(8000, 9000]</t>
        </is>
      </c>
      <c r="H138" s="127">
        <v>0</v>
      </c>
      <c r="I138" s="99">
        <f>IFERROR(B138/$B$84,0)</f>
        <v>0</v>
      </c>
      <c r="J138" s="99">
        <f>IFERROR(K138/$B$2,0)</f>
        <v>0</v>
      </c>
      <c r="K138" s="133">
        <v>0</v>
      </c>
      <c r="L138" s="99">
        <f>IFERROR(K138/$B$2,0)</f>
        <v>0</v>
      </c>
      <c r="M138" s="99">
        <f>IFERROR(L138*E138,0)</f>
        <v>0</v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>
        <v>8</v>
      </c>
      <c r="C139" s="130">
        <v>37807150</v>
      </c>
      <c r="D139" s="99">
        <f>IFERROR(B139/$B$84,0)</f>
        <v>0.000361287991690376</v>
      </c>
      <c r="E139" s="131">
        <f>IFERROR(C139/B139/500.0,0)</f>
        <v>9451.7875</v>
      </c>
      <c r="F139" s="129" t="n"/>
      <c r="G139" s="13" t="inlineStr">
        <is>
          <t>(9000, 10000]</t>
        </is>
      </c>
      <c r="H139" s="127">
        <v>0</v>
      </c>
      <c r="I139" s="99">
        <f>IFERROR(B139/$B$84,0)</f>
        <v>0</v>
      </c>
      <c r="J139" s="99">
        <f>IFERROR(K139/$B$2,0)</f>
        <v>0</v>
      </c>
      <c r="K139" s="133">
        <v>0</v>
      </c>
      <c r="L139" s="99">
        <f>IFERROR(K139/$B$2,0)</f>
        <v>0</v>
      </c>
      <c r="M139" s="99">
        <f>IFERROR(L139*E139,0)</f>
        <v>0</v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>
        <v>50</v>
      </c>
      <c r="C140" s="130">
        <v>336658675</v>
      </c>
      <c r="D140" s="99">
        <f>IFERROR(B140/$B$84,0)</f>
        <v>0.00225804994806485</v>
      </c>
      <c r="E140" s="131">
        <f>IFERROR(C140/B140/500.0,0)</f>
        <v>13466.347</v>
      </c>
      <c r="F140" s="129" t="n"/>
      <c r="G140" s="13" t="inlineStr">
        <is>
          <t>(10000, 20000]</t>
        </is>
      </c>
      <c r="H140" s="127">
        <v>0</v>
      </c>
      <c r="I140" s="99">
        <f>IFERROR(B140/$B$84,0)</f>
        <v>0</v>
      </c>
      <c r="J140" s="99">
        <f>IFERROR(K140/$B$2,0)</f>
        <v>0</v>
      </c>
      <c r="K140" s="133">
        <v>0</v>
      </c>
      <c r="L140" s="99">
        <f>IFERROR(K140/$B$2,0)</f>
        <v>0</v>
      </c>
      <c r="M140" s="99">
        <f>IFERROR(L140*E140,0)</f>
        <v>0</v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>
        <v>16</v>
      </c>
      <c r="C141" s="130">
        <v>187660300</v>
      </c>
      <c r="D141" s="99">
        <f>IFERROR(B141/$B$84,0)</f>
        <v>0.000722575983380752</v>
      </c>
      <c r="E141" s="131">
        <f>IFERROR(C141/B141/500.0,0)</f>
        <v>23457.5375</v>
      </c>
      <c r="F141" s="129" t="n"/>
      <c r="G141" s="13" t="inlineStr">
        <is>
          <t>(20000, 30000]</t>
        </is>
      </c>
      <c r="H141" s="127">
        <v>0</v>
      </c>
      <c r="I141" s="99">
        <f>IFERROR(B141/$B$84,0)</f>
        <v>0</v>
      </c>
      <c r="J141" s="99">
        <f>IFERROR(K141/$B$2,0)</f>
        <v>0</v>
      </c>
      <c r="K141" s="133">
        <v>0</v>
      </c>
      <c r="L141" s="99">
        <f>IFERROR(K141/$B$2,0)</f>
        <v>0</v>
      </c>
      <c r="M141" s="99">
        <f>IFERROR(L141*E141,0)</f>
        <v>0</v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>
        <v>9</v>
      </c>
      <c r="C142" s="130">
        <v>151608925</v>
      </c>
      <c r="D142" s="99">
        <f>IFERROR(B142/$B$84,0)</f>
        <v>0.000406448990651673</v>
      </c>
      <c r="E142" s="131">
        <f>IFERROR(C142/B142/500.0,0)</f>
        <v>33690.8722222222</v>
      </c>
      <c r="F142" s="129" t="n"/>
      <c r="G142" s="13" t="inlineStr">
        <is>
          <t>(30000, 40000]</t>
        </is>
      </c>
      <c r="H142" s="127">
        <v>0</v>
      </c>
      <c r="I142" s="99">
        <f>IFERROR(B142/$B$84,0)</f>
        <v>0</v>
      </c>
      <c r="J142" s="99">
        <f>IFERROR(K142/$B$2,0)</f>
        <v>0</v>
      </c>
      <c r="K142" s="133">
        <v>0</v>
      </c>
      <c r="L142" s="99">
        <f>IFERROR(K142/$B$2,0)</f>
        <v>0</v>
      </c>
      <c r="M142" s="99">
        <f>IFERROR(L142*E142,0)</f>
        <v>0</v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>
        <v>5</v>
      </c>
      <c r="C143" s="130">
        <v>108769475</v>
      </c>
      <c r="D143" s="99">
        <f>IFERROR(B143/$B$84,0)</f>
        <v>0.000225804994806485</v>
      </c>
      <c r="E143" s="131">
        <f>IFERROR(C143/B143/500.0,0)</f>
        <v>43507.79</v>
      </c>
      <c r="F143" s="129" t="n"/>
      <c r="G143" s="13" t="inlineStr">
        <is>
          <t>(40000, 50000]</t>
        </is>
      </c>
      <c r="H143" s="127">
        <v>0</v>
      </c>
      <c r="I143" s="99">
        <f>IFERROR(B143/$B$84,0)</f>
        <v>0</v>
      </c>
      <c r="J143" s="99">
        <f>IFERROR(K143/$B$2,0)</f>
        <v>0</v>
      </c>
      <c r="K143" s="133">
        <v>0</v>
      </c>
      <c r="L143" s="99">
        <f>IFERROR(K143/$B$2,0)</f>
        <v>0</v>
      </c>
      <c r="M143" s="99">
        <f>IFERROR(L143*E143,0)</f>
        <v>0</v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>
        <v>3</v>
      </c>
      <c r="C144" s="130">
        <v>84692275</v>
      </c>
      <c r="D144" s="99">
        <f>IFERROR(B144/$B$84,0)</f>
        <v>0.000135482996883891</v>
      </c>
      <c r="E144" s="131">
        <f>IFERROR(C144/B144/500.0,0)</f>
        <v>56461.5166666667</v>
      </c>
      <c r="F144" s="129" t="n"/>
      <c r="G144" s="13" t="inlineStr">
        <is>
          <t>(50000, 60000]</t>
        </is>
      </c>
      <c r="H144" s="127">
        <v>0</v>
      </c>
      <c r="I144" s="99">
        <f>IFERROR(B144/$B$84,0)</f>
        <v>0</v>
      </c>
      <c r="J144" s="99">
        <f>IFERROR(K144/$B$2,0)</f>
        <v>0</v>
      </c>
      <c r="K144" s="133">
        <v>0</v>
      </c>
      <c r="L144" s="99">
        <f>IFERROR(K144/$B$2,0)</f>
        <v>0</v>
      </c>
      <c r="M144" s="99">
        <f>IFERROR(L144*E144,0)</f>
        <v>0</v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>
        <v>1</v>
      </c>
      <c r="C145" s="130">
        <v>31146150</v>
      </c>
      <c r="D145" s="99">
        <f>IFERROR(B145/$B$84,0)</f>
        <v>4.5160998961297e-05</v>
      </c>
      <c r="E145" s="131">
        <f>IFERROR(C145/B145/500.0,0)</f>
        <v>62292.3</v>
      </c>
      <c r="F145" s="129" t="n"/>
      <c r="G145" s="13" t="inlineStr">
        <is>
          <t>(60000, 70000]</t>
        </is>
      </c>
      <c r="H145" s="127">
        <v>0</v>
      </c>
      <c r="I145" s="99">
        <f>IFERROR(B145/$B$84,0)</f>
        <v>0</v>
      </c>
      <c r="J145" s="99">
        <f>IFERROR(K145/$B$2,0)</f>
        <v>0</v>
      </c>
      <c r="K145" s="133">
        <v>0</v>
      </c>
      <c r="L145" s="99">
        <f>IFERROR(K145/$B$2,0)</f>
        <v>0</v>
      </c>
      <c r="M145" s="99">
        <f>IFERROR(L145*E145,0)</f>
        <v>0</v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>
        <v>3</v>
      </c>
      <c r="C146" s="130">
        <v>111421575</v>
      </c>
      <c r="D146" s="99">
        <f>IFERROR(B146/$B$84,0)</f>
        <v>0.000135482996883891</v>
      </c>
      <c r="E146" s="131">
        <f>IFERROR(C146/B146/500.0,0)</f>
        <v>74281.05</v>
      </c>
      <c r="F146" s="129" t="n"/>
      <c r="G146" s="13" t="inlineStr">
        <is>
          <t>(70000, 80000]</t>
        </is>
      </c>
      <c r="H146" s="127">
        <v>0</v>
      </c>
      <c r="I146" s="99">
        <f>IFERROR(B146/$B$84,0)</f>
        <v>0</v>
      </c>
      <c r="J146" s="99">
        <f>IFERROR(K146/$B$2,0)</f>
        <v>0</v>
      </c>
      <c r="K146" s="133">
        <v>0</v>
      </c>
      <c r="L146" s="99">
        <f>IFERROR(K146/$B$2,0)</f>
        <v>0</v>
      </c>
      <c r="M146" s="99">
        <f>IFERROR(L146*E146,0)</f>
        <v>0</v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>
        <v>1</v>
      </c>
      <c r="C147" s="130">
        <v>40959900</v>
      </c>
      <c r="D147" s="99">
        <f>IFERROR(B147/$B$84,0)</f>
        <v>4.5160998961297e-05</v>
      </c>
      <c r="E147" s="131">
        <f>IFERROR(C147/B147/500.0,0)</f>
        <v>81919.8</v>
      </c>
      <c r="F147" s="129" t="n"/>
      <c r="G147" s="13" t="inlineStr">
        <is>
          <t>(80000, 90000]</t>
        </is>
      </c>
      <c r="H147" s="127">
        <v>0</v>
      </c>
      <c r="I147" s="99">
        <f>IFERROR(B147/$B$84,0)</f>
        <v>0</v>
      </c>
      <c r="J147" s="99">
        <f>IFERROR(K147/$B$2,0)</f>
        <v>0</v>
      </c>
      <c r="K147" s="133">
        <v>0</v>
      </c>
      <c r="L147" s="99">
        <f>IFERROR(K147/$B$2,0)</f>
        <v>0</v>
      </c>
      <c r="M147" s="99">
        <f>IFERROR(L147*E147,0)</f>
        <v>0</v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>
        <v>0</v>
      </c>
      <c r="C148" s="130">
        <v>0</v>
      </c>
      <c r="D148" s="99">
        <f>IFERROR(B148/$B$84,0)</f>
        <v>0</v>
      </c>
      <c r="E148" s="131">
        <f>IFERROR(C148/B148/500.0,0)</f>
        <v>0</v>
      </c>
      <c r="F148" s="129" t="n"/>
      <c r="G148" s="13" t="inlineStr">
        <is>
          <t>(90000, 100000]</t>
        </is>
      </c>
      <c r="H148" s="127">
        <v>0</v>
      </c>
      <c r="I148" s="99">
        <f>IFERROR(B148/$B$84,0)</f>
        <v>0</v>
      </c>
      <c r="J148" s="99">
        <f>IFERROR(K148/$B$2,0)</f>
        <v>0</v>
      </c>
      <c r="K148" s="133">
        <v>0</v>
      </c>
      <c r="L148" s="99">
        <f>IFERROR(K148/$B$2,0)</f>
        <v>0</v>
      </c>
      <c r="M148" s="99">
        <f>IFERROR(L148*E148,0)</f>
        <v>0</v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>
        <v>0</v>
      </c>
      <c r="C149" s="130">
        <v>0</v>
      </c>
      <c r="D149" s="99">
        <f>IFERROR(B149/$B$84,0)</f>
        <v>0</v>
      </c>
      <c r="E149" s="131">
        <f>IFERROR(C149/B149/500.0,0)</f>
        <v>0</v>
      </c>
      <c r="F149" s="129" t="n"/>
      <c r="G149" s="13" t="inlineStr">
        <is>
          <t>(100000, 9999999]</t>
        </is>
      </c>
      <c r="H149" s="127">
        <v>0</v>
      </c>
      <c r="I149" s="99">
        <f>IFERROR(B149/$B$84,0)</f>
        <v>0</v>
      </c>
      <c r="J149" s="99">
        <f>IFERROR(K149/$B$2,0)</f>
        <v>0</v>
      </c>
      <c r="K149" s="133">
        <v>0</v>
      </c>
      <c r="L149" s="99">
        <f>IFERROR(K149/$B$2,0)</f>
        <v>0</v>
      </c>
      <c r="M149" s="99">
        <f>IFERROR(L149*E149,0)</f>
        <v>0</v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>1000000000</v>
      </c>
      <c r="M150">
        <f>SUM(M86:M149)</f>
        <v>59.9999929462935</v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2026-09-01T09:21:00Z</dcterms:modified>
  <cp:lastModifiedBy>宏羲 沈</cp:lastModifiedBy>
</cp:coreProperties>
</file>