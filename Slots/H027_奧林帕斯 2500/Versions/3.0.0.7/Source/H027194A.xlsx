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66836F7E-758B-409A-B597-121F60FD9192}" xr6:coauthVersionLast="47" xr6:coauthVersionMax="47" xr10:uidLastSave="{00000000-0000-0000-0000-000000000000}"/>
  <bookViews>
    <workbookView xWindow="-22905" yWindow="2295" windowWidth="21600" windowHeight="11235" tabRatio="840" firstSheet="1" activeTab="1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4" i="1" l="1"/>
  <c r="C28" i="1"/>
  <c r="B24" i="1"/>
  <c r="K150" i="4"/>
  <c r="L149" i="4"/>
  <c r="U149" i="4" s="1"/>
  <c r="J149" i="4"/>
  <c r="I149" i="4"/>
  <c r="E149" i="4"/>
  <c r="D149" i="4"/>
  <c r="L148" i="4"/>
  <c r="U148" i="4" s="1"/>
  <c r="J148" i="4"/>
  <c r="I148" i="4"/>
  <c r="E148" i="4"/>
  <c r="D148" i="4"/>
  <c r="L147" i="4"/>
  <c r="U147" i="4" s="1"/>
  <c r="J147" i="4"/>
  <c r="I147" i="4"/>
  <c r="E147" i="4"/>
  <c r="D147" i="4"/>
  <c r="L146" i="4"/>
  <c r="J146" i="4"/>
  <c r="I146" i="4"/>
  <c r="E146" i="4"/>
  <c r="D146" i="4"/>
  <c r="L145" i="4"/>
  <c r="J145" i="4"/>
  <c r="I145" i="4"/>
  <c r="E145" i="4"/>
  <c r="D145" i="4"/>
  <c r="L144" i="4"/>
  <c r="U144" i="4" s="1"/>
  <c r="J144" i="4"/>
  <c r="I144" i="4"/>
  <c r="E144" i="4"/>
  <c r="D144" i="4"/>
  <c r="L143" i="4"/>
  <c r="U143" i="4" s="1"/>
  <c r="J143" i="4"/>
  <c r="I143" i="4"/>
  <c r="E143" i="4"/>
  <c r="D143" i="4"/>
  <c r="L142" i="4"/>
  <c r="J142" i="4"/>
  <c r="I142" i="4"/>
  <c r="E142" i="4"/>
  <c r="D142" i="4"/>
  <c r="L141" i="4"/>
  <c r="J141" i="4"/>
  <c r="I141" i="4"/>
  <c r="E141" i="4"/>
  <c r="D141" i="4"/>
  <c r="L140" i="4"/>
  <c r="U140" i="4" s="1"/>
  <c r="J140" i="4"/>
  <c r="I140" i="4"/>
  <c r="E140" i="4"/>
  <c r="D140" i="4"/>
  <c r="L139" i="4"/>
  <c r="U139" i="4" s="1"/>
  <c r="J139" i="4"/>
  <c r="I139" i="4"/>
  <c r="E139" i="4"/>
  <c r="D139" i="4"/>
  <c r="L138" i="4"/>
  <c r="J138" i="4"/>
  <c r="I138" i="4"/>
  <c r="E138" i="4"/>
  <c r="D138" i="4"/>
  <c r="L137" i="4"/>
  <c r="J137" i="4"/>
  <c r="I137" i="4"/>
  <c r="E137" i="4"/>
  <c r="D137" i="4"/>
  <c r="L136" i="4"/>
  <c r="J136" i="4"/>
  <c r="I136" i="4"/>
  <c r="E136" i="4"/>
  <c r="D136" i="4"/>
  <c r="L135" i="4"/>
  <c r="J135" i="4"/>
  <c r="I135" i="4"/>
  <c r="E135" i="4"/>
  <c r="D135" i="4"/>
  <c r="L134" i="4"/>
  <c r="U134" i="4" s="1"/>
  <c r="J134" i="4"/>
  <c r="I134" i="4"/>
  <c r="E134" i="4"/>
  <c r="D134" i="4"/>
  <c r="L133" i="4"/>
  <c r="U133" i="4" s="1"/>
  <c r="J133" i="4"/>
  <c r="I133" i="4"/>
  <c r="E133" i="4"/>
  <c r="D133" i="4"/>
  <c r="L132" i="4"/>
  <c r="U132" i="4" s="1"/>
  <c r="J132" i="4"/>
  <c r="I132" i="4"/>
  <c r="E132" i="4"/>
  <c r="D132" i="4"/>
  <c r="L131" i="4"/>
  <c r="J131" i="4"/>
  <c r="I131" i="4"/>
  <c r="E131" i="4"/>
  <c r="D131" i="4"/>
  <c r="L130" i="4"/>
  <c r="J130" i="4"/>
  <c r="I130" i="4"/>
  <c r="E130" i="4"/>
  <c r="D130" i="4"/>
  <c r="L129" i="4"/>
  <c r="U129" i="4" s="1"/>
  <c r="J129" i="4"/>
  <c r="I129" i="4"/>
  <c r="E129" i="4"/>
  <c r="D129" i="4"/>
  <c r="L128" i="4"/>
  <c r="U128" i="4" s="1"/>
  <c r="J128" i="4"/>
  <c r="I128" i="4"/>
  <c r="E128" i="4"/>
  <c r="D128" i="4"/>
  <c r="L127" i="4"/>
  <c r="Q127" i="4" s="1"/>
  <c r="J127" i="4"/>
  <c r="I127" i="4"/>
  <c r="E127" i="4"/>
  <c r="D127" i="4"/>
  <c r="L126" i="4"/>
  <c r="J126" i="4"/>
  <c r="I126" i="4"/>
  <c r="E126" i="4"/>
  <c r="D126" i="4"/>
  <c r="L125" i="4"/>
  <c r="J125" i="4"/>
  <c r="I125" i="4"/>
  <c r="E125" i="4"/>
  <c r="D125" i="4"/>
  <c r="L124" i="4"/>
  <c r="U124" i="4" s="1"/>
  <c r="J124" i="4"/>
  <c r="I124" i="4"/>
  <c r="E124" i="4"/>
  <c r="D124" i="4"/>
  <c r="L123" i="4"/>
  <c r="U123" i="4" s="1"/>
  <c r="J123" i="4"/>
  <c r="I123" i="4"/>
  <c r="E123" i="4"/>
  <c r="D123" i="4"/>
  <c r="L122" i="4"/>
  <c r="J122" i="4"/>
  <c r="I122" i="4"/>
  <c r="E122" i="4"/>
  <c r="D122" i="4"/>
  <c r="L121" i="4"/>
  <c r="J121" i="4"/>
  <c r="I121" i="4"/>
  <c r="E121" i="4"/>
  <c r="D121" i="4"/>
  <c r="L120" i="4"/>
  <c r="J120" i="4"/>
  <c r="I120" i="4"/>
  <c r="E120" i="4"/>
  <c r="D120" i="4"/>
  <c r="L119" i="4"/>
  <c r="U119" i="4" s="1"/>
  <c r="J119" i="4"/>
  <c r="I119" i="4"/>
  <c r="E119" i="4"/>
  <c r="D119" i="4"/>
  <c r="L118" i="4"/>
  <c r="J118" i="4"/>
  <c r="I118" i="4"/>
  <c r="E118" i="4"/>
  <c r="D118" i="4"/>
  <c r="L117" i="4"/>
  <c r="Q117" i="4" s="1"/>
  <c r="J117" i="4"/>
  <c r="I117" i="4"/>
  <c r="E117" i="4"/>
  <c r="D117" i="4"/>
  <c r="L116" i="4"/>
  <c r="J116" i="4"/>
  <c r="I116" i="4"/>
  <c r="E116" i="4"/>
  <c r="D116" i="4"/>
  <c r="L115" i="4"/>
  <c r="U115" i="4" s="1"/>
  <c r="J115" i="4"/>
  <c r="I115" i="4"/>
  <c r="E115" i="4"/>
  <c r="D115" i="4"/>
  <c r="L114" i="4"/>
  <c r="U114" i="4" s="1"/>
  <c r="J114" i="4"/>
  <c r="I114" i="4"/>
  <c r="E114" i="4"/>
  <c r="D114" i="4"/>
  <c r="L113" i="4"/>
  <c r="J113" i="4"/>
  <c r="I113" i="4"/>
  <c r="E113" i="4"/>
  <c r="D113" i="4"/>
  <c r="L112" i="4"/>
  <c r="U112" i="4" s="1"/>
  <c r="J112" i="4"/>
  <c r="I112" i="4"/>
  <c r="E112" i="4"/>
  <c r="D112" i="4"/>
  <c r="L111" i="4"/>
  <c r="J111" i="4"/>
  <c r="I111" i="4"/>
  <c r="E111" i="4"/>
  <c r="D111" i="4"/>
  <c r="L110" i="4"/>
  <c r="J110" i="4"/>
  <c r="I110" i="4"/>
  <c r="E110" i="4"/>
  <c r="D110" i="4"/>
  <c r="L109" i="4"/>
  <c r="U109" i="4" s="1"/>
  <c r="J109" i="4"/>
  <c r="I109" i="4"/>
  <c r="E109" i="4"/>
  <c r="D109" i="4"/>
  <c r="L108" i="4"/>
  <c r="U108" i="4" s="1"/>
  <c r="J108" i="4"/>
  <c r="I108" i="4"/>
  <c r="E108" i="4"/>
  <c r="D108" i="4"/>
  <c r="L107" i="4"/>
  <c r="Q107" i="4" s="1"/>
  <c r="J107" i="4"/>
  <c r="I107" i="4"/>
  <c r="E107" i="4"/>
  <c r="D107" i="4"/>
  <c r="L106" i="4"/>
  <c r="J106" i="4"/>
  <c r="I106" i="4"/>
  <c r="E106" i="4"/>
  <c r="D106" i="4"/>
  <c r="L105" i="4"/>
  <c r="Q105" i="4" s="1"/>
  <c r="J105" i="4"/>
  <c r="I105" i="4"/>
  <c r="E105" i="4"/>
  <c r="D105" i="4"/>
  <c r="L104" i="4"/>
  <c r="U104" i="4" s="1"/>
  <c r="J104" i="4"/>
  <c r="I104" i="4"/>
  <c r="E104" i="4"/>
  <c r="D104" i="4"/>
  <c r="L103" i="4"/>
  <c r="U103" i="4" s="1"/>
  <c r="J103" i="4"/>
  <c r="I103" i="4"/>
  <c r="E103" i="4"/>
  <c r="D103" i="4"/>
  <c r="L102" i="4"/>
  <c r="Q102" i="4" s="1"/>
  <c r="J102" i="4"/>
  <c r="I102" i="4"/>
  <c r="E102" i="4"/>
  <c r="D102" i="4"/>
  <c r="L101" i="4"/>
  <c r="J101" i="4"/>
  <c r="I101" i="4"/>
  <c r="E101" i="4"/>
  <c r="D101" i="4"/>
  <c r="L100" i="4"/>
  <c r="J100" i="4"/>
  <c r="I100" i="4"/>
  <c r="E100" i="4"/>
  <c r="D100" i="4"/>
  <c r="L99" i="4"/>
  <c r="U99" i="4" s="1"/>
  <c r="J99" i="4"/>
  <c r="I99" i="4"/>
  <c r="E99" i="4"/>
  <c r="D99" i="4"/>
  <c r="L98" i="4"/>
  <c r="U98" i="4" s="1"/>
  <c r="J98" i="4"/>
  <c r="I98" i="4"/>
  <c r="E98" i="4"/>
  <c r="D98" i="4"/>
  <c r="L97" i="4"/>
  <c r="Q97" i="4" s="1"/>
  <c r="J97" i="4"/>
  <c r="I97" i="4"/>
  <c r="E97" i="4"/>
  <c r="D97" i="4"/>
  <c r="L96" i="4"/>
  <c r="J96" i="4"/>
  <c r="I96" i="4"/>
  <c r="E96" i="4"/>
  <c r="D96" i="4"/>
  <c r="L95" i="4"/>
  <c r="U95" i="4" s="1"/>
  <c r="J95" i="4"/>
  <c r="I95" i="4"/>
  <c r="E95" i="4"/>
  <c r="D95" i="4"/>
  <c r="L94" i="4"/>
  <c r="U94" i="4" s="1"/>
  <c r="J94" i="4"/>
  <c r="I94" i="4"/>
  <c r="E94" i="4"/>
  <c r="D94" i="4"/>
  <c r="L93" i="4"/>
  <c r="U93" i="4" s="1"/>
  <c r="J93" i="4"/>
  <c r="I93" i="4"/>
  <c r="E93" i="4"/>
  <c r="D93" i="4"/>
  <c r="L92" i="4"/>
  <c r="Q92" i="4" s="1"/>
  <c r="J92" i="4"/>
  <c r="I92" i="4"/>
  <c r="E92" i="4"/>
  <c r="D92" i="4"/>
  <c r="L91" i="4"/>
  <c r="J91" i="4"/>
  <c r="I91" i="4"/>
  <c r="E91" i="4"/>
  <c r="D91" i="4"/>
  <c r="L90" i="4"/>
  <c r="U90" i="4" s="1"/>
  <c r="J90" i="4"/>
  <c r="I90" i="4"/>
  <c r="E90" i="4"/>
  <c r="D90" i="4"/>
  <c r="L89" i="4"/>
  <c r="U89" i="4" s="1"/>
  <c r="J89" i="4"/>
  <c r="I89" i="4"/>
  <c r="E89" i="4"/>
  <c r="D89" i="4"/>
  <c r="L88" i="4"/>
  <c r="U88" i="4" s="1"/>
  <c r="J88" i="4"/>
  <c r="I88" i="4"/>
  <c r="E88" i="4"/>
  <c r="D88" i="4"/>
  <c r="L87" i="4"/>
  <c r="U87" i="4" s="1"/>
  <c r="J87" i="4"/>
  <c r="I87" i="4"/>
  <c r="E87" i="4"/>
  <c r="D87" i="4"/>
  <c r="L86" i="4"/>
  <c r="J86" i="4"/>
  <c r="I86" i="4"/>
  <c r="E86" i="4"/>
  <c r="D86" i="4"/>
  <c r="L79" i="4"/>
  <c r="E79" i="4"/>
  <c r="D79" i="4"/>
  <c r="I79" i="4" s="1"/>
  <c r="J79" i="4" s="1"/>
  <c r="L78" i="4"/>
  <c r="U78" i="4" s="1"/>
  <c r="J78" i="4"/>
  <c r="I78" i="4"/>
  <c r="E78" i="4"/>
  <c r="D78" i="4"/>
  <c r="L77" i="4"/>
  <c r="J77" i="4"/>
  <c r="I77" i="4"/>
  <c r="E77" i="4"/>
  <c r="D77" i="4"/>
  <c r="L76" i="4"/>
  <c r="U76" i="4" s="1"/>
  <c r="J76" i="4"/>
  <c r="I76" i="4"/>
  <c r="E76" i="4"/>
  <c r="D76" i="4"/>
  <c r="L75" i="4"/>
  <c r="U75" i="4" s="1"/>
  <c r="J75" i="4"/>
  <c r="I75" i="4"/>
  <c r="E75" i="4"/>
  <c r="D75" i="4"/>
  <c r="L74" i="4"/>
  <c r="J74" i="4"/>
  <c r="I74" i="4"/>
  <c r="E74" i="4"/>
  <c r="D74" i="4"/>
  <c r="L73" i="4"/>
  <c r="U73" i="4" s="1"/>
  <c r="J73" i="4"/>
  <c r="I73" i="4"/>
  <c r="E73" i="4"/>
  <c r="D73" i="4"/>
  <c r="L72" i="4"/>
  <c r="U72" i="4" s="1"/>
  <c r="J72" i="4"/>
  <c r="I72" i="4"/>
  <c r="E72" i="4"/>
  <c r="D72" i="4"/>
  <c r="L71" i="4"/>
  <c r="J71" i="4"/>
  <c r="I71" i="4"/>
  <c r="E71" i="4"/>
  <c r="D71" i="4"/>
  <c r="L70" i="4"/>
  <c r="U70" i="4" s="1"/>
  <c r="J70" i="4"/>
  <c r="I70" i="4"/>
  <c r="E70" i="4"/>
  <c r="D70" i="4"/>
  <c r="L69" i="4"/>
  <c r="Q69" i="4" s="1"/>
  <c r="J69" i="4"/>
  <c r="I69" i="4"/>
  <c r="E69" i="4"/>
  <c r="D69" i="4"/>
  <c r="L68" i="4"/>
  <c r="U68" i="4" s="1"/>
  <c r="J68" i="4"/>
  <c r="I68" i="4"/>
  <c r="E68" i="4"/>
  <c r="D68" i="4"/>
  <c r="L67" i="4"/>
  <c r="J67" i="4"/>
  <c r="I67" i="4"/>
  <c r="E67" i="4"/>
  <c r="D67" i="4"/>
  <c r="L66" i="4"/>
  <c r="Q66" i="4" s="1"/>
  <c r="J66" i="4"/>
  <c r="I66" i="4"/>
  <c r="E66" i="4"/>
  <c r="D66" i="4"/>
  <c r="L65" i="4"/>
  <c r="U65" i="4" s="1"/>
  <c r="J65" i="4"/>
  <c r="I65" i="4"/>
  <c r="E65" i="4"/>
  <c r="D65" i="4"/>
  <c r="L64" i="4"/>
  <c r="Q64" i="4" s="1"/>
  <c r="J64" i="4"/>
  <c r="I64" i="4"/>
  <c r="E64" i="4"/>
  <c r="D64" i="4"/>
  <c r="L63" i="4"/>
  <c r="U63" i="4" s="1"/>
  <c r="J63" i="4"/>
  <c r="I63" i="4"/>
  <c r="E63" i="4"/>
  <c r="D63" i="4"/>
  <c r="L62" i="4"/>
  <c r="J62" i="4"/>
  <c r="I62" i="4"/>
  <c r="E62" i="4"/>
  <c r="D62" i="4"/>
  <c r="L61" i="4"/>
  <c r="J61" i="4"/>
  <c r="I61" i="4"/>
  <c r="E61" i="4"/>
  <c r="D61" i="4"/>
  <c r="L60" i="4"/>
  <c r="U60" i="4" s="1"/>
  <c r="J60" i="4"/>
  <c r="I60" i="4"/>
  <c r="E60" i="4"/>
  <c r="D60" i="4"/>
  <c r="L59" i="4"/>
  <c r="Q59" i="4" s="1"/>
  <c r="J59" i="4"/>
  <c r="I59" i="4"/>
  <c r="E59" i="4"/>
  <c r="D59" i="4"/>
  <c r="L58" i="4"/>
  <c r="U58" i="4" s="1"/>
  <c r="J58" i="4"/>
  <c r="I58" i="4"/>
  <c r="E58" i="4"/>
  <c r="D58" i="4"/>
  <c r="L57" i="4"/>
  <c r="J57" i="4"/>
  <c r="I57" i="4"/>
  <c r="E57" i="4"/>
  <c r="D57" i="4"/>
  <c r="L56" i="4"/>
  <c r="U56" i="4" s="1"/>
  <c r="J56" i="4"/>
  <c r="I56" i="4"/>
  <c r="E56" i="4"/>
  <c r="D56" i="4"/>
  <c r="L55" i="4"/>
  <c r="U55" i="4" s="1"/>
  <c r="J55" i="4"/>
  <c r="I55" i="4"/>
  <c r="E55" i="4"/>
  <c r="D55" i="4"/>
  <c r="L54" i="4"/>
  <c r="Q54" i="4" s="1"/>
  <c r="J54" i="4"/>
  <c r="I54" i="4"/>
  <c r="E54" i="4"/>
  <c r="D54" i="4"/>
  <c r="L53" i="4"/>
  <c r="U53" i="4" s="1"/>
  <c r="J53" i="4"/>
  <c r="I53" i="4"/>
  <c r="E53" i="4"/>
  <c r="D53" i="4"/>
  <c r="L52" i="4"/>
  <c r="J52" i="4"/>
  <c r="I52" i="4"/>
  <c r="E52" i="4"/>
  <c r="D52" i="4"/>
  <c r="L51" i="4"/>
  <c r="J51" i="4"/>
  <c r="I51" i="4"/>
  <c r="E51" i="4"/>
  <c r="D51" i="4"/>
  <c r="L50" i="4"/>
  <c r="U50" i="4" s="1"/>
  <c r="J50" i="4"/>
  <c r="I50" i="4"/>
  <c r="E50" i="4"/>
  <c r="D50" i="4"/>
  <c r="L49" i="4"/>
  <c r="U49" i="4" s="1"/>
  <c r="J49" i="4"/>
  <c r="I49" i="4"/>
  <c r="E49" i="4"/>
  <c r="D49" i="4"/>
  <c r="L48" i="4"/>
  <c r="U48" i="4" s="1"/>
  <c r="J48" i="4"/>
  <c r="I48" i="4"/>
  <c r="E48" i="4"/>
  <c r="D48" i="4"/>
  <c r="L47" i="4"/>
  <c r="J47" i="4"/>
  <c r="I47" i="4"/>
  <c r="E47" i="4"/>
  <c r="D47" i="4"/>
  <c r="L46" i="4"/>
  <c r="J46" i="4"/>
  <c r="I46" i="4"/>
  <c r="E46" i="4"/>
  <c r="D46" i="4"/>
  <c r="L45" i="4"/>
  <c r="U45" i="4" s="1"/>
  <c r="J45" i="4"/>
  <c r="I45" i="4"/>
  <c r="E45" i="4"/>
  <c r="D45" i="4"/>
  <c r="L44" i="4"/>
  <c r="J44" i="4"/>
  <c r="I44" i="4"/>
  <c r="E44" i="4"/>
  <c r="D44" i="4"/>
  <c r="L43" i="4"/>
  <c r="U43" i="4" s="1"/>
  <c r="J43" i="4"/>
  <c r="I43" i="4"/>
  <c r="E43" i="4"/>
  <c r="D43" i="4"/>
  <c r="L42" i="4"/>
  <c r="J42" i="4"/>
  <c r="I42" i="4"/>
  <c r="E42" i="4"/>
  <c r="D42" i="4"/>
  <c r="L41" i="4"/>
  <c r="U41" i="4" s="1"/>
  <c r="J41" i="4"/>
  <c r="I41" i="4"/>
  <c r="E41" i="4"/>
  <c r="D41" i="4"/>
  <c r="L40" i="4"/>
  <c r="U40" i="4" s="1"/>
  <c r="J40" i="4"/>
  <c r="I40" i="4"/>
  <c r="E40" i="4"/>
  <c r="D40" i="4"/>
  <c r="L39" i="4"/>
  <c r="J39" i="4"/>
  <c r="I39" i="4"/>
  <c r="E39" i="4"/>
  <c r="D39" i="4"/>
  <c r="L38" i="4"/>
  <c r="U38" i="4" s="1"/>
  <c r="J38" i="4"/>
  <c r="I38" i="4"/>
  <c r="E38" i="4"/>
  <c r="D38" i="4"/>
  <c r="L37" i="4"/>
  <c r="Q37" i="4" s="1"/>
  <c r="J37" i="4"/>
  <c r="I37" i="4"/>
  <c r="E37" i="4"/>
  <c r="D37" i="4"/>
  <c r="L36" i="4"/>
  <c r="U36" i="4" s="1"/>
  <c r="J36" i="4"/>
  <c r="I36" i="4"/>
  <c r="E36" i="4"/>
  <c r="D36" i="4"/>
  <c r="L35" i="4"/>
  <c r="U35" i="4" s="1"/>
  <c r="J35" i="4"/>
  <c r="I35" i="4"/>
  <c r="E35" i="4"/>
  <c r="D35" i="4"/>
  <c r="L34" i="4"/>
  <c r="U34" i="4" s="1"/>
  <c r="J34" i="4"/>
  <c r="I34" i="4"/>
  <c r="E34" i="4"/>
  <c r="D34" i="4"/>
  <c r="L33" i="4"/>
  <c r="U33" i="4" s="1"/>
  <c r="J33" i="4"/>
  <c r="I33" i="4"/>
  <c r="E33" i="4"/>
  <c r="D33" i="4"/>
  <c r="L32" i="4"/>
  <c r="J32" i="4"/>
  <c r="I32" i="4"/>
  <c r="E32" i="4"/>
  <c r="D32" i="4"/>
  <c r="L31" i="4"/>
  <c r="J31" i="4"/>
  <c r="I31" i="4"/>
  <c r="E31" i="4"/>
  <c r="D31" i="4"/>
  <c r="L30" i="4"/>
  <c r="U30" i="4" s="1"/>
  <c r="J30" i="4"/>
  <c r="I30" i="4"/>
  <c r="E30" i="4"/>
  <c r="D30" i="4"/>
  <c r="L29" i="4"/>
  <c r="J29" i="4"/>
  <c r="I29" i="4"/>
  <c r="E29" i="4"/>
  <c r="D29" i="4"/>
  <c r="L28" i="4"/>
  <c r="U28" i="4" s="1"/>
  <c r="J28" i="4"/>
  <c r="I28" i="4"/>
  <c r="E28" i="4"/>
  <c r="D28" i="4"/>
  <c r="L27" i="4"/>
  <c r="J27" i="4"/>
  <c r="I27" i="4"/>
  <c r="E27" i="4"/>
  <c r="D27" i="4"/>
  <c r="L26" i="4"/>
  <c r="J26" i="4"/>
  <c r="I26" i="4"/>
  <c r="E26" i="4"/>
  <c r="D26" i="4"/>
  <c r="L25" i="4"/>
  <c r="U25" i="4" s="1"/>
  <c r="J25" i="4"/>
  <c r="I25" i="4"/>
  <c r="E25" i="4"/>
  <c r="D25" i="4"/>
  <c r="L24" i="4"/>
  <c r="U24" i="4" s="1"/>
  <c r="J24" i="4"/>
  <c r="I24" i="4"/>
  <c r="E24" i="4"/>
  <c r="D24" i="4"/>
  <c r="L23" i="4"/>
  <c r="U23" i="4" s="1"/>
  <c r="J23" i="4"/>
  <c r="I23" i="4"/>
  <c r="E23" i="4"/>
  <c r="D23" i="4"/>
  <c r="L22" i="4"/>
  <c r="J22" i="4"/>
  <c r="I22" i="4"/>
  <c r="E22" i="4"/>
  <c r="D22" i="4"/>
  <c r="L21" i="4"/>
  <c r="J21" i="4"/>
  <c r="I21" i="4"/>
  <c r="E21" i="4"/>
  <c r="D21" i="4"/>
  <c r="L20" i="4"/>
  <c r="J20" i="4"/>
  <c r="I20" i="4"/>
  <c r="E20" i="4"/>
  <c r="D20" i="4"/>
  <c r="L19" i="4"/>
  <c r="J19" i="4"/>
  <c r="I19" i="4"/>
  <c r="E19" i="4"/>
  <c r="D19" i="4"/>
  <c r="L18" i="4"/>
  <c r="U18" i="4" s="1"/>
  <c r="J18" i="4"/>
  <c r="I18" i="4"/>
  <c r="E18" i="4"/>
  <c r="D18" i="4"/>
  <c r="L17" i="4"/>
  <c r="J17" i="4"/>
  <c r="I17" i="4"/>
  <c r="E17" i="4"/>
  <c r="D17" i="4"/>
  <c r="L16" i="4"/>
  <c r="J16" i="4"/>
  <c r="I16" i="4"/>
  <c r="E16" i="4"/>
  <c r="D16" i="4"/>
  <c r="L15" i="4"/>
  <c r="J15" i="4"/>
  <c r="I15" i="4"/>
  <c r="E15" i="4"/>
  <c r="D15" i="4"/>
  <c r="J7" i="4"/>
  <c r="I7" i="4"/>
  <c r="G7" i="4"/>
  <c r="K298" i="3"/>
  <c r="L297" i="3"/>
  <c r="U297" i="3" s="1"/>
  <c r="J297" i="3"/>
  <c r="I297" i="3"/>
  <c r="E297" i="3"/>
  <c r="D297" i="3"/>
  <c r="L296" i="3"/>
  <c r="Q296" i="3" s="1"/>
  <c r="J296" i="3"/>
  <c r="I296" i="3"/>
  <c r="E296" i="3"/>
  <c r="D296" i="3"/>
  <c r="L295" i="3"/>
  <c r="Q295" i="3" s="1"/>
  <c r="J295" i="3"/>
  <c r="I295" i="3"/>
  <c r="E295" i="3"/>
  <c r="D295" i="3"/>
  <c r="L294" i="3"/>
  <c r="J294" i="3"/>
  <c r="I294" i="3"/>
  <c r="E294" i="3"/>
  <c r="D294" i="3"/>
  <c r="L293" i="3"/>
  <c r="Q293" i="3" s="1"/>
  <c r="J293" i="3"/>
  <c r="I293" i="3"/>
  <c r="E293" i="3"/>
  <c r="D293" i="3"/>
  <c r="L292" i="3"/>
  <c r="U292" i="3" s="1"/>
  <c r="J292" i="3"/>
  <c r="I292" i="3"/>
  <c r="E292" i="3"/>
  <c r="D292" i="3"/>
  <c r="L291" i="3"/>
  <c r="J291" i="3"/>
  <c r="I291" i="3"/>
  <c r="E291" i="3"/>
  <c r="D291" i="3"/>
  <c r="L290" i="3"/>
  <c r="Q290" i="3" s="1"/>
  <c r="J290" i="3"/>
  <c r="I290" i="3"/>
  <c r="E290" i="3"/>
  <c r="D290" i="3"/>
  <c r="L289" i="3"/>
  <c r="J289" i="3"/>
  <c r="I289" i="3"/>
  <c r="E289" i="3"/>
  <c r="D289" i="3"/>
  <c r="L288" i="3"/>
  <c r="U288" i="3" s="1"/>
  <c r="J288" i="3"/>
  <c r="I288" i="3"/>
  <c r="E288" i="3"/>
  <c r="D288" i="3"/>
  <c r="L287" i="3"/>
  <c r="U287" i="3" s="1"/>
  <c r="J287" i="3"/>
  <c r="I287" i="3"/>
  <c r="E287" i="3"/>
  <c r="D287" i="3"/>
  <c r="L286" i="3"/>
  <c r="J286" i="3"/>
  <c r="I286" i="3"/>
  <c r="E286" i="3"/>
  <c r="D286" i="3"/>
  <c r="L285" i="3"/>
  <c r="U285" i="3" s="1"/>
  <c r="J285" i="3"/>
  <c r="I285" i="3"/>
  <c r="E285" i="3"/>
  <c r="D285" i="3"/>
  <c r="L284" i="3"/>
  <c r="J284" i="3"/>
  <c r="I284" i="3"/>
  <c r="E284" i="3"/>
  <c r="D284" i="3"/>
  <c r="L283" i="3"/>
  <c r="Q283" i="3" s="1"/>
  <c r="J283" i="3"/>
  <c r="I283" i="3"/>
  <c r="E283" i="3"/>
  <c r="D283" i="3"/>
  <c r="L282" i="3"/>
  <c r="U282" i="3" s="1"/>
  <c r="J282" i="3"/>
  <c r="I282" i="3"/>
  <c r="E282" i="3"/>
  <c r="D282" i="3"/>
  <c r="L281" i="3"/>
  <c r="Q281" i="3" s="1"/>
  <c r="J281" i="3"/>
  <c r="I281" i="3"/>
  <c r="E281" i="3"/>
  <c r="D281" i="3"/>
  <c r="L280" i="3"/>
  <c r="U280" i="3" s="1"/>
  <c r="J280" i="3"/>
  <c r="I280" i="3"/>
  <c r="E280" i="3"/>
  <c r="D280" i="3"/>
  <c r="L279" i="3"/>
  <c r="J279" i="3"/>
  <c r="I279" i="3"/>
  <c r="E279" i="3"/>
  <c r="D279" i="3"/>
  <c r="L278" i="3"/>
  <c r="Q278" i="3" s="1"/>
  <c r="J278" i="3"/>
  <c r="I278" i="3"/>
  <c r="E278" i="3"/>
  <c r="D278" i="3"/>
  <c r="L277" i="3"/>
  <c r="U277" i="3" s="1"/>
  <c r="J277" i="3"/>
  <c r="I277" i="3"/>
  <c r="E277" i="3"/>
  <c r="D277" i="3"/>
  <c r="L276" i="3"/>
  <c r="Q276" i="3" s="1"/>
  <c r="J276" i="3"/>
  <c r="I276" i="3"/>
  <c r="E276" i="3"/>
  <c r="D276" i="3"/>
  <c r="L275" i="3"/>
  <c r="Q275" i="3" s="1"/>
  <c r="J275" i="3"/>
  <c r="I275" i="3"/>
  <c r="E275" i="3"/>
  <c r="D275" i="3"/>
  <c r="L274" i="3"/>
  <c r="J274" i="3"/>
  <c r="I274" i="3"/>
  <c r="E274" i="3"/>
  <c r="D274" i="3"/>
  <c r="L273" i="3"/>
  <c r="U273" i="3" s="1"/>
  <c r="J273" i="3"/>
  <c r="I273" i="3"/>
  <c r="E273" i="3"/>
  <c r="D273" i="3"/>
  <c r="L272" i="3"/>
  <c r="U272" i="3" s="1"/>
  <c r="J272" i="3"/>
  <c r="I272" i="3"/>
  <c r="E272" i="3"/>
  <c r="D272" i="3"/>
  <c r="L271" i="3"/>
  <c r="Q271" i="3" s="1"/>
  <c r="J271" i="3"/>
  <c r="I271" i="3"/>
  <c r="E271" i="3"/>
  <c r="D271" i="3"/>
  <c r="L270" i="3"/>
  <c r="U270" i="3" s="1"/>
  <c r="J270" i="3"/>
  <c r="I270" i="3"/>
  <c r="E270" i="3"/>
  <c r="D270" i="3"/>
  <c r="L269" i="3"/>
  <c r="J269" i="3"/>
  <c r="I269" i="3"/>
  <c r="E269" i="3"/>
  <c r="D269" i="3"/>
  <c r="L268" i="3"/>
  <c r="U268" i="3" s="1"/>
  <c r="J268" i="3"/>
  <c r="I268" i="3"/>
  <c r="E268" i="3"/>
  <c r="D268" i="3"/>
  <c r="L267" i="3"/>
  <c r="U267" i="3" s="1"/>
  <c r="J267" i="3"/>
  <c r="I267" i="3"/>
  <c r="E267" i="3"/>
  <c r="D267" i="3"/>
  <c r="L266" i="3"/>
  <c r="Q266" i="3" s="1"/>
  <c r="J266" i="3"/>
  <c r="I266" i="3"/>
  <c r="E266" i="3"/>
  <c r="D266" i="3"/>
  <c r="L265" i="3"/>
  <c r="U265" i="3" s="1"/>
  <c r="J265" i="3"/>
  <c r="I265" i="3"/>
  <c r="E265" i="3"/>
  <c r="D265" i="3"/>
  <c r="L264" i="3"/>
  <c r="J264" i="3"/>
  <c r="I264" i="3"/>
  <c r="E264" i="3"/>
  <c r="D264" i="3"/>
  <c r="L263" i="3"/>
  <c r="U263" i="3" s="1"/>
  <c r="J263" i="3"/>
  <c r="I263" i="3"/>
  <c r="E263" i="3"/>
  <c r="D263" i="3"/>
  <c r="L262" i="3"/>
  <c r="U262" i="3" s="1"/>
  <c r="J262" i="3"/>
  <c r="I262" i="3"/>
  <c r="E262" i="3"/>
  <c r="D262" i="3"/>
  <c r="L261" i="3"/>
  <c r="Q261" i="3" s="1"/>
  <c r="J261" i="3"/>
  <c r="I261" i="3"/>
  <c r="E261" i="3"/>
  <c r="D261" i="3"/>
  <c r="L260" i="3"/>
  <c r="J260" i="3"/>
  <c r="I260" i="3"/>
  <c r="E260" i="3"/>
  <c r="D260" i="3"/>
  <c r="L259" i="3"/>
  <c r="J259" i="3"/>
  <c r="I259" i="3"/>
  <c r="E259" i="3"/>
  <c r="D259" i="3"/>
  <c r="L258" i="3"/>
  <c r="J258" i="3"/>
  <c r="I258" i="3"/>
  <c r="E258" i="3"/>
  <c r="D258" i="3"/>
  <c r="L257" i="3"/>
  <c r="U257" i="3" s="1"/>
  <c r="J257" i="3"/>
  <c r="I257" i="3"/>
  <c r="E257" i="3"/>
  <c r="D257" i="3"/>
  <c r="L256" i="3"/>
  <c r="Q256" i="3" s="1"/>
  <c r="J256" i="3"/>
  <c r="I256" i="3"/>
  <c r="E256" i="3"/>
  <c r="D256" i="3"/>
  <c r="L255" i="3"/>
  <c r="U255" i="3" s="1"/>
  <c r="J255" i="3"/>
  <c r="I255" i="3"/>
  <c r="E255" i="3"/>
  <c r="D255" i="3"/>
  <c r="L254" i="3"/>
  <c r="J254" i="3"/>
  <c r="I254" i="3"/>
  <c r="E254" i="3"/>
  <c r="D254" i="3"/>
  <c r="L253" i="3"/>
  <c r="J253" i="3"/>
  <c r="I253" i="3"/>
  <c r="E253" i="3"/>
  <c r="D253" i="3"/>
  <c r="L252" i="3"/>
  <c r="U252" i="3" s="1"/>
  <c r="J252" i="3"/>
  <c r="I252" i="3"/>
  <c r="E252" i="3"/>
  <c r="D252" i="3"/>
  <c r="L251" i="3"/>
  <c r="Q251" i="3" s="1"/>
  <c r="J251" i="3"/>
  <c r="I251" i="3"/>
  <c r="E251" i="3"/>
  <c r="D251" i="3"/>
  <c r="L250" i="3"/>
  <c r="U250" i="3" s="1"/>
  <c r="J250" i="3"/>
  <c r="I250" i="3"/>
  <c r="E250" i="3"/>
  <c r="D250" i="3"/>
  <c r="L249" i="3"/>
  <c r="J249" i="3"/>
  <c r="I249" i="3"/>
  <c r="E249" i="3"/>
  <c r="D249" i="3"/>
  <c r="L248" i="3"/>
  <c r="J248" i="3"/>
  <c r="I248" i="3"/>
  <c r="E248" i="3"/>
  <c r="D248" i="3"/>
  <c r="L247" i="3"/>
  <c r="U247" i="3" s="1"/>
  <c r="J247" i="3"/>
  <c r="I247" i="3"/>
  <c r="E247" i="3"/>
  <c r="D247" i="3"/>
  <c r="L246" i="3"/>
  <c r="Q246" i="3" s="1"/>
  <c r="J246" i="3"/>
  <c r="I246" i="3"/>
  <c r="E246" i="3"/>
  <c r="D246" i="3"/>
  <c r="L245" i="3"/>
  <c r="Q245" i="3" s="1"/>
  <c r="J245" i="3"/>
  <c r="I245" i="3"/>
  <c r="E245" i="3"/>
  <c r="D245" i="3"/>
  <c r="L244" i="3"/>
  <c r="J244" i="3"/>
  <c r="I244" i="3"/>
  <c r="E244" i="3"/>
  <c r="D244" i="3"/>
  <c r="L243" i="3"/>
  <c r="Q243" i="3" s="1"/>
  <c r="J243" i="3"/>
  <c r="I243" i="3"/>
  <c r="E243" i="3"/>
  <c r="D243" i="3"/>
  <c r="L242" i="3"/>
  <c r="J242" i="3"/>
  <c r="I242" i="3"/>
  <c r="E242" i="3"/>
  <c r="D242" i="3"/>
  <c r="L241" i="3"/>
  <c r="Q241" i="3" s="1"/>
  <c r="J241" i="3"/>
  <c r="I241" i="3"/>
  <c r="E241" i="3"/>
  <c r="D241" i="3"/>
  <c r="L240" i="3"/>
  <c r="J240" i="3"/>
  <c r="I240" i="3"/>
  <c r="E240" i="3"/>
  <c r="D240" i="3"/>
  <c r="L239" i="3"/>
  <c r="J239" i="3"/>
  <c r="I239" i="3"/>
  <c r="E239" i="3"/>
  <c r="D239" i="3"/>
  <c r="L238" i="3"/>
  <c r="J238" i="3"/>
  <c r="I238" i="3"/>
  <c r="E238" i="3"/>
  <c r="D238" i="3"/>
  <c r="L237" i="3"/>
  <c r="J237" i="3"/>
  <c r="I237" i="3"/>
  <c r="E237" i="3"/>
  <c r="D237" i="3"/>
  <c r="L236" i="3"/>
  <c r="Q236" i="3" s="1"/>
  <c r="J236" i="3"/>
  <c r="I236" i="3"/>
  <c r="E236" i="3"/>
  <c r="D236" i="3"/>
  <c r="L235" i="3"/>
  <c r="Q235" i="3" s="1"/>
  <c r="J235" i="3"/>
  <c r="I235" i="3"/>
  <c r="E235" i="3"/>
  <c r="D235" i="3"/>
  <c r="L234" i="3"/>
  <c r="J234" i="3"/>
  <c r="I234" i="3"/>
  <c r="E234" i="3"/>
  <c r="D234" i="3"/>
  <c r="K227" i="3"/>
  <c r="L226" i="3"/>
  <c r="U226" i="3" s="1"/>
  <c r="J226" i="3"/>
  <c r="I226" i="3"/>
  <c r="E226" i="3"/>
  <c r="D226" i="3"/>
  <c r="L225" i="3"/>
  <c r="U225" i="3" s="1"/>
  <c r="J225" i="3"/>
  <c r="I225" i="3"/>
  <c r="E225" i="3"/>
  <c r="D225" i="3"/>
  <c r="L224" i="3"/>
  <c r="U224" i="3" s="1"/>
  <c r="J224" i="3"/>
  <c r="I224" i="3"/>
  <c r="E224" i="3"/>
  <c r="D224" i="3"/>
  <c r="L223" i="3"/>
  <c r="U223" i="3" s="1"/>
  <c r="J223" i="3"/>
  <c r="I223" i="3"/>
  <c r="E223" i="3"/>
  <c r="D223" i="3"/>
  <c r="L222" i="3"/>
  <c r="Q222" i="3" s="1"/>
  <c r="J222" i="3"/>
  <c r="I222" i="3"/>
  <c r="E222" i="3"/>
  <c r="D222" i="3"/>
  <c r="L221" i="3"/>
  <c r="U221" i="3" s="1"/>
  <c r="J221" i="3"/>
  <c r="I221" i="3"/>
  <c r="E221" i="3"/>
  <c r="D221" i="3"/>
  <c r="L220" i="3"/>
  <c r="U220" i="3" s="1"/>
  <c r="J220" i="3"/>
  <c r="I220" i="3"/>
  <c r="E220" i="3"/>
  <c r="D220" i="3"/>
  <c r="L219" i="3"/>
  <c r="U219" i="3" s="1"/>
  <c r="J219" i="3"/>
  <c r="I219" i="3"/>
  <c r="E219" i="3"/>
  <c r="D219" i="3"/>
  <c r="L218" i="3"/>
  <c r="U218" i="3" s="1"/>
  <c r="J218" i="3"/>
  <c r="I218" i="3"/>
  <c r="E218" i="3"/>
  <c r="D218" i="3"/>
  <c r="L217" i="3"/>
  <c r="Q217" i="3" s="1"/>
  <c r="J217" i="3"/>
  <c r="I217" i="3"/>
  <c r="E217" i="3"/>
  <c r="D217" i="3"/>
  <c r="L216" i="3"/>
  <c r="J216" i="3"/>
  <c r="I216" i="3"/>
  <c r="E216" i="3"/>
  <c r="D216" i="3"/>
  <c r="L215" i="3"/>
  <c r="U215" i="3" s="1"/>
  <c r="J215" i="3"/>
  <c r="I215" i="3"/>
  <c r="E215" i="3"/>
  <c r="D215" i="3"/>
  <c r="L214" i="3"/>
  <c r="J214" i="3"/>
  <c r="I214" i="3"/>
  <c r="E214" i="3"/>
  <c r="D214" i="3"/>
  <c r="L213" i="3"/>
  <c r="J213" i="3"/>
  <c r="I213" i="3"/>
  <c r="E213" i="3"/>
  <c r="D213" i="3"/>
  <c r="L212" i="3"/>
  <c r="Q212" i="3" s="1"/>
  <c r="J212" i="3"/>
  <c r="I212" i="3"/>
  <c r="E212" i="3"/>
  <c r="D212" i="3"/>
  <c r="L211" i="3"/>
  <c r="J211" i="3"/>
  <c r="I211" i="3"/>
  <c r="E211" i="3"/>
  <c r="D211" i="3"/>
  <c r="L210" i="3"/>
  <c r="U210" i="3" s="1"/>
  <c r="J210" i="3"/>
  <c r="I210" i="3"/>
  <c r="E210" i="3"/>
  <c r="D210" i="3"/>
  <c r="L209" i="3"/>
  <c r="J209" i="3"/>
  <c r="I209" i="3"/>
  <c r="E209" i="3"/>
  <c r="D209" i="3"/>
  <c r="L208" i="3"/>
  <c r="U208" i="3" s="1"/>
  <c r="J208" i="3"/>
  <c r="I208" i="3"/>
  <c r="E208" i="3"/>
  <c r="D208" i="3"/>
  <c r="L207" i="3"/>
  <c r="U207" i="3" s="1"/>
  <c r="J207" i="3"/>
  <c r="I207" i="3"/>
  <c r="E207" i="3"/>
  <c r="D207" i="3"/>
  <c r="L206" i="3"/>
  <c r="U206" i="3" s="1"/>
  <c r="J206" i="3"/>
  <c r="I206" i="3"/>
  <c r="E206" i="3"/>
  <c r="D206" i="3"/>
  <c r="L205" i="3"/>
  <c r="U205" i="3" s="1"/>
  <c r="J205" i="3"/>
  <c r="I205" i="3"/>
  <c r="E205" i="3"/>
  <c r="D205" i="3"/>
  <c r="L204" i="3"/>
  <c r="J204" i="3"/>
  <c r="I204" i="3"/>
  <c r="E204" i="3"/>
  <c r="D204" i="3"/>
  <c r="L203" i="3"/>
  <c r="J203" i="3"/>
  <c r="I203" i="3"/>
  <c r="E203" i="3"/>
  <c r="D203" i="3"/>
  <c r="L202" i="3"/>
  <c r="U202" i="3" s="1"/>
  <c r="J202" i="3"/>
  <c r="I202" i="3"/>
  <c r="E202" i="3"/>
  <c r="D202" i="3"/>
  <c r="L201" i="3"/>
  <c r="Q201" i="3" s="1"/>
  <c r="J201" i="3"/>
  <c r="I201" i="3"/>
  <c r="E201" i="3"/>
  <c r="D201" i="3"/>
  <c r="L200" i="3"/>
  <c r="U200" i="3" s="1"/>
  <c r="J200" i="3"/>
  <c r="I200" i="3"/>
  <c r="E200" i="3"/>
  <c r="D200" i="3"/>
  <c r="L199" i="3"/>
  <c r="Q199" i="3" s="1"/>
  <c r="J199" i="3"/>
  <c r="I199" i="3"/>
  <c r="E199" i="3"/>
  <c r="D199" i="3"/>
  <c r="L198" i="3"/>
  <c r="U198" i="3" s="1"/>
  <c r="J198" i="3"/>
  <c r="I198" i="3"/>
  <c r="E198" i="3"/>
  <c r="D198" i="3"/>
  <c r="L197" i="3"/>
  <c r="U197" i="3" s="1"/>
  <c r="J197" i="3"/>
  <c r="I197" i="3"/>
  <c r="E197" i="3"/>
  <c r="D197" i="3"/>
  <c r="L196" i="3"/>
  <c r="J196" i="3"/>
  <c r="I196" i="3"/>
  <c r="E196" i="3"/>
  <c r="D196" i="3"/>
  <c r="L195" i="3"/>
  <c r="U195" i="3" s="1"/>
  <c r="J195" i="3"/>
  <c r="I195" i="3"/>
  <c r="E195" i="3"/>
  <c r="D195" i="3"/>
  <c r="L194" i="3"/>
  <c r="J194" i="3"/>
  <c r="I194" i="3"/>
  <c r="E194" i="3"/>
  <c r="D194" i="3"/>
  <c r="L193" i="3"/>
  <c r="U193" i="3" s="1"/>
  <c r="J193" i="3"/>
  <c r="I193" i="3"/>
  <c r="E193" i="3"/>
  <c r="D193" i="3"/>
  <c r="L192" i="3"/>
  <c r="J192" i="3"/>
  <c r="I192" i="3"/>
  <c r="E192" i="3"/>
  <c r="D192" i="3"/>
  <c r="L191" i="3"/>
  <c r="J191" i="3"/>
  <c r="I191" i="3"/>
  <c r="E191" i="3"/>
  <c r="D191" i="3"/>
  <c r="L190" i="3"/>
  <c r="U190" i="3" s="1"/>
  <c r="J190" i="3"/>
  <c r="I190" i="3"/>
  <c r="E190" i="3"/>
  <c r="D190" i="3"/>
  <c r="L189" i="3"/>
  <c r="J189" i="3"/>
  <c r="I189" i="3"/>
  <c r="E189" i="3"/>
  <c r="D189" i="3"/>
  <c r="L188" i="3"/>
  <c r="J188" i="3"/>
  <c r="I188" i="3"/>
  <c r="E188" i="3"/>
  <c r="D188" i="3"/>
  <c r="L187" i="3"/>
  <c r="J187" i="3"/>
  <c r="I187" i="3"/>
  <c r="E187" i="3"/>
  <c r="D187" i="3"/>
  <c r="L186" i="3"/>
  <c r="J186" i="3"/>
  <c r="I186" i="3"/>
  <c r="E186" i="3"/>
  <c r="D186" i="3"/>
  <c r="L185" i="3"/>
  <c r="U185" i="3" s="1"/>
  <c r="J185" i="3"/>
  <c r="I185" i="3"/>
  <c r="E185" i="3"/>
  <c r="D185" i="3"/>
  <c r="L184" i="3"/>
  <c r="U184" i="3" s="1"/>
  <c r="J184" i="3"/>
  <c r="I184" i="3"/>
  <c r="E184" i="3"/>
  <c r="D184" i="3"/>
  <c r="L183" i="3"/>
  <c r="J183" i="3"/>
  <c r="I183" i="3"/>
  <c r="E183" i="3"/>
  <c r="D183" i="3"/>
  <c r="L182" i="3"/>
  <c r="J182" i="3"/>
  <c r="I182" i="3"/>
  <c r="E182" i="3"/>
  <c r="D182" i="3"/>
  <c r="L181" i="3"/>
  <c r="J181" i="3"/>
  <c r="I181" i="3"/>
  <c r="E181" i="3"/>
  <c r="D181" i="3"/>
  <c r="L180" i="3"/>
  <c r="U180" i="3" s="1"/>
  <c r="J180" i="3"/>
  <c r="I180" i="3"/>
  <c r="E180" i="3"/>
  <c r="D180" i="3"/>
  <c r="L179" i="3"/>
  <c r="J179" i="3"/>
  <c r="I179" i="3"/>
  <c r="E179" i="3"/>
  <c r="D179" i="3"/>
  <c r="L178" i="3"/>
  <c r="Q178" i="3" s="1"/>
  <c r="J178" i="3"/>
  <c r="I178" i="3"/>
  <c r="E178" i="3"/>
  <c r="D178" i="3"/>
  <c r="L177" i="3"/>
  <c r="Q177" i="3" s="1"/>
  <c r="J177" i="3"/>
  <c r="I177" i="3"/>
  <c r="E177" i="3"/>
  <c r="D177" i="3"/>
  <c r="L176" i="3"/>
  <c r="J176" i="3"/>
  <c r="I176" i="3"/>
  <c r="E176" i="3"/>
  <c r="D176" i="3"/>
  <c r="L175" i="3"/>
  <c r="U175" i="3" s="1"/>
  <c r="J175" i="3"/>
  <c r="I175" i="3"/>
  <c r="E175" i="3"/>
  <c r="D175" i="3"/>
  <c r="L174" i="3"/>
  <c r="J174" i="3"/>
  <c r="I174" i="3"/>
  <c r="E174" i="3"/>
  <c r="D174" i="3"/>
  <c r="L173" i="3"/>
  <c r="Q173" i="3" s="1"/>
  <c r="J173" i="3"/>
  <c r="I173" i="3"/>
  <c r="E173" i="3"/>
  <c r="D173" i="3"/>
  <c r="L172" i="3"/>
  <c r="U172" i="3" s="1"/>
  <c r="J172" i="3"/>
  <c r="I172" i="3"/>
  <c r="E172" i="3"/>
  <c r="D172" i="3"/>
  <c r="L171" i="3"/>
  <c r="J171" i="3"/>
  <c r="I171" i="3"/>
  <c r="E171" i="3"/>
  <c r="D171" i="3"/>
  <c r="L170" i="3"/>
  <c r="U170" i="3" s="1"/>
  <c r="J170" i="3"/>
  <c r="I170" i="3"/>
  <c r="E170" i="3"/>
  <c r="D170" i="3"/>
  <c r="L169" i="3"/>
  <c r="U169" i="3" s="1"/>
  <c r="J169" i="3"/>
  <c r="I169" i="3"/>
  <c r="E169" i="3"/>
  <c r="D169" i="3"/>
  <c r="L168" i="3"/>
  <c r="U168" i="3" s="1"/>
  <c r="J168" i="3"/>
  <c r="I168" i="3"/>
  <c r="E168" i="3"/>
  <c r="D168" i="3"/>
  <c r="L167" i="3"/>
  <c r="Q167" i="3" s="1"/>
  <c r="J167" i="3"/>
  <c r="I167" i="3"/>
  <c r="E167" i="3"/>
  <c r="D167" i="3"/>
  <c r="L166" i="3"/>
  <c r="U166" i="3" s="1"/>
  <c r="J166" i="3"/>
  <c r="I166" i="3"/>
  <c r="E166" i="3"/>
  <c r="D166" i="3"/>
  <c r="L165" i="3"/>
  <c r="U165" i="3" s="1"/>
  <c r="J165" i="3"/>
  <c r="I165" i="3"/>
  <c r="E165" i="3"/>
  <c r="D165" i="3"/>
  <c r="L164" i="3"/>
  <c r="Q164" i="3" s="1"/>
  <c r="J164" i="3"/>
  <c r="I164" i="3"/>
  <c r="E164" i="3"/>
  <c r="D164" i="3"/>
  <c r="L163" i="3"/>
  <c r="U163" i="3" s="1"/>
  <c r="J163" i="3"/>
  <c r="I163" i="3"/>
  <c r="E163" i="3"/>
  <c r="D163" i="3"/>
  <c r="I156" i="3"/>
  <c r="J156" i="3" s="1"/>
  <c r="K156" i="3" s="1"/>
  <c r="L156" i="3" s="1"/>
  <c r="E156" i="3"/>
  <c r="K150" i="3"/>
  <c r="L149" i="3"/>
  <c r="J149" i="3"/>
  <c r="I149" i="3"/>
  <c r="E149" i="3"/>
  <c r="D149" i="3"/>
  <c r="L148" i="3"/>
  <c r="U148" i="3" s="1"/>
  <c r="J148" i="3"/>
  <c r="I148" i="3"/>
  <c r="E148" i="3"/>
  <c r="D148" i="3"/>
  <c r="L147" i="3"/>
  <c r="U147" i="3" s="1"/>
  <c r="J147" i="3"/>
  <c r="I147" i="3"/>
  <c r="E147" i="3"/>
  <c r="D147" i="3"/>
  <c r="L146" i="3"/>
  <c r="J146" i="3"/>
  <c r="I146" i="3"/>
  <c r="E146" i="3"/>
  <c r="D146" i="3"/>
  <c r="L145" i="3"/>
  <c r="J145" i="3"/>
  <c r="I145" i="3"/>
  <c r="E145" i="3"/>
  <c r="D145" i="3"/>
  <c r="L144" i="3"/>
  <c r="U144" i="3" s="1"/>
  <c r="J144" i="3"/>
  <c r="I144" i="3"/>
  <c r="E144" i="3"/>
  <c r="D144" i="3"/>
  <c r="L143" i="3"/>
  <c r="U143" i="3" s="1"/>
  <c r="J143" i="3"/>
  <c r="I143" i="3"/>
  <c r="E143" i="3"/>
  <c r="D143" i="3"/>
  <c r="L142" i="3"/>
  <c r="J142" i="3"/>
  <c r="I142" i="3"/>
  <c r="E142" i="3"/>
  <c r="D142" i="3"/>
  <c r="L141" i="3"/>
  <c r="J141" i="3"/>
  <c r="I141" i="3"/>
  <c r="E141" i="3"/>
  <c r="D141" i="3"/>
  <c r="L140" i="3"/>
  <c r="J140" i="3"/>
  <c r="I140" i="3"/>
  <c r="E140" i="3"/>
  <c r="D140" i="3"/>
  <c r="L139" i="3"/>
  <c r="U139" i="3" s="1"/>
  <c r="J139" i="3"/>
  <c r="I139" i="3"/>
  <c r="E139" i="3"/>
  <c r="D139" i="3"/>
  <c r="L138" i="3"/>
  <c r="U138" i="3" s="1"/>
  <c r="J138" i="3"/>
  <c r="I138" i="3"/>
  <c r="E138" i="3"/>
  <c r="D138" i="3"/>
  <c r="L137" i="3"/>
  <c r="U137" i="3" s="1"/>
  <c r="J137" i="3"/>
  <c r="I137" i="3"/>
  <c r="E137" i="3"/>
  <c r="D137" i="3"/>
  <c r="L136" i="3"/>
  <c r="U136" i="3" s="1"/>
  <c r="J136" i="3"/>
  <c r="I136" i="3"/>
  <c r="E136" i="3"/>
  <c r="D136" i="3"/>
  <c r="L135" i="3"/>
  <c r="Q135" i="3" s="1"/>
  <c r="J135" i="3"/>
  <c r="I135" i="3"/>
  <c r="E135" i="3"/>
  <c r="D135" i="3"/>
  <c r="L134" i="3"/>
  <c r="Q134" i="3" s="1"/>
  <c r="J134" i="3"/>
  <c r="I134" i="3"/>
  <c r="E134" i="3"/>
  <c r="D134" i="3"/>
  <c r="L133" i="3"/>
  <c r="J133" i="3"/>
  <c r="I133" i="3"/>
  <c r="E133" i="3"/>
  <c r="D133" i="3"/>
  <c r="L132" i="3"/>
  <c r="U132" i="3" s="1"/>
  <c r="J132" i="3"/>
  <c r="I132" i="3"/>
  <c r="E132" i="3"/>
  <c r="D132" i="3"/>
  <c r="L131" i="3"/>
  <c r="U131" i="3" s="1"/>
  <c r="J131" i="3"/>
  <c r="I131" i="3"/>
  <c r="E131" i="3"/>
  <c r="D131" i="3"/>
  <c r="L130" i="3"/>
  <c r="U130" i="3" s="1"/>
  <c r="J130" i="3"/>
  <c r="I130" i="3"/>
  <c r="E130" i="3"/>
  <c r="D130" i="3"/>
  <c r="L129" i="3"/>
  <c r="U129" i="3" s="1"/>
  <c r="J129" i="3"/>
  <c r="I129" i="3"/>
  <c r="E129" i="3"/>
  <c r="D129" i="3"/>
  <c r="L128" i="3"/>
  <c r="U128" i="3" s="1"/>
  <c r="J128" i="3"/>
  <c r="I128" i="3"/>
  <c r="E128" i="3"/>
  <c r="D128" i="3"/>
  <c r="L127" i="3"/>
  <c r="J127" i="3"/>
  <c r="I127" i="3"/>
  <c r="E127" i="3"/>
  <c r="D127" i="3"/>
  <c r="L126" i="3"/>
  <c r="J126" i="3"/>
  <c r="I126" i="3"/>
  <c r="E126" i="3"/>
  <c r="D126" i="3"/>
  <c r="L125" i="3"/>
  <c r="J125" i="3"/>
  <c r="I125" i="3"/>
  <c r="E125" i="3"/>
  <c r="D125" i="3"/>
  <c r="L124" i="3"/>
  <c r="J124" i="3"/>
  <c r="I124" i="3"/>
  <c r="E124" i="3"/>
  <c r="D124" i="3"/>
  <c r="L123" i="3"/>
  <c r="U123" i="3" s="1"/>
  <c r="J123" i="3"/>
  <c r="I123" i="3"/>
  <c r="E123" i="3"/>
  <c r="D123" i="3"/>
  <c r="L122" i="3"/>
  <c r="Q122" i="3" s="1"/>
  <c r="J122" i="3"/>
  <c r="I122" i="3"/>
  <c r="E122" i="3"/>
  <c r="D122" i="3"/>
  <c r="L121" i="3"/>
  <c r="Q121" i="3" s="1"/>
  <c r="J121" i="3"/>
  <c r="I121" i="3"/>
  <c r="E121" i="3"/>
  <c r="D121" i="3"/>
  <c r="L120" i="3"/>
  <c r="U120" i="3" s="1"/>
  <c r="J120" i="3"/>
  <c r="I120" i="3"/>
  <c r="E120" i="3"/>
  <c r="D120" i="3"/>
  <c r="L119" i="3"/>
  <c r="J119" i="3"/>
  <c r="I119" i="3"/>
  <c r="E119" i="3"/>
  <c r="D119" i="3"/>
  <c r="L118" i="3"/>
  <c r="U118" i="3" s="1"/>
  <c r="J118" i="3"/>
  <c r="I118" i="3"/>
  <c r="E118" i="3"/>
  <c r="D118" i="3"/>
  <c r="L117" i="3"/>
  <c r="J117" i="3"/>
  <c r="I117" i="3"/>
  <c r="E117" i="3"/>
  <c r="D117" i="3"/>
  <c r="L116" i="3"/>
  <c r="U116" i="3" s="1"/>
  <c r="J116" i="3"/>
  <c r="I116" i="3"/>
  <c r="E116" i="3"/>
  <c r="D116" i="3"/>
  <c r="L115" i="3"/>
  <c r="J115" i="3"/>
  <c r="I115" i="3"/>
  <c r="E115" i="3"/>
  <c r="D115" i="3"/>
  <c r="L114" i="3"/>
  <c r="U114" i="3" s="1"/>
  <c r="J114" i="3"/>
  <c r="I114" i="3"/>
  <c r="E114" i="3"/>
  <c r="D114" i="3"/>
  <c r="L113" i="3"/>
  <c r="U113" i="3" s="1"/>
  <c r="J113" i="3"/>
  <c r="I113" i="3"/>
  <c r="E113" i="3"/>
  <c r="D113" i="3"/>
  <c r="L112" i="3"/>
  <c r="U112" i="3" s="1"/>
  <c r="J112" i="3"/>
  <c r="I112" i="3"/>
  <c r="E112" i="3"/>
  <c r="D112" i="3"/>
  <c r="L111" i="3"/>
  <c r="U111" i="3" s="1"/>
  <c r="J111" i="3"/>
  <c r="I111" i="3"/>
  <c r="E111" i="3"/>
  <c r="D111" i="3"/>
  <c r="L110" i="3"/>
  <c r="J110" i="3"/>
  <c r="I110" i="3"/>
  <c r="E110" i="3"/>
  <c r="D110" i="3"/>
  <c r="L109" i="3"/>
  <c r="J109" i="3"/>
  <c r="I109" i="3"/>
  <c r="E109" i="3"/>
  <c r="D109" i="3"/>
  <c r="L108" i="3"/>
  <c r="U108" i="3" s="1"/>
  <c r="J108" i="3"/>
  <c r="I108" i="3"/>
  <c r="E108" i="3"/>
  <c r="D108" i="3"/>
  <c r="L107" i="3"/>
  <c r="Q107" i="3" s="1"/>
  <c r="J107" i="3"/>
  <c r="I107" i="3"/>
  <c r="E107" i="3"/>
  <c r="D107" i="3"/>
  <c r="L106" i="3"/>
  <c r="J106" i="3"/>
  <c r="I106" i="3"/>
  <c r="E106" i="3"/>
  <c r="D106" i="3"/>
  <c r="L105" i="3"/>
  <c r="U105" i="3" s="1"/>
  <c r="J105" i="3"/>
  <c r="I105" i="3"/>
  <c r="E105" i="3"/>
  <c r="D105" i="3"/>
  <c r="L104" i="3"/>
  <c r="U104" i="3" s="1"/>
  <c r="J104" i="3"/>
  <c r="I104" i="3"/>
  <c r="E104" i="3"/>
  <c r="D104" i="3"/>
  <c r="L103" i="3"/>
  <c r="U103" i="3" s="1"/>
  <c r="J103" i="3"/>
  <c r="I103" i="3"/>
  <c r="E103" i="3"/>
  <c r="D103" i="3"/>
  <c r="L102" i="3"/>
  <c r="Q102" i="3" s="1"/>
  <c r="J102" i="3"/>
  <c r="I102" i="3"/>
  <c r="E102" i="3"/>
  <c r="D102" i="3"/>
  <c r="L101" i="3"/>
  <c r="Q101" i="3" s="1"/>
  <c r="J101" i="3"/>
  <c r="I101" i="3"/>
  <c r="E101" i="3"/>
  <c r="D101" i="3"/>
  <c r="L100" i="3"/>
  <c r="Q100" i="3" s="1"/>
  <c r="J100" i="3"/>
  <c r="I100" i="3"/>
  <c r="E100" i="3"/>
  <c r="D100" i="3"/>
  <c r="L99" i="3"/>
  <c r="J99" i="3"/>
  <c r="I99" i="3"/>
  <c r="E99" i="3"/>
  <c r="D99" i="3"/>
  <c r="L98" i="3"/>
  <c r="U98" i="3" s="1"/>
  <c r="J98" i="3"/>
  <c r="I98" i="3"/>
  <c r="E98" i="3"/>
  <c r="D98" i="3"/>
  <c r="L97" i="3"/>
  <c r="U97" i="3" s="1"/>
  <c r="J97" i="3"/>
  <c r="I97" i="3"/>
  <c r="E97" i="3"/>
  <c r="D97" i="3"/>
  <c r="L96" i="3"/>
  <c r="U96" i="3" s="1"/>
  <c r="J96" i="3"/>
  <c r="I96" i="3"/>
  <c r="E96" i="3"/>
  <c r="D96" i="3"/>
  <c r="L95" i="3"/>
  <c r="U95" i="3" s="1"/>
  <c r="J95" i="3"/>
  <c r="I95" i="3"/>
  <c r="E95" i="3"/>
  <c r="D95" i="3"/>
  <c r="L94" i="3"/>
  <c r="Q94" i="3" s="1"/>
  <c r="J94" i="3"/>
  <c r="I94" i="3"/>
  <c r="E94" i="3"/>
  <c r="D94" i="3"/>
  <c r="L93" i="3"/>
  <c r="U93" i="3" s="1"/>
  <c r="J93" i="3"/>
  <c r="I93" i="3"/>
  <c r="E93" i="3"/>
  <c r="D93" i="3"/>
  <c r="L92" i="3"/>
  <c r="U92" i="3" s="1"/>
  <c r="J92" i="3"/>
  <c r="I92" i="3"/>
  <c r="E92" i="3"/>
  <c r="D92" i="3"/>
  <c r="L91" i="3"/>
  <c r="Q91" i="3" s="1"/>
  <c r="J91" i="3"/>
  <c r="I91" i="3"/>
  <c r="E91" i="3"/>
  <c r="D91" i="3"/>
  <c r="L90" i="3"/>
  <c r="U90" i="3" s="1"/>
  <c r="J90" i="3"/>
  <c r="I90" i="3"/>
  <c r="E90" i="3"/>
  <c r="D90" i="3"/>
  <c r="L89" i="3"/>
  <c r="U89" i="3" s="1"/>
  <c r="J89" i="3"/>
  <c r="I89" i="3"/>
  <c r="E89" i="3"/>
  <c r="D89" i="3"/>
  <c r="L88" i="3"/>
  <c r="J88" i="3"/>
  <c r="I88" i="3"/>
  <c r="E88" i="3"/>
  <c r="D88" i="3"/>
  <c r="L87" i="3"/>
  <c r="J87" i="3"/>
  <c r="I87" i="3"/>
  <c r="E87" i="3"/>
  <c r="D87" i="3"/>
  <c r="L86" i="3"/>
  <c r="Q86" i="3" s="1"/>
  <c r="J86" i="3"/>
  <c r="I86" i="3"/>
  <c r="E86" i="3"/>
  <c r="D86" i="3"/>
  <c r="L79" i="3"/>
  <c r="E79" i="3"/>
  <c r="D79" i="3"/>
  <c r="I79" i="3" s="1"/>
  <c r="J79" i="3" s="1"/>
  <c r="L78" i="3"/>
  <c r="Q78" i="3" s="1"/>
  <c r="J78" i="3"/>
  <c r="I78" i="3"/>
  <c r="E78" i="3"/>
  <c r="D78" i="3"/>
  <c r="L77" i="3"/>
  <c r="U77" i="3" s="1"/>
  <c r="J77" i="3"/>
  <c r="I77" i="3"/>
  <c r="E77" i="3"/>
  <c r="D77" i="3"/>
  <c r="L76" i="3"/>
  <c r="Q76" i="3" s="1"/>
  <c r="J76" i="3"/>
  <c r="I76" i="3"/>
  <c r="E76" i="3"/>
  <c r="D76" i="3"/>
  <c r="L75" i="3"/>
  <c r="J75" i="3"/>
  <c r="I75" i="3"/>
  <c r="E75" i="3"/>
  <c r="D75" i="3"/>
  <c r="L74" i="3"/>
  <c r="Q74" i="3" s="1"/>
  <c r="J74" i="3"/>
  <c r="I74" i="3"/>
  <c r="E74" i="3"/>
  <c r="D74" i="3"/>
  <c r="L73" i="3"/>
  <c r="J73" i="3"/>
  <c r="I73" i="3"/>
  <c r="E73" i="3"/>
  <c r="D73" i="3"/>
  <c r="L72" i="3"/>
  <c r="U72" i="3" s="1"/>
  <c r="J72" i="3"/>
  <c r="I72" i="3"/>
  <c r="E72" i="3"/>
  <c r="D72" i="3"/>
  <c r="L71" i="3"/>
  <c r="Q71" i="3" s="1"/>
  <c r="J71" i="3"/>
  <c r="I71" i="3"/>
  <c r="E71" i="3"/>
  <c r="D71" i="3"/>
  <c r="L70" i="3"/>
  <c r="Q70" i="3" s="1"/>
  <c r="J70" i="3"/>
  <c r="I70" i="3"/>
  <c r="E70" i="3"/>
  <c r="D70" i="3"/>
  <c r="L69" i="3"/>
  <c r="J69" i="3"/>
  <c r="I69" i="3"/>
  <c r="E69" i="3"/>
  <c r="D69" i="3"/>
  <c r="L68" i="3"/>
  <c r="Q68" i="3" s="1"/>
  <c r="J68" i="3"/>
  <c r="I68" i="3"/>
  <c r="E68" i="3"/>
  <c r="D68" i="3"/>
  <c r="L67" i="3"/>
  <c r="U67" i="3" s="1"/>
  <c r="J67" i="3"/>
  <c r="I67" i="3"/>
  <c r="E67" i="3"/>
  <c r="D67" i="3"/>
  <c r="L66" i="3"/>
  <c r="J66" i="3"/>
  <c r="I66" i="3"/>
  <c r="E66" i="3"/>
  <c r="D66" i="3"/>
  <c r="L65" i="3"/>
  <c r="J65" i="3"/>
  <c r="I65" i="3"/>
  <c r="E65" i="3"/>
  <c r="D65" i="3"/>
  <c r="L64" i="3"/>
  <c r="J64" i="3"/>
  <c r="I64" i="3"/>
  <c r="E64" i="3"/>
  <c r="D64" i="3"/>
  <c r="L63" i="3"/>
  <c r="U63" i="3" s="1"/>
  <c r="J63" i="3"/>
  <c r="I63" i="3"/>
  <c r="E63" i="3"/>
  <c r="D63" i="3"/>
  <c r="L62" i="3"/>
  <c r="U62" i="3" s="1"/>
  <c r="J62" i="3"/>
  <c r="I62" i="3"/>
  <c r="E62" i="3"/>
  <c r="D62" i="3"/>
  <c r="L61" i="3"/>
  <c r="Q61" i="3" s="1"/>
  <c r="J61" i="3"/>
  <c r="I61" i="3"/>
  <c r="E61" i="3"/>
  <c r="D61" i="3"/>
  <c r="L60" i="3"/>
  <c r="U60" i="3" s="1"/>
  <c r="J60" i="3"/>
  <c r="I60" i="3"/>
  <c r="E60" i="3"/>
  <c r="D60" i="3"/>
  <c r="L59" i="3"/>
  <c r="Q59" i="3" s="1"/>
  <c r="J59" i="3"/>
  <c r="I59" i="3"/>
  <c r="E59" i="3"/>
  <c r="D59" i="3"/>
  <c r="L58" i="3"/>
  <c r="J58" i="3"/>
  <c r="I58" i="3"/>
  <c r="E58" i="3"/>
  <c r="D58" i="3"/>
  <c r="L57" i="3"/>
  <c r="Q57" i="3" s="1"/>
  <c r="J57" i="3"/>
  <c r="I57" i="3"/>
  <c r="E57" i="3"/>
  <c r="D57" i="3"/>
  <c r="L56" i="3"/>
  <c r="Q56" i="3" s="1"/>
  <c r="J56" i="3"/>
  <c r="I56" i="3"/>
  <c r="E56" i="3"/>
  <c r="D56" i="3"/>
  <c r="L55" i="3"/>
  <c r="J55" i="3"/>
  <c r="I55" i="3"/>
  <c r="E55" i="3"/>
  <c r="D55" i="3"/>
  <c r="L54" i="3"/>
  <c r="J54" i="3"/>
  <c r="I54" i="3"/>
  <c r="E54" i="3"/>
  <c r="D54" i="3"/>
  <c r="L53" i="3"/>
  <c r="U53" i="3" s="1"/>
  <c r="J53" i="3"/>
  <c r="I53" i="3"/>
  <c r="E53" i="3"/>
  <c r="D53" i="3"/>
  <c r="L52" i="3"/>
  <c r="Q52" i="3" s="1"/>
  <c r="J52" i="3"/>
  <c r="I52" i="3"/>
  <c r="E52" i="3"/>
  <c r="D52" i="3"/>
  <c r="L51" i="3"/>
  <c r="Q51" i="3" s="1"/>
  <c r="J51" i="3"/>
  <c r="I51" i="3"/>
  <c r="E51" i="3"/>
  <c r="D51" i="3"/>
  <c r="L50" i="3"/>
  <c r="U50" i="3" s="1"/>
  <c r="J50" i="3"/>
  <c r="I50" i="3"/>
  <c r="E50" i="3"/>
  <c r="D50" i="3"/>
  <c r="L49" i="3"/>
  <c r="Q49" i="3" s="1"/>
  <c r="J49" i="3"/>
  <c r="I49" i="3"/>
  <c r="E49" i="3"/>
  <c r="D49" i="3"/>
  <c r="L48" i="3"/>
  <c r="Q48" i="3" s="1"/>
  <c r="J48" i="3"/>
  <c r="I48" i="3"/>
  <c r="E48" i="3"/>
  <c r="D48" i="3"/>
  <c r="L47" i="3"/>
  <c r="U47" i="3" s="1"/>
  <c r="J47" i="3"/>
  <c r="I47" i="3"/>
  <c r="E47" i="3"/>
  <c r="D47" i="3"/>
  <c r="L46" i="3"/>
  <c r="Q46" i="3" s="1"/>
  <c r="J46" i="3"/>
  <c r="I46" i="3"/>
  <c r="E46" i="3"/>
  <c r="D46" i="3"/>
  <c r="L45" i="3"/>
  <c r="J45" i="3"/>
  <c r="I45" i="3"/>
  <c r="E45" i="3"/>
  <c r="D45" i="3"/>
  <c r="L44" i="3"/>
  <c r="Q44" i="3" s="1"/>
  <c r="J44" i="3"/>
  <c r="I44" i="3"/>
  <c r="E44" i="3"/>
  <c r="D44" i="3"/>
  <c r="L43" i="3"/>
  <c r="J43" i="3"/>
  <c r="I43" i="3"/>
  <c r="E43" i="3"/>
  <c r="D43" i="3"/>
  <c r="L42" i="3"/>
  <c r="Q42" i="3" s="1"/>
  <c r="J42" i="3"/>
  <c r="I42" i="3"/>
  <c r="E42" i="3"/>
  <c r="D42" i="3"/>
  <c r="L41" i="3"/>
  <c r="Q41" i="3" s="1"/>
  <c r="J41" i="3"/>
  <c r="I41" i="3"/>
  <c r="E41" i="3"/>
  <c r="D41" i="3"/>
  <c r="L40" i="3"/>
  <c r="J40" i="3"/>
  <c r="I40" i="3"/>
  <c r="E40" i="3"/>
  <c r="D40" i="3"/>
  <c r="L39" i="3"/>
  <c r="Q39" i="3" s="1"/>
  <c r="J39" i="3"/>
  <c r="I39" i="3"/>
  <c r="E39" i="3"/>
  <c r="D39" i="3"/>
  <c r="L38" i="3"/>
  <c r="U38" i="3" s="1"/>
  <c r="J38" i="3"/>
  <c r="I38" i="3"/>
  <c r="E38" i="3"/>
  <c r="D38" i="3"/>
  <c r="L37" i="3"/>
  <c r="Q37" i="3" s="1"/>
  <c r="J37" i="3"/>
  <c r="I37" i="3"/>
  <c r="E37" i="3"/>
  <c r="D37" i="3"/>
  <c r="L36" i="3"/>
  <c r="Q36" i="3" s="1"/>
  <c r="J36" i="3"/>
  <c r="I36" i="3"/>
  <c r="E36" i="3"/>
  <c r="D36" i="3"/>
  <c r="L35" i="3"/>
  <c r="J35" i="3"/>
  <c r="I35" i="3"/>
  <c r="E35" i="3"/>
  <c r="D35" i="3"/>
  <c r="L34" i="3"/>
  <c r="Q34" i="3" s="1"/>
  <c r="J34" i="3"/>
  <c r="I34" i="3"/>
  <c r="E34" i="3"/>
  <c r="D34" i="3"/>
  <c r="L33" i="3"/>
  <c r="J33" i="3"/>
  <c r="I33" i="3"/>
  <c r="E33" i="3"/>
  <c r="D33" i="3"/>
  <c r="L32" i="3"/>
  <c r="U32" i="3" s="1"/>
  <c r="J32" i="3"/>
  <c r="I32" i="3"/>
  <c r="E32" i="3"/>
  <c r="D32" i="3"/>
  <c r="L31" i="3"/>
  <c r="Q31" i="3" s="1"/>
  <c r="J31" i="3"/>
  <c r="I31" i="3"/>
  <c r="E31" i="3"/>
  <c r="D31" i="3"/>
  <c r="L30" i="3"/>
  <c r="U30" i="3" s="1"/>
  <c r="J30" i="3"/>
  <c r="I30" i="3"/>
  <c r="E30" i="3"/>
  <c r="D30" i="3"/>
  <c r="L29" i="3"/>
  <c r="Q29" i="3" s="1"/>
  <c r="J29" i="3"/>
  <c r="I29" i="3"/>
  <c r="E29" i="3"/>
  <c r="D29" i="3"/>
  <c r="L28" i="3"/>
  <c r="U28" i="3" s="1"/>
  <c r="J28" i="3"/>
  <c r="I28" i="3"/>
  <c r="E28" i="3"/>
  <c r="D28" i="3"/>
  <c r="L27" i="3"/>
  <c r="J27" i="3"/>
  <c r="I27" i="3"/>
  <c r="E27" i="3"/>
  <c r="D27" i="3"/>
  <c r="L26" i="3"/>
  <c r="J26" i="3"/>
  <c r="I26" i="3"/>
  <c r="E26" i="3"/>
  <c r="D26" i="3"/>
  <c r="L25" i="3"/>
  <c r="U25" i="3" s="1"/>
  <c r="J25" i="3"/>
  <c r="I25" i="3"/>
  <c r="E25" i="3"/>
  <c r="D25" i="3"/>
  <c r="L24" i="3"/>
  <c r="Q24" i="3" s="1"/>
  <c r="J24" i="3"/>
  <c r="I24" i="3"/>
  <c r="E24" i="3"/>
  <c r="D24" i="3"/>
  <c r="L23" i="3"/>
  <c r="J23" i="3"/>
  <c r="I23" i="3"/>
  <c r="E23" i="3"/>
  <c r="D23" i="3"/>
  <c r="L22" i="3"/>
  <c r="Q22" i="3" s="1"/>
  <c r="J22" i="3"/>
  <c r="I22" i="3"/>
  <c r="E22" i="3"/>
  <c r="D22" i="3"/>
  <c r="L21" i="3"/>
  <c r="Q21" i="3" s="1"/>
  <c r="J21" i="3"/>
  <c r="I21" i="3"/>
  <c r="E21" i="3"/>
  <c r="D21" i="3"/>
  <c r="L20" i="3"/>
  <c r="Q20" i="3" s="1"/>
  <c r="J20" i="3"/>
  <c r="I20" i="3"/>
  <c r="E20" i="3"/>
  <c r="D20" i="3"/>
  <c r="L19" i="3"/>
  <c r="Q19" i="3" s="1"/>
  <c r="J19" i="3"/>
  <c r="I19" i="3"/>
  <c r="E19" i="3"/>
  <c r="D19" i="3"/>
  <c r="L18" i="3"/>
  <c r="J18" i="3"/>
  <c r="I18" i="3"/>
  <c r="E18" i="3"/>
  <c r="D18" i="3"/>
  <c r="L17" i="3"/>
  <c r="J17" i="3"/>
  <c r="I17" i="3"/>
  <c r="E17" i="3"/>
  <c r="D17" i="3"/>
  <c r="L16" i="3"/>
  <c r="Q16" i="3" s="1"/>
  <c r="J16" i="3"/>
  <c r="I16" i="3"/>
  <c r="E16" i="3"/>
  <c r="D16" i="3"/>
  <c r="L15" i="3"/>
  <c r="J15" i="3"/>
  <c r="I15" i="3"/>
  <c r="E15" i="3"/>
  <c r="D15" i="3"/>
  <c r="J9" i="3"/>
  <c r="F9" i="3"/>
  <c r="G9" i="3" s="1"/>
  <c r="C9" i="3"/>
  <c r="B28" i="1" s="1"/>
  <c r="J8" i="3"/>
  <c r="F8" i="3"/>
  <c r="G8" i="3" s="1"/>
  <c r="J7" i="3"/>
  <c r="I7" i="3"/>
  <c r="G7" i="3"/>
  <c r="D20" i="1" s="1"/>
  <c r="C20" i="1" s="1"/>
  <c r="G3" i="2"/>
  <c r="F3" i="2"/>
  <c r="E3" i="2"/>
  <c r="D3" i="2"/>
  <c r="C3" i="2"/>
  <c r="B3" i="2"/>
  <c r="M170" i="3" l="1"/>
  <c r="M210" i="3"/>
  <c r="M218" i="3"/>
  <c r="M222" i="3"/>
  <c r="M122" i="3"/>
  <c r="M130" i="3"/>
  <c r="M138" i="3"/>
  <c r="M72" i="3"/>
  <c r="M199" i="3"/>
  <c r="M207" i="3"/>
  <c r="M215" i="3"/>
  <c r="M219" i="3"/>
  <c r="M223" i="3"/>
  <c r="M165" i="3"/>
  <c r="M177" i="3"/>
  <c r="M185" i="3"/>
  <c r="M189" i="3"/>
  <c r="M201" i="3"/>
  <c r="M225" i="3"/>
  <c r="M93" i="4"/>
  <c r="M77" i="3"/>
  <c r="M99" i="3"/>
  <c r="M244" i="3"/>
  <c r="M252" i="3"/>
  <c r="M292" i="3"/>
  <c r="M296" i="3"/>
  <c r="M262" i="3"/>
  <c r="M103" i="3"/>
  <c r="M123" i="3"/>
  <c r="M247" i="3"/>
  <c r="M267" i="3"/>
  <c r="M287" i="3"/>
  <c r="M45" i="3"/>
  <c r="M239" i="3"/>
  <c r="M22" i="3"/>
  <c r="M42" i="3"/>
  <c r="U42" i="3"/>
  <c r="M93" i="3"/>
  <c r="M67" i="3"/>
  <c r="M51" i="4"/>
  <c r="U101" i="3"/>
  <c r="U201" i="3"/>
  <c r="M209" i="3"/>
  <c r="M237" i="3"/>
  <c r="M245" i="3"/>
  <c r="Q268" i="3"/>
  <c r="M87" i="4"/>
  <c r="M79" i="4"/>
  <c r="M181" i="3"/>
  <c r="M17" i="3"/>
  <c r="M37" i="3"/>
  <c r="M106" i="3"/>
  <c r="M29" i="4"/>
  <c r="M107" i="4"/>
  <c r="Q72" i="3"/>
  <c r="M277" i="3"/>
  <c r="M297" i="3"/>
  <c r="M69" i="4"/>
  <c r="M143" i="4"/>
  <c r="M19" i="4"/>
  <c r="U245" i="3"/>
  <c r="M187" i="3"/>
  <c r="M62" i="3"/>
  <c r="M188" i="3"/>
  <c r="M192" i="3"/>
  <c r="M238" i="3"/>
  <c r="U107" i="4"/>
  <c r="Q53" i="3"/>
  <c r="M65" i="3"/>
  <c r="U167" i="3"/>
  <c r="M100" i="3"/>
  <c r="M282" i="3"/>
  <c r="M148" i="3"/>
  <c r="M50" i="3"/>
  <c r="U99" i="3"/>
  <c r="U217" i="3"/>
  <c r="M127" i="4"/>
  <c r="M110" i="3"/>
  <c r="U121" i="3"/>
  <c r="Q202" i="3"/>
  <c r="Q108" i="4"/>
  <c r="U127" i="4"/>
  <c r="M107" i="3"/>
  <c r="U110" i="3"/>
  <c r="U199" i="3"/>
  <c r="U100" i="3"/>
  <c r="U173" i="3"/>
  <c r="Q247" i="3"/>
  <c r="M102" i="4"/>
  <c r="Q181" i="3"/>
  <c r="M286" i="3"/>
  <c r="U102" i="4"/>
  <c r="U117" i="4"/>
  <c r="U290" i="3"/>
  <c r="U34" i="3"/>
  <c r="U56" i="3"/>
  <c r="M108" i="3"/>
  <c r="M120" i="3"/>
  <c r="M182" i="3"/>
  <c r="Q223" i="3"/>
  <c r="M272" i="3"/>
  <c r="M42" i="4"/>
  <c r="M96" i="4"/>
  <c r="Q50" i="3"/>
  <c r="Q95" i="3"/>
  <c r="U238" i="3"/>
  <c r="U187" i="3"/>
  <c r="U107" i="3"/>
  <c r="Q87" i="4"/>
  <c r="M132" i="4"/>
  <c r="U37" i="3"/>
  <c r="M119" i="3"/>
  <c r="U181" i="3"/>
  <c r="M19" i="3"/>
  <c r="M27" i="3"/>
  <c r="M135" i="3"/>
  <c r="M92" i="4"/>
  <c r="U61" i="3"/>
  <c r="Q99" i="3"/>
  <c r="U164" i="3"/>
  <c r="Q187" i="3"/>
  <c r="M118" i="3"/>
  <c r="M141" i="3"/>
  <c r="M145" i="3"/>
  <c r="M149" i="3"/>
  <c r="M55" i="3"/>
  <c r="U293" i="3"/>
  <c r="M106" i="4"/>
  <c r="M57" i="3"/>
  <c r="M95" i="3"/>
  <c r="M122" i="4"/>
  <c r="M126" i="4"/>
  <c r="Q238" i="3"/>
  <c r="U276" i="3"/>
  <c r="M280" i="3"/>
  <c r="M235" i="3"/>
  <c r="Q280" i="3"/>
  <c r="M142" i="4"/>
  <c r="M202" i="3"/>
  <c r="U235" i="3"/>
  <c r="U97" i="4"/>
  <c r="Q110" i="3"/>
  <c r="M125" i="3"/>
  <c r="U296" i="3"/>
  <c r="M33" i="3"/>
  <c r="Q218" i="3"/>
  <c r="U122" i="3"/>
  <c r="M156" i="3"/>
  <c r="M77" i="4"/>
  <c r="Q132" i="4"/>
  <c r="M53" i="3"/>
  <c r="M128" i="3"/>
  <c r="U135" i="3"/>
  <c r="M205" i="3"/>
  <c r="M213" i="3"/>
  <c r="M224" i="3"/>
  <c r="M242" i="3"/>
  <c r="M257" i="3"/>
  <c r="U92" i="4"/>
  <c r="Q35" i="3"/>
  <c r="U35" i="3"/>
  <c r="M203" i="3"/>
  <c r="U203" i="3"/>
  <c r="Q203" i="3"/>
  <c r="Q211" i="3"/>
  <c r="U211" i="3"/>
  <c r="Q270" i="3"/>
  <c r="Q197" i="3"/>
  <c r="U102" i="3"/>
  <c r="Q55" i="3"/>
  <c r="U74" i="4"/>
  <c r="Q74" i="4"/>
  <c r="U15" i="3"/>
  <c r="Q15" i="3"/>
  <c r="U52" i="3"/>
  <c r="U55" i="3"/>
  <c r="Q96" i="3"/>
  <c r="M183" i="3"/>
  <c r="U183" i="3"/>
  <c r="Q183" i="3"/>
  <c r="M74" i="4"/>
  <c r="M35" i="3"/>
  <c r="M86" i="3"/>
  <c r="U86" i="3"/>
  <c r="U115" i="3"/>
  <c r="Q115" i="3"/>
  <c r="Q32" i="3"/>
  <c r="M146" i="3"/>
  <c r="U146" i="3"/>
  <c r="Q146" i="3"/>
  <c r="M270" i="3"/>
  <c r="M25" i="3"/>
  <c r="M15" i="3"/>
  <c r="M117" i="4"/>
  <c r="U176" i="3"/>
  <c r="Q176" i="3"/>
  <c r="M176" i="3"/>
  <c r="Q242" i="3"/>
  <c r="U242" i="3"/>
  <c r="M67" i="4"/>
  <c r="U67" i="4"/>
  <c r="U65" i="3"/>
  <c r="Q65" i="3"/>
  <c r="U120" i="4"/>
  <c r="Q120" i="4"/>
  <c r="M120" i="4"/>
  <c r="Q25" i="3"/>
  <c r="M191" i="3"/>
  <c r="U29" i="3"/>
  <c r="M90" i="3"/>
  <c r="Q106" i="3"/>
  <c r="U256" i="3"/>
  <c r="U260" i="3"/>
  <c r="Q260" i="3"/>
  <c r="M126" i="3"/>
  <c r="U133" i="3"/>
  <c r="M133" i="3"/>
  <c r="U222" i="3"/>
  <c r="M147" i="4"/>
  <c r="Q219" i="3"/>
  <c r="U243" i="3"/>
  <c r="U212" i="3"/>
  <c r="U33" i="3"/>
  <c r="M40" i="3"/>
  <c r="Q47" i="3"/>
  <c r="Q171" i="3"/>
  <c r="U171" i="3"/>
  <c r="M171" i="3"/>
  <c r="U188" i="3"/>
  <c r="Q188" i="3"/>
  <c r="Q240" i="3"/>
  <c r="U240" i="3"/>
  <c r="M275" i="3"/>
  <c r="Q285" i="3"/>
  <c r="U42" i="4"/>
  <c r="Q67" i="3"/>
  <c r="M20" i="3"/>
  <c r="Q60" i="3"/>
  <c r="Q141" i="3"/>
  <c r="Q237" i="3"/>
  <c r="U237" i="3"/>
  <c r="Q265" i="3"/>
  <c r="U275" i="3"/>
  <c r="U122" i="4"/>
  <c r="U88" i="3"/>
  <c r="M88" i="3"/>
  <c r="U141" i="3"/>
  <c r="U20" i="3"/>
  <c r="M175" i="3"/>
  <c r="U182" i="3"/>
  <c r="Q182" i="3"/>
  <c r="U213" i="3"/>
  <c r="Q213" i="3"/>
  <c r="M217" i="3"/>
  <c r="M258" i="3"/>
  <c r="M293" i="3"/>
  <c r="Q39" i="4"/>
  <c r="U39" i="4"/>
  <c r="M39" i="4"/>
  <c r="M62" i="4"/>
  <c r="U69" i="4"/>
  <c r="Q133" i="4"/>
  <c r="M145" i="4"/>
  <c r="U145" i="4"/>
  <c r="Q17" i="3"/>
  <c r="U17" i="3"/>
  <c r="U57" i="3"/>
  <c r="M114" i="3"/>
  <c r="Q149" i="3"/>
  <c r="U189" i="3"/>
  <c r="Q189" i="3"/>
  <c r="M112" i="4"/>
  <c r="Q145" i="4"/>
  <c r="M129" i="3"/>
  <c r="Q71" i="4"/>
  <c r="M71" i="4"/>
  <c r="U71" i="4"/>
  <c r="U22" i="3"/>
  <c r="Q90" i="3"/>
  <c r="U106" i="3"/>
  <c r="Q129" i="3"/>
  <c r="Q140" i="3"/>
  <c r="U140" i="3"/>
  <c r="Q163" i="3"/>
  <c r="M184" i="3"/>
  <c r="U191" i="3"/>
  <c r="Q191" i="3"/>
  <c r="M253" i="3"/>
  <c r="M260" i="3"/>
  <c r="U100" i="4"/>
  <c r="Q100" i="4"/>
  <c r="M100" i="4"/>
  <c r="Q126" i="3"/>
  <c r="Q198" i="3"/>
  <c r="M34" i="4"/>
  <c r="Q147" i="4"/>
  <c r="U281" i="3"/>
  <c r="Q33" i="3"/>
  <c r="M70" i="3"/>
  <c r="U94" i="3"/>
  <c r="Q116" i="3"/>
  <c r="M195" i="3"/>
  <c r="U278" i="3"/>
  <c r="M285" i="3"/>
  <c r="U295" i="3"/>
  <c r="M57" i="4"/>
  <c r="U57" i="4"/>
  <c r="Q57" i="4"/>
  <c r="M111" i="4"/>
  <c r="M46" i="4"/>
  <c r="U46" i="4"/>
  <c r="Q30" i="3"/>
  <c r="M60" i="3"/>
  <c r="U70" i="3"/>
  <c r="M164" i="3"/>
  <c r="U178" i="3"/>
  <c r="U192" i="3"/>
  <c r="Q192" i="3"/>
  <c r="M240" i="3"/>
  <c r="M265" i="3"/>
  <c r="M27" i="4"/>
  <c r="Q46" i="4"/>
  <c r="Q122" i="4"/>
  <c r="U27" i="3"/>
  <c r="Q27" i="3"/>
  <c r="U44" i="3"/>
  <c r="U145" i="3"/>
  <c r="Q145" i="3"/>
  <c r="U41" i="3"/>
  <c r="M48" i="3"/>
  <c r="U48" i="3"/>
  <c r="M105" i="3"/>
  <c r="Q114" i="3"/>
  <c r="U149" i="3"/>
  <c r="Q172" i="3"/>
  <c r="M197" i="3"/>
  <c r="M200" i="3"/>
  <c r="M255" i="3"/>
  <c r="M66" i="4"/>
  <c r="Q112" i="4"/>
  <c r="M64" i="4"/>
  <c r="U64" i="4"/>
  <c r="Q184" i="3"/>
  <c r="M246" i="3"/>
  <c r="M281" i="3"/>
  <c r="M295" i="3"/>
  <c r="M30" i="3"/>
  <c r="M134" i="3"/>
  <c r="U134" i="3"/>
  <c r="U137" i="4"/>
  <c r="Q137" i="4"/>
  <c r="M137" i="4"/>
  <c r="Q75" i="3"/>
  <c r="M75" i="3"/>
  <c r="U75" i="3"/>
  <c r="Q105" i="3"/>
  <c r="Q111" i="3"/>
  <c r="Q193" i="3"/>
  <c r="U241" i="3"/>
  <c r="Q255" i="3"/>
  <c r="M290" i="3"/>
  <c r="Q51" i="4"/>
  <c r="U66" i="4"/>
  <c r="M116" i="4"/>
  <c r="M284" i="3"/>
  <c r="M52" i="4"/>
  <c r="Q112" i="3"/>
  <c r="U19" i="3"/>
  <c r="M140" i="3"/>
  <c r="Q77" i="3"/>
  <c r="U126" i="3"/>
  <c r="U246" i="3"/>
  <c r="Q34" i="4"/>
  <c r="M91" i="3"/>
  <c r="U91" i="3"/>
  <c r="Q209" i="3"/>
  <c r="Q120" i="3"/>
  <c r="U209" i="3"/>
  <c r="M32" i="3"/>
  <c r="U45" i="3"/>
  <c r="Q45" i="3"/>
  <c r="U68" i="3"/>
  <c r="M180" i="3"/>
  <c r="U51" i="4"/>
  <c r="M121" i="3"/>
  <c r="M142" i="3"/>
  <c r="M194" i="3"/>
  <c r="M220" i="3"/>
  <c r="M52" i="3"/>
  <c r="Q130" i="3"/>
  <c r="Q136" i="3"/>
  <c r="Q142" i="3"/>
  <c r="M167" i="3"/>
  <c r="M179" i="3"/>
  <c r="Q207" i="3"/>
  <c r="U236" i="3"/>
  <c r="M273" i="3"/>
  <c r="M97" i="4"/>
  <c r="M113" i="4"/>
  <c r="Q123" i="4"/>
  <c r="M23" i="3"/>
  <c r="M112" i="3"/>
  <c r="M115" i="3"/>
  <c r="U142" i="3"/>
  <c r="Q273" i="3"/>
  <c r="M276" i="3"/>
  <c r="M110" i="4"/>
  <c r="U24" i="3"/>
  <c r="Q131" i="3"/>
  <c r="M137" i="3"/>
  <c r="M143" i="3"/>
  <c r="Q208" i="3"/>
  <c r="M36" i="4"/>
  <c r="M61" i="4"/>
  <c r="Q40" i="3"/>
  <c r="M47" i="3"/>
  <c r="Q62" i="3"/>
  <c r="M79" i="3"/>
  <c r="M98" i="3"/>
  <c r="M104" i="3"/>
  <c r="M113" i="3"/>
  <c r="Q125" i="3"/>
  <c r="Q137" i="3"/>
  <c r="Q168" i="3"/>
  <c r="U177" i="3"/>
  <c r="M212" i="3"/>
  <c r="Q221" i="3"/>
  <c r="M250" i="3"/>
  <c r="Q36" i="4"/>
  <c r="M54" i="4"/>
  <c r="Q61" i="4"/>
  <c r="Q95" i="4"/>
  <c r="Q142" i="4"/>
  <c r="M146" i="4"/>
  <c r="U40" i="3"/>
  <c r="Q104" i="3"/>
  <c r="U125" i="3"/>
  <c r="M190" i="3"/>
  <c r="M241" i="3"/>
  <c r="Q250" i="3"/>
  <c r="U61" i="4"/>
  <c r="M105" i="4"/>
  <c r="U142" i="4"/>
  <c r="M208" i="3"/>
  <c r="M168" i="3"/>
  <c r="M221" i="3"/>
  <c r="M95" i="4"/>
  <c r="M172" i="3"/>
  <c r="Q224" i="3"/>
  <c r="U54" i="4"/>
  <c r="U105" i="4"/>
  <c r="M108" i="4"/>
  <c r="Q174" i="3"/>
  <c r="M174" i="3"/>
  <c r="U174" i="3"/>
  <c r="Q69" i="3"/>
  <c r="U69" i="3"/>
  <c r="M69" i="3"/>
  <c r="M132" i="3"/>
  <c r="U16" i="4"/>
  <c r="Q16" i="4"/>
  <c r="M103" i="4"/>
  <c r="Q66" i="3"/>
  <c r="U66" i="3"/>
  <c r="Q132" i="3"/>
  <c r="M16" i="4"/>
  <c r="Q27" i="4"/>
  <c r="Q77" i="4"/>
  <c r="Q103" i="4"/>
  <c r="M51" i="3"/>
  <c r="Q54" i="3"/>
  <c r="U54" i="3"/>
  <c r="M54" i="3"/>
  <c r="M63" i="3"/>
  <c r="M66" i="3"/>
  <c r="M97" i="3"/>
  <c r="U117" i="3"/>
  <c r="Q117" i="3"/>
  <c r="M144" i="3"/>
  <c r="U294" i="3"/>
  <c r="Q294" i="3"/>
  <c r="U27" i="4"/>
  <c r="U77" i="4"/>
  <c r="M39" i="3"/>
  <c r="U51" i="3"/>
  <c r="Q63" i="3"/>
  <c r="Q97" i="3"/>
  <c r="M117" i="3"/>
  <c r="Q144" i="3"/>
  <c r="U204" i="3"/>
  <c r="Q204" i="3"/>
  <c r="M226" i="3"/>
  <c r="M288" i="3"/>
  <c r="Q291" i="3"/>
  <c r="U291" i="3"/>
  <c r="M294" i="3"/>
  <c r="M24" i="4"/>
  <c r="U31" i="4"/>
  <c r="Q31" i="4"/>
  <c r="M31" i="4"/>
  <c r="M36" i="3"/>
  <c r="U39" i="3"/>
  <c r="M204" i="3"/>
  <c r="Q226" i="3"/>
  <c r="Q288" i="3"/>
  <c r="M291" i="3"/>
  <c r="Q24" i="4"/>
  <c r="U91" i="4"/>
  <c r="Q91" i="4"/>
  <c r="U36" i="3"/>
  <c r="U214" i="3"/>
  <c r="Q214" i="3"/>
  <c r="M91" i="4"/>
  <c r="U130" i="4"/>
  <c r="Q130" i="4"/>
  <c r="M130" i="4"/>
  <c r="M28" i="3"/>
  <c r="U124" i="3"/>
  <c r="Q124" i="3"/>
  <c r="M214" i="3"/>
  <c r="M101" i="4"/>
  <c r="Q28" i="3"/>
  <c r="M89" i="3"/>
  <c r="U109" i="3"/>
  <c r="Q109" i="3"/>
  <c r="M124" i="3"/>
  <c r="U196" i="3"/>
  <c r="Q196" i="3"/>
  <c r="U279" i="3"/>
  <c r="Q279" i="3"/>
  <c r="U21" i="4"/>
  <c r="Q21" i="4"/>
  <c r="M21" i="4"/>
  <c r="M49" i="4"/>
  <c r="Q52" i="4"/>
  <c r="M31" i="3"/>
  <c r="M58" i="3"/>
  <c r="Q89" i="3"/>
  <c r="M109" i="3"/>
  <c r="M196" i="3"/>
  <c r="M279" i="3"/>
  <c r="Q49" i="4"/>
  <c r="U52" i="4"/>
  <c r="U141" i="4"/>
  <c r="Q141" i="4"/>
  <c r="U31" i="3"/>
  <c r="M34" i="3"/>
  <c r="Q92" i="3"/>
  <c r="M92" i="3"/>
  <c r="M193" i="3"/>
  <c r="M141" i="4"/>
  <c r="U43" i="3"/>
  <c r="Q43" i="3"/>
  <c r="M43" i="3"/>
  <c r="U62" i="4"/>
  <c r="M59" i="3"/>
  <c r="M71" i="3"/>
  <c r="U74" i="3"/>
  <c r="Q87" i="3"/>
  <c r="U87" i="3"/>
  <c r="Q179" i="3"/>
  <c r="U264" i="3"/>
  <c r="Q264" i="3"/>
  <c r="U26" i="4"/>
  <c r="Q26" i="4"/>
  <c r="M115" i="4"/>
  <c r="U118" i="4"/>
  <c r="Q118" i="4"/>
  <c r="M118" i="4"/>
  <c r="U135" i="4"/>
  <c r="Q135" i="4"/>
  <c r="U59" i="3"/>
  <c r="U71" i="3"/>
  <c r="M87" i="3"/>
  <c r="U179" i="3"/>
  <c r="U244" i="3"/>
  <c r="Q244" i="3"/>
  <c r="M264" i="3"/>
  <c r="M26" i="4"/>
  <c r="Q115" i="4"/>
  <c r="M135" i="4"/>
  <c r="U253" i="3"/>
  <c r="Q253" i="3"/>
  <c r="M56" i="4"/>
  <c r="M59" i="4"/>
  <c r="Q62" i="4"/>
  <c r="Q56" i="4"/>
  <c r="M26" i="3"/>
  <c r="U59" i="4"/>
  <c r="U138" i="4"/>
  <c r="M138" i="4"/>
  <c r="Q138" i="4"/>
  <c r="U216" i="3"/>
  <c r="Q216" i="3"/>
  <c r="M274" i="3"/>
  <c r="M47" i="4"/>
  <c r="U47" i="4"/>
  <c r="Q47" i="4"/>
  <c r="U125" i="4"/>
  <c r="Q125" i="4"/>
  <c r="M125" i="4"/>
  <c r="U121" i="4"/>
  <c r="Q121" i="4"/>
  <c r="M121" i="4"/>
  <c r="U23" i="3"/>
  <c r="Q23" i="3"/>
  <c r="M74" i="3"/>
  <c r="M216" i="3"/>
  <c r="M37" i="4"/>
  <c r="U37" i="4"/>
  <c r="U44" i="4"/>
  <c r="Q44" i="4"/>
  <c r="M44" i="4"/>
  <c r="U106" i="4"/>
  <c r="Q106" i="4"/>
  <c r="U248" i="3"/>
  <c r="Q248" i="3"/>
  <c r="Q258" i="3"/>
  <c r="Q148" i="4"/>
  <c r="U58" i="3"/>
  <c r="Q166" i="3"/>
  <c r="Q206" i="3"/>
  <c r="U271" i="3"/>
  <c r="Q76" i="4"/>
  <c r="Q98" i="4"/>
  <c r="U110" i="4"/>
  <c r="Q58" i="3"/>
  <c r="U78" i="3"/>
  <c r="M136" i="3"/>
  <c r="M166" i="3"/>
  <c r="U194" i="3"/>
  <c r="Q194" i="3"/>
  <c r="M206" i="3"/>
  <c r="U258" i="3"/>
  <c r="U261" i="3"/>
  <c r="M271" i="3"/>
  <c r="U283" i="3"/>
  <c r="M76" i="4"/>
  <c r="Q88" i="4"/>
  <c r="M98" i="4"/>
  <c r="Q110" i="4"/>
  <c r="U113" i="4"/>
  <c r="Q113" i="4"/>
  <c r="M61" i="3"/>
  <c r="U119" i="3"/>
  <c r="Q119" i="3"/>
  <c r="Q169" i="3"/>
  <c r="M169" i="3"/>
  <c r="U126" i="4"/>
  <c r="Q126" i="4"/>
  <c r="M78" i="3"/>
  <c r="Q18" i="3"/>
  <c r="M18" i="3"/>
  <c r="Q64" i="3"/>
  <c r="U64" i="3"/>
  <c r="M64" i="3"/>
  <c r="M116" i="3"/>
  <c r="U249" i="3"/>
  <c r="Q249" i="3"/>
  <c r="M32" i="4"/>
  <c r="U32" i="4"/>
  <c r="Q32" i="4"/>
  <c r="M102" i="3"/>
  <c r="U186" i="3"/>
  <c r="Q186" i="3"/>
  <c r="M249" i="3"/>
  <c r="U15" i="4"/>
  <c r="Q15" i="4"/>
  <c r="M15" i="4"/>
  <c r="M22" i="4"/>
  <c r="U22" i="4"/>
  <c r="Q22" i="4"/>
  <c r="U127" i="3"/>
  <c r="Q127" i="3"/>
  <c r="M163" i="3"/>
  <c r="M248" i="3"/>
  <c r="M283" i="3"/>
  <c r="U289" i="3"/>
  <c r="Q289" i="3"/>
  <c r="M41" i="4"/>
  <c r="M148" i="4"/>
  <c r="Q26" i="3"/>
  <c r="U26" i="3"/>
  <c r="M127" i="3"/>
  <c r="M261" i="3"/>
  <c r="M268" i="3"/>
  <c r="U274" i="3"/>
  <c r="Q274" i="3"/>
  <c r="Q286" i="3"/>
  <c r="U286" i="3"/>
  <c r="M289" i="3"/>
  <c r="Q41" i="4"/>
  <c r="M88" i="4"/>
  <c r="U101" i="4"/>
  <c r="Q101" i="4"/>
  <c r="U116" i="4"/>
  <c r="Q116" i="4"/>
  <c r="U18" i="3"/>
  <c r="M21" i="3"/>
  <c r="M94" i="3"/>
  <c r="U21" i="3"/>
  <c r="M24" i="3"/>
  <c r="M44" i="3"/>
  <c r="U73" i="3"/>
  <c r="Q73" i="3"/>
  <c r="M73" i="3"/>
  <c r="M186" i="3"/>
  <c r="M198" i="3"/>
  <c r="U19" i="4"/>
  <c r="Q19" i="4"/>
  <c r="U29" i="4"/>
  <c r="Q29" i="4"/>
  <c r="Q42" i="4"/>
  <c r="Q67" i="4"/>
  <c r="M123" i="4"/>
  <c r="M111" i="3"/>
  <c r="U259" i="3"/>
  <c r="Q259" i="3"/>
  <c r="U86" i="4"/>
  <c r="Q86" i="4"/>
  <c r="U136" i="4"/>
  <c r="Q136" i="4"/>
  <c r="M29" i="3"/>
  <c r="M56" i="3"/>
  <c r="M236" i="3"/>
  <c r="U239" i="3"/>
  <c r="Q239" i="3"/>
  <c r="M256" i="3"/>
  <c r="M259" i="3"/>
  <c r="M86" i="4"/>
  <c r="M133" i="4"/>
  <c r="M136" i="4"/>
  <c r="M101" i="3"/>
  <c r="M178" i="3"/>
  <c r="U234" i="3"/>
  <c r="Q234" i="3"/>
  <c r="U254" i="3"/>
  <c r="Q254" i="3"/>
  <c r="M17" i="4"/>
  <c r="U20" i="4"/>
  <c r="Q20" i="4"/>
  <c r="M20" i="4"/>
  <c r="U131" i="4"/>
  <c r="Q131" i="4"/>
  <c r="M16" i="3"/>
  <c r="M38" i="3"/>
  <c r="M46" i="3"/>
  <c r="M139" i="3"/>
  <c r="M147" i="3"/>
  <c r="M234" i="3"/>
  <c r="M251" i="3"/>
  <c r="M254" i="3"/>
  <c r="M263" i="3"/>
  <c r="Q17" i="4"/>
  <c r="M90" i="4"/>
  <c r="M128" i="4"/>
  <c r="M131" i="4"/>
  <c r="M140" i="4"/>
  <c r="U16" i="3"/>
  <c r="Q38" i="3"/>
  <c r="U46" i="3"/>
  <c r="M131" i="3"/>
  <c r="Q139" i="3"/>
  <c r="Q147" i="3"/>
  <c r="U251" i="3"/>
  <c r="Q263" i="3"/>
  <c r="U269" i="3"/>
  <c r="Q269" i="3"/>
  <c r="U17" i="4"/>
  <c r="Q90" i="4"/>
  <c r="U96" i="4"/>
  <c r="Q96" i="4"/>
  <c r="Q128" i="4"/>
  <c r="Q140" i="4"/>
  <c r="U146" i="4"/>
  <c r="Q146" i="4"/>
  <c r="M49" i="3"/>
  <c r="M68" i="3"/>
  <c r="M76" i="3"/>
  <c r="M96" i="3"/>
  <c r="M173" i="3"/>
  <c r="M211" i="3"/>
  <c r="M243" i="3"/>
  <c r="M266" i="3"/>
  <c r="M269" i="3"/>
  <c r="M278" i="3"/>
  <c r="M72" i="4"/>
  <c r="M41" i="3"/>
  <c r="U49" i="3"/>
  <c r="U76" i="3"/>
  <c r="U266" i="3"/>
  <c r="U284" i="3"/>
  <c r="Q284" i="3"/>
  <c r="Q72" i="4"/>
  <c r="Q93" i="4"/>
  <c r="U111" i="4"/>
  <c r="Q111" i="4"/>
  <c r="Q143" i="4"/>
  <c r="M25" i="4"/>
  <c r="M30" i="4"/>
  <c r="M35" i="4"/>
  <c r="M40" i="4"/>
  <c r="M45" i="4"/>
  <c r="M50" i="4"/>
  <c r="M55" i="4"/>
  <c r="M60" i="4"/>
  <c r="M65" i="4"/>
  <c r="M70" i="4"/>
  <c r="M75" i="4"/>
  <c r="Q25" i="4"/>
  <c r="Q30" i="4"/>
  <c r="Q35" i="4"/>
  <c r="Q40" i="4"/>
  <c r="Q45" i="4"/>
  <c r="Q50" i="4"/>
  <c r="Q55" i="4"/>
  <c r="Q60" i="4"/>
  <c r="Q65" i="4"/>
  <c r="Q70" i="4"/>
  <c r="Q75" i="4"/>
  <c r="Q88" i="3"/>
  <c r="Q93" i="3"/>
  <c r="Q98" i="3"/>
  <c r="Q103" i="3"/>
  <c r="Q108" i="3"/>
  <c r="Q113" i="3"/>
  <c r="Q118" i="3"/>
  <c r="Q123" i="3"/>
  <c r="Q128" i="3"/>
  <c r="Q133" i="3"/>
  <c r="Q138" i="3"/>
  <c r="Q143" i="3"/>
  <c r="Q148" i="3"/>
  <c r="Q165" i="3"/>
  <c r="Q170" i="3"/>
  <c r="Q175" i="3"/>
  <c r="Q180" i="3"/>
  <c r="Q185" i="3"/>
  <c r="Q190" i="3"/>
  <c r="Q195" i="3"/>
  <c r="Q200" i="3"/>
  <c r="Q205" i="3"/>
  <c r="Q210" i="3"/>
  <c r="Q215" i="3"/>
  <c r="Q220" i="3"/>
  <c r="Q225" i="3"/>
  <c r="M89" i="4"/>
  <c r="M94" i="4"/>
  <c r="M99" i="4"/>
  <c r="M104" i="4"/>
  <c r="M109" i="4"/>
  <c r="M114" i="4"/>
  <c r="M119" i="4"/>
  <c r="M124" i="4"/>
  <c r="M129" i="4"/>
  <c r="M134" i="4"/>
  <c r="M139" i="4"/>
  <c r="M144" i="4"/>
  <c r="M149" i="4"/>
  <c r="Q89" i="4"/>
  <c r="Q94" i="4"/>
  <c r="Q99" i="4"/>
  <c r="Q104" i="4"/>
  <c r="Q109" i="4"/>
  <c r="Q114" i="4"/>
  <c r="Q119" i="4"/>
  <c r="Q124" i="4"/>
  <c r="Q129" i="4"/>
  <c r="Q134" i="4"/>
  <c r="Q139" i="4"/>
  <c r="Q144" i="4"/>
  <c r="Q149" i="4"/>
  <c r="Q252" i="3"/>
  <c r="Q257" i="3"/>
  <c r="Q262" i="3"/>
  <c r="Q267" i="3"/>
  <c r="Q272" i="3"/>
  <c r="Q277" i="3"/>
  <c r="Q282" i="3"/>
  <c r="Q287" i="3"/>
  <c r="Q292" i="3"/>
  <c r="Q297" i="3"/>
  <c r="M18" i="4"/>
  <c r="M23" i="4"/>
  <c r="M28" i="4"/>
  <c r="M33" i="4"/>
  <c r="M38" i="4"/>
  <c r="M43" i="4"/>
  <c r="M48" i="4"/>
  <c r="M53" i="4"/>
  <c r="M58" i="4"/>
  <c r="M63" i="4"/>
  <c r="M68" i="4"/>
  <c r="M73" i="4"/>
  <c r="M78" i="4"/>
  <c r="Q18" i="4"/>
  <c r="Q23" i="4"/>
  <c r="Q28" i="4"/>
  <c r="Q33" i="4"/>
  <c r="Q38" i="4"/>
  <c r="Q43" i="4"/>
  <c r="Q48" i="4"/>
  <c r="Q53" i="4"/>
  <c r="Q58" i="4"/>
  <c r="Q63" i="4"/>
  <c r="Q68" i="4"/>
  <c r="Q73" i="4"/>
  <c r="Q78" i="4"/>
  <c r="C7" i="3" l="1"/>
  <c r="B20" i="1" s="1"/>
  <c r="D7" i="3"/>
  <c r="M150" i="3"/>
  <c r="C7" i="4"/>
  <c r="D9" i="3"/>
  <c r="B29" i="1" s="1"/>
  <c r="M298" i="3"/>
  <c r="M227" i="3"/>
  <c r="D8" i="3"/>
  <c r="B25" i="1" s="1"/>
  <c r="M150" i="4"/>
  <c r="D7" i="4"/>
  <c r="H7" i="4" s="1"/>
  <c r="H7" i="3" l="1"/>
  <c r="B21" i="1"/>
  <c r="E7" i="3"/>
  <c r="H8" i="3"/>
  <c r="E8" i="3"/>
  <c r="H9" i="3"/>
  <c r="E9" i="3"/>
  <c r="E7" i="4"/>
</calcChain>
</file>

<file path=xl/sharedStrings.xml><?xml version="1.0" encoding="utf-8"?>
<sst xmlns="http://schemas.openxmlformats.org/spreadsheetml/2006/main" count="1097" uniqueCount="130">
  <si>
    <t>Model: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</si>
  <si>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</si>
  <si>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</si>
  <si>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</si>
  <si>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</si>
  <si>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</si>
  <si>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</si>
  <si>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</si>
  <si>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</si>
  <si>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</si>
  <si>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</si>
  <si>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</si>
  <si>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</si>
  <si>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</si>
  <si>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</si>
  <si>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</si>
  <si>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</si>
  <si>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H027 Card Range Weight Summary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</si>
  <si>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</si>
  <si>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</si>
  <si>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</si>
  <si>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</si>
  <si>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</si>
  <si>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</si>
  <si>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</si>
  <si>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</si>
  <si>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</si>
  <si>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</si>
  <si>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</si>
  <si>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</si>
  <si>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</si>
  <si>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</si>
  <si>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</si>
  <si>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</si>
  <si>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</si>
  <si>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</si>
  <si>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</si>
  <si>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</si>
  <si>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</si>
  <si>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</si>
  <si>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</si>
  <si>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</si>
  <si>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</si>
  <si>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</si>
  <si>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</si>
  <si>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</si>
  <si>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</si>
  <si>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</si>
  <si>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</si>
  <si>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</si>
  <si>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</si>
  <si>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</si>
  <si>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</si>
  <si>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</si>
  <si>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</si>
  <si>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</si>
  <si>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</si>
  <si>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</si>
  <si>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</si>
  <si>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</si>
  <si>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</si>
  <si>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</si>
  <si>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</si>
  <si>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</si>
  <si>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</si>
  <si>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</si>
  <si>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</si>
  <si>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</si>
  <si>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</si>
  <si>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</si>
  <si>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</si>
  <si>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</si>
  <si>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</si>
  <si>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</si>
  <si>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</si>
  <si>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</si>
  <si>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</si>
  <si>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</si>
  <si>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</si>
  <si>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</si>
  <si>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</si>
  <si>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</si>
  <si>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</si>
  <si>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</si>
  <si>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</si>
  <si>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</si>
  <si>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</si>
  <si>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</si>
  <si>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</si>
  <si>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</si>
  <si>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</si>
  <si>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</si>
  <si>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</si>
  <si>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</si>
  <si>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</si>
  <si>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</si>
  <si>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</si>
  <si>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</si>
  <si>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</si>
  <si>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Oldhand Normal Bet BG (94 Game RTP family)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</si>
  <si>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</si>
  <si>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</si>
  <si>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</si>
  <si>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</si>
  <si>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</si>
  <si>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</si>
  <si>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</si>
  <si>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</si>
  <si>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</si>
  <si>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</si>
  <si>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</si>
  <si>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</si>
  <si>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</si>
  <si>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</si>
  <si>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</si>
  <si>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Oldhand Normal Bet FG</t>
  </si>
  <si>
    <t>Oldhand Buy Feature</t>
  </si>
  <si>
    <t>Oldhand Buy Feature Big Bet (independent weights)</t>
  </si>
  <si>
    <t>Newbie Normal Bet BG</t>
  </si>
  <si>
    <t>Newbie Normal Bet FG</t>
  </si>
  <si>
    <t>SCR</t>
  </si>
  <si>
    <t>NB_Newbie</t>
  </si>
  <si>
    <t>NB</t>
  </si>
  <si>
    <t>BF</t>
  </si>
  <si>
    <t>SF</t>
  </si>
  <si>
    <t>H027194</t>
    <phoneticPr fontId="20" type="noConversion"/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</si>
  <si>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</si>
  <si>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</si>
  <si>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</si>
  <si>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Super Feature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</si>
</sst>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3" fontId="19" fillId="35" borderId="11" xfId="0" applyNumberFormat="1" applyFont="1" applyFill="1" applyBorder="1"/>
    <xf numFmtId="0" fontId="0" fillId="0" borderId="11" xfId="0" applyBorder="1"/>
    <xf numFmtId="10" fontId="23" fillId="0" borderId="12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2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23" fillId="0" borderId="0" xfId="1" applyNumberFormat="1" applyFont="1" applyAlignment="1">
      <alignment vertical="center"/>
    </xf>
    <xf numFmtId="10" fontId="23" fillId="39" borderId="0" xfId="1" applyNumberFormat="1" applyFont="1" applyFill="1" applyAlignment="1">
      <alignment vertical="center"/>
    </xf>
    <xf numFmtId="10" fontId="23" fillId="0" borderId="11" xfId="1" applyNumberFormat="1" applyFont="1" applyBorder="1" applyAlignment="1">
      <alignment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2" xfId="61099" applyNumberFormat="1" applyFont="1" applyFill="1" applyBorder="1" applyAlignment="1">
      <alignment vertical="center"/>
    </xf>
    <xf numFmtId="178" fontId="23" fillId="0" borderId="12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2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1" applyNumberFormat="1" applyFont="1">
      <alignment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>
      <alignment vertical="center"/>
    </xf>
    <xf numFmtId="177" fontId="19" fillId="0" borderId="0" xfId="1" applyNumberFormat="1" applyFont="1">
      <alignment vertical="center"/>
    </xf>
    <xf numFmtId="0" fontId="19" fillId="0" borderId="12" xfId="0" applyFont="1" applyBorder="1" applyAlignment="1">
      <alignment horizontal="center" vertical="center" wrapText="1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10" fontId="19" fillId="0" borderId="12" xfId="1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1" xfId="0" applyNumberFormat="1" applyFont="1" applyBorder="1" applyAlignment="1">
      <alignment horizontal="center" vertical="center" wrapText="1"/>
    </xf>
    <xf numFmtId="178" fontId="19" fillId="0" borderId="11" xfId="0" applyNumberFormat="1" applyFont="1" applyBorder="1" applyAlignment="1">
      <alignment horizontal="center" vertical="center" wrapText="1"/>
    </xf>
    <xf numFmtId="178" fontId="19" fillId="33" borderId="11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1:J36"/>
  <sheetViews>
    <sheetView zoomScale="85" zoomScaleNormal="85" workbookViewId="0">
      <selection activeCell="H17" sqref="H17"/>
    </sheetView>
  </sheetViews>
  <sheetFormatPr defaultColWidth="8.88671875" defaultRowHeight="15.6" x14ac:dyDescent="0.3"/>
  <cols>
    <col min="1" max="1" width="28.77734375" style="1" customWidth="1"/>
    <col min="2" max="2" width="22.88671875" style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1" spans="1:10" ht="15.6" customHeight="1" x14ac:dyDescent="0.3"/>
    <row r="2" spans="1:10" ht="15.6" customHeight="1" x14ac:dyDescent="0.3">
      <c r="A2" s="3" t="s">
        <v>0</v>
      </c>
      <c r="B2" s="58" t="s">
        <v>125</v>
      </c>
    </row>
    <row r="3" spans="1:10" ht="15.6" customHeight="1" x14ac:dyDescent="0.3">
      <c r="A3" s="3" t="s">
        <v>1</v>
      </c>
      <c r="B3" s="59" t="s">
        <v>126</v>
      </c>
      <c r="C3" s="59"/>
    </row>
    <row r="4" spans="1:10" ht="15.6" customHeight="1" x14ac:dyDescent="0.3"/>
    <row r="5" spans="1:10" ht="15.6" customHeight="1" x14ac:dyDescent="0.3">
      <c r="A5" s="3"/>
      <c r="B5" s="5"/>
      <c r="C5" s="5"/>
    </row>
    <row r="6" spans="1:10" ht="15.6" customHeight="1" x14ac:dyDescent="0.3">
      <c r="A6" s="8" t="s">
        <v>2</v>
      </c>
      <c r="E6" s="65"/>
      <c r="F6" s="65"/>
      <c r="G6" s="93"/>
      <c r="H6" s="93"/>
      <c r="I6" s="93"/>
      <c r="J6" s="65"/>
    </row>
    <row r="7" spans="1:10" ht="15.6" customHeight="1" x14ac:dyDescent="0.3">
      <c r="A7" s="94">
        <v>100</v>
      </c>
      <c r="H7" s="95"/>
      <c r="I7" s="96"/>
      <c r="J7" s="66"/>
    </row>
    <row r="8" spans="1:10" ht="15.6" customHeight="1" x14ac:dyDescent="0.3">
      <c r="H8" s="95"/>
      <c r="I8" s="96"/>
      <c r="J8" s="66"/>
    </row>
    <row r="9" spans="1:10" ht="15.6" customHeight="1" x14ac:dyDescent="0.3">
      <c r="H9" s="95"/>
      <c r="I9" s="96"/>
      <c r="J9" s="66"/>
    </row>
    <row r="10" spans="1:10" ht="16.2" customHeight="1" x14ac:dyDescent="0.3">
      <c r="A10" s="8" t="s">
        <v>3</v>
      </c>
      <c r="B10" s="8" t="s">
        <v>4</v>
      </c>
      <c r="C10" s="15" t="s">
        <v>5</v>
      </c>
      <c r="D10"/>
      <c r="E10" s="95"/>
      <c r="F10" s="96"/>
      <c r="G10" s="66"/>
    </row>
    <row r="11" spans="1:10" ht="16.2" customHeight="1" x14ac:dyDescent="0.3">
      <c r="A11" s="97">
        <v>100</v>
      </c>
      <c r="B11" s="94">
        <v>1</v>
      </c>
      <c r="C11" s="92" t="s">
        <v>6</v>
      </c>
      <c r="D11"/>
      <c r="E11" s="95"/>
      <c r="F11" s="96"/>
      <c r="G11" s="66"/>
    </row>
    <row r="12" spans="1:10" ht="16.2" customHeight="1" x14ac:dyDescent="0.3">
      <c r="A12" s="97">
        <v>200</v>
      </c>
      <c r="B12" s="94">
        <v>2</v>
      </c>
      <c r="C12" s="92" t="s">
        <v>7</v>
      </c>
      <c r="D12"/>
      <c r="E12" s="95"/>
      <c r="F12" s="96"/>
      <c r="G12" s="66"/>
    </row>
    <row r="13" spans="1:10" ht="16.2" customHeight="1" x14ac:dyDescent="0.3">
      <c r="A13" s="97">
        <v>10000</v>
      </c>
      <c r="B13" s="94">
        <v>100</v>
      </c>
      <c r="C13" s="92" t="s">
        <v>8</v>
      </c>
      <c r="D13"/>
      <c r="H13" s="95"/>
      <c r="I13" s="96"/>
      <c r="J13" s="66"/>
    </row>
    <row r="14" spans="1:10" ht="15.6" customHeight="1" x14ac:dyDescent="0.3">
      <c r="H14" s="95"/>
      <c r="I14" s="96"/>
      <c r="J14" s="66"/>
    </row>
    <row r="15" spans="1:10" ht="15.6" customHeight="1" x14ac:dyDescent="0.3">
      <c r="A15" s="8" t="s">
        <v>9</v>
      </c>
      <c r="B15" s="98">
        <v>1</v>
      </c>
      <c r="C15" s="99">
        <v>2</v>
      </c>
      <c r="D15" s="99">
        <v>3</v>
      </c>
      <c r="E15" s="98">
        <v>4</v>
      </c>
      <c r="F15" s="100">
        <v>5</v>
      </c>
      <c r="G15" s="100">
        <v>6</v>
      </c>
      <c r="H15" s="95"/>
      <c r="I15" s="96"/>
      <c r="J15" s="66"/>
    </row>
    <row r="16" spans="1:10" ht="15.6" customHeight="1" x14ac:dyDescent="0.3">
      <c r="A16" s="101" t="s">
        <v>10</v>
      </c>
      <c r="B16" s="102">
        <v>5</v>
      </c>
      <c r="C16" s="102">
        <v>5</v>
      </c>
      <c r="D16" s="102">
        <v>5</v>
      </c>
      <c r="E16" s="102">
        <v>5</v>
      </c>
      <c r="F16" s="103">
        <v>5</v>
      </c>
      <c r="G16" s="103">
        <v>5</v>
      </c>
      <c r="H16" s="95"/>
      <c r="I16" s="96"/>
      <c r="J16" s="66"/>
    </row>
    <row r="17" spans="1:10" ht="15.6" customHeight="1" x14ac:dyDescent="0.3">
      <c r="H17" s="95"/>
      <c r="I17" s="96"/>
      <c r="J17" s="66"/>
    </row>
    <row r="18" spans="1:10" ht="15.6" customHeight="1" x14ac:dyDescent="0.3">
      <c r="H18" s="95"/>
      <c r="I18" s="96"/>
      <c r="J18" s="66"/>
    </row>
    <row r="19" spans="1:10" ht="15.6" customHeight="1" x14ac:dyDescent="0.3">
      <c r="A19" s="15" t="s">
        <v>5</v>
      </c>
      <c r="B19" s="8" t="s">
        <v>13</v>
      </c>
      <c r="C19" s="8" t="s">
        <v>14</v>
      </c>
      <c r="D19" s="8" t="s">
        <v>15</v>
      </c>
      <c r="E19" s="8" t="s">
        <v>16</v>
      </c>
      <c r="H19" s="95"/>
      <c r="I19" s="96"/>
      <c r="J19" s="66"/>
    </row>
    <row r="20" spans="1:10" ht="15.6" customHeight="1" x14ac:dyDescent="0.3">
      <c r="A20" s="104" t="s">
        <v>127</v>
      </c>
      <c r="B20" s="17">
        <f>Detail!C7</f>
        <v>0.7942213322328816</v>
      </c>
      <c r="C20" s="106">
        <f>1/D20</f>
        <v>3.3333337253555599E-3</v>
      </c>
      <c r="D20" s="108">
        <f>Detail!G7</f>
        <v>299.99996471800375</v>
      </c>
      <c r="E20" s="14" t="s">
        <v>11</v>
      </c>
      <c r="F20" s="4"/>
      <c r="G20" s="4"/>
      <c r="H20" s="4"/>
      <c r="I20" s="4"/>
    </row>
    <row r="21" spans="1:10" ht="15.6" customHeight="1" x14ac:dyDescent="0.3">
      <c r="A21" s="105"/>
      <c r="B21" s="17">
        <f>Detail!D7</f>
        <v>0.19999999973822272</v>
      </c>
      <c r="C21" s="105"/>
      <c r="D21" s="105"/>
      <c r="E21" s="14" t="s">
        <v>12</v>
      </c>
      <c r="F21" s="4"/>
      <c r="G21" s="4"/>
      <c r="H21" s="4"/>
      <c r="I21" s="4"/>
    </row>
    <row r="22" spans="1:10" ht="15.6" customHeight="1" x14ac:dyDescent="0.3">
      <c r="A22" s="18"/>
      <c r="B22" s="6"/>
      <c r="C22" s="16"/>
      <c r="D22" s="67"/>
      <c r="E22" s="95"/>
      <c r="F22" s="4"/>
      <c r="G22" s="4"/>
      <c r="H22" s="4"/>
      <c r="I22" s="4"/>
    </row>
    <row r="23" spans="1:10" ht="15.6" customHeight="1" x14ac:dyDescent="0.3">
      <c r="A23" s="15" t="s">
        <v>5</v>
      </c>
      <c r="B23" s="8" t="s">
        <v>13</v>
      </c>
      <c r="C23" s="8" t="s">
        <v>14</v>
      </c>
      <c r="D23" s="8" t="s">
        <v>15</v>
      </c>
      <c r="E23" s="8" t="s">
        <v>16</v>
      </c>
      <c r="F23" s="4"/>
      <c r="G23" s="4"/>
      <c r="H23" s="4"/>
      <c r="I23" s="4"/>
    </row>
    <row r="24" spans="1:10" ht="15.6" customHeight="1" x14ac:dyDescent="0.3">
      <c r="A24" s="104" t="s">
        <v>128</v>
      </c>
      <c r="B24" s="17">
        <f>Detail!C8</f>
        <v>0</v>
      </c>
      <c r="C24" s="106">
        <f>1/D24</f>
        <v>1</v>
      </c>
      <c r="D24" s="107">
        <v>1</v>
      </c>
      <c r="E24" s="14" t="s">
        <v>11</v>
      </c>
      <c r="F24" s="4"/>
      <c r="G24" s="4"/>
      <c r="H24" s="4"/>
      <c r="I24" s="4"/>
    </row>
    <row r="25" spans="1:10" ht="15.6" customHeight="1" x14ac:dyDescent="0.3">
      <c r="A25" s="105"/>
      <c r="B25" s="17">
        <f>Detail!D8</f>
        <v>0.94000000036097697</v>
      </c>
      <c r="C25" s="105"/>
      <c r="D25" s="105"/>
      <c r="E25" s="14" t="s">
        <v>12</v>
      </c>
      <c r="F25" s="4"/>
      <c r="G25" s="4"/>
      <c r="H25" s="4"/>
      <c r="I25" s="4"/>
    </row>
    <row r="26" spans="1:10" ht="15.6" customHeight="1" x14ac:dyDescent="0.3">
      <c r="F26" s="4"/>
      <c r="G26" s="4"/>
      <c r="H26" s="4"/>
      <c r="I26" s="4"/>
    </row>
    <row r="27" spans="1:10" ht="15.6" customHeight="1" x14ac:dyDescent="0.3">
      <c r="A27" s="15" t="s">
        <v>5</v>
      </c>
      <c r="B27" s="8" t="s">
        <v>13</v>
      </c>
      <c r="C27" s="8" t="s">
        <v>14</v>
      </c>
      <c r="D27" s="8" t="s">
        <v>15</v>
      </c>
      <c r="E27" s="8" t="s">
        <v>16</v>
      </c>
    </row>
    <row r="28" spans="1:10" ht="15.6" customHeight="1" x14ac:dyDescent="0.3">
      <c r="A28" s="104" t="s">
        <v>129</v>
      </c>
      <c r="B28" s="17">
        <f>Detail!C9</f>
        <v>0</v>
      </c>
      <c r="C28" s="106">
        <f>IFERROR(1/D28,0)</f>
        <v>1</v>
      </c>
      <c r="D28" s="107">
        <v>1</v>
      </c>
      <c r="E28" s="14" t="s">
        <v>11</v>
      </c>
    </row>
    <row r="29" spans="1:10" ht="15.6" customHeight="1" x14ac:dyDescent="0.3">
      <c r="A29" s="105"/>
      <c r="B29" s="17">
        <f>Detail!D9</f>
        <v>0.37617252278245683</v>
      </c>
      <c r="C29" s="105"/>
      <c r="D29" s="105"/>
      <c r="E29" s="14" t="s">
        <v>12</v>
      </c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28:A29"/>
    <mergeCell ref="C28:C29"/>
    <mergeCell ref="D28:D29"/>
    <mergeCell ref="A20:A21"/>
    <mergeCell ref="C20:C21"/>
    <mergeCell ref="D20:D21"/>
    <mergeCell ref="A24:A25"/>
    <mergeCell ref="C24:C25"/>
    <mergeCell ref="D24:D25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tabSelected="1" zoomScale="85" zoomScaleNormal="85" workbookViewId="0">
      <selection activeCell="M21" sqref="M21"/>
    </sheetView>
  </sheetViews>
  <sheetFormatPr defaultRowHeight="16.2" x14ac:dyDescent="0.3"/>
  <cols>
    <col min="1" max="1" width="27.109375" style="19" bestFit="1" customWidth="1"/>
    <col min="2" max="3" width="28.77734375" bestFit="1" customWidth="1"/>
    <col min="4" max="5" width="18.44140625" bestFit="1" customWidth="1"/>
    <col min="6" max="7" width="14" bestFit="1" customWidth="1"/>
  </cols>
  <sheetData>
    <row r="1" spans="1:7" x14ac:dyDescent="0.3">
      <c r="A1" t="s">
        <v>17</v>
      </c>
    </row>
    <row r="2" spans="1:7" x14ac:dyDescent="0.3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  <c r="F2" s="8" t="s">
        <v>23</v>
      </c>
      <c r="G2" s="8" t="s">
        <v>24</v>
      </c>
    </row>
    <row r="3" spans="1:7" x14ac:dyDescent="0.3">
      <c r="A3" s="12" t="s">
        <v>25</v>
      </c>
      <c r="B3" s="9">
        <f>Detail_Newbie!K15</f>
        <v>676050363</v>
      </c>
      <c r="C3" s="9">
        <f>Detail_Newbie!K86</f>
        <v>0</v>
      </c>
      <c r="D3" s="9">
        <f>Detail!K15</f>
        <v>676050363</v>
      </c>
      <c r="E3" s="9">
        <f>Detail!K86</f>
        <v>0</v>
      </c>
      <c r="F3" s="9">
        <f>Detail!K163</f>
        <v>0</v>
      </c>
      <c r="G3" s="9">
        <f>Detail!K234</f>
        <v>0</v>
      </c>
    </row>
    <row r="4" spans="1:7" x14ac:dyDescent="0.3">
      <c r="A4" s="12" t="s">
        <v>25</v>
      </c>
      <c r="B4" s="9">
        <v>676050363</v>
      </c>
      <c r="C4" s="9">
        <v>0</v>
      </c>
      <c r="D4" s="9">
        <v>676050363</v>
      </c>
      <c r="E4" s="9">
        <v>0</v>
      </c>
      <c r="F4" s="9">
        <v>0</v>
      </c>
      <c r="G4" s="9">
        <v>0</v>
      </c>
    </row>
    <row r="5" spans="1:7" x14ac:dyDescent="0.3">
      <c r="A5" s="12" t="s">
        <v>26</v>
      </c>
      <c r="B5" s="9">
        <v>173598347</v>
      </c>
      <c r="C5" s="9">
        <v>0</v>
      </c>
      <c r="D5" s="9">
        <v>173598347</v>
      </c>
      <c r="E5" s="9">
        <v>0</v>
      </c>
      <c r="F5" s="9">
        <v>0</v>
      </c>
      <c r="G5" s="9">
        <v>0</v>
      </c>
    </row>
    <row r="6" spans="1:7" x14ac:dyDescent="0.3">
      <c r="A6" s="12" t="s">
        <v>27</v>
      </c>
      <c r="B6" s="9">
        <v>60225774</v>
      </c>
      <c r="C6" s="9">
        <v>0</v>
      </c>
      <c r="D6" s="9">
        <v>60225774</v>
      </c>
      <c r="E6" s="9">
        <v>0</v>
      </c>
      <c r="F6" s="9">
        <v>0</v>
      </c>
      <c r="G6" s="9">
        <v>0</v>
      </c>
    </row>
    <row r="7" spans="1:7" x14ac:dyDescent="0.3">
      <c r="A7" s="12" t="s">
        <v>28</v>
      </c>
      <c r="B7" s="9">
        <v>26162370</v>
      </c>
      <c r="C7" s="9">
        <v>0</v>
      </c>
      <c r="D7" s="9">
        <v>26162370</v>
      </c>
      <c r="E7" s="9">
        <v>0</v>
      </c>
      <c r="F7" s="9">
        <v>0</v>
      </c>
      <c r="G7" s="9">
        <v>0</v>
      </c>
    </row>
    <row r="8" spans="1:7" x14ac:dyDescent="0.3">
      <c r="A8" s="12" t="s">
        <v>29</v>
      </c>
      <c r="B8" s="9">
        <v>17944906</v>
      </c>
      <c r="C8" s="9">
        <v>0</v>
      </c>
      <c r="D8" s="9">
        <v>17944906</v>
      </c>
      <c r="E8" s="9">
        <v>0</v>
      </c>
      <c r="F8" s="9">
        <v>0</v>
      </c>
      <c r="G8" s="9">
        <v>0</v>
      </c>
    </row>
    <row r="9" spans="1:7" x14ac:dyDescent="0.3">
      <c r="A9" s="12" t="s">
        <v>30</v>
      </c>
      <c r="B9" s="9">
        <v>10096690</v>
      </c>
      <c r="C9" s="9">
        <v>0</v>
      </c>
      <c r="D9" s="9">
        <v>10096690</v>
      </c>
      <c r="E9" s="9">
        <v>0</v>
      </c>
      <c r="F9" s="9">
        <v>0</v>
      </c>
      <c r="G9" s="9">
        <v>0</v>
      </c>
    </row>
    <row r="10" spans="1:7" x14ac:dyDescent="0.3">
      <c r="A10" s="12" t="s">
        <v>31</v>
      </c>
      <c r="B10" s="9">
        <v>4908945</v>
      </c>
      <c r="C10" s="9">
        <v>0</v>
      </c>
      <c r="D10" s="9">
        <v>4908945</v>
      </c>
      <c r="E10" s="9">
        <v>0</v>
      </c>
      <c r="F10" s="9">
        <v>0</v>
      </c>
      <c r="G10" s="9">
        <v>0</v>
      </c>
    </row>
    <row r="11" spans="1:7" x14ac:dyDescent="0.3">
      <c r="A11" s="12" t="s">
        <v>32</v>
      </c>
      <c r="B11" s="9">
        <v>4380743</v>
      </c>
      <c r="C11" s="9">
        <v>0</v>
      </c>
      <c r="D11" s="9">
        <v>4380743</v>
      </c>
      <c r="E11" s="9">
        <v>0</v>
      </c>
      <c r="F11" s="9">
        <v>0</v>
      </c>
      <c r="G11" s="9">
        <v>0</v>
      </c>
    </row>
    <row r="12" spans="1:7" x14ac:dyDescent="0.3">
      <c r="A12" s="12" t="s">
        <v>33</v>
      </c>
      <c r="B12" s="9">
        <v>3278096</v>
      </c>
      <c r="C12" s="9">
        <v>0</v>
      </c>
      <c r="D12" s="9">
        <v>3278096</v>
      </c>
      <c r="E12" s="9">
        <v>0</v>
      </c>
      <c r="F12" s="9">
        <v>0</v>
      </c>
      <c r="G12" s="9">
        <v>0</v>
      </c>
    </row>
    <row r="13" spans="1:7" x14ac:dyDescent="0.3">
      <c r="A13" s="12" t="s">
        <v>34</v>
      </c>
      <c r="B13" s="9">
        <v>2691069</v>
      </c>
      <c r="C13" s="9">
        <v>0</v>
      </c>
      <c r="D13" s="9">
        <v>2691069</v>
      </c>
      <c r="E13" s="9">
        <v>0</v>
      </c>
      <c r="F13" s="9">
        <v>0</v>
      </c>
      <c r="G13" s="9">
        <v>82640010</v>
      </c>
    </row>
    <row r="14" spans="1:7" x14ac:dyDescent="0.3">
      <c r="A14" s="12" t="s">
        <v>35</v>
      </c>
      <c r="B14" s="9">
        <v>3673493</v>
      </c>
      <c r="C14" s="9">
        <v>0</v>
      </c>
      <c r="D14" s="9">
        <v>3673493</v>
      </c>
      <c r="E14" s="9">
        <v>0</v>
      </c>
      <c r="F14" s="9">
        <v>0</v>
      </c>
      <c r="G14" s="9">
        <v>0</v>
      </c>
    </row>
    <row r="15" spans="1:7" x14ac:dyDescent="0.3">
      <c r="A15" s="12" t="s">
        <v>36</v>
      </c>
      <c r="B15" s="9">
        <v>11221093</v>
      </c>
      <c r="C15" s="9">
        <v>0</v>
      </c>
      <c r="D15" s="9">
        <v>11221093</v>
      </c>
      <c r="E15" s="9">
        <v>0</v>
      </c>
      <c r="F15" s="9">
        <v>0</v>
      </c>
      <c r="G15" s="9">
        <v>39166084</v>
      </c>
    </row>
    <row r="16" spans="1:7" x14ac:dyDescent="0.3">
      <c r="A16" s="12" t="s">
        <v>37</v>
      </c>
      <c r="B16" s="9">
        <v>5768111</v>
      </c>
      <c r="C16" s="9">
        <v>0</v>
      </c>
      <c r="D16" s="9">
        <v>5768111</v>
      </c>
      <c r="E16" s="9">
        <v>0</v>
      </c>
      <c r="F16" s="9">
        <v>0</v>
      </c>
      <c r="G16" s="9">
        <v>66829347</v>
      </c>
    </row>
    <row r="17" spans="1:7" x14ac:dyDescent="0.3">
      <c r="A17" s="12" t="s">
        <v>38</v>
      </c>
      <c r="B17" s="9">
        <v>0</v>
      </c>
      <c r="C17" s="9">
        <v>441953</v>
      </c>
      <c r="D17" s="9">
        <v>0</v>
      </c>
      <c r="E17" s="9">
        <v>2559776</v>
      </c>
      <c r="F17" s="9">
        <v>47867530</v>
      </c>
      <c r="G17" s="9">
        <v>35215592</v>
      </c>
    </row>
    <row r="18" spans="1:7" x14ac:dyDescent="0.3">
      <c r="A18" s="12" t="s">
        <v>39</v>
      </c>
      <c r="B18" s="9">
        <v>0</v>
      </c>
      <c r="C18" s="9">
        <v>101238330</v>
      </c>
      <c r="D18" s="9">
        <v>0</v>
      </c>
      <c r="E18" s="9">
        <v>118180899</v>
      </c>
      <c r="F18" s="9">
        <v>52954510</v>
      </c>
      <c r="G18" s="9">
        <v>39180109</v>
      </c>
    </row>
    <row r="19" spans="1:7" x14ac:dyDescent="0.3">
      <c r="A19" s="12" t="s">
        <v>40</v>
      </c>
      <c r="B19" s="9">
        <v>0</v>
      </c>
      <c r="C19" s="9">
        <v>97952574</v>
      </c>
      <c r="D19" s="9">
        <v>0</v>
      </c>
      <c r="E19" s="9">
        <v>112241621</v>
      </c>
      <c r="F19" s="9">
        <v>100173387</v>
      </c>
      <c r="G19" s="9">
        <v>74753030</v>
      </c>
    </row>
    <row r="20" spans="1:7" x14ac:dyDescent="0.3">
      <c r="A20" s="12" t="s">
        <v>41</v>
      </c>
      <c r="B20" s="9">
        <v>0</v>
      </c>
      <c r="C20" s="9">
        <v>31556333</v>
      </c>
      <c r="D20" s="9">
        <v>0</v>
      </c>
      <c r="E20" s="9">
        <v>35435444</v>
      </c>
      <c r="F20" s="9">
        <v>57740323</v>
      </c>
      <c r="G20" s="9">
        <v>43139322</v>
      </c>
    </row>
    <row r="21" spans="1:7" x14ac:dyDescent="0.3">
      <c r="A21" s="12" t="s">
        <v>42</v>
      </c>
      <c r="B21" s="9">
        <v>0</v>
      </c>
      <c r="C21" s="9">
        <v>60927043</v>
      </c>
      <c r="D21" s="9">
        <v>0</v>
      </c>
      <c r="E21" s="9">
        <v>66920198</v>
      </c>
      <c r="F21" s="9">
        <v>52259549</v>
      </c>
      <c r="G21" s="9">
        <v>39194222</v>
      </c>
    </row>
    <row r="22" spans="1:7" x14ac:dyDescent="0.3">
      <c r="A22" s="12" t="s">
        <v>43</v>
      </c>
      <c r="B22" s="9">
        <v>0</v>
      </c>
      <c r="C22" s="9">
        <v>146715556</v>
      </c>
      <c r="D22" s="9">
        <v>0</v>
      </c>
      <c r="E22" s="9">
        <v>150000000</v>
      </c>
      <c r="F22" s="9">
        <v>57230694</v>
      </c>
      <c r="G22" s="9">
        <v>43148730</v>
      </c>
    </row>
    <row r="23" spans="1:7" x14ac:dyDescent="0.3">
      <c r="A23" s="12" t="s">
        <v>44</v>
      </c>
      <c r="B23" s="9">
        <v>0</v>
      </c>
      <c r="C23" s="9">
        <v>73269669</v>
      </c>
      <c r="D23" s="9">
        <v>0</v>
      </c>
      <c r="E23" s="9">
        <v>77279040</v>
      </c>
      <c r="F23" s="9">
        <v>139546072</v>
      </c>
      <c r="G23" s="9">
        <v>106392652</v>
      </c>
    </row>
    <row r="24" spans="1:7" x14ac:dyDescent="0.3">
      <c r="A24" s="12" t="s">
        <v>45</v>
      </c>
      <c r="B24" s="9">
        <v>0</v>
      </c>
      <c r="C24" s="9">
        <v>144187862</v>
      </c>
      <c r="D24" s="9">
        <v>0</v>
      </c>
      <c r="E24" s="9">
        <v>145926723</v>
      </c>
      <c r="F24" s="9">
        <v>56342352</v>
      </c>
      <c r="G24" s="9">
        <v>43165233</v>
      </c>
    </row>
    <row r="25" spans="1:7" x14ac:dyDescent="0.3">
      <c r="A25" s="12" t="s">
        <v>46</v>
      </c>
      <c r="B25" s="9">
        <v>0</v>
      </c>
      <c r="C25" s="9">
        <v>141871060</v>
      </c>
      <c r="D25" s="9">
        <v>0</v>
      </c>
      <c r="E25" s="9">
        <v>137422683</v>
      </c>
      <c r="F25" s="9">
        <v>50756928</v>
      </c>
      <c r="G25" s="9">
        <v>39224852</v>
      </c>
    </row>
    <row r="26" spans="1:7" x14ac:dyDescent="0.3">
      <c r="A26" s="12" t="s">
        <v>47</v>
      </c>
      <c r="B26" s="9">
        <v>0</v>
      </c>
      <c r="C26" s="9">
        <v>105236770</v>
      </c>
      <c r="D26" s="9">
        <v>0</v>
      </c>
      <c r="E26" s="9">
        <v>82198286</v>
      </c>
      <c r="F26" s="9">
        <v>45264374</v>
      </c>
      <c r="G26" s="9">
        <v>35274475</v>
      </c>
    </row>
    <row r="27" spans="1:7" x14ac:dyDescent="0.3">
      <c r="A27" s="12" t="s">
        <v>48</v>
      </c>
      <c r="B27" s="9">
        <v>0</v>
      </c>
      <c r="C27" s="9">
        <v>18875336</v>
      </c>
      <c r="D27" s="9">
        <v>0</v>
      </c>
      <c r="E27" s="9">
        <v>12513569</v>
      </c>
      <c r="F27" s="9">
        <v>39864281</v>
      </c>
      <c r="G27" s="9">
        <v>31334063</v>
      </c>
    </row>
    <row r="28" spans="1:7" x14ac:dyDescent="0.3">
      <c r="A28" s="12" t="s">
        <v>49</v>
      </c>
      <c r="B28" s="9">
        <v>0</v>
      </c>
      <c r="C28" s="9">
        <v>77727514</v>
      </c>
      <c r="D28" s="9">
        <v>0</v>
      </c>
      <c r="E28" s="9">
        <v>32473155</v>
      </c>
      <c r="F28" s="9">
        <v>53755458</v>
      </c>
      <c r="G28" s="9">
        <v>43207567</v>
      </c>
    </row>
    <row r="29" spans="1:7" x14ac:dyDescent="0.3">
      <c r="A29" s="12" t="s">
        <v>50</v>
      </c>
      <c r="B29" s="9">
        <v>0</v>
      </c>
      <c r="C29" s="9">
        <v>0</v>
      </c>
      <c r="D29" s="9">
        <v>0</v>
      </c>
      <c r="E29" s="9">
        <v>0</v>
      </c>
      <c r="F29" s="9">
        <v>76706833</v>
      </c>
      <c r="G29" s="9">
        <v>62985397</v>
      </c>
    </row>
    <row r="30" spans="1:7" x14ac:dyDescent="0.3">
      <c r="A30" s="12" t="s">
        <v>51</v>
      </c>
      <c r="B30" s="9">
        <v>0</v>
      </c>
      <c r="C30" s="9">
        <v>0</v>
      </c>
      <c r="D30" s="9">
        <v>0</v>
      </c>
      <c r="E30" s="9">
        <v>0</v>
      </c>
      <c r="F30" s="9">
        <v>30775419</v>
      </c>
      <c r="G30" s="9">
        <v>27436018</v>
      </c>
    </row>
    <row r="31" spans="1:7" x14ac:dyDescent="0.3">
      <c r="A31" s="12" t="s">
        <v>52</v>
      </c>
      <c r="B31" s="9">
        <v>0</v>
      </c>
      <c r="C31" s="9">
        <v>0</v>
      </c>
      <c r="D31" s="9">
        <v>0</v>
      </c>
      <c r="E31" s="9">
        <v>0</v>
      </c>
      <c r="F31" s="9">
        <v>23993011</v>
      </c>
      <c r="G31" s="9">
        <v>23505019</v>
      </c>
    </row>
    <row r="32" spans="1:7" x14ac:dyDescent="0.3">
      <c r="A32" s="12" t="s">
        <v>53</v>
      </c>
      <c r="B32" s="9">
        <v>0</v>
      </c>
      <c r="C32" s="9">
        <v>0</v>
      </c>
      <c r="D32" s="9">
        <v>0</v>
      </c>
      <c r="E32" s="9">
        <v>0</v>
      </c>
      <c r="F32" s="9">
        <v>23437046</v>
      </c>
      <c r="G32" s="9">
        <v>23523917</v>
      </c>
    </row>
    <row r="33" spans="1:7" x14ac:dyDescent="0.3">
      <c r="A33" s="12" t="s">
        <v>54</v>
      </c>
      <c r="B33" s="9">
        <v>0</v>
      </c>
      <c r="C33" s="9">
        <v>0</v>
      </c>
      <c r="D33" s="9">
        <v>0</v>
      </c>
      <c r="E33" s="9">
        <v>26848606</v>
      </c>
      <c r="F33" s="9">
        <v>41248947</v>
      </c>
      <c r="G33" s="9">
        <v>43314870</v>
      </c>
    </row>
    <row r="34" spans="1:7" x14ac:dyDescent="0.3">
      <c r="A34" s="12" t="s">
        <v>55</v>
      </c>
      <c r="B34" s="9">
        <v>0</v>
      </c>
      <c r="C34" s="9">
        <v>0</v>
      </c>
      <c r="D34" s="9">
        <v>0</v>
      </c>
      <c r="E34" s="9">
        <v>0</v>
      </c>
      <c r="F34" s="9">
        <v>10553286</v>
      </c>
      <c r="G34" s="9">
        <v>11743534</v>
      </c>
    </row>
    <row r="35" spans="1:7" x14ac:dyDescent="0.3">
      <c r="A35" s="12" t="s">
        <v>56</v>
      </c>
      <c r="B35" s="9">
        <v>0</v>
      </c>
      <c r="C35" s="9">
        <v>0</v>
      </c>
      <c r="D35" s="9">
        <v>0</v>
      </c>
      <c r="E35" s="9">
        <v>0</v>
      </c>
      <c r="F35" s="9">
        <v>4509662</v>
      </c>
      <c r="G35" s="9">
        <v>3881165</v>
      </c>
    </row>
    <row r="36" spans="1:7" x14ac:dyDescent="0.3">
      <c r="A36" s="12" t="s">
        <v>57</v>
      </c>
      <c r="B36" s="9">
        <v>0</v>
      </c>
      <c r="C36" s="9">
        <v>0</v>
      </c>
      <c r="D36" s="9">
        <v>0</v>
      </c>
      <c r="E36" s="9">
        <v>0</v>
      </c>
      <c r="F36" s="9">
        <v>8555506</v>
      </c>
      <c r="G36" s="9">
        <v>7888147</v>
      </c>
    </row>
    <row r="37" spans="1:7" x14ac:dyDescent="0.3">
      <c r="A37" s="12" t="s">
        <v>58</v>
      </c>
      <c r="B37" s="9">
        <v>0</v>
      </c>
      <c r="C37" s="9">
        <v>0</v>
      </c>
      <c r="D37" s="9">
        <v>0</v>
      </c>
      <c r="E37" s="9">
        <v>0</v>
      </c>
      <c r="F37" s="9">
        <v>12137132</v>
      </c>
      <c r="G37" s="9">
        <v>11885219</v>
      </c>
    </row>
    <row r="38" spans="1:7" x14ac:dyDescent="0.3">
      <c r="A38" s="12" t="s">
        <v>59</v>
      </c>
      <c r="B38" s="9">
        <v>0</v>
      </c>
      <c r="C38" s="9">
        <v>0</v>
      </c>
      <c r="D38" s="9">
        <v>0</v>
      </c>
      <c r="E38" s="9">
        <v>0</v>
      </c>
      <c r="F38" s="9">
        <v>7627795</v>
      </c>
      <c r="G38" s="9">
        <v>7982442</v>
      </c>
    </row>
    <row r="39" spans="1:7" x14ac:dyDescent="0.3">
      <c r="A39" s="12" t="s">
        <v>60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120020</v>
      </c>
    </row>
    <row r="40" spans="1:7" x14ac:dyDescent="0.3">
      <c r="A40" s="12" t="s">
        <v>61</v>
      </c>
      <c r="B40" s="9">
        <v>0</v>
      </c>
      <c r="C40" s="9">
        <v>0</v>
      </c>
      <c r="D40" s="9">
        <v>0</v>
      </c>
      <c r="E40" s="9">
        <v>0</v>
      </c>
      <c r="F40" s="9">
        <v>6699905</v>
      </c>
      <c r="G40" s="9">
        <v>8076939</v>
      </c>
    </row>
    <row r="41" spans="1:7" x14ac:dyDescent="0.3">
      <c r="A41" s="12" t="s">
        <v>62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214573</v>
      </c>
    </row>
    <row r="42" spans="1:7" x14ac:dyDescent="0.3">
      <c r="A42" s="12" t="s">
        <v>63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261592</v>
      </c>
    </row>
    <row r="43" spans="1:7" x14ac:dyDescent="0.3">
      <c r="A43" s="12" t="s">
        <v>64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308790</v>
      </c>
    </row>
    <row r="44" spans="1:7" x14ac:dyDescent="0.3">
      <c r="A44" s="12" t="s">
        <v>65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356230</v>
      </c>
    </row>
    <row r="45" spans="1:7" x14ac:dyDescent="0.3">
      <c r="A45" s="12" t="s">
        <v>66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403378</v>
      </c>
    </row>
    <row r="46" spans="1:7" x14ac:dyDescent="0.3">
      <c r="A46" s="12" t="s">
        <v>67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450666</v>
      </c>
    </row>
    <row r="47" spans="1:7" x14ac:dyDescent="0.3">
      <c r="A47" s="12" t="s">
        <v>68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497440</v>
      </c>
    </row>
    <row r="48" spans="1:7" x14ac:dyDescent="0.3">
      <c r="A48" s="12" t="s">
        <v>69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544310</v>
      </c>
    </row>
    <row r="49" spans="1:7" x14ac:dyDescent="0.3">
      <c r="A49" s="12" t="s">
        <v>70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845257</v>
      </c>
    </row>
    <row r="50" spans="1:7" x14ac:dyDescent="0.3">
      <c r="A50" s="12" t="s">
        <v>71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1909789</v>
      </c>
    </row>
    <row r="51" spans="1:7" x14ac:dyDescent="0.3">
      <c r="A51" s="12" t="s">
        <v>72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x14ac:dyDescent="0.3">
      <c r="A52" s="12" t="s">
        <v>73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x14ac:dyDescent="0.3">
      <c r="A53" s="12" t="s">
        <v>74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</row>
    <row r="54" spans="1:7" x14ac:dyDescent="0.3">
      <c r="A54" s="12" t="s">
        <v>75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x14ac:dyDescent="0.3">
      <c r="A55" s="12" t="s">
        <v>76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x14ac:dyDescent="0.3">
      <c r="A56" s="12" t="s">
        <v>77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x14ac:dyDescent="0.3">
      <c r="A57" s="12" t="s">
        <v>78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</row>
    <row r="58" spans="1:7" x14ac:dyDescent="0.3">
      <c r="A58" s="12" t="s">
        <v>79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x14ac:dyDescent="0.3">
      <c r="A59" s="12" t="s">
        <v>80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x14ac:dyDescent="0.3">
      <c r="A60" s="12" t="s">
        <v>81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x14ac:dyDescent="0.3">
      <c r="A61" s="12" t="s">
        <v>82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x14ac:dyDescent="0.3">
      <c r="A62" s="12" t="s">
        <v>83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x14ac:dyDescent="0.3">
      <c r="A63" s="12" t="s">
        <v>84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x14ac:dyDescent="0.3">
      <c r="A64" s="12" t="s">
        <v>85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x14ac:dyDescent="0.3">
      <c r="A65" s="12" t="s">
        <v>86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x14ac:dyDescent="0.3">
      <c r="A66" s="12" t="s">
        <v>87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x14ac:dyDescent="0.3">
      <c r="A67" s="12" t="s">
        <v>88</v>
      </c>
      <c r="B67" s="9">
        <v>0</v>
      </c>
      <c r="C67" s="21">
        <v>0</v>
      </c>
      <c r="D67" s="20">
        <v>0</v>
      </c>
      <c r="E67" s="21">
        <v>0</v>
      </c>
      <c r="F67" s="10">
        <v>0</v>
      </c>
      <c r="G67" s="10">
        <v>0</v>
      </c>
    </row>
    <row r="68" spans="1:7" x14ac:dyDescent="0.3">
      <c r="D68" s="19"/>
      <c r="E68" s="19"/>
      <c r="F68" s="19"/>
      <c r="G68" s="19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8"/>
  <sheetViews>
    <sheetView workbookViewId="0">
      <selection activeCell="X270" sqref="X27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24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24" customWidth="1"/>
    <col min="15" max="15" width="17.88671875" style="24" bestFit="1" customWidth="1"/>
    <col min="16" max="16" width="14.6640625" style="24" bestFit="1" customWidth="1"/>
    <col min="17" max="18" width="13.21875" style="4" bestFit="1" customWidth="1"/>
    <col min="20" max="20" width="9.6640625" style="4" customWidth="1"/>
    <col min="21" max="24" width="8.88671875" style="4" customWidth="1"/>
    <col min="25" max="26" width="10.21875" style="4" bestFit="1" customWidth="1"/>
    <col min="27" max="29" width="8.88671875" style="4" customWidth="1"/>
    <col min="30" max="16384" width="8.88671875" style="4"/>
  </cols>
  <sheetData>
    <row r="1" spans="1:26" x14ac:dyDescent="0.3">
      <c r="A1" s="23"/>
      <c r="B1" s="1"/>
      <c r="E1" s="1"/>
      <c r="G1" s="29"/>
      <c r="H1" s="23"/>
      <c r="I1" s="23"/>
      <c r="J1" s="23"/>
      <c r="K1" s="23"/>
      <c r="L1" s="23"/>
      <c r="M1" s="23"/>
      <c r="Q1" s="23"/>
      <c r="R1" s="23"/>
    </row>
    <row r="2" spans="1:26" x14ac:dyDescent="0.3">
      <c r="A2" s="38" t="s">
        <v>89</v>
      </c>
      <c r="B2" s="68">
        <v>1000000000</v>
      </c>
      <c r="C2" s="1"/>
      <c r="F2" s="61"/>
      <c r="G2" s="61"/>
      <c r="K2" s="23"/>
      <c r="L2" s="23"/>
      <c r="M2" s="23"/>
      <c r="Q2" s="23"/>
      <c r="R2" s="23"/>
    </row>
    <row r="3" spans="1:26" x14ac:dyDescent="0.3">
      <c r="A3" s="38" t="s">
        <v>3</v>
      </c>
      <c r="B3" s="68">
        <v>100</v>
      </c>
      <c r="C3" s="1"/>
      <c r="F3" s="61"/>
      <c r="G3" s="30"/>
    </row>
    <row r="4" spans="1:26" x14ac:dyDescent="0.3">
      <c r="F4" s="61"/>
      <c r="G4" s="61"/>
      <c r="I4" s="1"/>
      <c r="K4" s="31"/>
      <c r="L4" s="32"/>
      <c r="M4" s="69"/>
      <c r="N4" s="70"/>
      <c r="O4" s="70"/>
      <c r="P4" s="70"/>
      <c r="Q4" s="32"/>
      <c r="R4" s="32"/>
    </row>
    <row r="5" spans="1:26" x14ac:dyDescent="0.3">
      <c r="A5" s="23"/>
      <c r="B5" s="23"/>
      <c r="C5" s="1" t="s">
        <v>90</v>
      </c>
      <c r="F5" s="4"/>
      <c r="G5" s="24"/>
      <c r="I5" s="61"/>
      <c r="K5" s="33"/>
      <c r="L5" s="32"/>
      <c r="M5" s="69"/>
      <c r="N5" s="70"/>
      <c r="O5" s="70"/>
      <c r="P5" s="70"/>
      <c r="Q5" s="32"/>
      <c r="R5" s="32"/>
    </row>
    <row r="6" spans="1:26" x14ac:dyDescent="0.3">
      <c r="A6" s="34"/>
      <c r="B6" s="11" t="s">
        <v>91</v>
      </c>
      <c r="C6" s="11" t="s">
        <v>11</v>
      </c>
      <c r="D6" s="11" t="s">
        <v>12</v>
      </c>
      <c r="E6" s="11" t="s">
        <v>92</v>
      </c>
      <c r="F6" s="11" t="s">
        <v>93</v>
      </c>
      <c r="G6" s="11" t="s">
        <v>94</v>
      </c>
      <c r="H6" s="11" t="s">
        <v>95</v>
      </c>
      <c r="I6" s="35" t="s">
        <v>96</v>
      </c>
      <c r="J6" s="36" t="s">
        <v>97</v>
      </c>
      <c r="K6" s="30"/>
      <c r="L6" s="30"/>
      <c r="M6" s="37"/>
      <c r="Q6" s="30"/>
      <c r="R6" s="30"/>
    </row>
    <row r="7" spans="1:26" x14ac:dyDescent="0.3">
      <c r="A7" s="38" t="s">
        <v>6</v>
      </c>
      <c r="B7" s="38">
        <v>1</v>
      </c>
      <c r="C7" s="71">
        <f>SUM(M15:M79)</f>
        <v>0.7942213322328816</v>
      </c>
      <c r="D7" s="71">
        <f>SUM(M86:M149)*F7</f>
        <v>0.19999999973822272</v>
      </c>
      <c r="E7" s="72">
        <f>SUM(C7:D7)</f>
        <v>0.99422133197110429</v>
      </c>
      <c r="F7" s="25">
        <v>3.3333337253555599E-3</v>
      </c>
      <c r="G7" s="26">
        <f>1/F7</f>
        <v>299.99996471800375</v>
      </c>
      <c r="H7" s="27">
        <f>D7*G7</f>
        <v>59.999992865067576</v>
      </c>
      <c r="I7" s="73">
        <f>IFERROR(LOOKUP(2,1/(K15:K78&lt;&gt;0),P15:P78),0)</f>
        <v>20</v>
      </c>
      <c r="J7" s="73">
        <f>IFERROR(LOOKUP(2,1/(K86:K149&lt;&gt;0),P86:P149),0)</f>
        <v>250</v>
      </c>
      <c r="K7" s="61"/>
      <c r="L7" s="30"/>
      <c r="M7" s="37"/>
      <c r="Q7" s="30"/>
      <c r="R7" s="30"/>
    </row>
    <row r="8" spans="1:26" x14ac:dyDescent="0.3">
      <c r="A8" s="38" t="s">
        <v>8</v>
      </c>
      <c r="B8" s="38">
        <v>100</v>
      </c>
      <c r="C8" s="71">
        <v>0</v>
      </c>
      <c r="D8" s="71">
        <f>SUM(M163:M226)/B8</f>
        <v>0.94000000036097697</v>
      </c>
      <c r="E8" s="72">
        <f>SUM(C8:D8)</f>
        <v>0.94000000036097697</v>
      </c>
      <c r="F8" s="28">
        <f>D156</f>
        <v>1</v>
      </c>
      <c r="G8" s="26">
        <f>1/F8</f>
        <v>1</v>
      </c>
      <c r="H8" s="27">
        <f>D8*G8*B8</f>
        <v>94.000000036097703</v>
      </c>
      <c r="I8" s="74"/>
      <c r="J8" s="74">
        <f>IFERROR(LOOKUP(2,1/(K163:K226&lt;&gt;0),P163:P226),0)</f>
        <v>600</v>
      </c>
      <c r="K8" s="39"/>
      <c r="L8" s="30"/>
      <c r="M8" s="37"/>
      <c r="Q8" s="30"/>
      <c r="R8" s="30"/>
    </row>
    <row r="9" spans="1:26" x14ac:dyDescent="0.3">
      <c r="A9" s="38" t="s">
        <v>98</v>
      </c>
      <c r="B9" s="38">
        <v>250</v>
      </c>
      <c r="C9" s="71">
        <f>0</f>
        <v>0</v>
      </c>
      <c r="D9" s="71">
        <f>IFERROR(SUM(M234:M297)/B9,0)</f>
        <v>0.37617252278245683</v>
      </c>
      <c r="E9" s="72">
        <f>SUM(C9:D9)</f>
        <v>0.37617252278245683</v>
      </c>
      <c r="F9" s="28">
        <f>1</f>
        <v>1</v>
      </c>
      <c r="G9" s="26">
        <f>IFERROR(1/F9,0)</f>
        <v>1</v>
      </c>
      <c r="H9" s="27">
        <f>D9*G9*B9</f>
        <v>94.043130695614209</v>
      </c>
      <c r="I9" s="74"/>
      <c r="J9" s="74">
        <f>IFERROR(LOOKUP(2,1/(K234:K297&lt;&gt;0),P234:P297),0)</f>
        <v>3000</v>
      </c>
      <c r="K9" s="40"/>
      <c r="L9" s="61"/>
      <c r="M9" s="61"/>
      <c r="Q9" s="61"/>
      <c r="R9" s="61"/>
    </row>
    <row r="10" spans="1:26" x14ac:dyDescent="0.3">
      <c r="A10" s="23"/>
      <c r="B10" s="1"/>
      <c r="C10" s="1"/>
      <c r="D10" s="75"/>
      <c r="E10" s="1"/>
      <c r="G10" s="29"/>
      <c r="H10" s="23"/>
      <c r="I10" s="23"/>
      <c r="J10" s="23"/>
      <c r="K10" s="40"/>
      <c r="L10" s="61"/>
      <c r="M10" s="61"/>
      <c r="Q10" s="61"/>
      <c r="R10" s="61"/>
    </row>
    <row r="11" spans="1:26" s="55" customFormat="1" ht="15.6" customHeight="1" x14ac:dyDescent="0.3">
      <c r="A11" s="56" t="s">
        <v>99</v>
      </c>
      <c r="B11" s="56" t="s">
        <v>11</v>
      </c>
      <c r="C11" s="56"/>
      <c r="D11" s="76"/>
      <c r="E11" s="52"/>
      <c r="F11" s="53"/>
      <c r="G11" s="56" t="s">
        <v>6</v>
      </c>
      <c r="H11" s="56" t="s">
        <v>11</v>
      </c>
      <c r="I11" s="51"/>
      <c r="J11" s="51"/>
      <c r="K11" s="54"/>
      <c r="L11" s="62"/>
      <c r="M11" s="62"/>
      <c r="N11" s="53"/>
      <c r="O11" s="56" t="s">
        <v>6</v>
      </c>
      <c r="P11" s="56" t="s">
        <v>11</v>
      </c>
      <c r="Q11" s="62"/>
      <c r="R11" s="62"/>
    </row>
    <row r="12" spans="1:26" x14ac:dyDescent="0.3">
      <c r="A12" s="23"/>
      <c r="B12" s="1"/>
      <c r="C12" s="1"/>
      <c r="D12" s="75"/>
      <c r="E12" s="1"/>
      <c r="G12" s="29"/>
      <c r="H12" s="23"/>
      <c r="I12" s="23"/>
      <c r="J12" s="23"/>
      <c r="K12" s="40"/>
      <c r="L12" s="61"/>
      <c r="M12" s="61"/>
      <c r="Q12" s="61"/>
      <c r="R12" s="61"/>
    </row>
    <row r="13" spans="1:26" x14ac:dyDescent="0.3">
      <c r="A13" s="41" t="s">
        <v>100</v>
      </c>
      <c r="B13" s="77">
        <v>10000000</v>
      </c>
      <c r="C13" s="1"/>
      <c r="D13" s="1"/>
      <c r="E13" s="1"/>
      <c r="G13" s="41" t="s">
        <v>101</v>
      </c>
      <c r="H13" s="23"/>
      <c r="I13" s="23"/>
      <c r="J13" s="23"/>
      <c r="K13" s="23"/>
      <c r="L13" s="23"/>
      <c r="M13" s="23"/>
      <c r="Q13" s="23"/>
      <c r="R13" s="23"/>
    </row>
    <row r="14" spans="1:26" x14ac:dyDescent="0.3">
      <c r="A14" s="8" t="s">
        <v>18</v>
      </c>
      <c r="B14" s="8" t="s">
        <v>102</v>
      </c>
      <c r="C14" s="8" t="s">
        <v>103</v>
      </c>
      <c r="D14" s="8" t="s">
        <v>93</v>
      </c>
      <c r="E14" s="8" t="s">
        <v>104</v>
      </c>
      <c r="G14" s="8" t="s">
        <v>18</v>
      </c>
      <c r="H14" s="8" t="s">
        <v>105</v>
      </c>
      <c r="I14" s="8" t="s">
        <v>106</v>
      </c>
      <c r="J14" s="8" t="s">
        <v>107</v>
      </c>
      <c r="K14" s="8" t="s">
        <v>108</v>
      </c>
      <c r="L14" s="8" t="s">
        <v>93</v>
      </c>
      <c r="M14" s="8" t="s">
        <v>109</v>
      </c>
      <c r="O14" s="8" t="s">
        <v>110</v>
      </c>
      <c r="P14" s="8" t="s">
        <v>111</v>
      </c>
      <c r="Q14" s="8" t="s">
        <v>112</v>
      </c>
      <c r="R14" s="8" t="s">
        <v>113</v>
      </c>
      <c r="T14" s="11" t="s">
        <v>112</v>
      </c>
      <c r="U14" s="11" t="s">
        <v>114</v>
      </c>
    </row>
    <row r="15" spans="1:26" x14ac:dyDescent="0.3">
      <c r="A15" s="12" t="s">
        <v>25</v>
      </c>
      <c r="B15" s="78">
        <v>7157620</v>
      </c>
      <c r="C15" s="78">
        <v>0</v>
      </c>
      <c r="D15" s="22">
        <f t="shared" ref="D15:D46" si="0">IFERROR(B15/$B$13,0)</f>
        <v>0.71576200000000001</v>
      </c>
      <c r="E15" s="79">
        <f t="shared" ref="E15:E46" si="1">IFERROR(C15/B15/500,0)</f>
        <v>0</v>
      </c>
      <c r="G15" s="12" t="s">
        <v>25</v>
      </c>
      <c r="H15" s="80">
        <v>0.94451837761714097</v>
      </c>
      <c r="I15" s="63">
        <f t="shared" ref="I15:I46" si="2">IFERROR(B15/$B$13,0)</f>
        <v>0.71576200000000001</v>
      </c>
      <c r="J15" s="63">
        <f t="shared" ref="J15:J46" si="3">IFERROR(K15/$B$2,0)</f>
        <v>0.67605036299999999</v>
      </c>
      <c r="K15" s="81">
        <v>676050363</v>
      </c>
      <c r="L15" s="63">
        <f t="shared" ref="L15:L46" si="4">IFERROR(K15/SUM($K$15:$K$79),0)</f>
        <v>0.6737968615249732</v>
      </c>
      <c r="M15" s="63">
        <f t="shared" ref="M15:M46" si="5">IFERROR(L15*E15,0)</f>
        <v>0</v>
      </c>
      <c r="N15" s="82"/>
      <c r="O15" s="42">
        <v>-1</v>
      </c>
      <c r="P15" s="42">
        <v>0</v>
      </c>
      <c r="Q15" s="63">
        <f t="shared" ref="Q15:Q46" si="6">L15</f>
        <v>0.6737968615249732</v>
      </c>
      <c r="R15" s="63">
        <v>0.71193439999999997</v>
      </c>
      <c r="T15" s="63"/>
      <c r="U15" s="43">
        <f t="shared" ref="U15:U46" si="7">IFERROR(ROUND(T15/L15,2),0)</f>
        <v>0</v>
      </c>
      <c r="Y15" s="39"/>
      <c r="Z15" s="39"/>
    </row>
    <row r="16" spans="1:26" x14ac:dyDescent="0.3">
      <c r="A16" s="12" t="s">
        <v>26</v>
      </c>
      <c r="B16" s="83">
        <v>1667211</v>
      </c>
      <c r="C16" s="83">
        <v>416306550</v>
      </c>
      <c r="D16" s="63">
        <f t="shared" si="0"/>
        <v>0.16672110000000001</v>
      </c>
      <c r="E16" s="84">
        <f t="shared" si="1"/>
        <v>0.4994047544072106</v>
      </c>
      <c r="G16" s="12" t="s">
        <v>26</v>
      </c>
      <c r="H16" s="80">
        <v>1.04125000974682</v>
      </c>
      <c r="I16" s="63">
        <f t="shared" si="2"/>
        <v>0.16672110000000001</v>
      </c>
      <c r="J16" s="63">
        <f t="shared" si="3"/>
        <v>0.17359834699999999</v>
      </c>
      <c r="K16" s="81">
        <v>173598347</v>
      </c>
      <c r="L16" s="63">
        <f t="shared" si="4"/>
        <v>0.17301968577527893</v>
      </c>
      <c r="M16" s="63">
        <f t="shared" si="5"/>
        <v>8.6406853682215928E-2</v>
      </c>
      <c r="N16" s="82"/>
      <c r="O16" s="38">
        <v>0</v>
      </c>
      <c r="P16" s="38">
        <v>1</v>
      </c>
      <c r="Q16" s="63">
        <f t="shared" si="6"/>
        <v>0.17301968577527893</v>
      </c>
      <c r="R16" s="63">
        <v>0.17202590000000001</v>
      </c>
      <c r="T16" s="63"/>
      <c r="U16" s="43">
        <f t="shared" si="7"/>
        <v>0</v>
      </c>
      <c r="Y16" s="39"/>
      <c r="Z16" s="39"/>
    </row>
    <row r="17" spans="1:26" x14ac:dyDescent="0.3">
      <c r="A17" s="12" t="s">
        <v>27</v>
      </c>
      <c r="B17" s="83">
        <v>538090</v>
      </c>
      <c r="C17" s="83">
        <v>401573875</v>
      </c>
      <c r="D17" s="63">
        <f t="shared" si="0"/>
        <v>5.3809000000000003E-2</v>
      </c>
      <c r="E17" s="84">
        <f t="shared" si="1"/>
        <v>1.4925899942388818</v>
      </c>
      <c r="F17" s="44"/>
      <c r="G17" s="12" t="s">
        <v>27</v>
      </c>
      <c r="H17" s="80">
        <v>1.11925094315077</v>
      </c>
      <c r="I17" s="63">
        <f t="shared" si="2"/>
        <v>5.3809000000000003E-2</v>
      </c>
      <c r="J17" s="63">
        <f t="shared" si="3"/>
        <v>6.0225774000000003E-2</v>
      </c>
      <c r="K17" s="81">
        <v>60225774</v>
      </c>
      <c r="L17" s="63">
        <f t="shared" si="4"/>
        <v>6.0025021396390162E-2</v>
      </c>
      <c r="M17" s="63">
        <f t="shared" si="5"/>
        <v>8.959274634022675E-2</v>
      </c>
      <c r="N17" s="82"/>
      <c r="O17" s="38">
        <v>1</v>
      </c>
      <c r="P17" s="38">
        <v>2</v>
      </c>
      <c r="Q17" s="63">
        <f t="shared" si="6"/>
        <v>6.0025021396390162E-2</v>
      </c>
      <c r="R17" s="63">
        <v>5.3412600000000005E-2</v>
      </c>
      <c r="T17" s="63"/>
      <c r="U17" s="43">
        <f t="shared" si="7"/>
        <v>0</v>
      </c>
      <c r="Y17" s="39"/>
      <c r="Z17" s="39"/>
    </row>
    <row r="18" spans="1:26" x14ac:dyDescent="0.3">
      <c r="A18" s="12" t="s">
        <v>28</v>
      </c>
      <c r="B18" s="83">
        <v>224385</v>
      </c>
      <c r="C18" s="83">
        <v>287523200</v>
      </c>
      <c r="D18" s="63">
        <f t="shared" si="0"/>
        <v>2.24385E-2</v>
      </c>
      <c r="E18" s="84">
        <f t="shared" si="1"/>
        <v>2.5627666733516055</v>
      </c>
      <c r="F18" s="44"/>
      <c r="G18" s="12" t="s">
        <v>28</v>
      </c>
      <c r="H18" s="80">
        <v>1.16595895447557</v>
      </c>
      <c r="I18" s="63">
        <f t="shared" si="2"/>
        <v>2.24385E-2</v>
      </c>
      <c r="J18" s="63">
        <f t="shared" si="3"/>
        <v>2.6162370000000001E-2</v>
      </c>
      <c r="K18" s="81">
        <v>26162370</v>
      </c>
      <c r="L18" s="63">
        <f t="shared" si="4"/>
        <v>2.607516208974377E-2</v>
      </c>
      <c r="M18" s="63">
        <f t="shared" si="5"/>
        <v>6.6824556405836538E-2</v>
      </c>
      <c r="N18" s="82"/>
      <c r="O18" s="38">
        <v>2</v>
      </c>
      <c r="P18" s="38">
        <v>3</v>
      </c>
      <c r="Q18" s="63">
        <f t="shared" si="6"/>
        <v>2.607516208974377E-2</v>
      </c>
      <c r="R18" s="63">
        <v>2.0843899999999999E-2</v>
      </c>
      <c r="T18" s="63"/>
      <c r="U18" s="43">
        <f t="shared" si="7"/>
        <v>0</v>
      </c>
      <c r="Y18" s="39"/>
      <c r="Z18" s="39"/>
    </row>
    <row r="19" spans="1:26" x14ac:dyDescent="0.3">
      <c r="A19" s="12" t="s">
        <v>29</v>
      </c>
      <c r="B19" s="83">
        <v>132955</v>
      </c>
      <c r="C19" s="83">
        <v>232983725</v>
      </c>
      <c r="D19" s="63">
        <f t="shared" si="0"/>
        <v>1.32955E-2</v>
      </c>
      <c r="E19" s="84">
        <f t="shared" si="1"/>
        <v>3.5047004625625213</v>
      </c>
      <c r="F19" s="85"/>
      <c r="G19" s="12" t="s">
        <v>29</v>
      </c>
      <c r="H19" s="80">
        <v>1.34969771727276</v>
      </c>
      <c r="I19" s="63">
        <f t="shared" si="2"/>
        <v>1.32955E-2</v>
      </c>
      <c r="J19" s="63">
        <f t="shared" si="3"/>
        <v>1.7944906E-2</v>
      </c>
      <c r="K19" s="81">
        <v>17944906</v>
      </c>
      <c r="L19" s="63">
        <f t="shared" si="4"/>
        <v>1.7885089639631865E-2</v>
      </c>
      <c r="M19" s="63">
        <f t="shared" si="5"/>
        <v>6.2681881932989958E-2</v>
      </c>
      <c r="N19" s="82"/>
      <c r="O19" s="38">
        <v>3</v>
      </c>
      <c r="P19" s="38">
        <v>4</v>
      </c>
      <c r="Q19" s="63">
        <f t="shared" si="6"/>
        <v>1.7885089639631865E-2</v>
      </c>
      <c r="R19" s="63">
        <v>1.3122799999999999E-2</v>
      </c>
      <c r="T19" s="63"/>
      <c r="U19" s="43">
        <f t="shared" si="7"/>
        <v>0</v>
      </c>
      <c r="Y19" s="39"/>
      <c r="Z19" s="39"/>
    </row>
    <row r="20" spans="1:26" x14ac:dyDescent="0.3">
      <c r="A20" s="12" t="s">
        <v>30</v>
      </c>
      <c r="B20" s="83">
        <v>69633</v>
      </c>
      <c r="C20" s="83">
        <v>158342550</v>
      </c>
      <c r="D20" s="63">
        <f t="shared" si="0"/>
        <v>6.9633000000000004E-3</v>
      </c>
      <c r="E20" s="84">
        <f t="shared" si="1"/>
        <v>4.5479169359355476</v>
      </c>
      <c r="F20" s="85"/>
      <c r="G20" s="12" t="s">
        <v>30</v>
      </c>
      <c r="H20" s="80">
        <v>1.44998635704336</v>
      </c>
      <c r="I20" s="63">
        <f t="shared" si="2"/>
        <v>6.9633000000000004E-3</v>
      </c>
      <c r="J20" s="63">
        <f t="shared" si="3"/>
        <v>1.009669E-2</v>
      </c>
      <c r="K20" s="81">
        <v>10096690</v>
      </c>
      <c r="L20" s="63">
        <f t="shared" si="4"/>
        <v>1.0063034362708541E-2</v>
      </c>
      <c r="M20" s="63">
        <f t="shared" si="5"/>
        <v>4.5765844405063552E-2</v>
      </c>
      <c r="N20" s="82"/>
      <c r="O20" s="38">
        <v>4</v>
      </c>
      <c r="P20" s="38">
        <v>5</v>
      </c>
      <c r="Q20" s="63">
        <f t="shared" si="6"/>
        <v>1.0063034362708541E-2</v>
      </c>
      <c r="R20" s="63">
        <v>6.7679000000000003E-3</v>
      </c>
      <c r="T20" s="63"/>
      <c r="U20" s="43">
        <f t="shared" si="7"/>
        <v>0</v>
      </c>
      <c r="Y20" s="39"/>
      <c r="Z20" s="39"/>
    </row>
    <row r="21" spans="1:26" x14ac:dyDescent="0.3">
      <c r="A21" s="12" t="s">
        <v>31</v>
      </c>
      <c r="B21" s="83">
        <v>36941</v>
      </c>
      <c r="C21" s="83">
        <v>102200425</v>
      </c>
      <c r="D21" s="63">
        <f t="shared" si="0"/>
        <v>3.6941000000000001E-3</v>
      </c>
      <c r="E21" s="84">
        <f t="shared" si="1"/>
        <v>5.5331704610053869</v>
      </c>
      <c r="F21" s="85"/>
      <c r="G21" s="12" t="s">
        <v>31</v>
      </c>
      <c r="H21" s="80">
        <v>1.3288608862781199</v>
      </c>
      <c r="I21" s="63">
        <f t="shared" si="2"/>
        <v>3.6941000000000001E-3</v>
      </c>
      <c r="J21" s="63">
        <f t="shared" si="3"/>
        <v>4.9089449999999996E-3</v>
      </c>
      <c r="K21" s="81">
        <v>4908945</v>
      </c>
      <c r="L21" s="63">
        <f t="shared" si="4"/>
        <v>4.8925818480755846E-3</v>
      </c>
      <c r="M21" s="63">
        <f t="shared" si="5"/>
        <v>2.7071489359822971E-2</v>
      </c>
      <c r="N21" s="82"/>
      <c r="O21" s="38">
        <v>5</v>
      </c>
      <c r="P21" s="38">
        <v>6</v>
      </c>
      <c r="Q21" s="63">
        <f t="shared" si="6"/>
        <v>4.8925818480755846E-3</v>
      </c>
      <c r="R21" s="63">
        <v>3.0503000000000001E-3</v>
      </c>
      <c r="T21" s="63"/>
      <c r="U21" s="43">
        <f t="shared" si="7"/>
        <v>0</v>
      </c>
      <c r="Y21" s="39"/>
      <c r="Z21" s="39"/>
    </row>
    <row r="22" spans="1:26" x14ac:dyDescent="0.3">
      <c r="A22" s="12" t="s">
        <v>32</v>
      </c>
      <c r="B22" s="83">
        <v>22473</v>
      </c>
      <c r="C22" s="83">
        <v>72923550</v>
      </c>
      <c r="D22" s="63">
        <f t="shared" si="0"/>
        <v>2.2472999999999998E-3</v>
      </c>
      <c r="E22" s="84">
        <f t="shared" si="1"/>
        <v>6.4898811907622482</v>
      </c>
      <c r="F22" s="85"/>
      <c r="G22" s="12" t="s">
        <v>32</v>
      </c>
      <c r="H22" s="80">
        <v>1.94933609219953</v>
      </c>
      <c r="I22" s="63">
        <f t="shared" si="2"/>
        <v>2.2472999999999998E-3</v>
      </c>
      <c r="J22" s="63">
        <f t="shared" si="3"/>
        <v>4.3807430000000003E-3</v>
      </c>
      <c r="K22" s="81">
        <v>4380743</v>
      </c>
      <c r="L22" s="63">
        <f t="shared" si="4"/>
        <v>4.3661405216159849E-3</v>
      </c>
      <c r="M22" s="63">
        <f t="shared" si="5"/>
        <v>2.8335733247460453E-2</v>
      </c>
      <c r="N22" s="82"/>
      <c r="O22" s="38">
        <v>6</v>
      </c>
      <c r="P22" s="38">
        <v>7</v>
      </c>
      <c r="Q22" s="63">
        <f t="shared" si="6"/>
        <v>4.3661405216159849E-3</v>
      </c>
      <c r="R22" s="63">
        <v>2.5419000000000001E-3</v>
      </c>
      <c r="T22" s="63"/>
      <c r="U22" s="43">
        <f t="shared" si="7"/>
        <v>0</v>
      </c>
      <c r="Y22" s="39"/>
      <c r="Z22" s="39"/>
    </row>
    <row r="23" spans="1:26" x14ac:dyDescent="0.3">
      <c r="A23" s="12" t="s">
        <v>33</v>
      </c>
      <c r="B23" s="83">
        <v>17491</v>
      </c>
      <c r="C23" s="83">
        <v>66123350</v>
      </c>
      <c r="D23" s="63">
        <f t="shared" si="0"/>
        <v>1.7491E-3</v>
      </c>
      <c r="E23" s="84">
        <f t="shared" si="1"/>
        <v>7.5608427191126868</v>
      </c>
      <c r="F23" s="85"/>
      <c r="G23" s="12" t="s">
        <v>33</v>
      </c>
      <c r="H23" s="80">
        <v>1.8741615688068101</v>
      </c>
      <c r="I23" s="63">
        <f t="shared" si="2"/>
        <v>1.7491E-3</v>
      </c>
      <c r="J23" s="63">
        <f t="shared" si="3"/>
        <v>3.2780959999999999E-3</v>
      </c>
      <c r="K23" s="81">
        <v>3278096</v>
      </c>
      <c r="L23" s="63">
        <f t="shared" si="4"/>
        <v>3.2671690120482468E-3</v>
      </c>
      <c r="M23" s="63">
        <f t="shared" si="5"/>
        <v>2.4702551036855577E-2</v>
      </c>
      <c r="N23" s="82"/>
      <c r="O23" s="38">
        <v>7</v>
      </c>
      <c r="P23" s="38">
        <v>8</v>
      </c>
      <c r="Q23" s="63">
        <f t="shared" si="6"/>
        <v>3.2671690120482468E-3</v>
      </c>
      <c r="R23" s="63">
        <v>1.5887000000000002E-3</v>
      </c>
      <c r="T23" s="63"/>
      <c r="U23" s="43">
        <f t="shared" si="7"/>
        <v>0</v>
      </c>
      <c r="Y23" s="39"/>
      <c r="Z23" s="39"/>
    </row>
    <row r="24" spans="1:26" x14ac:dyDescent="0.3">
      <c r="A24" s="12" t="s">
        <v>34</v>
      </c>
      <c r="B24" s="83">
        <v>10394</v>
      </c>
      <c r="C24" s="83">
        <v>44647150</v>
      </c>
      <c r="D24" s="63">
        <f t="shared" si="0"/>
        <v>1.0394E-3</v>
      </c>
      <c r="E24" s="84">
        <f t="shared" si="1"/>
        <v>8.5909467000192414</v>
      </c>
      <c r="F24" s="85"/>
      <c r="G24" s="12" t="s">
        <v>34</v>
      </c>
      <c r="H24" s="80">
        <v>2.58906003463537</v>
      </c>
      <c r="I24" s="63">
        <f t="shared" si="2"/>
        <v>1.0394E-3</v>
      </c>
      <c r="J24" s="63">
        <f t="shared" si="3"/>
        <v>2.6910689999999999E-3</v>
      </c>
      <c r="K24" s="81">
        <v>2691069</v>
      </c>
      <c r="L24" s="63">
        <f t="shared" si="4"/>
        <v>2.6820987689450413E-3</v>
      </c>
      <c r="M24" s="63">
        <f t="shared" si="5"/>
        <v>2.3041767568194073E-2</v>
      </c>
      <c r="N24" s="82"/>
      <c r="O24" s="38">
        <v>8</v>
      </c>
      <c r="P24" s="38">
        <v>9</v>
      </c>
      <c r="Q24" s="63">
        <f t="shared" si="6"/>
        <v>2.6820987689450413E-3</v>
      </c>
      <c r="R24" s="63">
        <v>7.626E-4</v>
      </c>
      <c r="T24" s="63"/>
      <c r="U24" s="43">
        <f t="shared" si="7"/>
        <v>0</v>
      </c>
      <c r="Y24" s="39"/>
      <c r="Z24" s="39"/>
    </row>
    <row r="25" spans="1:26" x14ac:dyDescent="0.3">
      <c r="A25" s="12" t="s">
        <v>35</v>
      </c>
      <c r="B25" s="83">
        <v>14993</v>
      </c>
      <c r="C25" s="83">
        <v>73230375</v>
      </c>
      <c r="D25" s="63">
        <f t="shared" si="0"/>
        <v>1.4993000000000001E-3</v>
      </c>
      <c r="E25" s="84">
        <f t="shared" si="1"/>
        <v>9.768608684052559</v>
      </c>
      <c r="F25" s="85"/>
      <c r="G25" s="12" t="s">
        <v>35</v>
      </c>
      <c r="H25" s="80">
        <v>2.4501387314079901</v>
      </c>
      <c r="I25" s="63">
        <f t="shared" si="2"/>
        <v>1.4993000000000001E-3</v>
      </c>
      <c r="J25" s="63">
        <f t="shared" si="3"/>
        <v>3.6734929999999999E-3</v>
      </c>
      <c r="K25" s="81">
        <v>3673493</v>
      </c>
      <c r="L25" s="63">
        <f t="shared" si="4"/>
        <v>3.6612480218932426E-3</v>
      </c>
      <c r="M25" s="63">
        <f t="shared" si="5"/>
        <v>3.5765299221136582E-2</v>
      </c>
      <c r="N25" s="82"/>
      <c r="O25" s="38">
        <v>9</v>
      </c>
      <c r="P25" s="38">
        <v>10</v>
      </c>
      <c r="Q25" s="63">
        <f t="shared" si="6"/>
        <v>3.6612480218932426E-3</v>
      </c>
      <c r="R25" s="63">
        <v>1.4616000000000002E-3</v>
      </c>
      <c r="T25" s="63"/>
      <c r="U25" s="43">
        <f t="shared" si="7"/>
        <v>0</v>
      </c>
      <c r="Y25" s="39"/>
      <c r="Z25" s="39"/>
    </row>
    <row r="26" spans="1:26" x14ac:dyDescent="0.3">
      <c r="A26" s="12" t="s">
        <v>36</v>
      </c>
      <c r="B26" s="83">
        <v>40743</v>
      </c>
      <c r="C26" s="83">
        <v>248220825</v>
      </c>
      <c r="D26" s="63">
        <f t="shared" si="0"/>
        <v>4.0743000000000003E-3</v>
      </c>
      <c r="E26" s="84">
        <f t="shared" si="1"/>
        <v>12.184710256976659</v>
      </c>
      <c r="F26" s="85"/>
      <c r="G26" s="12" t="s">
        <v>36</v>
      </c>
      <c r="H26" s="80">
        <v>2.7541155535920301</v>
      </c>
      <c r="I26" s="63">
        <f t="shared" si="2"/>
        <v>4.0743000000000003E-3</v>
      </c>
      <c r="J26" s="63">
        <f t="shared" si="3"/>
        <v>1.1221093E-2</v>
      </c>
      <c r="K26" s="81">
        <v>11221093</v>
      </c>
      <c r="L26" s="63">
        <f t="shared" si="4"/>
        <v>1.1183689352267748E-2</v>
      </c>
      <c r="M26" s="63">
        <f t="shared" si="5"/>
        <v>0.13627001436141747</v>
      </c>
      <c r="N26" s="82"/>
      <c r="O26" s="38">
        <v>10</v>
      </c>
      <c r="P26" s="38">
        <v>15</v>
      </c>
      <c r="Q26" s="63">
        <f t="shared" si="6"/>
        <v>1.1183689352267748E-2</v>
      </c>
      <c r="R26" s="63">
        <v>4.6708000000000001E-3</v>
      </c>
      <c r="T26" s="63"/>
      <c r="U26" s="43">
        <f t="shared" si="7"/>
        <v>0</v>
      </c>
      <c r="Y26" s="39"/>
      <c r="Z26" s="39"/>
    </row>
    <row r="27" spans="1:26" x14ac:dyDescent="0.3">
      <c r="A27" s="12" t="s">
        <v>37</v>
      </c>
      <c r="B27" s="83">
        <v>15959</v>
      </c>
      <c r="C27" s="83">
        <v>138781325</v>
      </c>
      <c r="D27" s="63">
        <f t="shared" si="0"/>
        <v>1.5958999999999999E-3</v>
      </c>
      <c r="E27" s="84">
        <f t="shared" si="1"/>
        <v>17.392233222632996</v>
      </c>
      <c r="F27" s="85"/>
      <c r="G27" s="12" t="s">
        <v>37</v>
      </c>
      <c r="H27" s="80">
        <v>3.6143310984397501</v>
      </c>
      <c r="I27" s="63">
        <f t="shared" si="2"/>
        <v>1.5958999999999999E-3</v>
      </c>
      <c r="J27" s="63">
        <f t="shared" si="3"/>
        <v>5.7681110000000002E-3</v>
      </c>
      <c r="K27" s="81">
        <v>5768111</v>
      </c>
      <c r="L27" s="63">
        <f t="shared" si="4"/>
        <v>5.7488839610721054E-3</v>
      </c>
      <c r="M27" s="63">
        <f t="shared" si="5"/>
        <v>9.9985930620820243E-2</v>
      </c>
      <c r="N27" s="82"/>
      <c r="O27" s="38">
        <v>15</v>
      </c>
      <c r="P27" s="38">
        <v>20</v>
      </c>
      <c r="Q27" s="63">
        <f t="shared" si="6"/>
        <v>5.7488839610721054E-3</v>
      </c>
      <c r="R27" s="63">
        <v>1.7476E-3</v>
      </c>
      <c r="T27" s="63"/>
      <c r="U27" s="43">
        <f t="shared" si="7"/>
        <v>0</v>
      </c>
      <c r="Y27" s="39"/>
      <c r="Z27" s="39"/>
    </row>
    <row r="28" spans="1:26" x14ac:dyDescent="0.3">
      <c r="A28" s="12" t="s">
        <v>38</v>
      </c>
      <c r="B28" s="83">
        <v>9353</v>
      </c>
      <c r="C28" s="83">
        <v>106497650</v>
      </c>
      <c r="D28" s="63">
        <f t="shared" si="0"/>
        <v>9.3530000000000002E-4</v>
      </c>
      <c r="E28" s="84">
        <f t="shared" si="1"/>
        <v>22.772939163904631</v>
      </c>
      <c r="F28" s="85"/>
      <c r="G28" s="12" t="s">
        <v>38</v>
      </c>
      <c r="H28" s="80">
        <v>0</v>
      </c>
      <c r="I28" s="63">
        <f t="shared" si="2"/>
        <v>9.3530000000000002E-4</v>
      </c>
      <c r="J28" s="63">
        <f t="shared" si="3"/>
        <v>0</v>
      </c>
      <c r="K28" s="81">
        <v>0</v>
      </c>
      <c r="L28" s="63">
        <f t="shared" si="4"/>
        <v>0</v>
      </c>
      <c r="M28" s="63">
        <f t="shared" si="5"/>
        <v>0</v>
      </c>
      <c r="N28" s="82"/>
      <c r="O28" s="38">
        <v>20</v>
      </c>
      <c r="P28" s="38">
        <v>25</v>
      </c>
      <c r="Q28" s="63">
        <f t="shared" si="6"/>
        <v>0</v>
      </c>
      <c r="R28" s="63">
        <v>7.3080000000000009E-4</v>
      </c>
      <c r="T28" s="63"/>
      <c r="U28" s="43">
        <f t="shared" si="7"/>
        <v>0</v>
      </c>
      <c r="Y28" s="39"/>
      <c r="Z28" s="39"/>
    </row>
    <row r="29" spans="1:26" x14ac:dyDescent="0.3">
      <c r="A29" s="12" t="s">
        <v>39</v>
      </c>
      <c r="B29" s="83">
        <v>7163</v>
      </c>
      <c r="C29" s="83">
        <v>99122525</v>
      </c>
      <c r="D29" s="63">
        <f t="shared" si="0"/>
        <v>7.1630000000000001E-4</v>
      </c>
      <c r="E29" s="84">
        <f t="shared" si="1"/>
        <v>27.676259946949603</v>
      </c>
      <c r="F29" s="85"/>
      <c r="G29" s="12" t="s">
        <v>39</v>
      </c>
      <c r="H29" s="80">
        <v>0</v>
      </c>
      <c r="I29" s="63">
        <f t="shared" si="2"/>
        <v>7.1630000000000001E-4</v>
      </c>
      <c r="J29" s="63">
        <f t="shared" si="3"/>
        <v>0</v>
      </c>
      <c r="K29" s="81">
        <v>0</v>
      </c>
      <c r="L29" s="63">
        <f t="shared" si="4"/>
        <v>0</v>
      </c>
      <c r="M29" s="63">
        <f t="shared" si="5"/>
        <v>0</v>
      </c>
      <c r="N29" s="82"/>
      <c r="O29" s="38">
        <v>25</v>
      </c>
      <c r="P29" s="38">
        <v>30</v>
      </c>
      <c r="Q29" s="63">
        <f t="shared" si="6"/>
        <v>0</v>
      </c>
      <c r="R29" s="63">
        <v>8.5790000000000009E-4</v>
      </c>
      <c r="T29" s="63"/>
      <c r="U29" s="43">
        <f t="shared" si="7"/>
        <v>0</v>
      </c>
      <c r="Y29" s="39"/>
      <c r="Z29" s="39"/>
    </row>
    <row r="30" spans="1:26" x14ac:dyDescent="0.3">
      <c r="A30" s="12" t="s">
        <v>40</v>
      </c>
      <c r="B30" s="83">
        <v>4526</v>
      </c>
      <c r="C30" s="83">
        <v>73593650</v>
      </c>
      <c r="D30" s="63">
        <f t="shared" si="0"/>
        <v>4.526E-4</v>
      </c>
      <c r="E30" s="84">
        <f t="shared" si="1"/>
        <v>32.520393283252318</v>
      </c>
      <c r="F30" s="85"/>
      <c r="G30" s="12" t="s">
        <v>40</v>
      </c>
      <c r="H30" s="80">
        <v>0</v>
      </c>
      <c r="I30" s="63">
        <f t="shared" si="2"/>
        <v>4.526E-4</v>
      </c>
      <c r="J30" s="63">
        <f t="shared" si="3"/>
        <v>0</v>
      </c>
      <c r="K30" s="81">
        <v>0</v>
      </c>
      <c r="L30" s="63">
        <f t="shared" si="4"/>
        <v>0</v>
      </c>
      <c r="M30" s="63">
        <f t="shared" si="5"/>
        <v>0</v>
      </c>
      <c r="N30" s="82"/>
      <c r="O30" s="38">
        <v>30</v>
      </c>
      <c r="P30" s="38">
        <v>35</v>
      </c>
      <c r="Q30" s="63">
        <f t="shared" si="6"/>
        <v>0</v>
      </c>
      <c r="R30" s="63">
        <v>5.084E-4</v>
      </c>
      <c r="T30" s="63"/>
      <c r="U30" s="43">
        <f t="shared" si="7"/>
        <v>0</v>
      </c>
      <c r="Y30" s="39"/>
      <c r="Z30" s="39"/>
    </row>
    <row r="31" spans="1:26" x14ac:dyDescent="0.3">
      <c r="A31" s="12" t="s">
        <v>41</v>
      </c>
      <c r="B31" s="83">
        <v>4228</v>
      </c>
      <c r="C31" s="83">
        <v>79634100</v>
      </c>
      <c r="D31" s="63">
        <f t="shared" si="0"/>
        <v>4.2279999999999998E-4</v>
      </c>
      <c r="E31" s="84">
        <f t="shared" si="1"/>
        <v>37.669867549668872</v>
      </c>
      <c r="F31" s="85"/>
      <c r="G31" s="12" t="s">
        <v>41</v>
      </c>
      <c r="H31" s="80">
        <v>0</v>
      </c>
      <c r="I31" s="63">
        <f t="shared" si="2"/>
        <v>4.2279999999999998E-4</v>
      </c>
      <c r="J31" s="63">
        <f t="shared" si="3"/>
        <v>0</v>
      </c>
      <c r="K31" s="81">
        <v>0</v>
      </c>
      <c r="L31" s="63">
        <f t="shared" si="4"/>
        <v>0</v>
      </c>
      <c r="M31" s="63">
        <f t="shared" si="5"/>
        <v>0</v>
      </c>
      <c r="N31" s="82"/>
      <c r="O31" s="38">
        <v>35</v>
      </c>
      <c r="P31" s="38">
        <v>40</v>
      </c>
      <c r="Q31" s="63">
        <f t="shared" si="6"/>
        <v>0</v>
      </c>
      <c r="R31" s="63">
        <v>5.7189999999999997E-4</v>
      </c>
      <c r="T31" s="63"/>
      <c r="U31" s="43">
        <f t="shared" si="7"/>
        <v>0</v>
      </c>
      <c r="Y31" s="39"/>
      <c r="Z31" s="39"/>
    </row>
    <row r="32" spans="1:26" x14ac:dyDescent="0.3">
      <c r="A32" s="12" t="s">
        <v>42</v>
      </c>
      <c r="B32" s="83">
        <v>2967</v>
      </c>
      <c r="C32" s="83">
        <v>63386350</v>
      </c>
      <c r="D32" s="63">
        <f t="shared" si="0"/>
        <v>2.967E-4</v>
      </c>
      <c r="E32" s="84">
        <f t="shared" si="1"/>
        <v>42.727569935962251</v>
      </c>
      <c r="F32" s="85"/>
      <c r="G32" s="12" t="s">
        <v>42</v>
      </c>
      <c r="H32" s="80">
        <v>0</v>
      </c>
      <c r="I32" s="63">
        <f t="shared" si="2"/>
        <v>2.967E-4</v>
      </c>
      <c r="J32" s="63">
        <f t="shared" si="3"/>
        <v>0</v>
      </c>
      <c r="K32" s="81">
        <v>0</v>
      </c>
      <c r="L32" s="63">
        <f t="shared" si="4"/>
        <v>0</v>
      </c>
      <c r="M32" s="63">
        <f t="shared" si="5"/>
        <v>0</v>
      </c>
      <c r="N32" s="82"/>
      <c r="O32" s="38">
        <v>40</v>
      </c>
      <c r="P32" s="38">
        <v>45</v>
      </c>
      <c r="Q32" s="63">
        <f t="shared" si="6"/>
        <v>0</v>
      </c>
      <c r="R32" s="63">
        <v>2.2239999999999998E-4</v>
      </c>
      <c r="T32" s="63"/>
      <c r="U32" s="43">
        <f t="shared" si="7"/>
        <v>0</v>
      </c>
      <c r="Y32" s="39"/>
      <c r="Z32" s="39"/>
    </row>
    <row r="33" spans="1:26" x14ac:dyDescent="0.3">
      <c r="A33" s="12" t="s">
        <v>43</v>
      </c>
      <c r="B33" s="83">
        <v>2541</v>
      </c>
      <c r="C33" s="83">
        <v>60843175</v>
      </c>
      <c r="D33" s="63">
        <f t="shared" si="0"/>
        <v>2.541E-4</v>
      </c>
      <c r="E33" s="84">
        <f t="shared" si="1"/>
        <v>47.889157811885084</v>
      </c>
      <c r="F33" s="85"/>
      <c r="G33" s="12" t="s">
        <v>43</v>
      </c>
      <c r="H33" s="80">
        <v>0</v>
      </c>
      <c r="I33" s="63">
        <f t="shared" si="2"/>
        <v>2.541E-4</v>
      </c>
      <c r="J33" s="63">
        <f t="shared" si="3"/>
        <v>0</v>
      </c>
      <c r="K33" s="81">
        <v>0</v>
      </c>
      <c r="L33" s="63">
        <f t="shared" si="4"/>
        <v>0</v>
      </c>
      <c r="M33" s="63">
        <f t="shared" si="5"/>
        <v>0</v>
      </c>
      <c r="N33" s="82"/>
      <c r="O33" s="38">
        <v>45</v>
      </c>
      <c r="P33" s="38">
        <v>50</v>
      </c>
      <c r="Q33" s="63">
        <f t="shared" si="6"/>
        <v>0</v>
      </c>
      <c r="R33" s="63">
        <v>3.813E-4</v>
      </c>
      <c r="T33" s="63"/>
      <c r="U33" s="43">
        <f t="shared" si="7"/>
        <v>0</v>
      </c>
      <c r="Y33" s="39"/>
      <c r="Z33" s="39"/>
    </row>
    <row r="34" spans="1:26" x14ac:dyDescent="0.3">
      <c r="A34" s="12" t="s">
        <v>44</v>
      </c>
      <c r="B34" s="83">
        <v>3633</v>
      </c>
      <c r="C34" s="83">
        <v>99909275</v>
      </c>
      <c r="D34" s="63">
        <f t="shared" si="0"/>
        <v>3.6329999999999999E-4</v>
      </c>
      <c r="E34" s="84">
        <f t="shared" si="1"/>
        <v>55.000977153867332</v>
      </c>
      <c r="F34" s="85"/>
      <c r="G34" s="12" t="s">
        <v>44</v>
      </c>
      <c r="H34" s="80">
        <v>0</v>
      </c>
      <c r="I34" s="63">
        <f t="shared" si="2"/>
        <v>3.6329999999999999E-4</v>
      </c>
      <c r="J34" s="63">
        <f t="shared" si="3"/>
        <v>0</v>
      </c>
      <c r="K34" s="81">
        <v>0</v>
      </c>
      <c r="L34" s="63">
        <f t="shared" si="4"/>
        <v>0</v>
      </c>
      <c r="M34" s="63">
        <f t="shared" si="5"/>
        <v>0</v>
      </c>
      <c r="N34" s="82"/>
      <c r="O34" s="38">
        <v>50</v>
      </c>
      <c r="P34" s="38">
        <v>60</v>
      </c>
      <c r="Q34" s="63">
        <f t="shared" si="6"/>
        <v>0</v>
      </c>
      <c r="R34" s="63">
        <v>2.8600000000000001E-4</v>
      </c>
      <c r="T34" s="63"/>
      <c r="U34" s="43">
        <f t="shared" si="7"/>
        <v>0</v>
      </c>
      <c r="Y34" s="39"/>
      <c r="Z34" s="39"/>
    </row>
    <row r="35" spans="1:26" x14ac:dyDescent="0.3">
      <c r="A35" s="12" t="s">
        <v>45</v>
      </c>
      <c r="B35" s="83">
        <v>2543</v>
      </c>
      <c r="C35" s="83">
        <v>82437200</v>
      </c>
      <c r="D35" s="63">
        <f t="shared" si="0"/>
        <v>2.543E-4</v>
      </c>
      <c r="E35" s="84">
        <f t="shared" si="1"/>
        <v>64.834604797483294</v>
      </c>
      <c r="F35" s="85"/>
      <c r="G35" s="12" t="s">
        <v>45</v>
      </c>
      <c r="H35" s="80">
        <v>0</v>
      </c>
      <c r="I35" s="63">
        <f t="shared" si="2"/>
        <v>2.543E-4</v>
      </c>
      <c r="J35" s="63">
        <f t="shared" si="3"/>
        <v>0</v>
      </c>
      <c r="K35" s="81">
        <v>0</v>
      </c>
      <c r="L35" s="63">
        <f t="shared" si="4"/>
        <v>0</v>
      </c>
      <c r="M35" s="63">
        <f t="shared" si="5"/>
        <v>0</v>
      </c>
      <c r="N35" s="82"/>
      <c r="O35" s="38">
        <v>60</v>
      </c>
      <c r="P35" s="38">
        <v>70</v>
      </c>
      <c r="Q35" s="63">
        <f t="shared" si="6"/>
        <v>0</v>
      </c>
      <c r="R35" s="63">
        <v>3.1769999999999997E-4</v>
      </c>
      <c r="T35" s="63"/>
      <c r="U35" s="43">
        <f t="shared" si="7"/>
        <v>0</v>
      </c>
      <c r="Y35" s="39"/>
      <c r="Z35" s="39"/>
    </row>
    <row r="36" spans="1:26" x14ac:dyDescent="0.3">
      <c r="A36" s="12" t="s">
        <v>46</v>
      </c>
      <c r="B36" s="83">
        <v>2147</v>
      </c>
      <c r="C36" s="83">
        <v>80658150</v>
      </c>
      <c r="D36" s="63">
        <f t="shared" si="0"/>
        <v>2.1469999999999999E-4</v>
      </c>
      <c r="E36" s="84">
        <f t="shared" si="1"/>
        <v>75.135677689799721</v>
      </c>
      <c r="F36" s="85"/>
      <c r="G36" s="12" t="s">
        <v>46</v>
      </c>
      <c r="H36" s="80">
        <v>0</v>
      </c>
      <c r="I36" s="63">
        <f t="shared" si="2"/>
        <v>2.1469999999999999E-4</v>
      </c>
      <c r="J36" s="63">
        <f t="shared" si="3"/>
        <v>0</v>
      </c>
      <c r="K36" s="81">
        <v>0</v>
      </c>
      <c r="L36" s="63">
        <f t="shared" si="4"/>
        <v>0</v>
      </c>
      <c r="M36" s="63">
        <f t="shared" si="5"/>
        <v>0</v>
      </c>
      <c r="N36" s="82"/>
      <c r="O36" s="38">
        <v>70</v>
      </c>
      <c r="P36" s="38">
        <v>80</v>
      </c>
      <c r="Q36" s="63">
        <f t="shared" si="6"/>
        <v>0</v>
      </c>
      <c r="R36" s="63">
        <v>2.542E-4</v>
      </c>
      <c r="T36" s="63"/>
      <c r="U36" s="43">
        <f t="shared" si="7"/>
        <v>0</v>
      </c>
      <c r="Y36" s="39"/>
      <c r="Z36" s="39"/>
    </row>
    <row r="37" spans="1:26" x14ac:dyDescent="0.3">
      <c r="A37" s="12" t="s">
        <v>47</v>
      </c>
      <c r="B37" s="83">
        <v>1594</v>
      </c>
      <c r="C37" s="83">
        <v>67905075</v>
      </c>
      <c r="D37" s="63">
        <f t="shared" si="0"/>
        <v>1.594E-4</v>
      </c>
      <c r="E37" s="84">
        <f t="shared" si="1"/>
        <v>85.2008469259724</v>
      </c>
      <c r="F37" s="85"/>
      <c r="G37" s="12" t="s">
        <v>47</v>
      </c>
      <c r="H37" s="80">
        <v>0</v>
      </c>
      <c r="I37" s="63">
        <f t="shared" si="2"/>
        <v>1.594E-4</v>
      </c>
      <c r="J37" s="63">
        <f t="shared" si="3"/>
        <v>0</v>
      </c>
      <c r="K37" s="81">
        <v>0</v>
      </c>
      <c r="L37" s="63">
        <f t="shared" si="4"/>
        <v>0</v>
      </c>
      <c r="M37" s="63">
        <f t="shared" si="5"/>
        <v>0</v>
      </c>
      <c r="N37" s="82"/>
      <c r="O37" s="38">
        <v>80</v>
      </c>
      <c r="P37" s="38">
        <v>90</v>
      </c>
      <c r="Q37" s="63">
        <f t="shared" si="6"/>
        <v>0</v>
      </c>
      <c r="R37" s="63">
        <v>3.813E-4</v>
      </c>
      <c r="T37" s="63"/>
      <c r="U37" s="43">
        <f t="shared" si="7"/>
        <v>0</v>
      </c>
      <c r="Y37" s="39"/>
      <c r="Z37" s="39"/>
    </row>
    <row r="38" spans="1:26" x14ac:dyDescent="0.3">
      <c r="A38" s="12" t="s">
        <v>48</v>
      </c>
      <c r="B38" s="83">
        <v>1262</v>
      </c>
      <c r="C38" s="83">
        <v>60399650</v>
      </c>
      <c r="D38" s="63">
        <f t="shared" si="0"/>
        <v>1.262E-4</v>
      </c>
      <c r="E38" s="84">
        <f t="shared" si="1"/>
        <v>95.720522979397771</v>
      </c>
      <c r="F38" s="85"/>
      <c r="G38" s="12" t="s">
        <v>48</v>
      </c>
      <c r="H38" s="80">
        <v>0</v>
      </c>
      <c r="I38" s="63">
        <f t="shared" si="2"/>
        <v>1.262E-4</v>
      </c>
      <c r="J38" s="63">
        <f t="shared" si="3"/>
        <v>0</v>
      </c>
      <c r="K38" s="81">
        <v>0</v>
      </c>
      <c r="L38" s="63">
        <f t="shared" si="4"/>
        <v>0</v>
      </c>
      <c r="M38" s="63">
        <f t="shared" si="5"/>
        <v>0</v>
      </c>
      <c r="N38" s="82"/>
      <c r="O38" s="38">
        <v>90</v>
      </c>
      <c r="P38" s="38">
        <v>100</v>
      </c>
      <c r="Q38" s="63">
        <f t="shared" si="6"/>
        <v>0</v>
      </c>
      <c r="R38" s="63">
        <v>1.5890000000000001E-4</v>
      </c>
      <c r="T38" s="63"/>
      <c r="U38" s="43">
        <f t="shared" si="7"/>
        <v>0</v>
      </c>
      <c r="Y38" s="39"/>
      <c r="Z38" s="39"/>
    </row>
    <row r="39" spans="1:26" x14ac:dyDescent="0.3">
      <c r="A39" s="12" t="s">
        <v>49</v>
      </c>
      <c r="B39" s="83">
        <v>1802</v>
      </c>
      <c r="C39" s="83">
        <v>98996350</v>
      </c>
      <c r="D39" s="63">
        <f t="shared" si="0"/>
        <v>1.8019999999999999E-4</v>
      </c>
      <c r="E39" s="84">
        <f t="shared" si="1"/>
        <v>109.87386237513873</v>
      </c>
      <c r="F39" s="85"/>
      <c r="G39" s="12" t="s">
        <v>49</v>
      </c>
      <c r="H39" s="80">
        <v>0</v>
      </c>
      <c r="I39" s="63">
        <f t="shared" si="2"/>
        <v>1.8019999999999999E-4</v>
      </c>
      <c r="J39" s="63">
        <f t="shared" si="3"/>
        <v>0</v>
      </c>
      <c r="K39" s="81">
        <v>0</v>
      </c>
      <c r="L39" s="63">
        <f t="shared" si="4"/>
        <v>0</v>
      </c>
      <c r="M39" s="63">
        <f t="shared" si="5"/>
        <v>0</v>
      </c>
      <c r="N39" s="82"/>
      <c r="O39" s="38">
        <v>100</v>
      </c>
      <c r="P39" s="38">
        <v>120</v>
      </c>
      <c r="Q39" s="63">
        <f t="shared" si="6"/>
        <v>0</v>
      </c>
      <c r="R39" s="63">
        <v>2.8600000000000001E-4</v>
      </c>
      <c r="T39" s="63"/>
      <c r="U39" s="43">
        <f t="shared" si="7"/>
        <v>0</v>
      </c>
      <c r="Y39" s="39"/>
      <c r="Z39" s="39"/>
    </row>
    <row r="40" spans="1:26" x14ac:dyDescent="0.3">
      <c r="A40" s="12" t="s">
        <v>50</v>
      </c>
      <c r="B40" s="83">
        <v>1247</v>
      </c>
      <c r="C40" s="83">
        <v>80574600</v>
      </c>
      <c r="D40" s="63">
        <f t="shared" si="0"/>
        <v>1.247E-4</v>
      </c>
      <c r="E40" s="84">
        <f t="shared" si="1"/>
        <v>129.22951082598237</v>
      </c>
      <c r="F40" s="85"/>
      <c r="G40" s="12" t="s">
        <v>50</v>
      </c>
      <c r="H40" s="80">
        <v>0</v>
      </c>
      <c r="I40" s="63">
        <f t="shared" si="2"/>
        <v>1.247E-4</v>
      </c>
      <c r="J40" s="63">
        <f t="shared" si="3"/>
        <v>0</v>
      </c>
      <c r="K40" s="81">
        <v>0</v>
      </c>
      <c r="L40" s="63">
        <f t="shared" si="4"/>
        <v>0</v>
      </c>
      <c r="M40" s="63">
        <f t="shared" si="5"/>
        <v>0</v>
      </c>
      <c r="N40" s="82"/>
      <c r="O40" s="38">
        <v>120</v>
      </c>
      <c r="P40" s="38">
        <v>140</v>
      </c>
      <c r="Q40" s="63">
        <f t="shared" si="6"/>
        <v>0</v>
      </c>
      <c r="R40" s="63">
        <v>2.542E-4</v>
      </c>
      <c r="T40" s="63"/>
      <c r="U40" s="43">
        <f t="shared" si="7"/>
        <v>0</v>
      </c>
      <c r="Y40" s="39"/>
      <c r="Z40" s="39"/>
    </row>
    <row r="41" spans="1:26" x14ac:dyDescent="0.3">
      <c r="A41" s="12" t="s">
        <v>51</v>
      </c>
      <c r="B41" s="83">
        <v>861</v>
      </c>
      <c r="C41" s="83">
        <v>64573325</v>
      </c>
      <c r="D41" s="63">
        <f t="shared" si="0"/>
        <v>8.6100000000000006E-5</v>
      </c>
      <c r="E41" s="84">
        <f t="shared" si="1"/>
        <v>149.99610917537746</v>
      </c>
      <c r="F41" s="85"/>
      <c r="G41" s="12" t="s">
        <v>51</v>
      </c>
      <c r="H41" s="80">
        <v>0</v>
      </c>
      <c r="I41" s="63">
        <f t="shared" si="2"/>
        <v>8.6100000000000006E-5</v>
      </c>
      <c r="J41" s="63">
        <f t="shared" si="3"/>
        <v>0</v>
      </c>
      <c r="K41" s="81">
        <v>0</v>
      </c>
      <c r="L41" s="63">
        <f t="shared" si="4"/>
        <v>0</v>
      </c>
      <c r="M41" s="63">
        <f t="shared" si="5"/>
        <v>0</v>
      </c>
      <c r="N41" s="82"/>
      <c r="O41" s="38">
        <v>140</v>
      </c>
      <c r="P41" s="38">
        <v>160</v>
      </c>
      <c r="Q41" s="63">
        <f t="shared" si="6"/>
        <v>0</v>
      </c>
      <c r="R41" s="63">
        <v>2.2239999999999998E-4</v>
      </c>
      <c r="T41" s="63"/>
      <c r="U41" s="43">
        <f t="shared" si="7"/>
        <v>0</v>
      </c>
      <c r="Y41" s="39"/>
      <c r="Z41" s="39"/>
    </row>
    <row r="42" spans="1:26" x14ac:dyDescent="0.3">
      <c r="A42" s="12" t="s">
        <v>52</v>
      </c>
      <c r="B42" s="83">
        <v>649</v>
      </c>
      <c r="C42" s="83">
        <v>55036100</v>
      </c>
      <c r="D42" s="63">
        <f t="shared" si="0"/>
        <v>6.4900000000000005E-5</v>
      </c>
      <c r="E42" s="84">
        <f t="shared" si="1"/>
        <v>169.60277349768876</v>
      </c>
      <c r="F42" s="85"/>
      <c r="G42" s="12" t="s">
        <v>52</v>
      </c>
      <c r="H42" s="80">
        <v>0</v>
      </c>
      <c r="I42" s="63">
        <f t="shared" si="2"/>
        <v>6.4900000000000005E-5</v>
      </c>
      <c r="J42" s="63">
        <f t="shared" si="3"/>
        <v>0</v>
      </c>
      <c r="K42" s="81">
        <v>0</v>
      </c>
      <c r="L42" s="63">
        <f t="shared" si="4"/>
        <v>0</v>
      </c>
      <c r="M42" s="63">
        <f t="shared" si="5"/>
        <v>0</v>
      </c>
      <c r="N42" s="82"/>
      <c r="O42" s="38">
        <v>160</v>
      </c>
      <c r="P42" s="38">
        <v>180</v>
      </c>
      <c r="Q42" s="63">
        <f t="shared" si="6"/>
        <v>0</v>
      </c>
      <c r="R42" s="63">
        <v>6.3499999999999999E-5</v>
      </c>
      <c r="T42" s="63"/>
      <c r="U42" s="43">
        <f t="shared" si="7"/>
        <v>0</v>
      </c>
      <c r="Y42" s="39"/>
      <c r="Z42" s="39"/>
    </row>
    <row r="43" spans="1:26" x14ac:dyDescent="0.3">
      <c r="A43" s="12" t="s">
        <v>53</v>
      </c>
      <c r="B43" s="83">
        <v>545</v>
      </c>
      <c r="C43" s="83">
        <v>51916900</v>
      </c>
      <c r="D43" s="63">
        <f t="shared" si="0"/>
        <v>5.4500000000000003E-5</v>
      </c>
      <c r="E43" s="84">
        <f t="shared" si="1"/>
        <v>190.52073394495412</v>
      </c>
      <c r="F43" s="85"/>
      <c r="G43" s="12" t="s">
        <v>53</v>
      </c>
      <c r="H43" s="80">
        <v>0</v>
      </c>
      <c r="I43" s="63">
        <f t="shared" si="2"/>
        <v>5.4500000000000003E-5</v>
      </c>
      <c r="J43" s="63">
        <f t="shared" si="3"/>
        <v>0</v>
      </c>
      <c r="K43" s="81">
        <v>0</v>
      </c>
      <c r="L43" s="63">
        <f t="shared" si="4"/>
        <v>0</v>
      </c>
      <c r="M43" s="63">
        <f t="shared" si="5"/>
        <v>0</v>
      </c>
      <c r="N43" s="82"/>
      <c r="O43" s="38">
        <v>180</v>
      </c>
      <c r="P43" s="38">
        <v>200</v>
      </c>
      <c r="Q43" s="63">
        <f t="shared" si="6"/>
        <v>0</v>
      </c>
      <c r="R43" s="63">
        <v>1.5890000000000001E-4</v>
      </c>
      <c r="T43" s="63"/>
      <c r="U43" s="43">
        <f t="shared" si="7"/>
        <v>0</v>
      </c>
      <c r="Y43" s="39"/>
      <c r="Z43" s="39"/>
    </row>
    <row r="44" spans="1:26" x14ac:dyDescent="0.3">
      <c r="A44" s="12" t="s">
        <v>54</v>
      </c>
      <c r="B44" s="83">
        <v>871</v>
      </c>
      <c r="C44" s="83">
        <v>98088375</v>
      </c>
      <c r="D44" s="63">
        <f t="shared" si="0"/>
        <v>8.7100000000000003E-5</v>
      </c>
      <c r="E44" s="84">
        <f t="shared" si="1"/>
        <v>225.2316303099885</v>
      </c>
      <c r="F44" s="85"/>
      <c r="G44" s="12" t="s">
        <v>54</v>
      </c>
      <c r="H44" s="80">
        <v>0</v>
      </c>
      <c r="I44" s="63">
        <f t="shared" si="2"/>
        <v>8.7100000000000003E-5</v>
      </c>
      <c r="J44" s="63">
        <f t="shared" si="3"/>
        <v>0</v>
      </c>
      <c r="K44" s="81">
        <v>0</v>
      </c>
      <c r="L44" s="63">
        <f t="shared" si="4"/>
        <v>0</v>
      </c>
      <c r="M44" s="63">
        <f t="shared" si="5"/>
        <v>0</v>
      </c>
      <c r="N44" s="82"/>
      <c r="O44" s="38">
        <v>200</v>
      </c>
      <c r="P44" s="38">
        <v>250</v>
      </c>
      <c r="Q44" s="63">
        <f t="shared" si="6"/>
        <v>0</v>
      </c>
      <c r="R44" s="63">
        <v>1.5890000000000001E-4</v>
      </c>
      <c r="T44" s="63"/>
      <c r="U44" s="43">
        <f t="shared" si="7"/>
        <v>0</v>
      </c>
      <c r="Y44" s="39"/>
      <c r="Z44" s="39"/>
    </row>
    <row r="45" spans="1:26" x14ac:dyDescent="0.3">
      <c r="A45" s="12" t="s">
        <v>55</v>
      </c>
      <c r="B45" s="83">
        <v>509</v>
      </c>
      <c r="C45" s="83">
        <v>69456450</v>
      </c>
      <c r="D45" s="63">
        <f t="shared" si="0"/>
        <v>5.0899999999999997E-5</v>
      </c>
      <c r="E45" s="84">
        <f t="shared" si="1"/>
        <v>272.91335952848726</v>
      </c>
      <c r="F45" s="85"/>
      <c r="G45" s="12" t="s">
        <v>55</v>
      </c>
      <c r="H45" s="80">
        <v>0</v>
      </c>
      <c r="I45" s="63">
        <f t="shared" si="2"/>
        <v>5.0899999999999997E-5</v>
      </c>
      <c r="J45" s="63">
        <f t="shared" si="3"/>
        <v>0</v>
      </c>
      <c r="K45" s="81">
        <v>0</v>
      </c>
      <c r="L45" s="63">
        <f t="shared" si="4"/>
        <v>0</v>
      </c>
      <c r="M45" s="63">
        <f t="shared" si="5"/>
        <v>0</v>
      </c>
      <c r="N45" s="82"/>
      <c r="O45" s="38">
        <v>250</v>
      </c>
      <c r="P45" s="38">
        <v>300</v>
      </c>
      <c r="Q45" s="63">
        <f t="shared" si="6"/>
        <v>0</v>
      </c>
      <c r="R45" s="63">
        <v>1.271E-4</v>
      </c>
      <c r="T45" s="63"/>
      <c r="U45" s="43">
        <f t="shared" si="7"/>
        <v>0</v>
      </c>
      <c r="Y45" s="39"/>
      <c r="Z45" s="39"/>
    </row>
    <row r="46" spans="1:26" x14ac:dyDescent="0.3">
      <c r="A46" s="12" t="s">
        <v>56</v>
      </c>
      <c r="B46" s="83">
        <v>341</v>
      </c>
      <c r="C46" s="83">
        <v>55264575</v>
      </c>
      <c r="D46" s="63">
        <f t="shared" si="0"/>
        <v>3.4100000000000002E-5</v>
      </c>
      <c r="E46" s="84">
        <f t="shared" si="1"/>
        <v>324.1324046920821</v>
      </c>
      <c r="F46" s="85"/>
      <c r="G46" s="12" t="s">
        <v>56</v>
      </c>
      <c r="H46" s="80">
        <v>0</v>
      </c>
      <c r="I46" s="63">
        <f t="shared" si="2"/>
        <v>3.4100000000000002E-5</v>
      </c>
      <c r="J46" s="63">
        <f t="shared" si="3"/>
        <v>0</v>
      </c>
      <c r="K46" s="81">
        <v>0</v>
      </c>
      <c r="L46" s="63">
        <f t="shared" si="4"/>
        <v>0</v>
      </c>
      <c r="M46" s="63">
        <f t="shared" si="5"/>
        <v>0</v>
      </c>
      <c r="N46" s="82"/>
      <c r="O46" s="38">
        <v>300</v>
      </c>
      <c r="P46" s="38">
        <v>350</v>
      </c>
      <c r="Q46" s="63">
        <f t="shared" si="6"/>
        <v>0</v>
      </c>
      <c r="R46" s="63">
        <v>9.5299999999999999E-5</v>
      </c>
      <c r="T46" s="63"/>
      <c r="U46" s="43">
        <f t="shared" si="7"/>
        <v>0</v>
      </c>
      <c r="Y46" s="39"/>
      <c r="Z46" s="39"/>
    </row>
    <row r="47" spans="1:26" x14ac:dyDescent="0.3">
      <c r="A47" s="12" t="s">
        <v>57</v>
      </c>
      <c r="B47" s="83">
        <v>282</v>
      </c>
      <c r="C47" s="83">
        <v>53271550</v>
      </c>
      <c r="D47" s="63">
        <f t="shared" ref="D47:D78" si="8">IFERROR(B47/$B$13,0)</f>
        <v>2.8200000000000001E-5</v>
      </c>
      <c r="E47" s="84">
        <f t="shared" ref="E47:E78" si="9">IFERROR(C47/B47/500,0)</f>
        <v>377.81241134751775</v>
      </c>
      <c r="F47" s="85"/>
      <c r="G47" s="12" t="s">
        <v>57</v>
      </c>
      <c r="H47" s="80">
        <v>0</v>
      </c>
      <c r="I47" s="63">
        <f t="shared" ref="I47:I78" si="10">IFERROR(B47/$B$13,0)</f>
        <v>2.8200000000000001E-5</v>
      </c>
      <c r="J47" s="63">
        <f t="shared" ref="J47:J78" si="11">IFERROR(K47/$B$2,0)</f>
        <v>0</v>
      </c>
      <c r="K47" s="81">
        <v>0</v>
      </c>
      <c r="L47" s="63">
        <f t="shared" ref="L47:L78" si="12">IFERROR(K47/SUM($K$15:$K$79),0)</f>
        <v>0</v>
      </c>
      <c r="M47" s="63">
        <f t="shared" ref="M47:M78" si="13">IFERROR(L47*E47,0)</f>
        <v>0</v>
      </c>
      <c r="N47" s="82"/>
      <c r="O47" s="38">
        <v>350</v>
      </c>
      <c r="P47" s="38">
        <v>400</v>
      </c>
      <c r="Q47" s="63">
        <f t="shared" ref="Q47:Q78" si="14">L47</f>
        <v>0</v>
      </c>
      <c r="R47" s="63">
        <v>0</v>
      </c>
      <c r="T47" s="63"/>
      <c r="U47" s="43">
        <f t="shared" ref="U47:U78" si="15">IFERROR(ROUND(T47/L47,2),0)</f>
        <v>0</v>
      </c>
      <c r="Y47" s="39"/>
      <c r="Z47" s="39"/>
    </row>
    <row r="48" spans="1:26" x14ac:dyDescent="0.3">
      <c r="A48" s="12" t="s">
        <v>58</v>
      </c>
      <c r="B48" s="83">
        <v>182</v>
      </c>
      <c r="C48" s="83">
        <v>38558400</v>
      </c>
      <c r="D48" s="63">
        <f t="shared" si="8"/>
        <v>1.8199999999999999E-5</v>
      </c>
      <c r="E48" s="84">
        <f t="shared" si="9"/>
        <v>423.71868131868132</v>
      </c>
      <c r="F48" s="85"/>
      <c r="G48" s="12" t="s">
        <v>58</v>
      </c>
      <c r="H48" s="80">
        <v>0</v>
      </c>
      <c r="I48" s="63">
        <f t="shared" si="10"/>
        <v>1.8199999999999999E-5</v>
      </c>
      <c r="J48" s="63">
        <f t="shared" si="11"/>
        <v>0</v>
      </c>
      <c r="K48" s="81">
        <v>0</v>
      </c>
      <c r="L48" s="63">
        <f t="shared" si="12"/>
        <v>0</v>
      </c>
      <c r="M48" s="63">
        <f t="shared" si="13"/>
        <v>0</v>
      </c>
      <c r="N48" s="82"/>
      <c r="O48" s="38">
        <v>400</v>
      </c>
      <c r="P48" s="38">
        <v>450</v>
      </c>
      <c r="Q48" s="63">
        <f t="shared" si="14"/>
        <v>0</v>
      </c>
      <c r="R48" s="63">
        <v>3.18E-5</v>
      </c>
      <c r="T48" s="63"/>
      <c r="U48" s="43">
        <f t="shared" si="15"/>
        <v>0</v>
      </c>
      <c r="Y48" s="39"/>
      <c r="Z48" s="39"/>
    </row>
    <row r="49" spans="1:26" x14ac:dyDescent="0.3">
      <c r="A49" s="12" t="s">
        <v>59</v>
      </c>
      <c r="B49" s="83">
        <v>148</v>
      </c>
      <c r="C49" s="83">
        <v>35492675</v>
      </c>
      <c r="D49" s="63">
        <f t="shared" si="8"/>
        <v>1.4800000000000001E-5</v>
      </c>
      <c r="E49" s="84">
        <f t="shared" si="9"/>
        <v>479.63074324324327</v>
      </c>
      <c r="F49" s="85"/>
      <c r="G49" s="12" t="s">
        <v>59</v>
      </c>
      <c r="H49" s="80">
        <v>0</v>
      </c>
      <c r="I49" s="63">
        <f t="shared" si="10"/>
        <v>1.4800000000000001E-5</v>
      </c>
      <c r="J49" s="63">
        <f t="shared" si="11"/>
        <v>0</v>
      </c>
      <c r="K49" s="81">
        <v>0</v>
      </c>
      <c r="L49" s="63">
        <f t="shared" si="12"/>
        <v>0</v>
      </c>
      <c r="M49" s="63">
        <f t="shared" si="13"/>
        <v>0</v>
      </c>
      <c r="N49" s="82"/>
      <c r="O49" s="38">
        <v>450</v>
      </c>
      <c r="P49" s="38">
        <v>500</v>
      </c>
      <c r="Q49" s="63">
        <f t="shared" si="14"/>
        <v>0</v>
      </c>
      <c r="R49" s="63">
        <v>0</v>
      </c>
      <c r="T49" s="63"/>
      <c r="U49" s="43">
        <f t="shared" si="15"/>
        <v>0</v>
      </c>
      <c r="Y49" s="39"/>
      <c r="Z49" s="39"/>
    </row>
    <row r="50" spans="1:26" x14ac:dyDescent="0.3">
      <c r="A50" s="12" t="s">
        <v>60</v>
      </c>
      <c r="B50" s="83">
        <v>112</v>
      </c>
      <c r="C50" s="83">
        <v>29411950</v>
      </c>
      <c r="D50" s="63">
        <f t="shared" si="8"/>
        <v>1.1199999999999999E-5</v>
      </c>
      <c r="E50" s="84">
        <f t="shared" si="9"/>
        <v>525.21339285714282</v>
      </c>
      <c r="F50" s="85"/>
      <c r="G50" s="12" t="s">
        <v>60</v>
      </c>
      <c r="H50" s="80">
        <v>0</v>
      </c>
      <c r="I50" s="63">
        <f t="shared" si="10"/>
        <v>1.1199999999999999E-5</v>
      </c>
      <c r="J50" s="63">
        <f t="shared" si="11"/>
        <v>0</v>
      </c>
      <c r="K50" s="81">
        <v>0</v>
      </c>
      <c r="L50" s="63">
        <f t="shared" si="12"/>
        <v>0</v>
      </c>
      <c r="M50" s="63">
        <f t="shared" si="13"/>
        <v>0</v>
      </c>
      <c r="N50" s="82"/>
      <c r="O50" s="38">
        <v>500</v>
      </c>
      <c r="P50" s="38">
        <v>550</v>
      </c>
      <c r="Q50" s="63">
        <f t="shared" si="14"/>
        <v>0</v>
      </c>
      <c r="R50" s="63">
        <v>0</v>
      </c>
      <c r="T50" s="63"/>
      <c r="U50" s="43">
        <f t="shared" si="15"/>
        <v>0</v>
      </c>
      <c r="Y50" s="39"/>
      <c r="Z50" s="39"/>
    </row>
    <row r="51" spans="1:26" x14ac:dyDescent="0.3">
      <c r="A51" s="12" t="s">
        <v>61</v>
      </c>
      <c r="B51" s="83">
        <v>92</v>
      </c>
      <c r="C51" s="83">
        <v>26408600</v>
      </c>
      <c r="D51" s="63">
        <f t="shared" si="8"/>
        <v>9.2E-6</v>
      </c>
      <c r="E51" s="84">
        <f t="shared" si="9"/>
        <v>574.1</v>
      </c>
      <c r="F51" s="85"/>
      <c r="G51" s="12" t="s">
        <v>61</v>
      </c>
      <c r="H51" s="80">
        <v>0</v>
      </c>
      <c r="I51" s="63">
        <f t="shared" si="10"/>
        <v>9.2E-6</v>
      </c>
      <c r="J51" s="63">
        <f t="shared" si="11"/>
        <v>0</v>
      </c>
      <c r="K51" s="81">
        <v>0</v>
      </c>
      <c r="L51" s="63">
        <f t="shared" si="12"/>
        <v>0</v>
      </c>
      <c r="M51" s="63">
        <f t="shared" si="13"/>
        <v>0</v>
      </c>
      <c r="N51" s="82"/>
      <c r="O51" s="38">
        <v>550</v>
      </c>
      <c r="P51" s="38">
        <v>600</v>
      </c>
      <c r="Q51" s="63">
        <f t="shared" si="14"/>
        <v>0</v>
      </c>
      <c r="R51" s="63">
        <v>0</v>
      </c>
      <c r="T51" s="63"/>
      <c r="U51" s="43">
        <f t="shared" si="15"/>
        <v>0</v>
      </c>
      <c r="Y51" s="39"/>
      <c r="Z51" s="39"/>
    </row>
    <row r="52" spans="1:26" x14ac:dyDescent="0.3">
      <c r="A52" s="12" t="s">
        <v>62</v>
      </c>
      <c r="B52" s="83">
        <v>119</v>
      </c>
      <c r="C52" s="83">
        <v>37244775</v>
      </c>
      <c r="D52" s="63">
        <f t="shared" si="8"/>
        <v>1.19E-5</v>
      </c>
      <c r="E52" s="84">
        <f t="shared" si="9"/>
        <v>625.96260504201678</v>
      </c>
      <c r="F52" s="85"/>
      <c r="G52" s="12" t="s">
        <v>62</v>
      </c>
      <c r="H52" s="80">
        <v>0</v>
      </c>
      <c r="I52" s="63">
        <f t="shared" si="10"/>
        <v>1.19E-5</v>
      </c>
      <c r="J52" s="63">
        <f t="shared" si="11"/>
        <v>0</v>
      </c>
      <c r="K52" s="81">
        <v>0</v>
      </c>
      <c r="L52" s="63">
        <f t="shared" si="12"/>
        <v>0</v>
      </c>
      <c r="M52" s="63">
        <f t="shared" si="13"/>
        <v>0</v>
      </c>
      <c r="N52" s="82"/>
      <c r="O52" s="38">
        <v>600</v>
      </c>
      <c r="P52" s="38">
        <v>650</v>
      </c>
      <c r="Q52" s="63">
        <f t="shared" si="14"/>
        <v>0</v>
      </c>
      <c r="R52" s="63">
        <v>0</v>
      </c>
      <c r="T52" s="63"/>
      <c r="U52" s="43">
        <f t="shared" si="15"/>
        <v>0</v>
      </c>
      <c r="Y52" s="39"/>
      <c r="Z52" s="39"/>
    </row>
    <row r="53" spans="1:26" x14ac:dyDescent="0.3">
      <c r="A53" s="12" t="s">
        <v>63</v>
      </c>
      <c r="B53" s="83">
        <v>60</v>
      </c>
      <c r="C53" s="83">
        <v>20179775</v>
      </c>
      <c r="D53" s="63">
        <f t="shared" si="8"/>
        <v>6.0000000000000002E-6</v>
      </c>
      <c r="E53" s="84">
        <f t="shared" si="9"/>
        <v>672.65916666666658</v>
      </c>
      <c r="F53" s="85"/>
      <c r="G53" s="12" t="s">
        <v>63</v>
      </c>
      <c r="H53" s="80">
        <v>0</v>
      </c>
      <c r="I53" s="63">
        <f t="shared" si="10"/>
        <v>6.0000000000000002E-6</v>
      </c>
      <c r="J53" s="63">
        <f t="shared" si="11"/>
        <v>0</v>
      </c>
      <c r="K53" s="81">
        <v>0</v>
      </c>
      <c r="L53" s="63">
        <f t="shared" si="12"/>
        <v>0</v>
      </c>
      <c r="M53" s="63">
        <f t="shared" si="13"/>
        <v>0</v>
      </c>
      <c r="N53" s="82"/>
      <c r="O53" s="38">
        <v>650</v>
      </c>
      <c r="P53" s="38">
        <v>700</v>
      </c>
      <c r="Q53" s="63">
        <f t="shared" si="14"/>
        <v>0</v>
      </c>
      <c r="R53" s="63">
        <v>0</v>
      </c>
      <c r="T53" s="63"/>
      <c r="U53" s="43">
        <f t="shared" si="15"/>
        <v>0</v>
      </c>
      <c r="Y53" s="39"/>
      <c r="Z53" s="39"/>
    </row>
    <row r="54" spans="1:26" x14ac:dyDescent="0.3">
      <c r="A54" s="12" t="s">
        <v>64</v>
      </c>
      <c r="B54" s="83">
        <v>74</v>
      </c>
      <c r="C54" s="83">
        <v>27076125</v>
      </c>
      <c r="D54" s="63">
        <f t="shared" si="8"/>
        <v>7.4000000000000003E-6</v>
      </c>
      <c r="E54" s="84">
        <f t="shared" si="9"/>
        <v>731.78716216216208</v>
      </c>
      <c r="F54" s="85"/>
      <c r="G54" s="12" t="s">
        <v>64</v>
      </c>
      <c r="H54" s="80">
        <v>0</v>
      </c>
      <c r="I54" s="63">
        <f t="shared" si="10"/>
        <v>7.4000000000000003E-6</v>
      </c>
      <c r="J54" s="63">
        <f t="shared" si="11"/>
        <v>0</v>
      </c>
      <c r="K54" s="81">
        <v>0</v>
      </c>
      <c r="L54" s="63">
        <f t="shared" si="12"/>
        <v>0</v>
      </c>
      <c r="M54" s="63">
        <f t="shared" si="13"/>
        <v>0</v>
      </c>
      <c r="N54" s="82"/>
      <c r="O54" s="38">
        <v>700</v>
      </c>
      <c r="P54" s="38">
        <v>750</v>
      </c>
      <c r="Q54" s="63">
        <f t="shared" si="14"/>
        <v>0</v>
      </c>
      <c r="R54" s="63">
        <v>0</v>
      </c>
      <c r="T54" s="63"/>
      <c r="U54" s="43">
        <f t="shared" si="15"/>
        <v>0</v>
      </c>
      <c r="Y54" s="39"/>
      <c r="Z54" s="39"/>
    </row>
    <row r="55" spans="1:26" x14ac:dyDescent="0.3">
      <c r="A55" s="12" t="s">
        <v>65</v>
      </c>
      <c r="B55" s="83">
        <v>54</v>
      </c>
      <c r="C55" s="83">
        <v>20933425</v>
      </c>
      <c r="D55" s="63">
        <f t="shared" si="8"/>
        <v>5.4E-6</v>
      </c>
      <c r="E55" s="84">
        <f t="shared" si="9"/>
        <v>775.31203703703704</v>
      </c>
      <c r="F55" s="85"/>
      <c r="G55" s="12" t="s">
        <v>65</v>
      </c>
      <c r="H55" s="80">
        <v>0</v>
      </c>
      <c r="I55" s="63">
        <f t="shared" si="10"/>
        <v>5.4E-6</v>
      </c>
      <c r="J55" s="63">
        <f t="shared" si="11"/>
        <v>0</v>
      </c>
      <c r="K55" s="81">
        <v>0</v>
      </c>
      <c r="L55" s="63">
        <f t="shared" si="12"/>
        <v>0</v>
      </c>
      <c r="M55" s="63">
        <f t="shared" si="13"/>
        <v>0</v>
      </c>
      <c r="N55" s="82"/>
      <c r="O55" s="38">
        <v>750</v>
      </c>
      <c r="P55" s="38">
        <v>800</v>
      </c>
      <c r="Q55" s="63">
        <f t="shared" si="14"/>
        <v>0</v>
      </c>
      <c r="R55" s="63">
        <v>0</v>
      </c>
      <c r="T55" s="63"/>
      <c r="U55" s="43">
        <f t="shared" si="15"/>
        <v>0</v>
      </c>
      <c r="Y55" s="39"/>
      <c r="Z55" s="39"/>
    </row>
    <row r="56" spans="1:26" x14ac:dyDescent="0.3">
      <c r="A56" s="12" t="s">
        <v>66</v>
      </c>
      <c r="B56" s="83">
        <v>50</v>
      </c>
      <c r="C56" s="83">
        <v>20619450</v>
      </c>
      <c r="D56" s="63">
        <f t="shared" si="8"/>
        <v>5.0000000000000004E-6</v>
      </c>
      <c r="E56" s="84">
        <f t="shared" si="9"/>
        <v>824.77800000000002</v>
      </c>
      <c r="F56" s="85"/>
      <c r="G56" s="12" t="s">
        <v>66</v>
      </c>
      <c r="H56" s="80">
        <v>0</v>
      </c>
      <c r="I56" s="63">
        <f t="shared" si="10"/>
        <v>5.0000000000000004E-6</v>
      </c>
      <c r="J56" s="63">
        <f t="shared" si="11"/>
        <v>0</v>
      </c>
      <c r="K56" s="81">
        <v>0</v>
      </c>
      <c r="L56" s="63">
        <f t="shared" si="12"/>
        <v>0</v>
      </c>
      <c r="M56" s="63">
        <f t="shared" si="13"/>
        <v>0</v>
      </c>
      <c r="N56" s="82"/>
      <c r="O56" s="38">
        <v>800</v>
      </c>
      <c r="P56" s="38">
        <v>850</v>
      </c>
      <c r="Q56" s="63">
        <f t="shared" si="14"/>
        <v>0</v>
      </c>
      <c r="R56" s="63">
        <v>0</v>
      </c>
      <c r="T56" s="63"/>
      <c r="U56" s="43">
        <f t="shared" si="15"/>
        <v>0</v>
      </c>
      <c r="Y56" s="39"/>
      <c r="Z56" s="39"/>
    </row>
    <row r="57" spans="1:26" x14ac:dyDescent="0.3">
      <c r="A57" s="12" t="s">
        <v>67</v>
      </c>
      <c r="B57" s="83">
        <v>43</v>
      </c>
      <c r="C57" s="83">
        <v>18868450</v>
      </c>
      <c r="D57" s="63">
        <f t="shared" si="8"/>
        <v>4.3000000000000003E-6</v>
      </c>
      <c r="E57" s="84">
        <f t="shared" si="9"/>
        <v>877.60232558139535</v>
      </c>
      <c r="F57" s="85"/>
      <c r="G57" s="12" t="s">
        <v>67</v>
      </c>
      <c r="H57" s="80">
        <v>0</v>
      </c>
      <c r="I57" s="63">
        <f t="shared" si="10"/>
        <v>4.3000000000000003E-6</v>
      </c>
      <c r="J57" s="63">
        <f t="shared" si="11"/>
        <v>0</v>
      </c>
      <c r="K57" s="86">
        <v>0</v>
      </c>
      <c r="L57" s="63">
        <f t="shared" si="12"/>
        <v>0</v>
      </c>
      <c r="M57" s="63">
        <f t="shared" si="13"/>
        <v>0</v>
      </c>
      <c r="N57" s="82"/>
      <c r="O57" s="38">
        <v>850</v>
      </c>
      <c r="P57" s="38">
        <v>900</v>
      </c>
      <c r="Q57" s="63">
        <f t="shared" si="14"/>
        <v>0</v>
      </c>
      <c r="R57" s="63">
        <v>0</v>
      </c>
      <c r="T57" s="63"/>
      <c r="U57" s="43">
        <f t="shared" si="15"/>
        <v>0</v>
      </c>
      <c r="Y57" s="39"/>
      <c r="Z57" s="39"/>
    </row>
    <row r="58" spans="1:26" x14ac:dyDescent="0.3">
      <c r="A58" s="12" t="s">
        <v>68</v>
      </c>
      <c r="B58" s="83">
        <v>24</v>
      </c>
      <c r="C58" s="83">
        <v>11082500</v>
      </c>
      <c r="D58" s="63">
        <f t="shared" si="8"/>
        <v>2.3999999999999999E-6</v>
      </c>
      <c r="E58" s="84">
        <f t="shared" si="9"/>
        <v>923.54166666666663</v>
      </c>
      <c r="F58" s="85"/>
      <c r="G58" s="12" t="s">
        <v>68</v>
      </c>
      <c r="H58" s="80">
        <v>0</v>
      </c>
      <c r="I58" s="63">
        <f t="shared" si="10"/>
        <v>2.3999999999999999E-6</v>
      </c>
      <c r="J58" s="63">
        <f t="shared" si="11"/>
        <v>0</v>
      </c>
      <c r="K58" s="86">
        <v>0</v>
      </c>
      <c r="L58" s="63">
        <f t="shared" si="12"/>
        <v>0</v>
      </c>
      <c r="M58" s="63">
        <f t="shared" si="13"/>
        <v>0</v>
      </c>
      <c r="N58" s="82"/>
      <c r="O58" s="38">
        <v>900</v>
      </c>
      <c r="P58" s="38">
        <v>950</v>
      </c>
      <c r="Q58" s="63">
        <f t="shared" si="14"/>
        <v>0</v>
      </c>
      <c r="R58" s="63">
        <v>0</v>
      </c>
      <c r="T58" s="63"/>
      <c r="U58" s="43">
        <f t="shared" si="15"/>
        <v>0</v>
      </c>
      <c r="Y58" s="39"/>
      <c r="Z58" s="39"/>
    </row>
    <row r="59" spans="1:26" x14ac:dyDescent="0.3">
      <c r="A59" s="12" t="s">
        <v>69</v>
      </c>
      <c r="B59" s="83">
        <v>58</v>
      </c>
      <c r="C59" s="83">
        <v>28661725</v>
      </c>
      <c r="D59" s="63">
        <f t="shared" si="8"/>
        <v>5.8000000000000004E-6</v>
      </c>
      <c r="E59" s="84">
        <f t="shared" si="9"/>
        <v>988.33534482758625</v>
      </c>
      <c r="F59" s="85"/>
      <c r="G59" s="12" t="s">
        <v>69</v>
      </c>
      <c r="H59" s="80">
        <v>0</v>
      </c>
      <c r="I59" s="63">
        <f t="shared" si="10"/>
        <v>5.8000000000000004E-6</v>
      </c>
      <c r="J59" s="63">
        <f t="shared" si="11"/>
        <v>0</v>
      </c>
      <c r="K59" s="86">
        <v>0</v>
      </c>
      <c r="L59" s="63">
        <f t="shared" si="12"/>
        <v>0</v>
      </c>
      <c r="M59" s="63">
        <f t="shared" si="13"/>
        <v>0</v>
      </c>
      <c r="N59" s="82"/>
      <c r="O59" s="38">
        <v>950</v>
      </c>
      <c r="P59" s="38">
        <v>1000</v>
      </c>
      <c r="Q59" s="63">
        <f t="shared" si="14"/>
        <v>0</v>
      </c>
      <c r="R59" s="63">
        <v>0</v>
      </c>
      <c r="T59" s="63"/>
      <c r="U59" s="43">
        <f t="shared" si="15"/>
        <v>0</v>
      </c>
      <c r="Y59" s="39"/>
      <c r="Z59" s="39"/>
    </row>
    <row r="60" spans="1:26" x14ac:dyDescent="0.3">
      <c r="A60" s="12" t="s">
        <v>70</v>
      </c>
      <c r="B60" s="83">
        <v>398</v>
      </c>
      <c r="C60" s="83">
        <v>290887625</v>
      </c>
      <c r="D60" s="63">
        <f t="shared" si="8"/>
        <v>3.9799999999999998E-5</v>
      </c>
      <c r="E60" s="84">
        <f t="shared" si="9"/>
        <v>1461.7468592964826</v>
      </c>
      <c r="F60" s="85"/>
      <c r="G60" s="12" t="s">
        <v>70</v>
      </c>
      <c r="H60" s="80">
        <v>0</v>
      </c>
      <c r="I60" s="63">
        <f t="shared" si="10"/>
        <v>3.9799999999999998E-5</v>
      </c>
      <c r="J60" s="63">
        <f t="shared" si="11"/>
        <v>0</v>
      </c>
      <c r="K60" s="86">
        <v>0</v>
      </c>
      <c r="L60" s="63">
        <f t="shared" si="12"/>
        <v>0</v>
      </c>
      <c r="M60" s="63">
        <f t="shared" si="13"/>
        <v>0</v>
      </c>
      <c r="N60" s="82"/>
      <c r="O60" s="38">
        <v>1000</v>
      </c>
      <c r="P60" s="38">
        <v>2000</v>
      </c>
      <c r="Q60" s="63">
        <f t="shared" si="14"/>
        <v>0</v>
      </c>
      <c r="R60" s="63">
        <v>0</v>
      </c>
      <c r="T60" s="63"/>
      <c r="U60" s="43">
        <f t="shared" si="15"/>
        <v>0</v>
      </c>
      <c r="Y60" s="39"/>
      <c r="Z60" s="39"/>
    </row>
    <row r="61" spans="1:26" x14ac:dyDescent="0.3">
      <c r="A61" s="12" t="s">
        <v>71</v>
      </c>
      <c r="B61" s="83">
        <v>169</v>
      </c>
      <c r="C61" s="83">
        <v>207887825</v>
      </c>
      <c r="D61" s="63">
        <f t="shared" si="8"/>
        <v>1.6900000000000001E-5</v>
      </c>
      <c r="E61" s="84">
        <f t="shared" si="9"/>
        <v>2460.2109467455621</v>
      </c>
      <c r="F61" s="85"/>
      <c r="G61" s="12" t="s">
        <v>71</v>
      </c>
      <c r="H61" s="80">
        <v>0</v>
      </c>
      <c r="I61" s="63">
        <f t="shared" si="10"/>
        <v>1.6900000000000001E-5</v>
      </c>
      <c r="J61" s="63">
        <f t="shared" si="11"/>
        <v>0</v>
      </c>
      <c r="K61" s="86">
        <v>0</v>
      </c>
      <c r="L61" s="63">
        <f t="shared" si="12"/>
        <v>0</v>
      </c>
      <c r="M61" s="63">
        <f t="shared" si="13"/>
        <v>0</v>
      </c>
      <c r="N61" s="82"/>
      <c r="O61" s="38">
        <v>2000</v>
      </c>
      <c r="P61" s="38">
        <v>3000</v>
      </c>
      <c r="Q61" s="63">
        <f t="shared" si="14"/>
        <v>0</v>
      </c>
      <c r="R61" s="63">
        <v>0</v>
      </c>
      <c r="T61" s="63"/>
      <c r="U61" s="43">
        <f t="shared" si="15"/>
        <v>0</v>
      </c>
      <c r="Y61" s="39"/>
      <c r="Z61" s="39"/>
    </row>
    <row r="62" spans="1:26" x14ac:dyDescent="0.3">
      <c r="A62" s="12" t="s">
        <v>72</v>
      </c>
      <c r="B62" s="83">
        <v>129</v>
      </c>
      <c r="C62" s="83">
        <v>228629050</v>
      </c>
      <c r="D62" s="63">
        <f t="shared" si="8"/>
        <v>1.29E-5</v>
      </c>
      <c r="E62" s="84">
        <f t="shared" si="9"/>
        <v>3544.6364341085268</v>
      </c>
      <c r="F62" s="85"/>
      <c r="G62" s="12" t="s">
        <v>72</v>
      </c>
      <c r="H62" s="80">
        <v>0</v>
      </c>
      <c r="I62" s="63">
        <f t="shared" si="10"/>
        <v>1.29E-5</v>
      </c>
      <c r="J62" s="63">
        <f t="shared" si="11"/>
        <v>0</v>
      </c>
      <c r="K62" s="86">
        <v>0</v>
      </c>
      <c r="L62" s="63">
        <f t="shared" si="12"/>
        <v>0</v>
      </c>
      <c r="M62" s="63">
        <f t="shared" si="13"/>
        <v>0</v>
      </c>
      <c r="N62" s="82"/>
      <c r="O62" s="38">
        <v>3000</v>
      </c>
      <c r="P62" s="38">
        <v>4000</v>
      </c>
      <c r="Q62" s="63">
        <f t="shared" si="14"/>
        <v>0</v>
      </c>
      <c r="R62" s="63">
        <v>0</v>
      </c>
      <c r="T62" s="63"/>
      <c r="U62" s="43">
        <f t="shared" si="15"/>
        <v>0</v>
      </c>
      <c r="Y62" s="39"/>
      <c r="Z62" s="39"/>
    </row>
    <row r="63" spans="1:26" x14ac:dyDescent="0.3">
      <c r="A63" s="12" t="s">
        <v>73</v>
      </c>
      <c r="B63" s="83">
        <v>70</v>
      </c>
      <c r="C63" s="83">
        <v>156306500</v>
      </c>
      <c r="D63" s="63">
        <f t="shared" si="8"/>
        <v>6.9999999999999999E-6</v>
      </c>
      <c r="E63" s="84">
        <f t="shared" si="9"/>
        <v>4465.8999999999996</v>
      </c>
      <c r="F63" s="85"/>
      <c r="G63" s="12" t="s">
        <v>73</v>
      </c>
      <c r="H63" s="80">
        <v>0</v>
      </c>
      <c r="I63" s="63">
        <f t="shared" si="10"/>
        <v>6.9999999999999999E-6</v>
      </c>
      <c r="J63" s="63">
        <f t="shared" si="11"/>
        <v>0</v>
      </c>
      <c r="K63" s="86">
        <v>0</v>
      </c>
      <c r="L63" s="63">
        <f t="shared" si="12"/>
        <v>0</v>
      </c>
      <c r="M63" s="63">
        <f t="shared" si="13"/>
        <v>0</v>
      </c>
      <c r="N63" s="82"/>
      <c r="O63" s="38">
        <v>4000</v>
      </c>
      <c r="P63" s="38">
        <v>5000</v>
      </c>
      <c r="Q63" s="63">
        <f t="shared" si="14"/>
        <v>0</v>
      </c>
      <c r="R63" s="63">
        <v>0</v>
      </c>
      <c r="T63" s="63"/>
      <c r="U63" s="43">
        <f t="shared" si="15"/>
        <v>0</v>
      </c>
      <c r="Y63" s="39"/>
      <c r="Z63" s="39"/>
    </row>
    <row r="64" spans="1:26" x14ac:dyDescent="0.3">
      <c r="A64" s="12" t="s">
        <v>74</v>
      </c>
      <c r="B64" s="83">
        <v>39</v>
      </c>
      <c r="C64" s="83">
        <v>107019550</v>
      </c>
      <c r="D64" s="63">
        <f t="shared" si="8"/>
        <v>3.8999999999999999E-6</v>
      </c>
      <c r="E64" s="84">
        <f t="shared" si="9"/>
        <v>5488.1820512820514</v>
      </c>
      <c r="F64" s="85"/>
      <c r="G64" s="12" t="s">
        <v>74</v>
      </c>
      <c r="H64" s="80">
        <v>0</v>
      </c>
      <c r="I64" s="63">
        <f t="shared" si="10"/>
        <v>3.8999999999999999E-6</v>
      </c>
      <c r="J64" s="63">
        <f t="shared" si="11"/>
        <v>0</v>
      </c>
      <c r="K64" s="86">
        <v>0</v>
      </c>
      <c r="L64" s="63">
        <f t="shared" si="12"/>
        <v>0</v>
      </c>
      <c r="M64" s="63">
        <f t="shared" si="13"/>
        <v>0</v>
      </c>
      <c r="N64" s="82"/>
      <c r="O64" s="38">
        <v>5000</v>
      </c>
      <c r="P64" s="38">
        <v>6000</v>
      </c>
      <c r="Q64" s="63">
        <f t="shared" si="14"/>
        <v>0</v>
      </c>
      <c r="R64" s="63">
        <v>0</v>
      </c>
      <c r="T64" s="63"/>
      <c r="U64" s="43">
        <f t="shared" si="15"/>
        <v>0</v>
      </c>
      <c r="Y64" s="39"/>
      <c r="Z64" s="39"/>
    </row>
    <row r="65" spans="1:26" x14ac:dyDescent="0.3">
      <c r="A65" s="12" t="s">
        <v>75</v>
      </c>
      <c r="B65" s="83">
        <v>39</v>
      </c>
      <c r="C65" s="83">
        <v>127413550</v>
      </c>
      <c r="D65" s="63">
        <f t="shared" si="8"/>
        <v>3.8999999999999999E-6</v>
      </c>
      <c r="E65" s="84">
        <f t="shared" si="9"/>
        <v>6534.0282051282047</v>
      </c>
      <c r="F65" s="85"/>
      <c r="G65" s="12" t="s">
        <v>75</v>
      </c>
      <c r="H65" s="80">
        <v>0</v>
      </c>
      <c r="I65" s="63">
        <f t="shared" si="10"/>
        <v>3.8999999999999999E-6</v>
      </c>
      <c r="J65" s="63">
        <f t="shared" si="11"/>
        <v>0</v>
      </c>
      <c r="K65" s="86">
        <v>0</v>
      </c>
      <c r="L65" s="63">
        <f t="shared" si="12"/>
        <v>0</v>
      </c>
      <c r="M65" s="63">
        <f t="shared" si="13"/>
        <v>0</v>
      </c>
      <c r="N65" s="82"/>
      <c r="O65" s="38">
        <v>6000</v>
      </c>
      <c r="P65" s="38">
        <v>7000</v>
      </c>
      <c r="Q65" s="63">
        <f t="shared" si="14"/>
        <v>0</v>
      </c>
      <c r="R65" s="63">
        <v>0</v>
      </c>
      <c r="T65" s="63"/>
      <c r="U65" s="43">
        <f t="shared" si="15"/>
        <v>0</v>
      </c>
      <c r="Y65" s="39"/>
      <c r="Z65" s="39"/>
    </row>
    <row r="66" spans="1:26" x14ac:dyDescent="0.3">
      <c r="A66" s="12" t="s">
        <v>76</v>
      </c>
      <c r="B66" s="83">
        <v>31</v>
      </c>
      <c r="C66" s="83">
        <v>117916900</v>
      </c>
      <c r="D66" s="63">
        <f t="shared" si="8"/>
        <v>3.1E-6</v>
      </c>
      <c r="E66" s="84">
        <f t="shared" si="9"/>
        <v>7607.5419354838714</v>
      </c>
      <c r="F66" s="85"/>
      <c r="G66" s="12" t="s">
        <v>76</v>
      </c>
      <c r="H66" s="80">
        <v>0</v>
      </c>
      <c r="I66" s="63">
        <f t="shared" si="10"/>
        <v>3.1E-6</v>
      </c>
      <c r="J66" s="63">
        <f t="shared" si="11"/>
        <v>0</v>
      </c>
      <c r="K66" s="86">
        <v>0</v>
      </c>
      <c r="L66" s="63">
        <f t="shared" si="12"/>
        <v>0</v>
      </c>
      <c r="M66" s="63">
        <f t="shared" si="13"/>
        <v>0</v>
      </c>
      <c r="N66" s="82"/>
      <c r="O66" s="38">
        <v>7000</v>
      </c>
      <c r="P66" s="38">
        <v>8000</v>
      </c>
      <c r="Q66" s="63">
        <f t="shared" si="14"/>
        <v>0</v>
      </c>
      <c r="R66" s="63">
        <v>0</v>
      </c>
      <c r="T66" s="63"/>
      <c r="U66" s="43">
        <f t="shared" si="15"/>
        <v>0</v>
      </c>
      <c r="Y66" s="39"/>
      <c r="Z66" s="39"/>
    </row>
    <row r="67" spans="1:26" x14ac:dyDescent="0.3">
      <c r="A67" s="12" t="s">
        <v>77</v>
      </c>
      <c r="B67" s="83">
        <v>22</v>
      </c>
      <c r="C67" s="83">
        <v>93282225</v>
      </c>
      <c r="D67" s="63">
        <f t="shared" si="8"/>
        <v>2.2000000000000001E-6</v>
      </c>
      <c r="E67" s="84">
        <f t="shared" si="9"/>
        <v>8480.2022727272742</v>
      </c>
      <c r="F67" s="85"/>
      <c r="G67" s="12" t="s">
        <v>77</v>
      </c>
      <c r="H67" s="80">
        <v>0</v>
      </c>
      <c r="I67" s="63">
        <f t="shared" si="10"/>
        <v>2.2000000000000001E-6</v>
      </c>
      <c r="J67" s="63">
        <f t="shared" si="11"/>
        <v>0</v>
      </c>
      <c r="K67" s="86">
        <v>0</v>
      </c>
      <c r="L67" s="63">
        <f t="shared" si="12"/>
        <v>0</v>
      </c>
      <c r="M67" s="63">
        <f t="shared" si="13"/>
        <v>0</v>
      </c>
      <c r="N67" s="82"/>
      <c r="O67" s="38">
        <v>8000</v>
      </c>
      <c r="P67" s="38">
        <v>9000</v>
      </c>
      <c r="Q67" s="63">
        <f t="shared" si="14"/>
        <v>0</v>
      </c>
      <c r="R67" s="63">
        <v>0</v>
      </c>
      <c r="T67" s="63"/>
      <c r="U67" s="43">
        <f t="shared" si="15"/>
        <v>0</v>
      </c>
      <c r="Y67" s="39"/>
      <c r="Z67" s="39"/>
    </row>
    <row r="68" spans="1:26" x14ac:dyDescent="0.3">
      <c r="A68" s="12" t="s">
        <v>78</v>
      </c>
      <c r="B68" s="83">
        <v>13</v>
      </c>
      <c r="C68" s="83">
        <v>61536625</v>
      </c>
      <c r="D68" s="63">
        <f t="shared" si="8"/>
        <v>1.3E-6</v>
      </c>
      <c r="E68" s="84">
        <f t="shared" si="9"/>
        <v>9467.1730769230762</v>
      </c>
      <c r="F68" s="85"/>
      <c r="G68" s="12" t="s">
        <v>78</v>
      </c>
      <c r="H68" s="80">
        <v>0</v>
      </c>
      <c r="I68" s="63">
        <f t="shared" si="10"/>
        <v>1.3E-6</v>
      </c>
      <c r="J68" s="63">
        <f t="shared" si="11"/>
        <v>0</v>
      </c>
      <c r="K68" s="86">
        <v>0</v>
      </c>
      <c r="L68" s="63">
        <f t="shared" si="12"/>
        <v>0</v>
      </c>
      <c r="M68" s="63">
        <f t="shared" si="13"/>
        <v>0</v>
      </c>
      <c r="N68" s="82"/>
      <c r="O68" s="38">
        <v>9000</v>
      </c>
      <c r="P68" s="38">
        <v>10000</v>
      </c>
      <c r="Q68" s="63">
        <f t="shared" si="14"/>
        <v>0</v>
      </c>
      <c r="R68" s="63">
        <v>0</v>
      </c>
      <c r="T68" s="63"/>
      <c r="U68" s="43">
        <f t="shared" si="15"/>
        <v>0</v>
      </c>
      <c r="Y68" s="39"/>
      <c r="Z68" s="39"/>
    </row>
    <row r="69" spans="1:26" x14ac:dyDescent="0.3">
      <c r="A69" s="12" t="s">
        <v>79</v>
      </c>
      <c r="B69" s="83">
        <v>97</v>
      </c>
      <c r="C69" s="83">
        <v>670412775</v>
      </c>
      <c r="D69" s="63">
        <f t="shared" si="8"/>
        <v>9.7000000000000003E-6</v>
      </c>
      <c r="E69" s="84">
        <f t="shared" si="9"/>
        <v>13822.943814432991</v>
      </c>
      <c r="F69" s="85"/>
      <c r="G69" s="12" t="s">
        <v>79</v>
      </c>
      <c r="H69" s="80">
        <v>0</v>
      </c>
      <c r="I69" s="63">
        <f t="shared" si="10"/>
        <v>9.7000000000000003E-6</v>
      </c>
      <c r="J69" s="63">
        <f t="shared" si="11"/>
        <v>0</v>
      </c>
      <c r="K69" s="86">
        <v>0</v>
      </c>
      <c r="L69" s="63">
        <f t="shared" si="12"/>
        <v>0</v>
      </c>
      <c r="M69" s="63">
        <f t="shared" si="13"/>
        <v>0</v>
      </c>
      <c r="N69" s="82"/>
      <c r="O69" s="38">
        <v>10000</v>
      </c>
      <c r="P69" s="38">
        <v>20000</v>
      </c>
      <c r="Q69" s="63">
        <f t="shared" si="14"/>
        <v>0</v>
      </c>
      <c r="R69" s="63">
        <v>0</v>
      </c>
      <c r="T69" s="63"/>
      <c r="U69" s="43">
        <f t="shared" si="15"/>
        <v>0</v>
      </c>
      <c r="Y69" s="39"/>
      <c r="Z69" s="39"/>
    </row>
    <row r="70" spans="1:26" x14ac:dyDescent="0.3">
      <c r="A70" s="12" t="s">
        <v>80</v>
      </c>
      <c r="B70" s="83">
        <v>10</v>
      </c>
      <c r="C70" s="83">
        <v>116279275</v>
      </c>
      <c r="D70" s="63">
        <f t="shared" si="8"/>
        <v>9.9999999999999995E-7</v>
      </c>
      <c r="E70" s="84">
        <f t="shared" si="9"/>
        <v>23255.855</v>
      </c>
      <c r="F70" s="85"/>
      <c r="G70" s="12" t="s">
        <v>80</v>
      </c>
      <c r="H70" s="80">
        <v>0</v>
      </c>
      <c r="I70" s="63">
        <f t="shared" si="10"/>
        <v>9.9999999999999995E-7</v>
      </c>
      <c r="J70" s="63">
        <f t="shared" si="11"/>
        <v>0</v>
      </c>
      <c r="K70" s="86">
        <v>0</v>
      </c>
      <c r="L70" s="63">
        <f t="shared" si="12"/>
        <v>0</v>
      </c>
      <c r="M70" s="63">
        <f t="shared" si="13"/>
        <v>0</v>
      </c>
      <c r="N70" s="82"/>
      <c r="O70" s="38">
        <v>20000</v>
      </c>
      <c r="P70" s="38">
        <v>30000</v>
      </c>
      <c r="Q70" s="63">
        <f t="shared" si="14"/>
        <v>0</v>
      </c>
      <c r="R70" s="63">
        <v>0</v>
      </c>
      <c r="T70" s="63"/>
      <c r="U70" s="43">
        <f t="shared" si="15"/>
        <v>0</v>
      </c>
      <c r="Y70" s="39"/>
      <c r="Z70" s="39"/>
    </row>
    <row r="71" spans="1:26" x14ac:dyDescent="0.3">
      <c r="A71" s="12" t="s">
        <v>81</v>
      </c>
      <c r="B71" s="83">
        <v>9</v>
      </c>
      <c r="C71" s="83">
        <v>148717000</v>
      </c>
      <c r="D71" s="63">
        <f t="shared" si="8"/>
        <v>8.9999999999999996E-7</v>
      </c>
      <c r="E71" s="84">
        <f t="shared" si="9"/>
        <v>33048.222222222226</v>
      </c>
      <c r="F71" s="85"/>
      <c r="G71" s="12" t="s">
        <v>81</v>
      </c>
      <c r="H71" s="80">
        <v>0</v>
      </c>
      <c r="I71" s="63">
        <f t="shared" si="10"/>
        <v>8.9999999999999996E-7</v>
      </c>
      <c r="J71" s="63">
        <f t="shared" si="11"/>
        <v>0</v>
      </c>
      <c r="K71" s="86">
        <v>0</v>
      </c>
      <c r="L71" s="63">
        <f t="shared" si="12"/>
        <v>0</v>
      </c>
      <c r="M71" s="63">
        <f t="shared" si="13"/>
        <v>0</v>
      </c>
      <c r="N71" s="82"/>
      <c r="O71" s="38">
        <v>30000</v>
      </c>
      <c r="P71" s="38">
        <v>40000</v>
      </c>
      <c r="Q71" s="63">
        <f t="shared" si="14"/>
        <v>0</v>
      </c>
      <c r="R71" s="63">
        <v>0</v>
      </c>
      <c r="T71" s="63"/>
      <c r="U71" s="43">
        <f t="shared" si="15"/>
        <v>0</v>
      </c>
      <c r="Y71" s="39"/>
      <c r="Z71" s="39"/>
    </row>
    <row r="72" spans="1:26" x14ac:dyDescent="0.3">
      <c r="A72" s="12" t="s">
        <v>82</v>
      </c>
      <c r="B72" s="83">
        <v>2</v>
      </c>
      <c r="C72" s="83">
        <v>41812500</v>
      </c>
      <c r="D72" s="63">
        <f t="shared" si="8"/>
        <v>1.9999999999999999E-7</v>
      </c>
      <c r="E72" s="84">
        <f t="shared" si="9"/>
        <v>41812.5</v>
      </c>
      <c r="F72" s="85"/>
      <c r="G72" s="12" t="s">
        <v>82</v>
      </c>
      <c r="H72" s="80">
        <v>0</v>
      </c>
      <c r="I72" s="63">
        <f t="shared" si="10"/>
        <v>1.9999999999999999E-7</v>
      </c>
      <c r="J72" s="63">
        <f t="shared" si="11"/>
        <v>0</v>
      </c>
      <c r="K72" s="86">
        <v>0</v>
      </c>
      <c r="L72" s="63">
        <f t="shared" si="12"/>
        <v>0</v>
      </c>
      <c r="M72" s="63">
        <f t="shared" si="13"/>
        <v>0</v>
      </c>
      <c r="N72" s="82"/>
      <c r="O72" s="38">
        <v>40000</v>
      </c>
      <c r="P72" s="38">
        <v>50000</v>
      </c>
      <c r="Q72" s="63">
        <f t="shared" si="14"/>
        <v>0</v>
      </c>
      <c r="R72" s="63">
        <v>0</v>
      </c>
      <c r="T72" s="63"/>
      <c r="U72" s="43">
        <f t="shared" si="15"/>
        <v>0</v>
      </c>
      <c r="Y72" s="39"/>
      <c r="Z72" s="39"/>
    </row>
    <row r="73" spans="1:26" x14ac:dyDescent="0.3">
      <c r="A73" s="12" t="s">
        <v>83</v>
      </c>
      <c r="B73" s="83">
        <v>2</v>
      </c>
      <c r="C73" s="83">
        <v>54968100</v>
      </c>
      <c r="D73" s="63">
        <f t="shared" si="8"/>
        <v>1.9999999999999999E-7</v>
      </c>
      <c r="E73" s="84">
        <f t="shared" si="9"/>
        <v>54968.1</v>
      </c>
      <c r="F73" s="85"/>
      <c r="G73" s="12" t="s">
        <v>83</v>
      </c>
      <c r="H73" s="80">
        <v>0</v>
      </c>
      <c r="I73" s="63">
        <f t="shared" si="10"/>
        <v>1.9999999999999999E-7</v>
      </c>
      <c r="J73" s="63">
        <f t="shared" si="11"/>
        <v>0</v>
      </c>
      <c r="K73" s="86">
        <v>0</v>
      </c>
      <c r="L73" s="63">
        <f t="shared" si="12"/>
        <v>0</v>
      </c>
      <c r="M73" s="63">
        <f t="shared" si="13"/>
        <v>0</v>
      </c>
      <c r="N73" s="82"/>
      <c r="O73" s="38">
        <v>50000</v>
      </c>
      <c r="P73" s="38">
        <v>60000</v>
      </c>
      <c r="Q73" s="63">
        <f t="shared" si="14"/>
        <v>0</v>
      </c>
      <c r="R73" s="63">
        <v>0</v>
      </c>
      <c r="T73" s="63"/>
      <c r="U73" s="43">
        <f t="shared" si="15"/>
        <v>0</v>
      </c>
      <c r="Y73" s="39"/>
      <c r="Z73" s="39"/>
    </row>
    <row r="74" spans="1:26" x14ac:dyDescent="0.3">
      <c r="A74" s="12" t="s">
        <v>84</v>
      </c>
      <c r="B74" s="83">
        <v>2</v>
      </c>
      <c r="C74" s="83">
        <v>63437500</v>
      </c>
      <c r="D74" s="63">
        <f t="shared" si="8"/>
        <v>1.9999999999999999E-7</v>
      </c>
      <c r="E74" s="84">
        <f t="shared" si="9"/>
        <v>63437.5</v>
      </c>
      <c r="F74" s="85"/>
      <c r="G74" s="12" t="s">
        <v>84</v>
      </c>
      <c r="H74" s="80">
        <v>0</v>
      </c>
      <c r="I74" s="63">
        <f t="shared" si="10"/>
        <v>1.9999999999999999E-7</v>
      </c>
      <c r="J74" s="63">
        <f t="shared" si="11"/>
        <v>0</v>
      </c>
      <c r="K74" s="86">
        <v>0</v>
      </c>
      <c r="L74" s="63">
        <f t="shared" si="12"/>
        <v>0</v>
      </c>
      <c r="M74" s="63">
        <f t="shared" si="13"/>
        <v>0</v>
      </c>
      <c r="N74" s="82"/>
      <c r="O74" s="38">
        <v>60000</v>
      </c>
      <c r="P74" s="38">
        <v>70000</v>
      </c>
      <c r="Q74" s="63">
        <f t="shared" si="14"/>
        <v>0</v>
      </c>
      <c r="R74" s="63">
        <v>0</v>
      </c>
      <c r="T74" s="63"/>
      <c r="U74" s="43">
        <f t="shared" si="15"/>
        <v>0</v>
      </c>
      <c r="Y74" s="39"/>
      <c r="Z74" s="39"/>
    </row>
    <row r="75" spans="1:26" x14ac:dyDescent="0.3">
      <c r="A75" s="12" t="s">
        <v>85</v>
      </c>
      <c r="B75" s="83">
        <v>0</v>
      </c>
      <c r="C75" s="83">
        <v>0</v>
      </c>
      <c r="D75" s="63">
        <f t="shared" si="8"/>
        <v>0</v>
      </c>
      <c r="E75" s="84">
        <f t="shared" si="9"/>
        <v>0</v>
      </c>
      <c r="F75" s="85"/>
      <c r="G75" s="12" t="s">
        <v>85</v>
      </c>
      <c r="H75" s="80">
        <v>0</v>
      </c>
      <c r="I75" s="63">
        <f t="shared" si="10"/>
        <v>0</v>
      </c>
      <c r="J75" s="63">
        <f t="shared" si="11"/>
        <v>0</v>
      </c>
      <c r="K75" s="86">
        <v>0</v>
      </c>
      <c r="L75" s="63">
        <f t="shared" si="12"/>
        <v>0</v>
      </c>
      <c r="M75" s="63">
        <f t="shared" si="13"/>
        <v>0</v>
      </c>
      <c r="N75" s="82"/>
      <c r="O75" s="38">
        <v>70000</v>
      </c>
      <c r="P75" s="38">
        <v>80000</v>
      </c>
      <c r="Q75" s="63">
        <f t="shared" si="14"/>
        <v>0</v>
      </c>
      <c r="R75" s="63">
        <v>0</v>
      </c>
      <c r="T75" s="63"/>
      <c r="U75" s="43">
        <f t="shared" si="15"/>
        <v>0</v>
      </c>
      <c r="Y75" s="39"/>
      <c r="Z75" s="39"/>
    </row>
    <row r="76" spans="1:26" x14ac:dyDescent="0.3">
      <c r="A76" s="12" t="s">
        <v>86</v>
      </c>
      <c r="B76" s="83">
        <v>0</v>
      </c>
      <c r="C76" s="83">
        <v>0</v>
      </c>
      <c r="D76" s="63">
        <f t="shared" si="8"/>
        <v>0</v>
      </c>
      <c r="E76" s="84">
        <f t="shared" si="9"/>
        <v>0</v>
      </c>
      <c r="F76" s="85"/>
      <c r="G76" s="12" t="s">
        <v>86</v>
      </c>
      <c r="H76" s="80">
        <v>0</v>
      </c>
      <c r="I76" s="63">
        <f t="shared" si="10"/>
        <v>0</v>
      </c>
      <c r="J76" s="63">
        <f t="shared" si="11"/>
        <v>0</v>
      </c>
      <c r="K76" s="86">
        <v>0</v>
      </c>
      <c r="L76" s="63">
        <f t="shared" si="12"/>
        <v>0</v>
      </c>
      <c r="M76" s="63">
        <f t="shared" si="13"/>
        <v>0</v>
      </c>
      <c r="N76" s="82"/>
      <c r="O76" s="38">
        <v>80000</v>
      </c>
      <c r="P76" s="38">
        <v>90000</v>
      </c>
      <c r="Q76" s="63">
        <f t="shared" si="14"/>
        <v>0</v>
      </c>
      <c r="R76" s="63">
        <v>0</v>
      </c>
      <c r="T76" s="63"/>
      <c r="U76" s="43">
        <f t="shared" si="15"/>
        <v>0</v>
      </c>
      <c r="Y76" s="39"/>
      <c r="Z76" s="39"/>
    </row>
    <row r="77" spans="1:26" x14ac:dyDescent="0.3">
      <c r="A77" s="12" t="s">
        <v>87</v>
      </c>
      <c r="B77" s="83">
        <v>0</v>
      </c>
      <c r="C77" s="83">
        <v>0</v>
      </c>
      <c r="D77" s="63">
        <f t="shared" si="8"/>
        <v>0</v>
      </c>
      <c r="E77" s="84">
        <f t="shared" si="9"/>
        <v>0</v>
      </c>
      <c r="F77" s="85"/>
      <c r="G77" s="12" t="s">
        <v>87</v>
      </c>
      <c r="H77" s="80">
        <v>0</v>
      </c>
      <c r="I77" s="63">
        <f t="shared" si="10"/>
        <v>0</v>
      </c>
      <c r="J77" s="63">
        <f t="shared" si="11"/>
        <v>0</v>
      </c>
      <c r="K77" s="86">
        <v>0</v>
      </c>
      <c r="L77" s="63">
        <f t="shared" si="12"/>
        <v>0</v>
      </c>
      <c r="M77" s="63">
        <f t="shared" si="13"/>
        <v>0</v>
      </c>
      <c r="N77" s="82"/>
      <c r="O77" s="38">
        <v>90000</v>
      </c>
      <c r="P77" s="38">
        <v>100000</v>
      </c>
      <c r="Q77" s="63">
        <f t="shared" si="14"/>
        <v>0</v>
      </c>
      <c r="R77" s="63">
        <v>0</v>
      </c>
      <c r="T77" s="63"/>
      <c r="U77" s="43">
        <f t="shared" si="15"/>
        <v>0</v>
      </c>
      <c r="Y77" s="39"/>
      <c r="Z77" s="39"/>
    </row>
    <row r="78" spans="1:26" x14ac:dyDescent="0.3">
      <c r="A78" s="12" t="s">
        <v>88</v>
      </c>
      <c r="B78" s="83">
        <v>0</v>
      </c>
      <c r="C78" s="83">
        <v>0</v>
      </c>
      <c r="D78" s="63">
        <f t="shared" si="8"/>
        <v>0</v>
      </c>
      <c r="E78" s="84">
        <f t="shared" si="9"/>
        <v>0</v>
      </c>
      <c r="F78" s="85"/>
      <c r="G78" s="12" t="s">
        <v>88</v>
      </c>
      <c r="H78" s="80">
        <v>0</v>
      </c>
      <c r="I78" s="63">
        <f t="shared" si="10"/>
        <v>0</v>
      </c>
      <c r="J78" s="63">
        <f t="shared" si="11"/>
        <v>0</v>
      </c>
      <c r="K78" s="86">
        <v>0</v>
      </c>
      <c r="L78" s="63">
        <f t="shared" si="12"/>
        <v>0</v>
      </c>
      <c r="M78" s="63">
        <f t="shared" si="13"/>
        <v>0</v>
      </c>
      <c r="N78" s="82"/>
      <c r="O78" s="38">
        <v>100000</v>
      </c>
      <c r="P78" s="38">
        <v>9999999</v>
      </c>
      <c r="Q78" s="63">
        <f t="shared" si="14"/>
        <v>0</v>
      </c>
      <c r="R78" s="63">
        <v>0</v>
      </c>
      <c r="T78" s="63"/>
      <c r="U78" s="43">
        <f t="shared" si="15"/>
        <v>0</v>
      </c>
      <c r="Y78" s="39"/>
      <c r="Z78" s="39"/>
    </row>
    <row r="79" spans="1:26" x14ac:dyDescent="0.3">
      <c r="A79" s="12" t="s">
        <v>12</v>
      </c>
      <c r="B79" s="83">
        <v>22040</v>
      </c>
      <c r="C79" s="83">
        <v>44813925</v>
      </c>
      <c r="D79" s="63">
        <f>B79/B13</f>
        <v>2.2039999999999998E-3</v>
      </c>
      <c r="E79" s="84">
        <f>IFERROR(C79/B79/$B$3,0)</f>
        <v>20.332996823956442</v>
      </c>
      <c r="F79" s="85"/>
      <c r="G79" s="12" t="s">
        <v>12</v>
      </c>
      <c r="H79" s="80">
        <v>1.51240187175842</v>
      </c>
      <c r="I79" s="63">
        <f>D79*H79</f>
        <v>3.3333337253555573E-3</v>
      </c>
      <c r="J79" s="63">
        <f>I79</f>
        <v>3.3333337253555573E-3</v>
      </c>
      <c r="K79" s="86">
        <v>3344482</v>
      </c>
      <c r="L79" s="63">
        <f t="shared" ref="L79" si="16">IFERROR(K79/SUM($K$15:$K$79),0)</f>
        <v>3.3333337253555555E-3</v>
      </c>
      <c r="M79" s="63">
        <f>L79*E79</f>
        <v>6.7776664050841401E-2</v>
      </c>
      <c r="Q79" s="63"/>
      <c r="R79" s="63"/>
      <c r="T79" s="24"/>
      <c r="U79" s="24"/>
    </row>
    <row r="81" spans="1:21" x14ac:dyDescent="0.3">
      <c r="A81" s="23"/>
      <c r="B81" s="1"/>
      <c r="C81" s="87"/>
      <c r="D81" s="1"/>
      <c r="E81" s="1"/>
      <c r="G81" s="29"/>
      <c r="H81" s="23"/>
      <c r="I81" s="23"/>
      <c r="J81" s="23"/>
      <c r="K81" s="77"/>
      <c r="L81" s="23"/>
      <c r="M81" s="23"/>
      <c r="Q81" s="23"/>
      <c r="R81" s="23"/>
    </row>
    <row r="82" spans="1:21" s="55" customFormat="1" ht="15.6" customHeight="1" x14ac:dyDescent="0.3">
      <c r="A82" s="56" t="s">
        <v>115</v>
      </c>
      <c r="B82" s="56" t="s">
        <v>12</v>
      </c>
      <c r="C82" s="56"/>
      <c r="D82" s="76"/>
      <c r="E82" s="52"/>
      <c r="F82" s="53"/>
      <c r="G82" s="56" t="s">
        <v>6</v>
      </c>
      <c r="H82" s="56" t="s">
        <v>12</v>
      </c>
      <c r="I82" s="51"/>
      <c r="J82" s="51"/>
      <c r="K82" s="54"/>
      <c r="L82" s="62"/>
      <c r="M82" s="62"/>
      <c r="N82" s="53"/>
      <c r="O82" s="56" t="s">
        <v>6</v>
      </c>
      <c r="P82" s="56" t="s">
        <v>12</v>
      </c>
      <c r="Q82" s="62"/>
      <c r="R82" s="62"/>
    </row>
    <row r="83" spans="1:21" x14ac:dyDescent="0.3">
      <c r="A83" s="23"/>
      <c r="B83" s="1"/>
      <c r="C83" s="1"/>
      <c r="D83" s="1"/>
      <c r="E83" s="1"/>
      <c r="G83" s="29"/>
      <c r="H83" s="23"/>
      <c r="I83" s="23"/>
      <c r="J83" s="23"/>
      <c r="K83" s="23"/>
      <c r="L83" s="23"/>
      <c r="M83" s="23"/>
      <c r="Q83" s="23"/>
      <c r="R83" s="23"/>
    </row>
    <row r="84" spans="1:21" x14ac:dyDescent="0.3">
      <c r="A84" s="41" t="s">
        <v>100</v>
      </c>
      <c r="B84" s="41">
        <v>22143</v>
      </c>
      <c r="C84" s="1"/>
      <c r="D84" s="1"/>
      <c r="E84" s="1"/>
      <c r="G84" s="41" t="s">
        <v>101</v>
      </c>
      <c r="H84" s="23"/>
      <c r="I84" s="23"/>
      <c r="J84" s="23"/>
      <c r="K84" s="23"/>
      <c r="L84" s="23"/>
      <c r="M84" s="23"/>
      <c r="Q84" s="23"/>
      <c r="R84" s="23"/>
    </row>
    <row r="85" spans="1:21" x14ac:dyDescent="0.3">
      <c r="A85" s="8" t="s">
        <v>18</v>
      </c>
      <c r="B85" s="8" t="s">
        <v>102</v>
      </c>
      <c r="C85" s="8" t="s">
        <v>103</v>
      </c>
      <c r="D85" s="8" t="s">
        <v>93</v>
      </c>
      <c r="E85" s="8" t="s">
        <v>104</v>
      </c>
      <c r="G85" s="8" t="s">
        <v>18</v>
      </c>
      <c r="H85" s="8" t="s">
        <v>105</v>
      </c>
      <c r="I85" s="8" t="s">
        <v>106</v>
      </c>
      <c r="J85" s="8" t="s">
        <v>107</v>
      </c>
      <c r="K85" s="8" t="s">
        <v>108</v>
      </c>
      <c r="L85" s="8" t="s">
        <v>93</v>
      </c>
      <c r="M85" s="8" t="s">
        <v>109</v>
      </c>
      <c r="O85" s="8" t="s">
        <v>110</v>
      </c>
      <c r="P85" s="8" t="s">
        <v>111</v>
      </c>
      <c r="Q85" s="8" t="s">
        <v>112</v>
      </c>
      <c r="R85" s="8" t="s">
        <v>113</v>
      </c>
      <c r="T85" s="11" t="s">
        <v>112</v>
      </c>
      <c r="U85" s="11" t="s">
        <v>114</v>
      </c>
    </row>
    <row r="86" spans="1:21" x14ac:dyDescent="0.3">
      <c r="A86" s="12" t="s">
        <v>25</v>
      </c>
      <c r="B86" s="78">
        <v>4</v>
      </c>
      <c r="C86" s="78">
        <v>0</v>
      </c>
      <c r="D86" s="63">
        <f t="shared" ref="D86:D117" si="17">IFERROR(B86/$B$84,0)</f>
        <v>1.806439958451881E-4</v>
      </c>
      <c r="E86" s="79">
        <f t="shared" ref="E86:E117" si="18">IFERROR(C86/B86/500,0)</f>
        <v>0</v>
      </c>
      <c r="G86" s="12" t="s">
        <v>25</v>
      </c>
      <c r="H86" s="80">
        <v>0</v>
      </c>
      <c r="I86" s="63">
        <f t="shared" ref="I86:I117" si="19">IFERROR(B86/$B$84,0)</f>
        <v>1.806439958451881E-4</v>
      </c>
      <c r="J86" s="63">
        <f t="shared" ref="J86:J117" si="20">IFERROR(K86/$B$2,0)</f>
        <v>0</v>
      </c>
      <c r="K86" s="81">
        <v>0</v>
      </c>
      <c r="L86" s="63">
        <f t="shared" ref="L86:L117" si="21">IFERROR(K86/$B$2,0)</f>
        <v>0</v>
      </c>
      <c r="M86" s="63">
        <f t="shared" ref="M86:M117" si="22">IFERROR(L86*E86,0)</f>
        <v>0</v>
      </c>
      <c r="N86" s="82"/>
      <c r="O86" s="42">
        <v>-1</v>
      </c>
      <c r="P86" s="42">
        <v>0</v>
      </c>
      <c r="Q86" s="63">
        <f t="shared" ref="Q86:Q117" si="23">L86</f>
        <v>0</v>
      </c>
      <c r="R86" s="63">
        <v>0</v>
      </c>
      <c r="T86" s="63"/>
      <c r="U86" s="43">
        <f t="shared" ref="U86:U117" si="24">IFERROR(ROUND(T86/L86,2),0)</f>
        <v>0</v>
      </c>
    </row>
    <row r="87" spans="1:21" x14ac:dyDescent="0.3">
      <c r="A87" s="12" t="s">
        <v>26</v>
      </c>
      <c r="B87" s="83">
        <v>27</v>
      </c>
      <c r="C87" s="83">
        <v>9150</v>
      </c>
      <c r="D87" s="63">
        <f t="shared" si="17"/>
        <v>1.2193469719550196E-3</v>
      </c>
      <c r="E87" s="84">
        <f t="shared" si="18"/>
        <v>0.67777777777777781</v>
      </c>
      <c r="G87" s="12" t="s">
        <v>26</v>
      </c>
      <c r="H87" s="80">
        <v>0</v>
      </c>
      <c r="I87" s="63">
        <f t="shared" si="19"/>
        <v>1.2193469719550196E-3</v>
      </c>
      <c r="J87" s="63">
        <f t="shared" si="20"/>
        <v>0</v>
      </c>
      <c r="K87" s="81">
        <v>0</v>
      </c>
      <c r="L87" s="63">
        <f t="shared" si="21"/>
        <v>0</v>
      </c>
      <c r="M87" s="63">
        <f t="shared" si="22"/>
        <v>0</v>
      </c>
      <c r="N87" s="82"/>
      <c r="O87" s="38">
        <v>0</v>
      </c>
      <c r="P87" s="38">
        <v>1</v>
      </c>
      <c r="Q87" s="63">
        <f t="shared" si="23"/>
        <v>0</v>
      </c>
      <c r="R87" s="63">
        <v>0</v>
      </c>
      <c r="T87" s="63"/>
      <c r="U87" s="43">
        <f t="shared" si="24"/>
        <v>0</v>
      </c>
    </row>
    <row r="88" spans="1:21" x14ac:dyDescent="0.3">
      <c r="A88" s="12" t="s">
        <v>27</v>
      </c>
      <c r="B88" s="83">
        <v>49</v>
      </c>
      <c r="C88" s="83">
        <v>38975</v>
      </c>
      <c r="D88" s="63">
        <f t="shared" si="17"/>
        <v>2.2128889491035541E-3</v>
      </c>
      <c r="E88" s="84">
        <f t="shared" si="18"/>
        <v>1.5908163265306123</v>
      </c>
      <c r="F88" s="44"/>
      <c r="G88" s="12" t="s">
        <v>27</v>
      </c>
      <c r="H88" s="80">
        <v>0</v>
      </c>
      <c r="I88" s="63">
        <f t="shared" si="19"/>
        <v>2.2128889491035541E-3</v>
      </c>
      <c r="J88" s="63">
        <f t="shared" si="20"/>
        <v>0</v>
      </c>
      <c r="K88" s="81">
        <v>0</v>
      </c>
      <c r="L88" s="63">
        <f t="shared" si="21"/>
        <v>0</v>
      </c>
      <c r="M88" s="63">
        <f t="shared" si="22"/>
        <v>0</v>
      </c>
      <c r="N88" s="60"/>
      <c r="O88" s="38">
        <v>1</v>
      </c>
      <c r="P88" s="38">
        <v>2</v>
      </c>
      <c r="Q88" s="63">
        <f t="shared" si="23"/>
        <v>0</v>
      </c>
      <c r="R88" s="63">
        <v>0</v>
      </c>
      <c r="T88" s="63"/>
      <c r="U88" s="43">
        <f t="shared" si="24"/>
        <v>0</v>
      </c>
    </row>
    <row r="89" spans="1:21" x14ac:dyDescent="0.3">
      <c r="A89" s="12" t="s">
        <v>28</v>
      </c>
      <c r="B89" s="83">
        <v>70</v>
      </c>
      <c r="C89" s="83">
        <v>90475</v>
      </c>
      <c r="D89" s="63">
        <f t="shared" si="17"/>
        <v>3.1612699272907919E-3</v>
      </c>
      <c r="E89" s="84">
        <f t="shared" si="18"/>
        <v>2.585</v>
      </c>
      <c r="F89" s="82"/>
      <c r="G89" s="12" t="s">
        <v>28</v>
      </c>
      <c r="H89" s="80">
        <v>0</v>
      </c>
      <c r="I89" s="63">
        <f t="shared" si="19"/>
        <v>3.1612699272907919E-3</v>
      </c>
      <c r="J89" s="63">
        <f t="shared" si="20"/>
        <v>0</v>
      </c>
      <c r="K89" s="81">
        <v>0</v>
      </c>
      <c r="L89" s="63">
        <f t="shared" si="21"/>
        <v>0</v>
      </c>
      <c r="M89" s="63">
        <f t="shared" si="22"/>
        <v>0</v>
      </c>
      <c r="N89" s="60"/>
      <c r="O89" s="38">
        <v>2</v>
      </c>
      <c r="P89" s="38">
        <v>3</v>
      </c>
      <c r="Q89" s="63">
        <f t="shared" si="23"/>
        <v>0</v>
      </c>
      <c r="R89" s="63">
        <v>0</v>
      </c>
      <c r="T89" s="63"/>
      <c r="U89" s="43">
        <f t="shared" si="24"/>
        <v>0</v>
      </c>
    </row>
    <row r="90" spans="1:21" x14ac:dyDescent="0.3">
      <c r="A90" s="12" t="s">
        <v>29</v>
      </c>
      <c r="B90" s="83">
        <v>116</v>
      </c>
      <c r="C90" s="83">
        <v>205200</v>
      </c>
      <c r="D90" s="63">
        <f t="shared" si="17"/>
        <v>5.2386758795104548E-3</v>
      </c>
      <c r="E90" s="84">
        <f t="shared" si="18"/>
        <v>3.5379310344827588</v>
      </c>
      <c r="F90" s="82"/>
      <c r="G90" s="12" t="s">
        <v>29</v>
      </c>
      <c r="H90" s="80">
        <v>0</v>
      </c>
      <c r="I90" s="63">
        <f t="shared" si="19"/>
        <v>5.2386758795104548E-3</v>
      </c>
      <c r="J90" s="63">
        <f t="shared" si="20"/>
        <v>0</v>
      </c>
      <c r="K90" s="81">
        <v>0</v>
      </c>
      <c r="L90" s="63">
        <f t="shared" si="21"/>
        <v>0</v>
      </c>
      <c r="M90" s="63">
        <f t="shared" si="22"/>
        <v>0</v>
      </c>
      <c r="N90" s="60"/>
      <c r="O90" s="38">
        <v>3</v>
      </c>
      <c r="P90" s="38">
        <v>4</v>
      </c>
      <c r="Q90" s="63">
        <f t="shared" si="23"/>
        <v>0</v>
      </c>
      <c r="R90" s="63">
        <v>0</v>
      </c>
      <c r="T90" s="63"/>
      <c r="U90" s="43">
        <f t="shared" si="24"/>
        <v>0</v>
      </c>
    </row>
    <row r="91" spans="1:21" x14ac:dyDescent="0.3">
      <c r="A91" s="12" t="s">
        <v>30</v>
      </c>
      <c r="B91" s="83">
        <v>140</v>
      </c>
      <c r="C91" s="83">
        <v>316600</v>
      </c>
      <c r="D91" s="63">
        <f t="shared" si="17"/>
        <v>6.3225398545815837E-3</v>
      </c>
      <c r="E91" s="84">
        <f t="shared" si="18"/>
        <v>4.5228571428571431</v>
      </c>
      <c r="F91" s="82"/>
      <c r="G91" s="12" t="s">
        <v>30</v>
      </c>
      <c r="H91" s="80">
        <v>0</v>
      </c>
      <c r="I91" s="63">
        <f t="shared" si="19"/>
        <v>6.3225398545815837E-3</v>
      </c>
      <c r="J91" s="63">
        <f t="shared" si="20"/>
        <v>0</v>
      </c>
      <c r="K91" s="81">
        <v>0</v>
      </c>
      <c r="L91" s="63">
        <f t="shared" si="21"/>
        <v>0</v>
      </c>
      <c r="M91" s="63">
        <f t="shared" si="22"/>
        <v>0</v>
      </c>
      <c r="N91" s="60"/>
      <c r="O91" s="38">
        <v>4</v>
      </c>
      <c r="P91" s="38">
        <v>5</v>
      </c>
      <c r="Q91" s="63">
        <f t="shared" si="23"/>
        <v>0</v>
      </c>
      <c r="R91" s="63">
        <v>0</v>
      </c>
      <c r="T91" s="63"/>
      <c r="U91" s="43">
        <f t="shared" si="24"/>
        <v>0</v>
      </c>
    </row>
    <row r="92" spans="1:21" x14ac:dyDescent="0.3">
      <c r="A92" s="12" t="s">
        <v>31</v>
      </c>
      <c r="B92" s="83">
        <v>136</v>
      </c>
      <c r="C92" s="83">
        <v>375325</v>
      </c>
      <c r="D92" s="63">
        <f t="shared" si="17"/>
        <v>6.141895858736395E-3</v>
      </c>
      <c r="E92" s="84">
        <f t="shared" si="18"/>
        <v>5.5194852941176471</v>
      </c>
      <c r="F92" s="82"/>
      <c r="G92" s="12" t="s">
        <v>31</v>
      </c>
      <c r="H92" s="80">
        <v>0</v>
      </c>
      <c r="I92" s="63">
        <f t="shared" si="19"/>
        <v>6.141895858736395E-3</v>
      </c>
      <c r="J92" s="63">
        <f t="shared" si="20"/>
        <v>0</v>
      </c>
      <c r="K92" s="81">
        <v>0</v>
      </c>
      <c r="L92" s="63">
        <f t="shared" si="21"/>
        <v>0</v>
      </c>
      <c r="M92" s="63">
        <f t="shared" si="22"/>
        <v>0</v>
      </c>
      <c r="N92" s="60"/>
      <c r="O92" s="38">
        <v>5</v>
      </c>
      <c r="P92" s="38">
        <v>6</v>
      </c>
      <c r="Q92" s="63">
        <f t="shared" si="23"/>
        <v>0</v>
      </c>
      <c r="R92" s="63">
        <v>0</v>
      </c>
      <c r="T92" s="63"/>
      <c r="U92" s="43">
        <f t="shared" si="24"/>
        <v>0</v>
      </c>
    </row>
    <row r="93" spans="1:21" x14ac:dyDescent="0.3">
      <c r="A93" s="12" t="s">
        <v>32</v>
      </c>
      <c r="B93" s="83">
        <v>165</v>
      </c>
      <c r="C93" s="83">
        <v>539050</v>
      </c>
      <c r="D93" s="63">
        <f t="shared" si="17"/>
        <v>7.4515648286140089E-3</v>
      </c>
      <c r="E93" s="84">
        <f t="shared" si="18"/>
        <v>6.5339393939393942</v>
      </c>
      <c r="F93" s="82"/>
      <c r="G93" s="12" t="s">
        <v>32</v>
      </c>
      <c r="H93" s="80">
        <v>0</v>
      </c>
      <c r="I93" s="63">
        <f t="shared" si="19"/>
        <v>7.4515648286140089E-3</v>
      </c>
      <c r="J93" s="63">
        <f t="shared" si="20"/>
        <v>0</v>
      </c>
      <c r="K93" s="81">
        <v>0</v>
      </c>
      <c r="L93" s="63">
        <f t="shared" si="21"/>
        <v>0</v>
      </c>
      <c r="M93" s="63">
        <f t="shared" si="22"/>
        <v>0</v>
      </c>
      <c r="N93" s="82"/>
      <c r="O93" s="38">
        <v>6</v>
      </c>
      <c r="P93" s="38">
        <v>7</v>
      </c>
      <c r="Q93" s="63">
        <f t="shared" si="23"/>
        <v>0</v>
      </c>
      <c r="R93" s="63">
        <v>0</v>
      </c>
      <c r="T93" s="63"/>
      <c r="U93" s="43">
        <f t="shared" si="24"/>
        <v>0</v>
      </c>
    </row>
    <row r="94" spans="1:21" x14ac:dyDescent="0.3">
      <c r="A94" s="12" t="s">
        <v>33</v>
      </c>
      <c r="B94" s="83">
        <v>177</v>
      </c>
      <c r="C94" s="83">
        <v>664400</v>
      </c>
      <c r="D94" s="63">
        <f t="shared" si="17"/>
        <v>7.9934968161495725E-3</v>
      </c>
      <c r="E94" s="84">
        <f t="shared" si="18"/>
        <v>7.5073446327683611</v>
      </c>
      <c r="F94" s="82"/>
      <c r="G94" s="12" t="s">
        <v>33</v>
      </c>
      <c r="H94" s="80">
        <v>0</v>
      </c>
      <c r="I94" s="63">
        <f t="shared" si="19"/>
        <v>7.9934968161495725E-3</v>
      </c>
      <c r="J94" s="63">
        <f t="shared" si="20"/>
        <v>0</v>
      </c>
      <c r="K94" s="81">
        <v>0</v>
      </c>
      <c r="L94" s="63">
        <f t="shared" si="21"/>
        <v>0</v>
      </c>
      <c r="M94" s="63">
        <f t="shared" si="22"/>
        <v>0</v>
      </c>
      <c r="N94" s="82"/>
      <c r="O94" s="38">
        <v>7</v>
      </c>
      <c r="P94" s="38">
        <v>8</v>
      </c>
      <c r="Q94" s="63">
        <f t="shared" si="23"/>
        <v>0</v>
      </c>
      <c r="R94" s="63">
        <v>0</v>
      </c>
      <c r="T94" s="63"/>
      <c r="U94" s="43">
        <f t="shared" si="24"/>
        <v>0</v>
      </c>
    </row>
    <row r="95" spans="1:21" x14ac:dyDescent="0.3">
      <c r="A95" s="12" t="s">
        <v>34</v>
      </c>
      <c r="B95" s="83">
        <v>199</v>
      </c>
      <c r="C95" s="83">
        <v>848525</v>
      </c>
      <c r="D95" s="63">
        <f t="shared" si="17"/>
        <v>8.987038793298107E-3</v>
      </c>
      <c r="E95" s="84">
        <f t="shared" si="18"/>
        <v>8.5278894472361806</v>
      </c>
      <c r="F95" s="82"/>
      <c r="G95" s="12" t="s">
        <v>34</v>
      </c>
      <c r="H95" s="80">
        <v>0</v>
      </c>
      <c r="I95" s="63">
        <f t="shared" si="19"/>
        <v>8.987038793298107E-3</v>
      </c>
      <c r="J95" s="63">
        <f t="shared" si="20"/>
        <v>0</v>
      </c>
      <c r="K95" s="81">
        <v>0</v>
      </c>
      <c r="L95" s="63">
        <f t="shared" si="21"/>
        <v>0</v>
      </c>
      <c r="M95" s="63">
        <f t="shared" si="22"/>
        <v>0</v>
      </c>
      <c r="N95" s="82"/>
      <c r="O95" s="38">
        <v>8</v>
      </c>
      <c r="P95" s="38">
        <v>9</v>
      </c>
      <c r="Q95" s="63">
        <f t="shared" si="23"/>
        <v>0</v>
      </c>
      <c r="R95" s="63">
        <v>0</v>
      </c>
      <c r="T95" s="63"/>
      <c r="U95" s="43">
        <f t="shared" si="24"/>
        <v>0</v>
      </c>
    </row>
    <row r="96" spans="1:21" x14ac:dyDescent="0.3">
      <c r="A96" s="12" t="s">
        <v>35</v>
      </c>
      <c r="B96" s="83">
        <v>189</v>
      </c>
      <c r="C96" s="83">
        <v>903125</v>
      </c>
      <c r="D96" s="63">
        <f t="shared" si="17"/>
        <v>8.535428803685137E-3</v>
      </c>
      <c r="E96" s="84">
        <f t="shared" si="18"/>
        <v>9.556878306878307</v>
      </c>
      <c r="F96" s="82"/>
      <c r="G96" s="12" t="s">
        <v>35</v>
      </c>
      <c r="H96" s="80">
        <v>0</v>
      </c>
      <c r="I96" s="63">
        <f t="shared" si="19"/>
        <v>8.535428803685137E-3</v>
      </c>
      <c r="J96" s="63">
        <f t="shared" si="20"/>
        <v>0</v>
      </c>
      <c r="K96" s="81">
        <v>0</v>
      </c>
      <c r="L96" s="63">
        <f t="shared" si="21"/>
        <v>0</v>
      </c>
      <c r="M96" s="63">
        <f t="shared" si="22"/>
        <v>0</v>
      </c>
      <c r="N96" s="82"/>
      <c r="O96" s="38">
        <v>9</v>
      </c>
      <c r="P96" s="38">
        <v>10</v>
      </c>
      <c r="Q96" s="63">
        <f t="shared" si="23"/>
        <v>0</v>
      </c>
      <c r="R96" s="63">
        <v>2.7029999999999998E-2</v>
      </c>
      <c r="T96" s="63"/>
      <c r="U96" s="43">
        <f t="shared" si="24"/>
        <v>0</v>
      </c>
    </row>
    <row r="97" spans="1:21" x14ac:dyDescent="0.3">
      <c r="A97" s="12" t="s">
        <v>36</v>
      </c>
      <c r="B97" s="83">
        <v>897</v>
      </c>
      <c r="C97" s="83">
        <v>5616400</v>
      </c>
      <c r="D97" s="63">
        <f t="shared" si="17"/>
        <v>4.0509416068283427E-2</v>
      </c>
      <c r="E97" s="84">
        <f t="shared" si="18"/>
        <v>12.522630992196209</v>
      </c>
      <c r="F97" s="82"/>
      <c r="G97" s="12" t="s">
        <v>36</v>
      </c>
      <c r="H97" s="80">
        <v>0</v>
      </c>
      <c r="I97" s="63">
        <f t="shared" si="19"/>
        <v>4.0509416068283427E-2</v>
      </c>
      <c r="J97" s="63">
        <f t="shared" si="20"/>
        <v>0</v>
      </c>
      <c r="K97" s="81">
        <v>0</v>
      </c>
      <c r="L97" s="63">
        <f t="shared" si="21"/>
        <v>0</v>
      </c>
      <c r="M97" s="63">
        <f t="shared" si="22"/>
        <v>0</v>
      </c>
      <c r="N97" s="82"/>
      <c r="O97" s="38">
        <v>10</v>
      </c>
      <c r="P97" s="38">
        <v>15</v>
      </c>
      <c r="Q97" s="63">
        <f t="shared" si="23"/>
        <v>0</v>
      </c>
      <c r="R97" s="63">
        <v>9.4589999999999994E-2</v>
      </c>
      <c r="T97" s="63"/>
      <c r="U97" s="43">
        <f t="shared" si="24"/>
        <v>0</v>
      </c>
    </row>
    <row r="98" spans="1:21" x14ac:dyDescent="0.3">
      <c r="A98" s="12" t="s">
        <v>37</v>
      </c>
      <c r="B98" s="83">
        <v>904</v>
      </c>
      <c r="C98" s="83">
        <v>7931900</v>
      </c>
      <c r="D98" s="63">
        <f t="shared" si="17"/>
        <v>4.0825543061012506E-2</v>
      </c>
      <c r="E98" s="84">
        <f t="shared" si="18"/>
        <v>17.548451327433629</v>
      </c>
      <c r="F98" s="82"/>
      <c r="G98" s="12" t="s">
        <v>37</v>
      </c>
      <c r="H98" s="80">
        <v>0</v>
      </c>
      <c r="I98" s="63">
        <f t="shared" si="19"/>
        <v>4.0825543061012506E-2</v>
      </c>
      <c r="J98" s="63">
        <f t="shared" si="20"/>
        <v>0</v>
      </c>
      <c r="K98" s="81">
        <v>0</v>
      </c>
      <c r="L98" s="63">
        <f t="shared" si="21"/>
        <v>0</v>
      </c>
      <c r="M98" s="63">
        <f t="shared" si="22"/>
        <v>0</v>
      </c>
      <c r="N98" s="82"/>
      <c r="O98" s="38">
        <v>15</v>
      </c>
      <c r="P98" s="38">
        <v>20</v>
      </c>
      <c r="Q98" s="63">
        <f t="shared" si="23"/>
        <v>0</v>
      </c>
      <c r="R98" s="63">
        <v>0.13513999999999998</v>
      </c>
      <c r="T98" s="63"/>
      <c r="U98" s="43">
        <f t="shared" si="24"/>
        <v>0</v>
      </c>
    </row>
    <row r="99" spans="1:21" x14ac:dyDescent="0.3">
      <c r="A99" s="12" t="s">
        <v>38</v>
      </c>
      <c r="B99" s="83">
        <v>827</v>
      </c>
      <c r="C99" s="83">
        <v>9271325</v>
      </c>
      <c r="D99" s="63">
        <f t="shared" si="17"/>
        <v>3.734814614099264E-2</v>
      </c>
      <c r="E99" s="84">
        <f t="shared" si="18"/>
        <v>22.421584038694075</v>
      </c>
      <c r="F99" s="82"/>
      <c r="G99" s="12" t="s">
        <v>38</v>
      </c>
      <c r="H99" s="80">
        <v>6.8538234544135407E-2</v>
      </c>
      <c r="I99" s="63">
        <f t="shared" si="19"/>
        <v>3.734814614099264E-2</v>
      </c>
      <c r="J99" s="63">
        <f t="shared" si="20"/>
        <v>2.5597760000000002E-3</v>
      </c>
      <c r="K99" s="81">
        <v>2559776</v>
      </c>
      <c r="L99" s="63">
        <f t="shared" si="21"/>
        <v>2.5597760000000002E-3</v>
      </c>
      <c r="M99" s="63">
        <f t="shared" si="22"/>
        <v>5.7394232704232169E-2</v>
      </c>
      <c r="N99" s="82"/>
      <c r="O99" s="38">
        <v>20</v>
      </c>
      <c r="P99" s="38">
        <v>25</v>
      </c>
      <c r="Q99" s="63">
        <f t="shared" si="23"/>
        <v>2.5597760000000002E-3</v>
      </c>
      <c r="R99" s="63">
        <v>0</v>
      </c>
      <c r="T99" s="63"/>
      <c r="U99" s="43">
        <f t="shared" si="24"/>
        <v>0</v>
      </c>
    </row>
    <row r="100" spans="1:21" x14ac:dyDescent="0.3">
      <c r="A100" s="12" t="s">
        <v>39</v>
      </c>
      <c r="B100" s="83">
        <v>754</v>
      </c>
      <c r="C100" s="83">
        <v>10395175</v>
      </c>
      <c r="D100" s="63">
        <f t="shared" si="17"/>
        <v>3.4051393216817959E-2</v>
      </c>
      <c r="E100" s="84">
        <f t="shared" si="18"/>
        <v>27.573408488063663</v>
      </c>
      <c r="F100" s="82"/>
      <c r="G100" s="12" t="s">
        <v>39</v>
      </c>
      <c r="H100" s="80">
        <v>3.4706626612161799</v>
      </c>
      <c r="I100" s="63">
        <f t="shared" si="19"/>
        <v>3.4051393216817959E-2</v>
      </c>
      <c r="J100" s="63">
        <f t="shared" si="20"/>
        <v>0.11818089900000001</v>
      </c>
      <c r="K100" s="81">
        <v>118180899</v>
      </c>
      <c r="L100" s="63">
        <f t="shared" si="21"/>
        <v>0.11818089900000001</v>
      </c>
      <c r="M100" s="63">
        <f t="shared" si="22"/>
        <v>3.2586502036135947</v>
      </c>
      <c r="N100" s="82"/>
      <c r="O100" s="38">
        <v>25</v>
      </c>
      <c r="P100" s="38">
        <v>30</v>
      </c>
      <c r="Q100" s="63">
        <f t="shared" si="23"/>
        <v>0.11818089900000001</v>
      </c>
      <c r="R100" s="63">
        <v>4.054E-2</v>
      </c>
      <c r="T100" s="63"/>
      <c r="U100" s="43">
        <f t="shared" si="24"/>
        <v>0</v>
      </c>
    </row>
    <row r="101" spans="1:21" x14ac:dyDescent="0.3">
      <c r="A101" s="12" t="s">
        <v>40</v>
      </c>
      <c r="B101" s="83">
        <v>685</v>
      </c>
      <c r="C101" s="83">
        <v>11140575</v>
      </c>
      <c r="D101" s="63">
        <f t="shared" si="17"/>
        <v>3.0935284288488463E-2</v>
      </c>
      <c r="E101" s="84">
        <f t="shared" si="18"/>
        <v>32.527226277372264</v>
      </c>
      <c r="F101" s="82"/>
      <c r="G101" s="12" t="s">
        <v>40</v>
      </c>
      <c r="H101" s="80">
        <v>3.6282718449678799</v>
      </c>
      <c r="I101" s="63">
        <f t="shared" si="19"/>
        <v>3.0935284288488463E-2</v>
      </c>
      <c r="J101" s="63">
        <f t="shared" si="20"/>
        <v>0.112241621</v>
      </c>
      <c r="K101" s="81">
        <v>112241621</v>
      </c>
      <c r="L101" s="63">
        <f t="shared" si="21"/>
        <v>0.112241621</v>
      </c>
      <c r="M101" s="63">
        <f t="shared" si="22"/>
        <v>3.6509086040060588</v>
      </c>
      <c r="N101" s="82"/>
      <c r="O101" s="38">
        <v>30</v>
      </c>
      <c r="P101" s="38">
        <v>35</v>
      </c>
      <c r="Q101" s="63">
        <f t="shared" si="23"/>
        <v>0.112241621</v>
      </c>
      <c r="R101" s="63">
        <v>4.054E-2</v>
      </c>
      <c r="T101" s="63"/>
      <c r="U101" s="43">
        <f t="shared" si="24"/>
        <v>0</v>
      </c>
    </row>
    <row r="102" spans="1:21" x14ac:dyDescent="0.3">
      <c r="A102" s="12" t="s">
        <v>41</v>
      </c>
      <c r="B102" s="83">
        <v>705</v>
      </c>
      <c r="C102" s="83">
        <v>13210900</v>
      </c>
      <c r="D102" s="63">
        <f t="shared" si="17"/>
        <v>3.1838504267714403E-2</v>
      </c>
      <c r="E102" s="84">
        <f t="shared" si="18"/>
        <v>37.477730496453901</v>
      </c>
      <c r="F102" s="82"/>
      <c r="G102" s="12" t="s">
        <v>41</v>
      </c>
      <c r="H102" s="80">
        <v>1.11297451984681</v>
      </c>
      <c r="I102" s="63">
        <f t="shared" si="19"/>
        <v>3.1838504267714403E-2</v>
      </c>
      <c r="J102" s="63">
        <f t="shared" si="20"/>
        <v>3.5435444000000003E-2</v>
      </c>
      <c r="K102" s="81">
        <v>35435444</v>
      </c>
      <c r="L102" s="63">
        <f t="shared" si="21"/>
        <v>3.5435444000000003E-2</v>
      </c>
      <c r="M102" s="63">
        <f t="shared" si="22"/>
        <v>1.3280400202541844</v>
      </c>
      <c r="N102" s="82"/>
      <c r="O102" s="38">
        <v>35</v>
      </c>
      <c r="P102" s="38">
        <v>40</v>
      </c>
      <c r="Q102" s="63">
        <f t="shared" si="23"/>
        <v>3.5435444000000003E-2</v>
      </c>
      <c r="R102" s="63">
        <v>1.3509999999999999E-2</v>
      </c>
      <c r="T102" s="63"/>
      <c r="U102" s="43">
        <f t="shared" si="24"/>
        <v>0</v>
      </c>
    </row>
    <row r="103" spans="1:21" x14ac:dyDescent="0.3">
      <c r="A103" s="12" t="s">
        <v>42</v>
      </c>
      <c r="B103" s="83">
        <v>626</v>
      </c>
      <c r="C103" s="83">
        <v>13277625</v>
      </c>
      <c r="D103" s="63">
        <f t="shared" si="17"/>
        <v>2.8270785349771937E-2</v>
      </c>
      <c r="E103" s="84">
        <f t="shared" si="18"/>
        <v>42.420527156549518</v>
      </c>
      <c r="F103" s="82"/>
      <c r="G103" s="12" t="s">
        <v>42</v>
      </c>
      <c r="H103" s="80">
        <v>2.3671149270191698</v>
      </c>
      <c r="I103" s="63">
        <f t="shared" si="19"/>
        <v>2.8270785349771937E-2</v>
      </c>
      <c r="J103" s="63">
        <f t="shared" si="20"/>
        <v>6.6920198E-2</v>
      </c>
      <c r="K103" s="81">
        <v>66920198</v>
      </c>
      <c r="L103" s="63">
        <f t="shared" si="21"/>
        <v>6.6920198E-2</v>
      </c>
      <c r="M103" s="63">
        <f t="shared" si="22"/>
        <v>2.8387900765806706</v>
      </c>
      <c r="N103" s="82"/>
      <c r="O103" s="38">
        <v>40</v>
      </c>
      <c r="P103" s="38">
        <v>45</v>
      </c>
      <c r="Q103" s="63">
        <f t="shared" si="23"/>
        <v>6.6920198E-2</v>
      </c>
      <c r="R103" s="63">
        <v>2.7029999999999998E-2</v>
      </c>
      <c r="T103" s="63"/>
      <c r="U103" s="43">
        <f t="shared" si="24"/>
        <v>0</v>
      </c>
    </row>
    <row r="104" spans="1:21" x14ac:dyDescent="0.3">
      <c r="A104" s="12" t="s">
        <v>43</v>
      </c>
      <c r="B104" s="83">
        <v>565</v>
      </c>
      <c r="C104" s="83">
        <v>13415400</v>
      </c>
      <c r="D104" s="63">
        <f t="shared" si="17"/>
        <v>2.5515964413132818E-2</v>
      </c>
      <c r="E104" s="84">
        <f t="shared" si="18"/>
        <v>47.48814159292035</v>
      </c>
      <c r="F104" s="82"/>
      <c r="G104" s="12" t="s">
        <v>43</v>
      </c>
      <c r="H104" s="80">
        <v>5.8786725663716801</v>
      </c>
      <c r="I104" s="63">
        <f t="shared" si="19"/>
        <v>2.5515964413132818E-2</v>
      </c>
      <c r="J104" s="63">
        <f t="shared" si="20"/>
        <v>0.15</v>
      </c>
      <c r="K104" s="81">
        <v>150000000</v>
      </c>
      <c r="L104" s="63">
        <f t="shared" si="21"/>
        <v>0.15</v>
      </c>
      <c r="M104" s="63">
        <f t="shared" si="22"/>
        <v>7.1232212389380525</v>
      </c>
      <c r="N104" s="82"/>
      <c r="O104" s="38">
        <v>45</v>
      </c>
      <c r="P104" s="38">
        <v>50</v>
      </c>
      <c r="Q104" s="63">
        <f t="shared" si="23"/>
        <v>0.15</v>
      </c>
      <c r="R104" s="63">
        <v>6.7569999999999991E-2</v>
      </c>
      <c r="T104" s="63"/>
      <c r="U104" s="43">
        <f t="shared" si="24"/>
        <v>0</v>
      </c>
    </row>
    <row r="105" spans="1:21" x14ac:dyDescent="0.3">
      <c r="A105" s="12" t="s">
        <v>44</v>
      </c>
      <c r="B105" s="83">
        <v>1130</v>
      </c>
      <c r="C105" s="83">
        <v>31003150</v>
      </c>
      <c r="D105" s="63">
        <f t="shared" si="17"/>
        <v>5.1031928826265636E-2</v>
      </c>
      <c r="E105" s="84">
        <f t="shared" si="18"/>
        <v>54.872831858407082</v>
      </c>
      <c r="F105" s="82"/>
      <c r="G105" s="12" t="s">
        <v>44</v>
      </c>
      <c r="H105" s="80">
        <v>1.5143272413451301</v>
      </c>
      <c r="I105" s="63">
        <f t="shared" si="19"/>
        <v>5.1031928826265636E-2</v>
      </c>
      <c r="J105" s="63">
        <f t="shared" si="20"/>
        <v>7.7279039999999993E-2</v>
      </c>
      <c r="K105" s="81">
        <v>77279040</v>
      </c>
      <c r="L105" s="63">
        <f t="shared" si="21"/>
        <v>7.7279039999999993E-2</v>
      </c>
      <c r="M105" s="63">
        <f t="shared" si="22"/>
        <v>4.2405197680991149</v>
      </c>
      <c r="N105" s="82"/>
      <c r="O105" s="38">
        <v>50</v>
      </c>
      <c r="P105" s="38">
        <v>60</v>
      </c>
      <c r="Q105" s="63">
        <f t="shared" si="23"/>
        <v>7.7279039999999993E-2</v>
      </c>
      <c r="R105" s="63">
        <v>2.7029999999999998E-2</v>
      </c>
      <c r="T105" s="63"/>
      <c r="U105" s="43">
        <f t="shared" si="24"/>
        <v>0</v>
      </c>
    </row>
    <row r="106" spans="1:21" x14ac:dyDescent="0.3">
      <c r="A106" s="12" t="s">
        <v>45</v>
      </c>
      <c r="B106" s="83">
        <v>1013</v>
      </c>
      <c r="C106" s="83">
        <v>32886925</v>
      </c>
      <c r="D106" s="63">
        <f t="shared" si="17"/>
        <v>4.5748091947793883E-2</v>
      </c>
      <c r="E106" s="84">
        <f t="shared" si="18"/>
        <v>64.929763079960509</v>
      </c>
      <c r="F106" s="82"/>
      <c r="G106" s="12" t="s">
        <v>45</v>
      </c>
      <c r="H106" s="80">
        <v>3.18978818103554</v>
      </c>
      <c r="I106" s="63">
        <f t="shared" si="19"/>
        <v>4.5748091947793883E-2</v>
      </c>
      <c r="J106" s="63">
        <f t="shared" si="20"/>
        <v>0.14592672300000001</v>
      </c>
      <c r="K106" s="81">
        <v>145926723</v>
      </c>
      <c r="L106" s="63">
        <f t="shared" si="21"/>
        <v>0.14592672300000001</v>
      </c>
      <c r="M106" s="63">
        <f t="shared" si="22"/>
        <v>9.4749875514250252</v>
      </c>
      <c r="N106" s="82"/>
      <c r="O106" s="38">
        <v>60</v>
      </c>
      <c r="P106" s="38">
        <v>70</v>
      </c>
      <c r="Q106" s="63">
        <f t="shared" si="23"/>
        <v>0.14592672300000001</v>
      </c>
      <c r="R106" s="63">
        <v>5.4050000000000001E-2</v>
      </c>
      <c r="T106" s="63"/>
      <c r="U106" s="43">
        <f t="shared" si="24"/>
        <v>0</v>
      </c>
    </row>
    <row r="107" spans="1:21" x14ac:dyDescent="0.3">
      <c r="A107" s="12" t="s">
        <v>46</v>
      </c>
      <c r="B107" s="83">
        <v>903</v>
      </c>
      <c r="C107" s="83">
        <v>33789525</v>
      </c>
      <c r="D107" s="63">
        <f t="shared" si="17"/>
        <v>4.0780382062051215E-2</v>
      </c>
      <c r="E107" s="84">
        <f t="shared" si="18"/>
        <v>74.838372093023253</v>
      </c>
      <c r="F107" s="82"/>
      <c r="G107" s="12" t="s">
        <v>46</v>
      </c>
      <c r="H107" s="80">
        <v>3.3698233329667802</v>
      </c>
      <c r="I107" s="63">
        <f t="shared" si="19"/>
        <v>4.0780382062051215E-2</v>
      </c>
      <c r="J107" s="63">
        <f t="shared" si="20"/>
        <v>0.13742268299999999</v>
      </c>
      <c r="K107" s="81">
        <v>137422683</v>
      </c>
      <c r="L107" s="63">
        <f t="shared" si="21"/>
        <v>0.13742268299999999</v>
      </c>
      <c r="M107" s="63">
        <f t="shared" si="22"/>
        <v>10.28448988437558</v>
      </c>
      <c r="N107" s="82"/>
      <c r="O107" s="38">
        <v>70</v>
      </c>
      <c r="P107" s="38">
        <v>80</v>
      </c>
      <c r="Q107" s="63">
        <f t="shared" si="23"/>
        <v>0.13742268299999999</v>
      </c>
      <c r="R107" s="63">
        <v>5.4050000000000001E-2</v>
      </c>
      <c r="T107" s="63"/>
      <c r="U107" s="43">
        <f t="shared" si="24"/>
        <v>0</v>
      </c>
    </row>
    <row r="108" spans="1:21" x14ac:dyDescent="0.3">
      <c r="A108" s="12" t="s">
        <v>47</v>
      </c>
      <c r="B108" s="83">
        <v>777</v>
      </c>
      <c r="C108" s="83">
        <v>33026300</v>
      </c>
      <c r="D108" s="63">
        <f t="shared" si="17"/>
        <v>3.5090096192927786E-2</v>
      </c>
      <c r="E108" s="84">
        <f t="shared" si="18"/>
        <v>85.00978120978121</v>
      </c>
      <c r="F108" s="82"/>
      <c r="G108" s="12" t="s">
        <v>47</v>
      </c>
      <c r="H108" s="80">
        <v>2.3424924670501901</v>
      </c>
      <c r="I108" s="63">
        <f t="shared" si="19"/>
        <v>3.5090096192927786E-2</v>
      </c>
      <c r="J108" s="63">
        <f t="shared" si="20"/>
        <v>8.2198285999999995E-2</v>
      </c>
      <c r="K108" s="81">
        <v>82198286</v>
      </c>
      <c r="L108" s="63">
        <f t="shared" si="21"/>
        <v>8.2198285999999995E-2</v>
      </c>
      <c r="M108" s="63">
        <f t="shared" si="22"/>
        <v>6.9876583086790216</v>
      </c>
      <c r="N108" s="82"/>
      <c r="O108" s="38">
        <v>80</v>
      </c>
      <c r="P108" s="38">
        <v>90</v>
      </c>
      <c r="Q108" s="63">
        <f t="shared" si="23"/>
        <v>8.2198285999999995E-2</v>
      </c>
      <c r="R108" s="63">
        <v>6.7569999999999991E-2</v>
      </c>
      <c r="T108" s="63"/>
      <c r="U108" s="43">
        <f t="shared" si="24"/>
        <v>0</v>
      </c>
    </row>
    <row r="109" spans="1:21" x14ac:dyDescent="0.3">
      <c r="A109" s="12" t="s">
        <v>48</v>
      </c>
      <c r="B109" s="83">
        <v>749</v>
      </c>
      <c r="C109" s="83">
        <v>35515250</v>
      </c>
      <c r="D109" s="63">
        <f t="shared" si="17"/>
        <v>3.3825588222011468E-2</v>
      </c>
      <c r="E109" s="84">
        <f t="shared" si="18"/>
        <v>94.833778371161543</v>
      </c>
      <c r="F109" s="82"/>
      <c r="G109" s="12" t="s">
        <v>48</v>
      </c>
      <c r="H109" s="88">
        <v>0.369943869648865</v>
      </c>
      <c r="I109" s="45">
        <f t="shared" si="19"/>
        <v>3.3825588222011468E-2</v>
      </c>
      <c r="J109" s="45">
        <f t="shared" si="20"/>
        <v>1.2513569E-2</v>
      </c>
      <c r="K109" s="81">
        <v>12513569</v>
      </c>
      <c r="L109" s="63">
        <f t="shared" si="21"/>
        <v>1.2513569E-2</v>
      </c>
      <c r="M109" s="63">
        <f t="shared" si="22"/>
        <v>1.1867090291782376</v>
      </c>
      <c r="N109" s="82"/>
      <c r="O109" s="38">
        <v>90</v>
      </c>
      <c r="P109" s="38">
        <v>100</v>
      </c>
      <c r="Q109" s="63">
        <f t="shared" si="23"/>
        <v>1.2513569E-2</v>
      </c>
      <c r="R109" s="63">
        <v>1.3509999999999999E-2</v>
      </c>
      <c r="T109" s="63"/>
      <c r="U109" s="43">
        <f t="shared" si="24"/>
        <v>0</v>
      </c>
    </row>
    <row r="110" spans="1:21" x14ac:dyDescent="0.3">
      <c r="A110" s="12" t="s">
        <v>49</v>
      </c>
      <c r="B110" s="83">
        <v>1243</v>
      </c>
      <c r="C110" s="83">
        <v>68299500</v>
      </c>
      <c r="D110" s="63">
        <f t="shared" si="17"/>
        <v>5.6135121708892198E-2</v>
      </c>
      <c r="E110" s="84">
        <f t="shared" si="18"/>
        <v>109.8946098149638</v>
      </c>
      <c r="F110" s="82"/>
      <c r="G110" s="12" t="s">
        <v>49</v>
      </c>
      <c r="H110" s="88">
        <v>0.57848195588495599</v>
      </c>
      <c r="I110" s="45">
        <f t="shared" si="19"/>
        <v>5.6135121708892198E-2</v>
      </c>
      <c r="J110" s="45">
        <f t="shared" si="20"/>
        <v>3.2473154999999997E-2</v>
      </c>
      <c r="K110" s="81">
        <v>32473155</v>
      </c>
      <c r="L110" s="63">
        <f t="shared" si="21"/>
        <v>3.2473154999999997E-2</v>
      </c>
      <c r="M110" s="63">
        <f t="shared" si="22"/>
        <v>3.5686246981858405</v>
      </c>
      <c r="N110" s="82"/>
      <c r="O110" s="38">
        <v>100</v>
      </c>
      <c r="P110" s="38">
        <v>120</v>
      </c>
      <c r="Q110" s="63">
        <f t="shared" si="23"/>
        <v>3.2473154999999997E-2</v>
      </c>
      <c r="R110" s="63">
        <v>6.7569999999999991E-2</v>
      </c>
      <c r="T110" s="63"/>
      <c r="U110" s="43">
        <f t="shared" si="24"/>
        <v>0</v>
      </c>
    </row>
    <row r="111" spans="1:21" x14ac:dyDescent="0.3">
      <c r="A111" s="12" t="s">
        <v>50</v>
      </c>
      <c r="B111" s="83">
        <v>1087</v>
      </c>
      <c r="C111" s="83">
        <v>70565050</v>
      </c>
      <c r="D111" s="63">
        <f t="shared" si="17"/>
        <v>4.9090005870929862E-2</v>
      </c>
      <c r="E111" s="84">
        <f t="shared" si="18"/>
        <v>129.8344986200552</v>
      </c>
      <c r="F111" s="82"/>
      <c r="G111" s="12" t="s">
        <v>50</v>
      </c>
      <c r="H111" s="88">
        <v>0</v>
      </c>
      <c r="I111" s="45">
        <f t="shared" si="19"/>
        <v>4.9090005870929862E-2</v>
      </c>
      <c r="J111" s="45">
        <f t="shared" si="20"/>
        <v>0</v>
      </c>
      <c r="K111" s="81">
        <v>0</v>
      </c>
      <c r="L111" s="63">
        <f t="shared" si="21"/>
        <v>0</v>
      </c>
      <c r="M111" s="63">
        <f t="shared" si="22"/>
        <v>0</v>
      </c>
      <c r="N111" s="82"/>
      <c r="O111" s="38">
        <v>120</v>
      </c>
      <c r="P111" s="38">
        <v>140</v>
      </c>
      <c r="Q111" s="63">
        <f t="shared" si="23"/>
        <v>0</v>
      </c>
      <c r="R111" s="63">
        <v>5.4050000000000001E-2</v>
      </c>
      <c r="T111" s="63"/>
      <c r="U111" s="43">
        <f t="shared" si="24"/>
        <v>0</v>
      </c>
    </row>
    <row r="112" spans="1:21" x14ac:dyDescent="0.3">
      <c r="A112" s="12" t="s">
        <v>51</v>
      </c>
      <c r="B112" s="83">
        <v>948</v>
      </c>
      <c r="C112" s="83">
        <v>70839325</v>
      </c>
      <c r="D112" s="63">
        <f t="shared" si="17"/>
        <v>4.2812627015309579E-2</v>
      </c>
      <c r="E112" s="84">
        <f t="shared" si="18"/>
        <v>149.45005274261604</v>
      </c>
      <c r="F112" s="82"/>
      <c r="G112" s="12" t="s">
        <v>51</v>
      </c>
      <c r="H112" s="88">
        <v>0</v>
      </c>
      <c r="I112" s="45">
        <f t="shared" si="19"/>
        <v>4.2812627015309579E-2</v>
      </c>
      <c r="J112" s="45">
        <f t="shared" si="20"/>
        <v>0</v>
      </c>
      <c r="K112" s="81">
        <v>0</v>
      </c>
      <c r="L112" s="63">
        <f t="shared" si="21"/>
        <v>0</v>
      </c>
      <c r="M112" s="63">
        <f t="shared" si="22"/>
        <v>0</v>
      </c>
      <c r="N112" s="82"/>
      <c r="O112" s="38">
        <v>140</v>
      </c>
      <c r="P112" s="38">
        <v>160</v>
      </c>
      <c r="Q112" s="63">
        <f t="shared" si="23"/>
        <v>0</v>
      </c>
      <c r="R112" s="63">
        <v>2.7029999999999998E-2</v>
      </c>
      <c r="T112" s="63"/>
      <c r="U112" s="43">
        <f t="shared" si="24"/>
        <v>0</v>
      </c>
    </row>
    <row r="113" spans="1:21" x14ac:dyDescent="0.3">
      <c r="A113" s="12" t="s">
        <v>52</v>
      </c>
      <c r="B113" s="83">
        <v>764</v>
      </c>
      <c r="C113" s="83">
        <v>64789150</v>
      </c>
      <c r="D113" s="63">
        <f t="shared" si="17"/>
        <v>3.4503003206430925E-2</v>
      </c>
      <c r="E113" s="84">
        <f t="shared" si="18"/>
        <v>169.60510471204188</v>
      </c>
      <c r="F113" s="82"/>
      <c r="G113" s="12" t="s">
        <v>52</v>
      </c>
      <c r="H113" s="88">
        <v>0</v>
      </c>
      <c r="I113" s="45">
        <f t="shared" si="19"/>
        <v>3.4503003206430925E-2</v>
      </c>
      <c r="J113" s="45">
        <f t="shared" si="20"/>
        <v>0</v>
      </c>
      <c r="K113" s="81">
        <v>0</v>
      </c>
      <c r="L113" s="63">
        <f t="shared" si="21"/>
        <v>0</v>
      </c>
      <c r="M113" s="63">
        <f t="shared" si="22"/>
        <v>0</v>
      </c>
      <c r="N113" s="82"/>
      <c r="O113" s="38">
        <v>160</v>
      </c>
      <c r="P113" s="38">
        <v>180</v>
      </c>
      <c r="Q113" s="63">
        <f t="shared" si="23"/>
        <v>0</v>
      </c>
      <c r="R113" s="63">
        <v>1.3509999999999999E-2</v>
      </c>
      <c r="T113" s="63"/>
      <c r="U113" s="43">
        <f t="shared" si="24"/>
        <v>0</v>
      </c>
    </row>
    <row r="114" spans="1:21" x14ac:dyDescent="0.3">
      <c r="A114" s="12" t="s">
        <v>53</v>
      </c>
      <c r="B114" s="83">
        <v>655</v>
      </c>
      <c r="C114" s="83">
        <v>62216775</v>
      </c>
      <c r="D114" s="63">
        <f t="shared" si="17"/>
        <v>2.9580454319649549E-2</v>
      </c>
      <c r="E114" s="84">
        <f t="shared" si="18"/>
        <v>189.97488549618322</v>
      </c>
      <c r="F114" s="82"/>
      <c r="G114" s="12" t="s">
        <v>53</v>
      </c>
      <c r="H114" s="88">
        <v>0</v>
      </c>
      <c r="I114" s="45">
        <f t="shared" si="19"/>
        <v>2.9580454319649549E-2</v>
      </c>
      <c r="J114" s="45">
        <f t="shared" si="20"/>
        <v>0</v>
      </c>
      <c r="K114" s="81">
        <v>0</v>
      </c>
      <c r="L114" s="63">
        <f t="shared" si="21"/>
        <v>0</v>
      </c>
      <c r="M114" s="63">
        <f t="shared" si="22"/>
        <v>0</v>
      </c>
      <c r="N114" s="82"/>
      <c r="O114" s="38">
        <v>180</v>
      </c>
      <c r="P114" s="38">
        <v>200</v>
      </c>
      <c r="Q114" s="63">
        <f t="shared" si="23"/>
        <v>0</v>
      </c>
      <c r="R114" s="63">
        <v>1.3509999999999999E-2</v>
      </c>
      <c r="T114" s="63"/>
      <c r="U114" s="43">
        <f t="shared" si="24"/>
        <v>0</v>
      </c>
    </row>
    <row r="115" spans="1:21" x14ac:dyDescent="0.3">
      <c r="A115" s="12" t="s">
        <v>54</v>
      </c>
      <c r="B115" s="83">
        <v>1338</v>
      </c>
      <c r="C115" s="83">
        <v>149504950</v>
      </c>
      <c r="D115" s="63">
        <f t="shared" si="17"/>
        <v>6.0425416610215416E-2</v>
      </c>
      <c r="E115" s="84">
        <f t="shared" si="18"/>
        <v>223.47526158445442</v>
      </c>
      <c r="F115" s="82"/>
      <c r="G115" s="12" t="s">
        <v>54</v>
      </c>
      <c r="H115" s="88">
        <v>0.44432636969955203</v>
      </c>
      <c r="I115" s="45">
        <f t="shared" si="19"/>
        <v>6.0425416610215416E-2</v>
      </c>
      <c r="J115" s="45">
        <f t="shared" si="20"/>
        <v>2.6848606000000001E-2</v>
      </c>
      <c r="K115" s="81">
        <v>26848606</v>
      </c>
      <c r="L115" s="63">
        <f t="shared" si="21"/>
        <v>2.6848606000000001E-2</v>
      </c>
      <c r="M115" s="63">
        <f t="shared" si="22"/>
        <v>5.9999992490279528</v>
      </c>
      <c r="N115" s="82"/>
      <c r="O115" s="38">
        <v>200</v>
      </c>
      <c r="P115" s="38">
        <v>250</v>
      </c>
      <c r="Q115" s="63">
        <f t="shared" si="23"/>
        <v>2.6848606000000001E-2</v>
      </c>
      <c r="R115" s="63">
        <v>5.4050000000000001E-2</v>
      </c>
      <c r="T115" s="63"/>
      <c r="U115" s="43">
        <f t="shared" si="24"/>
        <v>0</v>
      </c>
    </row>
    <row r="116" spans="1:21" x14ac:dyDescent="0.3">
      <c r="A116" s="12" t="s">
        <v>55</v>
      </c>
      <c r="B116" s="83">
        <v>924</v>
      </c>
      <c r="C116" s="83">
        <v>126534650</v>
      </c>
      <c r="D116" s="63">
        <f t="shared" si="17"/>
        <v>4.1728763040238454E-2</v>
      </c>
      <c r="E116" s="84">
        <f t="shared" si="18"/>
        <v>273.88452380952378</v>
      </c>
      <c r="F116" s="82"/>
      <c r="G116" s="12" t="s">
        <v>55</v>
      </c>
      <c r="H116" s="88">
        <v>0</v>
      </c>
      <c r="I116" s="45">
        <f t="shared" si="19"/>
        <v>4.1728763040238454E-2</v>
      </c>
      <c r="J116" s="45">
        <f t="shared" si="20"/>
        <v>0</v>
      </c>
      <c r="K116" s="81">
        <v>0</v>
      </c>
      <c r="L116" s="63">
        <f t="shared" si="21"/>
        <v>0</v>
      </c>
      <c r="M116" s="63">
        <f t="shared" si="22"/>
        <v>0</v>
      </c>
      <c r="N116" s="82"/>
      <c r="O116" s="38">
        <v>250</v>
      </c>
      <c r="P116" s="38">
        <v>300</v>
      </c>
      <c r="Q116" s="63">
        <f t="shared" si="23"/>
        <v>0</v>
      </c>
      <c r="R116" s="63">
        <v>6.7569999999999991E-2</v>
      </c>
      <c r="T116" s="63"/>
      <c r="U116" s="43">
        <f t="shared" si="24"/>
        <v>0</v>
      </c>
    </row>
    <row r="117" spans="1:21" x14ac:dyDescent="0.3">
      <c r="A117" s="12" t="s">
        <v>56</v>
      </c>
      <c r="B117" s="83">
        <v>652</v>
      </c>
      <c r="C117" s="83">
        <v>105515575</v>
      </c>
      <c r="D117" s="63">
        <f t="shared" si="17"/>
        <v>2.9444971322765658E-2</v>
      </c>
      <c r="E117" s="84">
        <f t="shared" si="18"/>
        <v>323.66740797546009</v>
      </c>
      <c r="F117" s="82"/>
      <c r="G117" s="12" t="s">
        <v>56</v>
      </c>
      <c r="H117" s="88">
        <v>0</v>
      </c>
      <c r="I117" s="45">
        <f t="shared" si="19"/>
        <v>2.9444971322765658E-2</v>
      </c>
      <c r="J117" s="45">
        <f t="shared" si="20"/>
        <v>0</v>
      </c>
      <c r="K117" s="81">
        <v>0</v>
      </c>
      <c r="L117" s="63">
        <f t="shared" si="21"/>
        <v>0</v>
      </c>
      <c r="M117" s="63">
        <f t="shared" si="22"/>
        <v>0</v>
      </c>
      <c r="N117" s="82"/>
      <c r="O117" s="38">
        <v>300</v>
      </c>
      <c r="P117" s="38">
        <v>350</v>
      </c>
      <c r="Q117" s="63">
        <f t="shared" si="23"/>
        <v>0</v>
      </c>
      <c r="R117" s="63">
        <v>2.7029999999999998E-2</v>
      </c>
      <c r="T117" s="63"/>
      <c r="U117" s="43">
        <f t="shared" si="24"/>
        <v>0</v>
      </c>
    </row>
    <row r="118" spans="1:21" x14ac:dyDescent="0.3">
      <c r="A118" s="12" t="s">
        <v>57</v>
      </c>
      <c r="B118" s="83">
        <v>487</v>
      </c>
      <c r="C118" s="83">
        <v>91133400</v>
      </c>
      <c r="D118" s="63">
        <f t="shared" ref="D118:D149" si="25">IFERROR(B118/$B$84,0)</f>
        <v>2.199340649415165E-2</v>
      </c>
      <c r="E118" s="84">
        <f t="shared" ref="E118:E149" si="26">IFERROR(C118/B118/500,0)</f>
        <v>374.26447638603696</v>
      </c>
      <c r="F118" s="82"/>
      <c r="G118" s="12" t="s">
        <v>57</v>
      </c>
      <c r="H118" s="88">
        <v>0</v>
      </c>
      <c r="I118" s="45">
        <f t="shared" ref="I118:I149" si="27">IFERROR(B118/$B$84,0)</f>
        <v>2.199340649415165E-2</v>
      </c>
      <c r="J118" s="45">
        <f t="shared" ref="J118:J149" si="28">IFERROR(K118/$B$2,0)</f>
        <v>0</v>
      </c>
      <c r="K118" s="81">
        <v>0</v>
      </c>
      <c r="L118" s="63">
        <f t="shared" ref="L118:L149" si="29">IFERROR(K118/$B$2,0)</f>
        <v>0</v>
      </c>
      <c r="M118" s="63">
        <f t="shared" ref="M118:M149" si="30">IFERROR(L118*E118,0)</f>
        <v>0</v>
      </c>
      <c r="N118" s="82"/>
      <c r="O118" s="38">
        <v>350</v>
      </c>
      <c r="P118" s="38">
        <v>400</v>
      </c>
      <c r="Q118" s="63">
        <f t="shared" ref="Q118:Q149" si="31">L118</f>
        <v>0</v>
      </c>
      <c r="R118" s="63">
        <v>0</v>
      </c>
      <c r="T118" s="63"/>
      <c r="U118" s="43">
        <f t="shared" ref="U118:U149" si="32">IFERROR(ROUND(T118/L118,2),0)</f>
        <v>0</v>
      </c>
    </row>
    <row r="119" spans="1:21" x14ac:dyDescent="0.3">
      <c r="A119" s="12" t="s">
        <v>58</v>
      </c>
      <c r="B119" s="83">
        <v>376</v>
      </c>
      <c r="C119" s="83">
        <v>79656475</v>
      </c>
      <c r="D119" s="63">
        <f t="shared" si="25"/>
        <v>1.6980535609447681E-2</v>
      </c>
      <c r="E119" s="84">
        <f t="shared" si="26"/>
        <v>423.70465425531916</v>
      </c>
      <c r="F119" s="82"/>
      <c r="G119" s="12" t="s">
        <v>58</v>
      </c>
      <c r="H119" s="88">
        <v>0</v>
      </c>
      <c r="I119" s="45">
        <f t="shared" si="27"/>
        <v>1.6980535609447681E-2</v>
      </c>
      <c r="J119" s="45">
        <f t="shared" si="28"/>
        <v>0</v>
      </c>
      <c r="K119" s="81">
        <v>0</v>
      </c>
      <c r="L119" s="63">
        <f t="shared" si="29"/>
        <v>0</v>
      </c>
      <c r="M119" s="63">
        <f t="shared" si="30"/>
        <v>0</v>
      </c>
      <c r="N119" s="82"/>
      <c r="O119" s="38">
        <v>400</v>
      </c>
      <c r="P119" s="38">
        <v>450</v>
      </c>
      <c r="Q119" s="63">
        <f t="shared" si="31"/>
        <v>0</v>
      </c>
      <c r="R119" s="63">
        <v>1.3509999999999999E-2</v>
      </c>
      <c r="T119" s="63"/>
      <c r="U119" s="43">
        <f t="shared" si="32"/>
        <v>0</v>
      </c>
    </row>
    <row r="120" spans="1:21" x14ac:dyDescent="0.3">
      <c r="A120" s="12" t="s">
        <v>59</v>
      </c>
      <c r="B120" s="83">
        <v>266</v>
      </c>
      <c r="C120" s="83">
        <v>63172300</v>
      </c>
      <c r="D120" s="63">
        <f t="shared" si="25"/>
        <v>1.2012825723705009E-2</v>
      </c>
      <c r="E120" s="84">
        <f t="shared" si="26"/>
        <v>474.97969924812031</v>
      </c>
      <c r="F120" s="82"/>
      <c r="G120" s="12" t="s">
        <v>59</v>
      </c>
      <c r="H120" s="88">
        <v>0</v>
      </c>
      <c r="I120" s="45">
        <f t="shared" si="27"/>
        <v>1.2012825723705009E-2</v>
      </c>
      <c r="J120" s="45">
        <f t="shared" si="28"/>
        <v>0</v>
      </c>
      <c r="K120" s="81">
        <v>0</v>
      </c>
      <c r="L120" s="63">
        <f t="shared" si="29"/>
        <v>0</v>
      </c>
      <c r="M120" s="63">
        <f t="shared" si="30"/>
        <v>0</v>
      </c>
      <c r="N120" s="82"/>
      <c r="O120" s="38">
        <v>450</v>
      </c>
      <c r="P120" s="38">
        <v>500</v>
      </c>
      <c r="Q120" s="63">
        <f t="shared" si="31"/>
        <v>0</v>
      </c>
      <c r="R120" s="63">
        <v>0</v>
      </c>
      <c r="T120" s="63"/>
      <c r="U120" s="43">
        <f t="shared" si="32"/>
        <v>0</v>
      </c>
    </row>
    <row r="121" spans="1:21" x14ac:dyDescent="0.3">
      <c r="A121" s="12" t="s">
        <v>60</v>
      </c>
      <c r="B121" s="83">
        <v>191</v>
      </c>
      <c r="C121" s="83">
        <v>50053025</v>
      </c>
      <c r="D121" s="63">
        <f t="shared" si="25"/>
        <v>8.6257508016077313E-3</v>
      </c>
      <c r="E121" s="84">
        <f t="shared" si="26"/>
        <v>524.11544502617801</v>
      </c>
      <c r="F121" s="82"/>
      <c r="G121" s="12" t="s">
        <v>60</v>
      </c>
      <c r="H121" s="88">
        <v>0</v>
      </c>
      <c r="I121" s="45">
        <f t="shared" si="27"/>
        <v>8.6257508016077313E-3</v>
      </c>
      <c r="J121" s="45">
        <f t="shared" si="28"/>
        <v>0</v>
      </c>
      <c r="K121" s="81">
        <v>0</v>
      </c>
      <c r="L121" s="63">
        <f t="shared" si="29"/>
        <v>0</v>
      </c>
      <c r="M121" s="63">
        <f t="shared" si="30"/>
        <v>0</v>
      </c>
      <c r="N121" s="82"/>
      <c r="O121" s="38">
        <v>500</v>
      </c>
      <c r="P121" s="38">
        <v>550</v>
      </c>
      <c r="Q121" s="63">
        <f t="shared" si="31"/>
        <v>0</v>
      </c>
      <c r="R121" s="63">
        <v>0</v>
      </c>
      <c r="T121" s="63"/>
      <c r="U121" s="43">
        <f t="shared" si="32"/>
        <v>0</v>
      </c>
    </row>
    <row r="122" spans="1:21" x14ac:dyDescent="0.3">
      <c r="A122" s="12" t="s">
        <v>61</v>
      </c>
      <c r="B122" s="83">
        <v>160</v>
      </c>
      <c r="C122" s="83">
        <v>45869475</v>
      </c>
      <c r="D122" s="63">
        <f t="shared" si="25"/>
        <v>7.2257598338075239E-3</v>
      </c>
      <c r="E122" s="84">
        <f t="shared" si="26"/>
        <v>573.36843750000003</v>
      </c>
      <c r="F122" s="82"/>
      <c r="G122" s="12" t="s">
        <v>61</v>
      </c>
      <c r="H122" s="80">
        <v>0</v>
      </c>
      <c r="I122" s="63">
        <f t="shared" si="27"/>
        <v>7.2257598338075239E-3</v>
      </c>
      <c r="J122" s="63">
        <f t="shared" si="28"/>
        <v>0</v>
      </c>
      <c r="K122" s="81">
        <v>0</v>
      </c>
      <c r="L122" s="63">
        <f t="shared" si="29"/>
        <v>0</v>
      </c>
      <c r="M122" s="63">
        <f t="shared" si="30"/>
        <v>0</v>
      </c>
      <c r="N122" s="82"/>
      <c r="O122" s="38">
        <v>550</v>
      </c>
      <c r="P122" s="38">
        <v>600</v>
      </c>
      <c r="Q122" s="63">
        <f t="shared" si="31"/>
        <v>0</v>
      </c>
      <c r="R122" s="63">
        <v>0</v>
      </c>
      <c r="T122" s="63"/>
      <c r="U122" s="43">
        <f t="shared" si="32"/>
        <v>0</v>
      </c>
    </row>
    <row r="123" spans="1:21" x14ac:dyDescent="0.3">
      <c r="A123" s="12" t="s">
        <v>62</v>
      </c>
      <c r="B123" s="83">
        <v>136</v>
      </c>
      <c r="C123" s="83">
        <v>42467175</v>
      </c>
      <c r="D123" s="63">
        <f t="shared" si="25"/>
        <v>6.141895858736395E-3</v>
      </c>
      <c r="E123" s="84">
        <f t="shared" si="26"/>
        <v>624.51727941176466</v>
      </c>
      <c r="F123" s="82"/>
      <c r="G123" s="12" t="s">
        <v>62</v>
      </c>
      <c r="H123" s="80">
        <v>0</v>
      </c>
      <c r="I123" s="63">
        <f t="shared" si="27"/>
        <v>6.141895858736395E-3</v>
      </c>
      <c r="J123" s="63">
        <f t="shared" si="28"/>
        <v>0</v>
      </c>
      <c r="K123" s="81">
        <v>0</v>
      </c>
      <c r="L123" s="63">
        <f t="shared" si="29"/>
        <v>0</v>
      </c>
      <c r="M123" s="63">
        <f t="shared" si="30"/>
        <v>0</v>
      </c>
      <c r="N123" s="82"/>
      <c r="O123" s="38">
        <v>600</v>
      </c>
      <c r="P123" s="38">
        <v>650</v>
      </c>
      <c r="Q123" s="63">
        <f t="shared" si="31"/>
        <v>0</v>
      </c>
      <c r="R123" s="63">
        <v>0</v>
      </c>
      <c r="T123" s="63"/>
      <c r="U123" s="43">
        <f t="shared" si="32"/>
        <v>0</v>
      </c>
    </row>
    <row r="124" spans="1:21" x14ac:dyDescent="0.3">
      <c r="A124" s="12" t="s">
        <v>63</v>
      </c>
      <c r="B124" s="83">
        <v>111</v>
      </c>
      <c r="C124" s="83">
        <v>37432250</v>
      </c>
      <c r="D124" s="63">
        <f t="shared" si="25"/>
        <v>5.0128708847039698E-3</v>
      </c>
      <c r="E124" s="84">
        <f t="shared" si="26"/>
        <v>674.45495495495493</v>
      </c>
      <c r="F124" s="82"/>
      <c r="G124" s="12" t="s">
        <v>63</v>
      </c>
      <c r="H124" s="80">
        <v>0</v>
      </c>
      <c r="I124" s="63">
        <f t="shared" si="27"/>
        <v>5.0128708847039698E-3</v>
      </c>
      <c r="J124" s="63">
        <f t="shared" si="28"/>
        <v>0</v>
      </c>
      <c r="K124" s="81">
        <v>0</v>
      </c>
      <c r="L124" s="63">
        <f t="shared" si="29"/>
        <v>0</v>
      </c>
      <c r="M124" s="63">
        <f t="shared" si="30"/>
        <v>0</v>
      </c>
      <c r="N124" s="82"/>
      <c r="O124" s="38">
        <v>650</v>
      </c>
      <c r="P124" s="38">
        <v>700</v>
      </c>
      <c r="Q124" s="63">
        <f t="shared" si="31"/>
        <v>0</v>
      </c>
      <c r="R124" s="63">
        <v>0</v>
      </c>
      <c r="T124" s="63"/>
      <c r="U124" s="43">
        <f t="shared" si="32"/>
        <v>0</v>
      </c>
    </row>
    <row r="125" spans="1:21" x14ac:dyDescent="0.3">
      <c r="A125" s="12" t="s">
        <v>64</v>
      </c>
      <c r="B125" s="83">
        <v>110</v>
      </c>
      <c r="C125" s="83">
        <v>39826600</v>
      </c>
      <c r="D125" s="63">
        <f t="shared" si="25"/>
        <v>4.9677098857426726E-3</v>
      </c>
      <c r="E125" s="84">
        <f t="shared" si="26"/>
        <v>724.12</v>
      </c>
      <c r="F125" s="82"/>
      <c r="G125" s="12" t="s">
        <v>64</v>
      </c>
      <c r="H125" s="80">
        <v>0</v>
      </c>
      <c r="I125" s="63">
        <f t="shared" si="27"/>
        <v>4.9677098857426726E-3</v>
      </c>
      <c r="J125" s="63">
        <f t="shared" si="28"/>
        <v>0</v>
      </c>
      <c r="K125" s="81">
        <v>0</v>
      </c>
      <c r="L125" s="63">
        <f t="shared" si="29"/>
        <v>0</v>
      </c>
      <c r="M125" s="63">
        <f t="shared" si="30"/>
        <v>0</v>
      </c>
      <c r="N125" s="82"/>
      <c r="O125" s="38">
        <v>700</v>
      </c>
      <c r="P125" s="38">
        <v>750</v>
      </c>
      <c r="Q125" s="63">
        <f t="shared" si="31"/>
        <v>0</v>
      </c>
      <c r="R125" s="63">
        <v>0</v>
      </c>
      <c r="T125" s="63"/>
      <c r="U125" s="43">
        <f t="shared" si="32"/>
        <v>0</v>
      </c>
    </row>
    <row r="126" spans="1:21" x14ac:dyDescent="0.3">
      <c r="A126" s="12" t="s">
        <v>65</v>
      </c>
      <c r="B126" s="83">
        <v>70</v>
      </c>
      <c r="C126" s="83">
        <v>27146550</v>
      </c>
      <c r="D126" s="63">
        <f t="shared" si="25"/>
        <v>3.1612699272907919E-3</v>
      </c>
      <c r="E126" s="84">
        <f t="shared" si="26"/>
        <v>775.61571428571438</v>
      </c>
      <c r="F126" s="82"/>
      <c r="G126" s="12" t="s">
        <v>65</v>
      </c>
      <c r="H126" s="80">
        <v>0</v>
      </c>
      <c r="I126" s="63">
        <f t="shared" si="27"/>
        <v>3.1612699272907919E-3</v>
      </c>
      <c r="J126" s="63">
        <f t="shared" si="28"/>
        <v>0</v>
      </c>
      <c r="K126" s="81">
        <v>0</v>
      </c>
      <c r="L126" s="63">
        <f t="shared" si="29"/>
        <v>0</v>
      </c>
      <c r="M126" s="63">
        <f t="shared" si="30"/>
        <v>0</v>
      </c>
      <c r="N126" s="82"/>
      <c r="O126" s="38">
        <v>750</v>
      </c>
      <c r="P126" s="38">
        <v>800</v>
      </c>
      <c r="Q126" s="63">
        <f t="shared" si="31"/>
        <v>0</v>
      </c>
      <c r="R126" s="63">
        <v>0</v>
      </c>
      <c r="T126" s="63"/>
      <c r="U126" s="43">
        <f t="shared" si="32"/>
        <v>0</v>
      </c>
    </row>
    <row r="127" spans="1:21" x14ac:dyDescent="0.3">
      <c r="A127" s="12" t="s">
        <v>66</v>
      </c>
      <c r="B127" s="83">
        <v>57</v>
      </c>
      <c r="C127" s="83">
        <v>23470475</v>
      </c>
      <c r="D127" s="63">
        <f t="shared" si="25"/>
        <v>2.5741769407939302E-3</v>
      </c>
      <c r="E127" s="84">
        <f t="shared" si="26"/>
        <v>823.5254385964912</v>
      </c>
      <c r="F127" s="82"/>
      <c r="G127" s="12" t="s">
        <v>66</v>
      </c>
      <c r="H127" s="80">
        <v>0</v>
      </c>
      <c r="I127" s="63">
        <f t="shared" si="27"/>
        <v>2.5741769407939302E-3</v>
      </c>
      <c r="J127" s="63">
        <f t="shared" si="28"/>
        <v>0</v>
      </c>
      <c r="K127" s="81">
        <v>0</v>
      </c>
      <c r="L127" s="63">
        <f t="shared" si="29"/>
        <v>0</v>
      </c>
      <c r="M127" s="63">
        <f t="shared" si="30"/>
        <v>0</v>
      </c>
      <c r="N127" s="82"/>
      <c r="O127" s="38">
        <v>800</v>
      </c>
      <c r="P127" s="38">
        <v>850</v>
      </c>
      <c r="Q127" s="63">
        <f t="shared" si="31"/>
        <v>0</v>
      </c>
      <c r="R127" s="63">
        <v>0</v>
      </c>
      <c r="T127" s="63"/>
      <c r="U127" s="43">
        <f t="shared" si="32"/>
        <v>0</v>
      </c>
    </row>
    <row r="128" spans="1:21" x14ac:dyDescent="0.3">
      <c r="A128" s="12" t="s">
        <v>67</v>
      </c>
      <c r="B128" s="83">
        <v>45</v>
      </c>
      <c r="C128" s="83">
        <v>19698500</v>
      </c>
      <c r="D128" s="63">
        <f t="shared" si="25"/>
        <v>2.0322449532583662E-3</v>
      </c>
      <c r="E128" s="84">
        <f t="shared" si="26"/>
        <v>875.48888888888882</v>
      </c>
      <c r="F128" s="82"/>
      <c r="G128" s="12" t="s">
        <v>67</v>
      </c>
      <c r="H128" s="80">
        <v>0</v>
      </c>
      <c r="I128" s="63">
        <f t="shared" si="27"/>
        <v>2.0322449532583662E-3</v>
      </c>
      <c r="J128" s="63">
        <f t="shared" si="28"/>
        <v>0</v>
      </c>
      <c r="K128" s="86">
        <v>0</v>
      </c>
      <c r="L128" s="63">
        <f t="shared" si="29"/>
        <v>0</v>
      </c>
      <c r="M128" s="63">
        <f t="shared" si="30"/>
        <v>0</v>
      </c>
      <c r="N128" s="82"/>
      <c r="O128" s="38">
        <v>850</v>
      </c>
      <c r="P128" s="38">
        <v>900</v>
      </c>
      <c r="Q128" s="63">
        <f t="shared" si="31"/>
        <v>0</v>
      </c>
      <c r="R128" s="63">
        <v>0</v>
      </c>
      <c r="T128" s="63"/>
      <c r="U128" s="43">
        <f t="shared" si="32"/>
        <v>0</v>
      </c>
    </row>
    <row r="129" spans="1:21" x14ac:dyDescent="0.3">
      <c r="A129" s="12" t="s">
        <v>68</v>
      </c>
      <c r="B129" s="83">
        <v>46</v>
      </c>
      <c r="C129" s="83">
        <v>21257275</v>
      </c>
      <c r="D129" s="63">
        <f t="shared" si="25"/>
        <v>2.077405952219663E-3</v>
      </c>
      <c r="E129" s="84">
        <f t="shared" si="26"/>
        <v>924.22934782608695</v>
      </c>
      <c r="F129" s="82"/>
      <c r="G129" s="12" t="s">
        <v>68</v>
      </c>
      <c r="H129" s="80">
        <v>0</v>
      </c>
      <c r="I129" s="63">
        <f t="shared" si="27"/>
        <v>2.077405952219663E-3</v>
      </c>
      <c r="J129" s="63">
        <f t="shared" si="28"/>
        <v>0</v>
      </c>
      <c r="K129" s="86">
        <v>0</v>
      </c>
      <c r="L129" s="63">
        <f t="shared" si="29"/>
        <v>0</v>
      </c>
      <c r="M129" s="63">
        <f t="shared" si="30"/>
        <v>0</v>
      </c>
      <c r="N129" s="82"/>
      <c r="O129" s="38">
        <v>900</v>
      </c>
      <c r="P129" s="38">
        <v>950</v>
      </c>
      <c r="Q129" s="63">
        <f t="shared" si="31"/>
        <v>0</v>
      </c>
      <c r="R129" s="63">
        <v>0</v>
      </c>
      <c r="T129" s="63"/>
      <c r="U129" s="43">
        <f t="shared" si="32"/>
        <v>0</v>
      </c>
    </row>
    <row r="130" spans="1:21" x14ac:dyDescent="0.3">
      <c r="A130" s="12" t="s">
        <v>69</v>
      </c>
      <c r="B130" s="83">
        <v>38</v>
      </c>
      <c r="C130" s="83">
        <v>18530225</v>
      </c>
      <c r="D130" s="63">
        <f t="shared" si="25"/>
        <v>1.7161179605292868E-3</v>
      </c>
      <c r="E130" s="84">
        <f t="shared" si="26"/>
        <v>975.27499999999998</v>
      </c>
      <c r="F130" s="82"/>
      <c r="G130" s="12" t="s">
        <v>69</v>
      </c>
      <c r="H130" s="80">
        <v>0</v>
      </c>
      <c r="I130" s="63">
        <f t="shared" si="27"/>
        <v>1.7161179605292868E-3</v>
      </c>
      <c r="J130" s="63">
        <f t="shared" si="28"/>
        <v>0</v>
      </c>
      <c r="K130" s="86">
        <v>0</v>
      </c>
      <c r="L130" s="63">
        <f t="shared" si="29"/>
        <v>0</v>
      </c>
      <c r="M130" s="63">
        <f t="shared" si="30"/>
        <v>0</v>
      </c>
      <c r="N130" s="82"/>
      <c r="O130" s="38">
        <v>950</v>
      </c>
      <c r="P130" s="38">
        <v>1000</v>
      </c>
      <c r="Q130" s="63">
        <f t="shared" si="31"/>
        <v>0</v>
      </c>
      <c r="R130" s="63">
        <v>0</v>
      </c>
      <c r="T130" s="63"/>
      <c r="U130" s="43">
        <f t="shared" si="32"/>
        <v>0</v>
      </c>
    </row>
    <row r="131" spans="1:21" x14ac:dyDescent="0.3">
      <c r="A131" s="12" t="s">
        <v>70</v>
      </c>
      <c r="B131" s="83">
        <v>282</v>
      </c>
      <c r="C131" s="83">
        <v>189427400</v>
      </c>
      <c r="D131" s="63">
        <f t="shared" si="25"/>
        <v>1.273540170708576E-2</v>
      </c>
      <c r="E131" s="84">
        <f t="shared" si="26"/>
        <v>1343.4567375886525</v>
      </c>
      <c r="F131" s="82"/>
      <c r="G131" s="12" t="s">
        <v>70</v>
      </c>
      <c r="H131" s="80">
        <v>0</v>
      </c>
      <c r="I131" s="63">
        <f t="shared" si="27"/>
        <v>1.273540170708576E-2</v>
      </c>
      <c r="J131" s="63">
        <f t="shared" si="28"/>
        <v>0</v>
      </c>
      <c r="K131" s="86">
        <v>0</v>
      </c>
      <c r="L131" s="63">
        <f t="shared" si="29"/>
        <v>0</v>
      </c>
      <c r="M131" s="63">
        <f t="shared" si="30"/>
        <v>0</v>
      </c>
      <c r="N131" s="82"/>
      <c r="O131" s="38">
        <v>1000</v>
      </c>
      <c r="P131" s="38">
        <v>2000</v>
      </c>
      <c r="Q131" s="63">
        <f t="shared" si="31"/>
        <v>0</v>
      </c>
      <c r="R131" s="63">
        <v>0</v>
      </c>
      <c r="T131" s="63"/>
      <c r="U131" s="43">
        <f t="shared" si="32"/>
        <v>0</v>
      </c>
    </row>
    <row r="132" spans="1:21" x14ac:dyDescent="0.3">
      <c r="A132" s="12" t="s">
        <v>71</v>
      </c>
      <c r="B132" s="83">
        <v>108</v>
      </c>
      <c r="C132" s="83">
        <v>131241425</v>
      </c>
      <c r="D132" s="63">
        <f t="shared" si="25"/>
        <v>4.8773878878200783E-3</v>
      </c>
      <c r="E132" s="84">
        <f t="shared" si="26"/>
        <v>2430.3967592592594</v>
      </c>
      <c r="F132" s="82"/>
      <c r="G132" s="12" t="s">
        <v>71</v>
      </c>
      <c r="H132" s="80">
        <v>0</v>
      </c>
      <c r="I132" s="63">
        <f t="shared" si="27"/>
        <v>4.8773878878200783E-3</v>
      </c>
      <c r="J132" s="63">
        <f t="shared" si="28"/>
        <v>0</v>
      </c>
      <c r="K132" s="86">
        <v>0</v>
      </c>
      <c r="L132" s="63">
        <f t="shared" si="29"/>
        <v>0</v>
      </c>
      <c r="M132" s="63">
        <f t="shared" si="30"/>
        <v>0</v>
      </c>
      <c r="N132" s="82"/>
      <c r="O132" s="38">
        <v>2000</v>
      </c>
      <c r="P132" s="38">
        <v>3000</v>
      </c>
      <c r="Q132" s="63">
        <f t="shared" si="31"/>
        <v>0</v>
      </c>
      <c r="R132" s="63">
        <v>0</v>
      </c>
      <c r="T132" s="63"/>
      <c r="U132" s="43">
        <f t="shared" si="32"/>
        <v>0</v>
      </c>
    </row>
    <row r="133" spans="1:21" x14ac:dyDescent="0.3">
      <c r="A133" s="12" t="s">
        <v>72</v>
      </c>
      <c r="B133" s="83">
        <v>48</v>
      </c>
      <c r="C133" s="83">
        <v>81755950</v>
      </c>
      <c r="D133" s="63">
        <f t="shared" si="25"/>
        <v>2.1677279501422573E-3</v>
      </c>
      <c r="E133" s="84">
        <f t="shared" si="26"/>
        <v>3406.4979166666667</v>
      </c>
      <c r="F133" s="82"/>
      <c r="G133" s="12" t="s">
        <v>72</v>
      </c>
      <c r="H133" s="80">
        <v>0</v>
      </c>
      <c r="I133" s="63">
        <f t="shared" si="27"/>
        <v>2.1677279501422573E-3</v>
      </c>
      <c r="J133" s="63">
        <f t="shared" si="28"/>
        <v>0</v>
      </c>
      <c r="K133" s="86">
        <v>0</v>
      </c>
      <c r="L133" s="63">
        <f t="shared" si="29"/>
        <v>0</v>
      </c>
      <c r="M133" s="63">
        <f t="shared" si="30"/>
        <v>0</v>
      </c>
      <c r="N133" s="82"/>
      <c r="O133" s="38">
        <v>3000</v>
      </c>
      <c r="P133" s="38">
        <v>4000</v>
      </c>
      <c r="Q133" s="63">
        <f t="shared" si="31"/>
        <v>0</v>
      </c>
      <c r="R133" s="63">
        <v>0</v>
      </c>
      <c r="T133" s="63"/>
      <c r="U133" s="43">
        <f t="shared" si="32"/>
        <v>0</v>
      </c>
    </row>
    <row r="134" spans="1:21" x14ac:dyDescent="0.3">
      <c r="A134" s="12" t="s">
        <v>73</v>
      </c>
      <c r="B134" s="83">
        <v>29</v>
      </c>
      <c r="C134" s="83">
        <v>64193125</v>
      </c>
      <c r="D134" s="63">
        <f t="shared" si="25"/>
        <v>1.3096689698776137E-3</v>
      </c>
      <c r="E134" s="84">
        <f t="shared" si="26"/>
        <v>4427.1120689655172</v>
      </c>
      <c r="F134" s="82"/>
      <c r="G134" s="12" t="s">
        <v>73</v>
      </c>
      <c r="H134" s="80">
        <v>0</v>
      </c>
      <c r="I134" s="63">
        <f t="shared" si="27"/>
        <v>1.3096689698776137E-3</v>
      </c>
      <c r="J134" s="63">
        <f t="shared" si="28"/>
        <v>0</v>
      </c>
      <c r="K134" s="86">
        <v>0</v>
      </c>
      <c r="L134" s="63">
        <f t="shared" si="29"/>
        <v>0</v>
      </c>
      <c r="M134" s="63">
        <f t="shared" si="30"/>
        <v>0</v>
      </c>
      <c r="N134" s="82"/>
      <c r="O134" s="38">
        <v>4000</v>
      </c>
      <c r="P134" s="38">
        <v>5000</v>
      </c>
      <c r="Q134" s="63">
        <f t="shared" si="31"/>
        <v>0</v>
      </c>
      <c r="R134" s="63">
        <v>0</v>
      </c>
      <c r="T134" s="63"/>
      <c r="U134" s="43">
        <f t="shared" si="32"/>
        <v>0</v>
      </c>
    </row>
    <row r="135" spans="1:21" x14ac:dyDescent="0.3">
      <c r="A135" s="12" t="s">
        <v>74</v>
      </c>
      <c r="B135" s="83">
        <v>24</v>
      </c>
      <c r="C135" s="83">
        <v>65473300</v>
      </c>
      <c r="D135" s="63">
        <f t="shared" si="25"/>
        <v>1.0838639750711287E-3</v>
      </c>
      <c r="E135" s="84">
        <f t="shared" si="26"/>
        <v>5456.1083333333327</v>
      </c>
      <c r="F135" s="82"/>
      <c r="G135" s="12" t="s">
        <v>74</v>
      </c>
      <c r="H135" s="80">
        <v>0</v>
      </c>
      <c r="I135" s="63">
        <f t="shared" si="27"/>
        <v>1.0838639750711287E-3</v>
      </c>
      <c r="J135" s="63">
        <f t="shared" si="28"/>
        <v>0</v>
      </c>
      <c r="K135" s="86">
        <v>0</v>
      </c>
      <c r="L135" s="63">
        <f t="shared" si="29"/>
        <v>0</v>
      </c>
      <c r="M135" s="63">
        <f t="shared" si="30"/>
        <v>0</v>
      </c>
      <c r="N135" s="82"/>
      <c r="O135" s="38">
        <v>5000</v>
      </c>
      <c r="P135" s="38">
        <v>6000</v>
      </c>
      <c r="Q135" s="63">
        <f t="shared" si="31"/>
        <v>0</v>
      </c>
      <c r="R135" s="63">
        <v>0</v>
      </c>
      <c r="T135" s="63"/>
      <c r="U135" s="43">
        <f t="shared" si="32"/>
        <v>0</v>
      </c>
    </row>
    <row r="136" spans="1:21" x14ac:dyDescent="0.3">
      <c r="A136" s="12" t="s">
        <v>75</v>
      </c>
      <c r="B136" s="83">
        <v>11</v>
      </c>
      <c r="C136" s="83">
        <v>35415325</v>
      </c>
      <c r="D136" s="63">
        <f t="shared" si="25"/>
        <v>4.9677098857426726E-4</v>
      </c>
      <c r="E136" s="84">
        <f t="shared" si="26"/>
        <v>6439.15</v>
      </c>
      <c r="F136" s="82"/>
      <c r="G136" s="12" t="s">
        <v>75</v>
      </c>
      <c r="H136" s="80">
        <v>0</v>
      </c>
      <c r="I136" s="63">
        <f t="shared" si="27"/>
        <v>4.9677098857426726E-4</v>
      </c>
      <c r="J136" s="63">
        <f t="shared" si="28"/>
        <v>0</v>
      </c>
      <c r="K136" s="86">
        <v>0</v>
      </c>
      <c r="L136" s="63">
        <f t="shared" si="29"/>
        <v>0</v>
      </c>
      <c r="M136" s="63">
        <f t="shared" si="30"/>
        <v>0</v>
      </c>
      <c r="N136" s="82"/>
      <c r="O136" s="38">
        <v>6000</v>
      </c>
      <c r="P136" s="38">
        <v>7000</v>
      </c>
      <c r="Q136" s="63">
        <f t="shared" si="31"/>
        <v>0</v>
      </c>
      <c r="R136" s="63">
        <v>0</v>
      </c>
      <c r="T136" s="63"/>
      <c r="U136" s="43">
        <f t="shared" si="32"/>
        <v>0</v>
      </c>
    </row>
    <row r="137" spans="1:21" x14ac:dyDescent="0.3">
      <c r="A137" s="12" t="s">
        <v>76</v>
      </c>
      <c r="B137" s="83">
        <v>21</v>
      </c>
      <c r="C137" s="83">
        <v>78000875</v>
      </c>
      <c r="D137" s="63">
        <f t="shared" si="25"/>
        <v>9.4838097818723745E-4</v>
      </c>
      <c r="E137" s="84">
        <f t="shared" si="26"/>
        <v>7428.6547619047624</v>
      </c>
      <c r="F137" s="82"/>
      <c r="G137" s="12" t="s">
        <v>76</v>
      </c>
      <c r="H137" s="80">
        <v>0</v>
      </c>
      <c r="I137" s="63">
        <f t="shared" si="27"/>
        <v>9.4838097818723745E-4</v>
      </c>
      <c r="J137" s="63">
        <f t="shared" si="28"/>
        <v>0</v>
      </c>
      <c r="K137" s="86">
        <v>0</v>
      </c>
      <c r="L137" s="63">
        <f t="shared" si="29"/>
        <v>0</v>
      </c>
      <c r="M137" s="63">
        <f t="shared" si="30"/>
        <v>0</v>
      </c>
      <c r="N137" s="82"/>
      <c r="O137" s="38">
        <v>7000</v>
      </c>
      <c r="P137" s="38">
        <v>8000</v>
      </c>
      <c r="Q137" s="63">
        <f t="shared" si="31"/>
        <v>0</v>
      </c>
      <c r="R137" s="63">
        <v>0</v>
      </c>
      <c r="T137" s="63"/>
      <c r="U137" s="43">
        <f t="shared" si="32"/>
        <v>0</v>
      </c>
    </row>
    <row r="138" spans="1:21" x14ac:dyDescent="0.3">
      <c r="A138" s="12" t="s">
        <v>77</v>
      </c>
      <c r="B138" s="83">
        <v>13</v>
      </c>
      <c r="C138" s="83">
        <v>55288500</v>
      </c>
      <c r="D138" s="63">
        <f t="shared" si="25"/>
        <v>5.870929864968613E-4</v>
      </c>
      <c r="E138" s="84">
        <f t="shared" si="26"/>
        <v>8505.9230769230762</v>
      </c>
      <c r="F138" s="82"/>
      <c r="G138" s="12" t="s">
        <v>77</v>
      </c>
      <c r="H138" s="80">
        <v>0</v>
      </c>
      <c r="I138" s="63">
        <f t="shared" si="27"/>
        <v>5.870929864968613E-4</v>
      </c>
      <c r="J138" s="63">
        <f t="shared" si="28"/>
        <v>0</v>
      </c>
      <c r="K138" s="86">
        <v>0</v>
      </c>
      <c r="L138" s="63">
        <f t="shared" si="29"/>
        <v>0</v>
      </c>
      <c r="M138" s="63">
        <f t="shared" si="30"/>
        <v>0</v>
      </c>
      <c r="N138" s="82"/>
      <c r="O138" s="38">
        <v>8000</v>
      </c>
      <c r="P138" s="38">
        <v>9000</v>
      </c>
      <c r="Q138" s="63">
        <f t="shared" si="31"/>
        <v>0</v>
      </c>
      <c r="R138" s="63">
        <v>0</v>
      </c>
      <c r="T138" s="63"/>
      <c r="U138" s="43">
        <f t="shared" si="32"/>
        <v>0</v>
      </c>
    </row>
    <row r="139" spans="1:21" x14ac:dyDescent="0.3">
      <c r="A139" s="12" t="s">
        <v>78</v>
      </c>
      <c r="B139" s="83">
        <v>8</v>
      </c>
      <c r="C139" s="83">
        <v>37807150</v>
      </c>
      <c r="D139" s="63">
        <f t="shared" si="25"/>
        <v>3.6128799169037621E-4</v>
      </c>
      <c r="E139" s="84">
        <f t="shared" si="26"/>
        <v>9451.7875000000004</v>
      </c>
      <c r="F139" s="82"/>
      <c r="G139" s="12" t="s">
        <v>78</v>
      </c>
      <c r="H139" s="80">
        <v>0</v>
      </c>
      <c r="I139" s="63">
        <f t="shared" si="27"/>
        <v>3.6128799169037621E-4</v>
      </c>
      <c r="J139" s="63">
        <f t="shared" si="28"/>
        <v>0</v>
      </c>
      <c r="K139" s="86">
        <v>0</v>
      </c>
      <c r="L139" s="63">
        <f t="shared" si="29"/>
        <v>0</v>
      </c>
      <c r="M139" s="63">
        <f t="shared" si="30"/>
        <v>0</v>
      </c>
      <c r="N139" s="82"/>
      <c r="O139" s="38">
        <v>9000</v>
      </c>
      <c r="P139" s="38">
        <v>10000</v>
      </c>
      <c r="Q139" s="63">
        <f t="shared" si="31"/>
        <v>0</v>
      </c>
      <c r="R139" s="63">
        <v>0</v>
      </c>
      <c r="T139" s="63"/>
      <c r="U139" s="43">
        <f t="shared" si="32"/>
        <v>0</v>
      </c>
    </row>
    <row r="140" spans="1:21" x14ac:dyDescent="0.3">
      <c r="A140" s="12" t="s">
        <v>79</v>
      </c>
      <c r="B140" s="83">
        <v>50</v>
      </c>
      <c r="C140" s="83">
        <v>336658675</v>
      </c>
      <c r="D140" s="63">
        <f t="shared" si="25"/>
        <v>2.2580499480648513E-3</v>
      </c>
      <c r="E140" s="84">
        <f t="shared" si="26"/>
        <v>13466.347</v>
      </c>
      <c r="F140" s="82"/>
      <c r="G140" s="12" t="s">
        <v>79</v>
      </c>
      <c r="H140" s="80">
        <v>0</v>
      </c>
      <c r="I140" s="63">
        <f t="shared" si="27"/>
        <v>2.2580499480648513E-3</v>
      </c>
      <c r="J140" s="63">
        <f t="shared" si="28"/>
        <v>0</v>
      </c>
      <c r="K140" s="86">
        <v>0</v>
      </c>
      <c r="L140" s="63">
        <f t="shared" si="29"/>
        <v>0</v>
      </c>
      <c r="M140" s="63">
        <f t="shared" si="30"/>
        <v>0</v>
      </c>
      <c r="N140" s="82"/>
      <c r="O140" s="38">
        <v>10000</v>
      </c>
      <c r="P140" s="38">
        <v>20000</v>
      </c>
      <c r="Q140" s="63">
        <f t="shared" si="31"/>
        <v>0</v>
      </c>
      <c r="R140" s="63">
        <v>0</v>
      </c>
      <c r="T140" s="63"/>
      <c r="U140" s="43">
        <f t="shared" si="32"/>
        <v>0</v>
      </c>
    </row>
    <row r="141" spans="1:21" x14ac:dyDescent="0.3">
      <c r="A141" s="12" t="s">
        <v>80</v>
      </c>
      <c r="B141" s="83">
        <v>16</v>
      </c>
      <c r="C141" s="83">
        <v>187660300</v>
      </c>
      <c r="D141" s="63">
        <f t="shared" si="25"/>
        <v>7.2257598338075241E-4</v>
      </c>
      <c r="E141" s="84">
        <f t="shared" si="26"/>
        <v>23457.537499999999</v>
      </c>
      <c r="F141" s="82"/>
      <c r="G141" s="12" t="s">
        <v>80</v>
      </c>
      <c r="H141" s="80">
        <v>0</v>
      </c>
      <c r="I141" s="63">
        <f t="shared" si="27"/>
        <v>7.2257598338075241E-4</v>
      </c>
      <c r="J141" s="63">
        <f t="shared" si="28"/>
        <v>0</v>
      </c>
      <c r="K141" s="86">
        <v>0</v>
      </c>
      <c r="L141" s="63">
        <f t="shared" si="29"/>
        <v>0</v>
      </c>
      <c r="M141" s="63">
        <f t="shared" si="30"/>
        <v>0</v>
      </c>
      <c r="N141" s="82"/>
      <c r="O141" s="38">
        <v>20000</v>
      </c>
      <c r="P141" s="38">
        <v>30000</v>
      </c>
      <c r="Q141" s="63">
        <f t="shared" si="31"/>
        <v>0</v>
      </c>
      <c r="R141" s="63">
        <v>0</v>
      </c>
      <c r="T141" s="63"/>
      <c r="U141" s="43">
        <f t="shared" si="32"/>
        <v>0</v>
      </c>
    </row>
    <row r="142" spans="1:21" x14ac:dyDescent="0.3">
      <c r="A142" s="12" t="s">
        <v>81</v>
      </c>
      <c r="B142" s="83">
        <v>9</v>
      </c>
      <c r="C142" s="83">
        <v>151608925</v>
      </c>
      <c r="D142" s="63">
        <f t="shared" si="25"/>
        <v>4.0644899065167322E-4</v>
      </c>
      <c r="E142" s="84">
        <f t="shared" si="26"/>
        <v>33690.87222222222</v>
      </c>
      <c r="F142" s="82"/>
      <c r="G142" s="12" t="s">
        <v>81</v>
      </c>
      <c r="H142" s="80">
        <v>0</v>
      </c>
      <c r="I142" s="63">
        <f t="shared" si="27"/>
        <v>4.0644899065167322E-4</v>
      </c>
      <c r="J142" s="63">
        <f t="shared" si="28"/>
        <v>0</v>
      </c>
      <c r="K142" s="86">
        <v>0</v>
      </c>
      <c r="L142" s="63">
        <f t="shared" si="29"/>
        <v>0</v>
      </c>
      <c r="M142" s="63">
        <f t="shared" si="30"/>
        <v>0</v>
      </c>
      <c r="N142" s="82"/>
      <c r="O142" s="38">
        <v>30000</v>
      </c>
      <c r="P142" s="38">
        <v>40000</v>
      </c>
      <c r="Q142" s="63">
        <f t="shared" si="31"/>
        <v>0</v>
      </c>
      <c r="R142" s="63">
        <v>0</v>
      </c>
      <c r="T142" s="63"/>
      <c r="U142" s="43">
        <f t="shared" si="32"/>
        <v>0</v>
      </c>
    </row>
    <row r="143" spans="1:21" x14ac:dyDescent="0.3">
      <c r="A143" s="12" t="s">
        <v>82</v>
      </c>
      <c r="B143" s="83">
        <v>5</v>
      </c>
      <c r="C143" s="83">
        <v>108769475</v>
      </c>
      <c r="D143" s="63">
        <f t="shared" si="25"/>
        <v>2.2580499480648512E-4</v>
      </c>
      <c r="E143" s="84">
        <f t="shared" si="26"/>
        <v>43507.79</v>
      </c>
      <c r="F143" s="82"/>
      <c r="G143" s="12" t="s">
        <v>82</v>
      </c>
      <c r="H143" s="80">
        <v>0</v>
      </c>
      <c r="I143" s="63">
        <f t="shared" si="27"/>
        <v>2.2580499480648512E-4</v>
      </c>
      <c r="J143" s="63">
        <f t="shared" si="28"/>
        <v>0</v>
      </c>
      <c r="K143" s="86">
        <v>0</v>
      </c>
      <c r="L143" s="63">
        <f t="shared" si="29"/>
        <v>0</v>
      </c>
      <c r="M143" s="63">
        <f t="shared" si="30"/>
        <v>0</v>
      </c>
      <c r="N143" s="82"/>
      <c r="O143" s="38">
        <v>40000</v>
      </c>
      <c r="P143" s="38">
        <v>50000</v>
      </c>
      <c r="Q143" s="63">
        <f t="shared" si="31"/>
        <v>0</v>
      </c>
      <c r="R143" s="63">
        <v>0</v>
      </c>
      <c r="T143" s="63"/>
      <c r="U143" s="43">
        <f t="shared" si="32"/>
        <v>0</v>
      </c>
    </row>
    <row r="144" spans="1:21" x14ac:dyDescent="0.3">
      <c r="A144" s="12" t="s">
        <v>83</v>
      </c>
      <c r="B144" s="83">
        <v>3</v>
      </c>
      <c r="C144" s="83">
        <v>84692275</v>
      </c>
      <c r="D144" s="63">
        <f t="shared" si="25"/>
        <v>1.3548299688389108E-4</v>
      </c>
      <c r="E144" s="84">
        <f t="shared" si="26"/>
        <v>56461.516666666663</v>
      </c>
      <c r="F144" s="82"/>
      <c r="G144" s="12" t="s">
        <v>83</v>
      </c>
      <c r="H144" s="80">
        <v>0</v>
      </c>
      <c r="I144" s="63">
        <f t="shared" si="27"/>
        <v>1.3548299688389108E-4</v>
      </c>
      <c r="J144" s="63">
        <f t="shared" si="28"/>
        <v>0</v>
      </c>
      <c r="K144" s="86">
        <v>0</v>
      </c>
      <c r="L144" s="63">
        <f t="shared" si="29"/>
        <v>0</v>
      </c>
      <c r="M144" s="63">
        <f t="shared" si="30"/>
        <v>0</v>
      </c>
      <c r="N144" s="82"/>
      <c r="O144" s="38">
        <v>50000</v>
      </c>
      <c r="P144" s="38">
        <v>60000</v>
      </c>
      <c r="Q144" s="63">
        <f t="shared" si="31"/>
        <v>0</v>
      </c>
      <c r="R144" s="63">
        <v>0</v>
      </c>
      <c r="T144" s="63"/>
      <c r="U144" s="43">
        <f t="shared" si="32"/>
        <v>0</v>
      </c>
    </row>
    <row r="145" spans="1:21" x14ac:dyDescent="0.3">
      <c r="A145" s="12" t="s">
        <v>84</v>
      </c>
      <c r="B145" s="83">
        <v>1</v>
      </c>
      <c r="C145" s="83">
        <v>31146150</v>
      </c>
      <c r="D145" s="63">
        <f t="shared" si="25"/>
        <v>4.5160998961297026E-5</v>
      </c>
      <c r="E145" s="84">
        <f t="shared" si="26"/>
        <v>62292.3</v>
      </c>
      <c r="F145" s="82"/>
      <c r="G145" s="12" t="s">
        <v>84</v>
      </c>
      <c r="H145" s="80">
        <v>0</v>
      </c>
      <c r="I145" s="63">
        <f t="shared" si="27"/>
        <v>4.5160998961297026E-5</v>
      </c>
      <c r="J145" s="63">
        <f t="shared" si="28"/>
        <v>0</v>
      </c>
      <c r="K145" s="86">
        <v>0</v>
      </c>
      <c r="L145" s="63">
        <f t="shared" si="29"/>
        <v>0</v>
      </c>
      <c r="M145" s="63">
        <f t="shared" si="30"/>
        <v>0</v>
      </c>
      <c r="N145" s="82"/>
      <c r="O145" s="38">
        <v>60000</v>
      </c>
      <c r="P145" s="38">
        <v>70000</v>
      </c>
      <c r="Q145" s="63">
        <f t="shared" si="31"/>
        <v>0</v>
      </c>
      <c r="R145" s="63">
        <v>0</v>
      </c>
      <c r="T145" s="63"/>
      <c r="U145" s="43">
        <f t="shared" si="32"/>
        <v>0</v>
      </c>
    </row>
    <row r="146" spans="1:21" x14ac:dyDescent="0.3">
      <c r="A146" s="12" t="s">
        <v>85</v>
      </c>
      <c r="B146" s="83">
        <v>3</v>
      </c>
      <c r="C146" s="83">
        <v>111421575</v>
      </c>
      <c r="D146" s="63">
        <f t="shared" si="25"/>
        <v>1.3548299688389108E-4</v>
      </c>
      <c r="E146" s="84">
        <f t="shared" si="26"/>
        <v>74281.05</v>
      </c>
      <c r="F146" s="82"/>
      <c r="G146" s="12" t="s">
        <v>85</v>
      </c>
      <c r="H146" s="80">
        <v>0</v>
      </c>
      <c r="I146" s="63">
        <f t="shared" si="27"/>
        <v>1.3548299688389108E-4</v>
      </c>
      <c r="J146" s="63">
        <f t="shared" si="28"/>
        <v>0</v>
      </c>
      <c r="K146" s="86">
        <v>0</v>
      </c>
      <c r="L146" s="63">
        <f t="shared" si="29"/>
        <v>0</v>
      </c>
      <c r="M146" s="63">
        <f t="shared" si="30"/>
        <v>0</v>
      </c>
      <c r="N146" s="82"/>
      <c r="O146" s="38">
        <v>70000</v>
      </c>
      <c r="P146" s="38">
        <v>80000</v>
      </c>
      <c r="Q146" s="63">
        <f t="shared" si="31"/>
        <v>0</v>
      </c>
      <c r="R146" s="63">
        <v>0</v>
      </c>
      <c r="T146" s="63"/>
      <c r="U146" s="43">
        <f t="shared" si="32"/>
        <v>0</v>
      </c>
    </row>
    <row r="147" spans="1:21" x14ac:dyDescent="0.3">
      <c r="A147" s="12" t="s">
        <v>86</v>
      </c>
      <c r="B147" s="83">
        <v>1</v>
      </c>
      <c r="C147" s="83">
        <v>40959900</v>
      </c>
      <c r="D147" s="63">
        <f t="shared" si="25"/>
        <v>4.5160998961297026E-5</v>
      </c>
      <c r="E147" s="84">
        <f t="shared" si="26"/>
        <v>81919.8</v>
      </c>
      <c r="F147" s="82"/>
      <c r="G147" s="12" t="s">
        <v>86</v>
      </c>
      <c r="H147" s="80">
        <v>0</v>
      </c>
      <c r="I147" s="63">
        <f t="shared" si="27"/>
        <v>4.5160998961297026E-5</v>
      </c>
      <c r="J147" s="63">
        <f t="shared" si="28"/>
        <v>0</v>
      </c>
      <c r="K147" s="86">
        <v>0</v>
      </c>
      <c r="L147" s="63">
        <f t="shared" si="29"/>
        <v>0</v>
      </c>
      <c r="M147" s="63">
        <f t="shared" si="30"/>
        <v>0</v>
      </c>
      <c r="N147" s="82"/>
      <c r="O147" s="38">
        <v>80000</v>
      </c>
      <c r="P147" s="38">
        <v>90000</v>
      </c>
      <c r="Q147" s="63">
        <f t="shared" si="31"/>
        <v>0</v>
      </c>
      <c r="R147" s="63">
        <v>0</v>
      </c>
      <c r="T147" s="63"/>
      <c r="U147" s="43">
        <f t="shared" si="32"/>
        <v>0</v>
      </c>
    </row>
    <row r="148" spans="1:21" x14ac:dyDescent="0.3">
      <c r="A148" s="12" t="s">
        <v>87</v>
      </c>
      <c r="B148" s="83">
        <v>0</v>
      </c>
      <c r="C148" s="83">
        <v>0</v>
      </c>
      <c r="D148" s="63">
        <f t="shared" si="25"/>
        <v>0</v>
      </c>
      <c r="E148" s="84">
        <f t="shared" si="26"/>
        <v>0</v>
      </c>
      <c r="F148" s="82"/>
      <c r="G148" s="12" t="s">
        <v>87</v>
      </c>
      <c r="H148" s="80">
        <v>0</v>
      </c>
      <c r="I148" s="63">
        <f t="shared" si="27"/>
        <v>0</v>
      </c>
      <c r="J148" s="63">
        <f t="shared" si="28"/>
        <v>0</v>
      </c>
      <c r="K148" s="86">
        <v>0</v>
      </c>
      <c r="L148" s="63">
        <f t="shared" si="29"/>
        <v>0</v>
      </c>
      <c r="M148" s="63">
        <f t="shared" si="30"/>
        <v>0</v>
      </c>
      <c r="N148" s="82"/>
      <c r="O148" s="38">
        <v>90000</v>
      </c>
      <c r="P148" s="38">
        <v>100000</v>
      </c>
      <c r="Q148" s="63">
        <f t="shared" si="31"/>
        <v>0</v>
      </c>
      <c r="R148" s="63">
        <v>0</v>
      </c>
      <c r="T148" s="63"/>
      <c r="U148" s="43">
        <f t="shared" si="32"/>
        <v>0</v>
      </c>
    </row>
    <row r="149" spans="1:21" x14ac:dyDescent="0.3">
      <c r="A149" s="12" t="s">
        <v>88</v>
      </c>
      <c r="B149" s="83">
        <v>0</v>
      </c>
      <c r="C149" s="83">
        <v>0</v>
      </c>
      <c r="D149" s="63">
        <f t="shared" si="25"/>
        <v>0</v>
      </c>
      <c r="E149" s="84">
        <f t="shared" si="26"/>
        <v>0</v>
      </c>
      <c r="F149" s="82"/>
      <c r="G149" s="12" t="s">
        <v>88</v>
      </c>
      <c r="H149" s="80">
        <v>0</v>
      </c>
      <c r="I149" s="63">
        <f t="shared" si="27"/>
        <v>0</v>
      </c>
      <c r="J149" s="63">
        <f t="shared" si="28"/>
        <v>0</v>
      </c>
      <c r="K149" s="86">
        <v>0</v>
      </c>
      <c r="L149" s="63">
        <f t="shared" si="29"/>
        <v>0</v>
      </c>
      <c r="M149" s="63">
        <f t="shared" si="30"/>
        <v>0</v>
      </c>
      <c r="N149" s="82"/>
      <c r="O149" s="38">
        <v>100000</v>
      </c>
      <c r="P149" s="38">
        <v>9999999</v>
      </c>
      <c r="Q149" s="63">
        <f t="shared" si="31"/>
        <v>0</v>
      </c>
      <c r="R149" s="63">
        <v>0</v>
      </c>
      <c r="T149" s="63"/>
      <c r="U149" s="43">
        <f t="shared" si="32"/>
        <v>0</v>
      </c>
    </row>
    <row r="150" spans="1:21" x14ac:dyDescent="0.3">
      <c r="F150" s="4"/>
      <c r="K150">
        <f>SUM(K86:K149)</f>
        <v>1000000000</v>
      </c>
      <c r="M150">
        <f>SUM(M86:M149)</f>
        <v>59.999992865067576</v>
      </c>
      <c r="N150" s="4"/>
      <c r="O150" s="4"/>
      <c r="P150" s="4"/>
    </row>
    <row r="152" spans="1:21" s="50" customFormat="1" ht="15.6" customHeight="1" collapsed="1" x14ac:dyDescent="0.3">
      <c r="A152" s="57" t="s">
        <v>8</v>
      </c>
      <c r="B152" s="57" t="s">
        <v>11</v>
      </c>
      <c r="C152" s="57"/>
      <c r="D152" s="47"/>
      <c r="E152" s="47"/>
      <c r="F152" s="48"/>
      <c r="G152" s="57" t="s">
        <v>8</v>
      </c>
      <c r="H152" s="57" t="s">
        <v>11</v>
      </c>
      <c r="I152" s="49"/>
      <c r="J152" s="49"/>
      <c r="K152" s="49"/>
      <c r="L152" s="49"/>
      <c r="M152" s="49"/>
      <c r="N152" s="48"/>
      <c r="O152" s="57" t="s">
        <v>8</v>
      </c>
      <c r="P152" s="57" t="s">
        <v>11</v>
      </c>
      <c r="Q152" s="49"/>
      <c r="R152" s="49"/>
    </row>
    <row r="153" spans="1:21" x14ac:dyDescent="0.3">
      <c r="A153" s="23"/>
      <c r="B153" s="1"/>
      <c r="C153" s="1"/>
      <c r="D153" s="1"/>
      <c r="E153" s="1"/>
      <c r="G153" s="29"/>
      <c r="H153" s="23"/>
      <c r="I153" s="23"/>
      <c r="J153" s="23"/>
      <c r="K153" s="23"/>
      <c r="L153" s="23"/>
      <c r="M153" s="23"/>
      <c r="Q153" s="23"/>
      <c r="R153" s="23"/>
    </row>
    <row r="154" spans="1:21" x14ac:dyDescent="0.3">
      <c r="A154" s="41" t="s">
        <v>100</v>
      </c>
      <c r="C154" s="1"/>
      <c r="D154" s="1"/>
      <c r="E154" s="1"/>
      <c r="G154" s="41" t="s">
        <v>101</v>
      </c>
      <c r="H154" s="23"/>
      <c r="I154" s="23"/>
      <c r="J154" s="23"/>
      <c r="K154" s="23"/>
      <c r="L154" s="23"/>
      <c r="M154" s="23"/>
      <c r="Q154" s="23"/>
      <c r="R154" s="23"/>
    </row>
    <row r="155" spans="1:21" x14ac:dyDescent="0.3">
      <c r="A155" s="8" t="s">
        <v>18</v>
      </c>
      <c r="B155" s="8" t="s">
        <v>102</v>
      </c>
      <c r="C155" s="8" t="s">
        <v>103</v>
      </c>
      <c r="D155" s="8" t="s">
        <v>93</v>
      </c>
      <c r="E155" s="8" t="s">
        <v>104</v>
      </c>
      <c r="G155" s="8" t="s">
        <v>18</v>
      </c>
      <c r="H155" s="8" t="s">
        <v>105</v>
      </c>
      <c r="I155" s="8" t="s">
        <v>106</v>
      </c>
      <c r="J155" s="8" t="s">
        <v>107</v>
      </c>
      <c r="K155" s="8" t="s">
        <v>108</v>
      </c>
      <c r="L155" s="8" t="s">
        <v>93</v>
      </c>
      <c r="M155" s="8" t="s">
        <v>109</v>
      </c>
      <c r="Q155" s="8" t="s">
        <v>112</v>
      </c>
      <c r="R155" s="8" t="s">
        <v>113</v>
      </c>
    </row>
    <row r="156" spans="1:21" x14ac:dyDescent="0.3">
      <c r="A156" s="12" t="s">
        <v>8</v>
      </c>
      <c r="B156" s="83">
        <v>100000000</v>
      </c>
      <c r="C156" s="83">
        <v>0</v>
      </c>
      <c r="D156" s="46">
        <v>1</v>
      </c>
      <c r="E156" s="84">
        <f>C156/B156/B3</f>
        <v>0</v>
      </c>
      <c r="F156" s="85"/>
      <c r="G156" s="12" t="s">
        <v>8</v>
      </c>
      <c r="H156" s="80">
        <v>1</v>
      </c>
      <c r="I156" s="63">
        <f>D156*H156</f>
        <v>1</v>
      </c>
      <c r="J156" s="46">
        <f>I156/SUM(I156)</f>
        <v>1</v>
      </c>
      <c r="K156" s="81">
        <f>INT(J156*$B$2)</f>
        <v>1000000000</v>
      </c>
      <c r="L156" s="63">
        <f>IFERROR(K156/SUM(K156),0)</f>
        <v>1</v>
      </c>
      <c r="M156" s="63">
        <f>L156*E156</f>
        <v>0</v>
      </c>
      <c r="Q156" s="63"/>
      <c r="R156" s="63"/>
    </row>
    <row r="157" spans="1:21" x14ac:dyDescent="0.3">
      <c r="B157" s="1"/>
      <c r="C157" s="1"/>
      <c r="D157" s="1"/>
      <c r="E157" s="1"/>
      <c r="G157" s="29"/>
      <c r="H157" s="23"/>
      <c r="I157" s="23"/>
      <c r="J157" s="23"/>
      <c r="K157" s="23"/>
      <c r="L157" s="23"/>
      <c r="M157" s="23"/>
      <c r="Q157" s="23"/>
      <c r="R157" s="23"/>
    </row>
    <row r="159" spans="1:21" s="50" customFormat="1" ht="15.6" customHeight="1" x14ac:dyDescent="0.3">
      <c r="A159" s="57" t="s">
        <v>116</v>
      </c>
      <c r="B159" s="57" t="s">
        <v>12</v>
      </c>
      <c r="C159" s="57"/>
      <c r="D159" s="47"/>
      <c r="E159" s="47"/>
      <c r="F159" s="48"/>
      <c r="G159" s="57" t="s">
        <v>8</v>
      </c>
      <c r="H159" s="57" t="s">
        <v>12</v>
      </c>
      <c r="I159" s="49"/>
      <c r="J159" s="49"/>
      <c r="K159" s="49"/>
      <c r="L159" s="49"/>
      <c r="M159" s="49"/>
      <c r="N159" s="48"/>
      <c r="O159" s="57" t="s">
        <v>8</v>
      </c>
      <c r="P159" s="57" t="s">
        <v>12</v>
      </c>
      <c r="Q159" s="49"/>
      <c r="R159" s="49"/>
    </row>
    <row r="160" spans="1:21" x14ac:dyDescent="0.3">
      <c r="A160" s="23"/>
      <c r="B160" s="1"/>
      <c r="C160" s="1"/>
      <c r="D160" s="1"/>
      <c r="E160" s="1"/>
      <c r="G160" s="29"/>
      <c r="H160" s="23"/>
      <c r="I160" s="23"/>
      <c r="J160" s="23"/>
      <c r="K160" s="23"/>
      <c r="L160" s="23"/>
      <c r="M160" s="23"/>
      <c r="Q160" s="23"/>
      <c r="R160" s="23"/>
    </row>
    <row r="161" spans="1:21" x14ac:dyDescent="0.3">
      <c r="A161" s="41" t="s">
        <v>100</v>
      </c>
      <c r="B161">
        <v>10000000</v>
      </c>
      <c r="C161" s="1"/>
      <c r="D161" s="1"/>
      <c r="E161" s="1"/>
      <c r="G161" s="41" t="s">
        <v>101</v>
      </c>
      <c r="H161" s="23"/>
      <c r="I161" s="23"/>
      <c r="J161" s="23"/>
      <c r="L161" s="23"/>
      <c r="M161" s="23"/>
      <c r="Q161" s="23"/>
      <c r="R161" s="23"/>
    </row>
    <row r="162" spans="1:21" x14ac:dyDescent="0.3">
      <c r="A162" s="8" t="s">
        <v>18</v>
      </c>
      <c r="B162" s="8" t="s">
        <v>102</v>
      </c>
      <c r="C162" s="8" t="s">
        <v>103</v>
      </c>
      <c r="D162" s="8" t="s">
        <v>93</v>
      </c>
      <c r="E162" s="8" t="s">
        <v>104</v>
      </c>
      <c r="G162" s="8" t="s">
        <v>18</v>
      </c>
      <c r="H162" s="8" t="s">
        <v>105</v>
      </c>
      <c r="I162" s="8" t="s">
        <v>106</v>
      </c>
      <c r="J162" s="8" t="s">
        <v>107</v>
      </c>
      <c r="K162" s="8" t="s">
        <v>108</v>
      </c>
      <c r="L162" s="8" t="s">
        <v>93</v>
      </c>
      <c r="M162" s="8" t="s">
        <v>109</v>
      </c>
      <c r="O162" s="8" t="s">
        <v>110</v>
      </c>
      <c r="P162" s="8" t="s">
        <v>111</v>
      </c>
      <c r="Q162" s="8" t="s">
        <v>112</v>
      </c>
      <c r="R162" s="8" t="s">
        <v>113</v>
      </c>
      <c r="T162" s="11" t="s">
        <v>112</v>
      </c>
      <c r="U162" s="11" t="s">
        <v>114</v>
      </c>
    </row>
    <row r="163" spans="1:21" x14ac:dyDescent="0.3">
      <c r="A163" s="12" t="s">
        <v>25</v>
      </c>
      <c r="B163" s="89">
        <v>0</v>
      </c>
      <c r="C163" s="89">
        <v>0</v>
      </c>
      <c r="D163" s="63">
        <f t="shared" ref="D163:D194" si="33">IFERROR(B163/$B$161,0)</f>
        <v>0</v>
      </c>
      <c r="E163" s="79">
        <f t="shared" ref="E163:E194" si="34">IFERROR(C163/B163/500,0)</f>
        <v>0</v>
      </c>
      <c r="G163" s="12" t="s">
        <v>25</v>
      </c>
      <c r="H163" s="80">
        <v>0</v>
      </c>
      <c r="I163" s="63">
        <f t="shared" ref="I163:I194" si="35">IFERROR(B163/$B$161,0)</f>
        <v>0</v>
      </c>
      <c r="J163" s="63">
        <f t="shared" ref="J163:J194" si="36">IFERROR(K163/$B$2,0)</f>
        <v>0</v>
      </c>
      <c r="K163" s="81">
        <v>0</v>
      </c>
      <c r="L163" s="63">
        <f t="shared" ref="L163:L194" si="37">IFERROR(K163/$B$2,0)</f>
        <v>0</v>
      </c>
      <c r="M163" s="63">
        <f t="shared" ref="M163:M194" si="38">IFERROR(L163*E163,0)</f>
        <v>0</v>
      </c>
      <c r="N163" s="82"/>
      <c r="O163" s="42">
        <v>-1</v>
      </c>
      <c r="P163" s="42">
        <v>0</v>
      </c>
      <c r="Q163" s="63">
        <f t="shared" ref="Q163:Q194" si="39">L163</f>
        <v>0</v>
      </c>
      <c r="R163" s="63">
        <v>0</v>
      </c>
      <c r="T163" s="63"/>
      <c r="U163" s="43">
        <f t="shared" ref="U163:U194" si="40">IFERROR(ROUND(T163/L163,2),0)</f>
        <v>0</v>
      </c>
    </row>
    <row r="164" spans="1:21" x14ac:dyDescent="0.3">
      <c r="A164" s="12" t="s">
        <v>26</v>
      </c>
      <c r="B164" s="90">
        <v>0</v>
      </c>
      <c r="C164" s="90">
        <v>0</v>
      </c>
      <c r="D164" s="63">
        <f t="shared" si="33"/>
        <v>0</v>
      </c>
      <c r="E164" s="84">
        <f t="shared" si="34"/>
        <v>0</v>
      </c>
      <c r="G164" s="12" t="s">
        <v>26</v>
      </c>
      <c r="H164" s="80">
        <v>0</v>
      </c>
      <c r="I164" s="63">
        <f t="shared" si="35"/>
        <v>0</v>
      </c>
      <c r="J164" s="63">
        <f t="shared" si="36"/>
        <v>0</v>
      </c>
      <c r="K164" s="81">
        <v>0</v>
      </c>
      <c r="L164" s="63">
        <f t="shared" si="37"/>
        <v>0</v>
      </c>
      <c r="M164" s="63">
        <f t="shared" si="38"/>
        <v>0</v>
      </c>
      <c r="N164" s="82"/>
      <c r="O164" s="38">
        <v>0</v>
      </c>
      <c r="P164" s="38">
        <v>1</v>
      </c>
      <c r="Q164" s="63">
        <f t="shared" si="39"/>
        <v>0</v>
      </c>
      <c r="R164" s="63">
        <v>0</v>
      </c>
      <c r="T164" s="63"/>
      <c r="U164" s="43">
        <f t="shared" si="40"/>
        <v>0</v>
      </c>
    </row>
    <row r="165" spans="1:21" x14ac:dyDescent="0.3">
      <c r="A165" s="12" t="s">
        <v>27</v>
      </c>
      <c r="B165" s="90">
        <v>1</v>
      </c>
      <c r="C165" s="90">
        <v>950</v>
      </c>
      <c r="D165" s="63">
        <f t="shared" si="33"/>
        <v>9.9999999999999995E-8</v>
      </c>
      <c r="E165" s="84">
        <f t="shared" si="34"/>
        <v>1.9</v>
      </c>
      <c r="F165" s="44"/>
      <c r="G165" s="12" t="s">
        <v>27</v>
      </c>
      <c r="H165" s="80">
        <v>0</v>
      </c>
      <c r="I165" s="63">
        <f t="shared" si="35"/>
        <v>9.9999999999999995E-8</v>
      </c>
      <c r="J165" s="63">
        <f t="shared" si="36"/>
        <v>0</v>
      </c>
      <c r="K165" s="81">
        <v>0</v>
      </c>
      <c r="L165" s="63">
        <f t="shared" si="37"/>
        <v>0</v>
      </c>
      <c r="M165" s="63">
        <f t="shared" si="38"/>
        <v>0</v>
      </c>
      <c r="N165" s="82"/>
      <c r="O165" s="38">
        <v>1</v>
      </c>
      <c r="P165" s="38">
        <v>2</v>
      </c>
      <c r="Q165" s="63">
        <f t="shared" si="39"/>
        <v>0</v>
      </c>
      <c r="R165" s="63">
        <v>0</v>
      </c>
      <c r="T165" s="63"/>
      <c r="U165" s="43">
        <f t="shared" si="40"/>
        <v>0</v>
      </c>
    </row>
    <row r="166" spans="1:21" x14ac:dyDescent="0.3">
      <c r="A166" s="12" t="s">
        <v>28</v>
      </c>
      <c r="B166" s="90">
        <v>15063</v>
      </c>
      <c r="C166" s="90">
        <v>22594000</v>
      </c>
      <c r="D166" s="63">
        <f t="shared" si="33"/>
        <v>1.5062999999999999E-3</v>
      </c>
      <c r="E166" s="84">
        <f t="shared" si="34"/>
        <v>2.999933612162252</v>
      </c>
      <c r="F166" s="82"/>
      <c r="G166" s="12" t="s">
        <v>28</v>
      </c>
      <c r="H166" s="80">
        <v>0</v>
      </c>
      <c r="I166" s="63">
        <f t="shared" si="35"/>
        <v>1.5062999999999999E-3</v>
      </c>
      <c r="J166" s="63">
        <f t="shared" si="36"/>
        <v>0</v>
      </c>
      <c r="K166" s="81">
        <v>0</v>
      </c>
      <c r="L166" s="63">
        <f t="shared" si="37"/>
        <v>0</v>
      </c>
      <c r="M166" s="63">
        <f t="shared" si="38"/>
        <v>0</v>
      </c>
      <c r="N166" s="82"/>
      <c r="O166" s="38">
        <v>2</v>
      </c>
      <c r="P166" s="38">
        <v>3</v>
      </c>
      <c r="Q166" s="63">
        <f t="shared" si="39"/>
        <v>0</v>
      </c>
      <c r="R166" s="63">
        <v>0</v>
      </c>
      <c r="T166" s="63"/>
      <c r="U166" s="43">
        <f t="shared" si="40"/>
        <v>0</v>
      </c>
    </row>
    <row r="167" spans="1:21" x14ac:dyDescent="0.3">
      <c r="A167" s="12" t="s">
        <v>29</v>
      </c>
      <c r="B167" s="90">
        <v>91536</v>
      </c>
      <c r="C167" s="90">
        <v>169451525</v>
      </c>
      <c r="D167" s="63">
        <f t="shared" si="33"/>
        <v>9.1535999999999996E-3</v>
      </c>
      <c r="E167" s="84">
        <f t="shared" si="34"/>
        <v>3.7024017872749519</v>
      </c>
      <c r="F167" s="82"/>
      <c r="G167" s="12" t="s">
        <v>29</v>
      </c>
      <c r="H167" s="80">
        <v>0</v>
      </c>
      <c r="I167" s="63">
        <f t="shared" si="35"/>
        <v>9.1535999999999996E-3</v>
      </c>
      <c r="J167" s="63">
        <f t="shared" si="36"/>
        <v>0</v>
      </c>
      <c r="K167" s="81">
        <v>0</v>
      </c>
      <c r="L167" s="63">
        <f t="shared" si="37"/>
        <v>0</v>
      </c>
      <c r="M167" s="63">
        <f t="shared" si="38"/>
        <v>0</v>
      </c>
      <c r="N167" s="82"/>
      <c r="O167" s="38">
        <v>3</v>
      </c>
      <c r="P167" s="38">
        <v>4</v>
      </c>
      <c r="Q167" s="63">
        <f t="shared" si="39"/>
        <v>0</v>
      </c>
      <c r="R167" s="63">
        <v>7.9100000000000004E-3</v>
      </c>
      <c r="T167" s="63"/>
      <c r="U167" s="43">
        <f t="shared" si="40"/>
        <v>0</v>
      </c>
    </row>
    <row r="168" spans="1:21" x14ac:dyDescent="0.3">
      <c r="A168" s="12" t="s">
        <v>30</v>
      </c>
      <c r="B168" s="90">
        <v>223256</v>
      </c>
      <c r="C168" s="90">
        <v>513368875</v>
      </c>
      <c r="D168" s="63">
        <f t="shared" si="33"/>
        <v>2.2325600000000001E-2</v>
      </c>
      <c r="E168" s="84">
        <f t="shared" si="34"/>
        <v>4.5989256727702719</v>
      </c>
      <c r="F168" s="82"/>
      <c r="G168" s="12" t="s">
        <v>30</v>
      </c>
      <c r="H168" s="80">
        <v>0</v>
      </c>
      <c r="I168" s="63">
        <f t="shared" si="35"/>
        <v>2.2325600000000001E-2</v>
      </c>
      <c r="J168" s="63">
        <f t="shared" si="36"/>
        <v>0</v>
      </c>
      <c r="K168" s="81">
        <v>0</v>
      </c>
      <c r="L168" s="63">
        <f t="shared" si="37"/>
        <v>0</v>
      </c>
      <c r="M168" s="63">
        <f t="shared" si="38"/>
        <v>0</v>
      </c>
      <c r="N168" s="82"/>
      <c r="O168" s="38">
        <v>4</v>
      </c>
      <c r="P168" s="38">
        <v>5</v>
      </c>
      <c r="Q168" s="63">
        <f t="shared" si="39"/>
        <v>0</v>
      </c>
      <c r="R168" s="63">
        <v>1.1859999999999999E-2</v>
      </c>
      <c r="T168" s="63"/>
      <c r="U168" s="43">
        <f t="shared" si="40"/>
        <v>0</v>
      </c>
    </row>
    <row r="169" spans="1:21" x14ac:dyDescent="0.3">
      <c r="A169" s="12" t="s">
        <v>31</v>
      </c>
      <c r="B169" s="90">
        <v>370619</v>
      </c>
      <c r="C169" s="90">
        <v>1031066750</v>
      </c>
      <c r="D169" s="63">
        <f t="shared" si="33"/>
        <v>3.7061900000000002E-2</v>
      </c>
      <c r="E169" s="84">
        <f t="shared" si="34"/>
        <v>5.5640253198028171</v>
      </c>
      <c r="F169" s="82"/>
      <c r="G169" s="12" t="s">
        <v>31</v>
      </c>
      <c r="H169" s="80">
        <v>0</v>
      </c>
      <c r="I169" s="63">
        <f t="shared" si="35"/>
        <v>3.7061900000000002E-2</v>
      </c>
      <c r="J169" s="63">
        <f t="shared" si="36"/>
        <v>0</v>
      </c>
      <c r="K169" s="81">
        <v>0</v>
      </c>
      <c r="L169" s="63">
        <f t="shared" si="37"/>
        <v>0</v>
      </c>
      <c r="M169" s="63">
        <f t="shared" si="38"/>
        <v>0</v>
      </c>
      <c r="N169" s="82"/>
      <c r="O169" s="38">
        <v>5</v>
      </c>
      <c r="P169" s="38">
        <v>6</v>
      </c>
      <c r="Q169" s="63">
        <f t="shared" si="39"/>
        <v>0</v>
      </c>
      <c r="R169" s="63">
        <v>1.976E-2</v>
      </c>
      <c r="T169" s="63"/>
      <c r="U169" s="43">
        <f t="shared" si="40"/>
        <v>0</v>
      </c>
    </row>
    <row r="170" spans="1:21" x14ac:dyDescent="0.3">
      <c r="A170" s="12" t="s">
        <v>32</v>
      </c>
      <c r="B170" s="90">
        <v>504428</v>
      </c>
      <c r="C170" s="90">
        <v>1651485850</v>
      </c>
      <c r="D170" s="63">
        <f t="shared" si="33"/>
        <v>5.0442800000000003E-2</v>
      </c>
      <c r="E170" s="84">
        <f t="shared" si="34"/>
        <v>6.5479547130611309</v>
      </c>
      <c r="F170" s="82"/>
      <c r="G170" s="12" t="s">
        <v>32</v>
      </c>
      <c r="H170" s="80">
        <v>0</v>
      </c>
      <c r="I170" s="63">
        <f t="shared" si="35"/>
        <v>5.0442800000000003E-2</v>
      </c>
      <c r="J170" s="63">
        <f t="shared" si="36"/>
        <v>0</v>
      </c>
      <c r="K170" s="81">
        <v>0</v>
      </c>
      <c r="L170" s="63">
        <f t="shared" si="37"/>
        <v>0</v>
      </c>
      <c r="M170" s="63">
        <f t="shared" si="38"/>
        <v>0</v>
      </c>
      <c r="N170" s="82"/>
      <c r="O170" s="38">
        <v>6</v>
      </c>
      <c r="P170" s="38">
        <v>7</v>
      </c>
      <c r="Q170" s="63">
        <f t="shared" si="39"/>
        <v>0</v>
      </c>
      <c r="R170" s="63">
        <v>3.9500000000000004E-3</v>
      </c>
      <c r="T170" s="63"/>
      <c r="U170" s="43">
        <f t="shared" si="40"/>
        <v>0</v>
      </c>
    </row>
    <row r="171" spans="1:21" x14ac:dyDescent="0.3">
      <c r="A171" s="12" t="s">
        <v>33</v>
      </c>
      <c r="B171" s="90">
        <v>613690</v>
      </c>
      <c r="C171" s="90">
        <v>2313641425</v>
      </c>
      <c r="D171" s="63">
        <f t="shared" si="33"/>
        <v>6.1369E-2</v>
      </c>
      <c r="E171" s="84">
        <f t="shared" si="34"/>
        <v>7.5400981766038226</v>
      </c>
      <c r="F171" s="82"/>
      <c r="G171" s="12" t="s">
        <v>33</v>
      </c>
      <c r="H171" s="80">
        <v>0</v>
      </c>
      <c r="I171" s="63">
        <f t="shared" si="35"/>
        <v>6.1369E-2</v>
      </c>
      <c r="J171" s="63">
        <f t="shared" si="36"/>
        <v>0</v>
      </c>
      <c r="K171" s="81">
        <v>0</v>
      </c>
      <c r="L171" s="63">
        <f t="shared" si="37"/>
        <v>0</v>
      </c>
      <c r="M171" s="63">
        <f t="shared" si="38"/>
        <v>0</v>
      </c>
      <c r="N171" s="82"/>
      <c r="O171" s="38">
        <v>7</v>
      </c>
      <c r="P171" s="38">
        <v>8</v>
      </c>
      <c r="Q171" s="63">
        <f t="shared" si="39"/>
        <v>0</v>
      </c>
      <c r="R171" s="63">
        <v>1.5810000000000001E-2</v>
      </c>
      <c r="T171" s="63"/>
      <c r="U171" s="43">
        <f t="shared" si="40"/>
        <v>0</v>
      </c>
    </row>
    <row r="172" spans="1:21" x14ac:dyDescent="0.3">
      <c r="A172" s="12" t="s">
        <v>34</v>
      </c>
      <c r="B172" s="90">
        <v>698850</v>
      </c>
      <c r="C172" s="90">
        <v>2982664600</v>
      </c>
      <c r="D172" s="63">
        <f t="shared" si="33"/>
        <v>6.9885000000000003E-2</v>
      </c>
      <c r="E172" s="84">
        <f t="shared" si="34"/>
        <v>8.5359221578307221</v>
      </c>
      <c r="F172" s="82"/>
      <c r="G172" s="12" t="s">
        <v>34</v>
      </c>
      <c r="H172" s="80">
        <v>0</v>
      </c>
      <c r="I172" s="63">
        <f t="shared" si="35"/>
        <v>6.9885000000000003E-2</v>
      </c>
      <c r="J172" s="63">
        <f t="shared" si="36"/>
        <v>0</v>
      </c>
      <c r="K172" s="81">
        <v>0</v>
      </c>
      <c r="L172" s="63">
        <f t="shared" si="37"/>
        <v>0</v>
      </c>
      <c r="M172" s="63">
        <f t="shared" si="38"/>
        <v>0</v>
      </c>
      <c r="N172" s="82"/>
      <c r="O172" s="38">
        <v>8</v>
      </c>
      <c r="P172" s="38">
        <v>9</v>
      </c>
      <c r="Q172" s="63">
        <f t="shared" si="39"/>
        <v>0</v>
      </c>
      <c r="R172" s="63">
        <v>2.3719999999999998E-2</v>
      </c>
      <c r="T172" s="63"/>
      <c r="U172" s="43">
        <f t="shared" si="40"/>
        <v>0</v>
      </c>
    </row>
    <row r="173" spans="1:21" x14ac:dyDescent="0.3">
      <c r="A173" s="12" t="s">
        <v>35</v>
      </c>
      <c r="B173" s="90">
        <v>762827</v>
      </c>
      <c r="C173" s="90">
        <v>3635592975</v>
      </c>
      <c r="D173" s="63">
        <f t="shared" si="33"/>
        <v>7.6282699999999995E-2</v>
      </c>
      <c r="E173" s="84">
        <f t="shared" si="34"/>
        <v>9.5318937976762754</v>
      </c>
      <c r="F173" s="82"/>
      <c r="G173" s="12" t="s">
        <v>35</v>
      </c>
      <c r="H173" s="80">
        <v>0</v>
      </c>
      <c r="I173" s="63">
        <f t="shared" si="35"/>
        <v>7.6282699999999995E-2</v>
      </c>
      <c r="J173" s="63">
        <f t="shared" si="36"/>
        <v>0</v>
      </c>
      <c r="K173" s="81">
        <v>0</v>
      </c>
      <c r="L173" s="63">
        <f t="shared" si="37"/>
        <v>0</v>
      </c>
      <c r="M173" s="63">
        <f t="shared" si="38"/>
        <v>0</v>
      </c>
      <c r="N173" s="82"/>
      <c r="O173" s="38">
        <v>9</v>
      </c>
      <c r="P173" s="38">
        <v>10</v>
      </c>
      <c r="Q173" s="63">
        <f t="shared" si="39"/>
        <v>0</v>
      </c>
      <c r="R173" s="63">
        <v>0</v>
      </c>
      <c r="T173" s="63"/>
      <c r="U173" s="43">
        <f t="shared" si="40"/>
        <v>0</v>
      </c>
    </row>
    <row r="174" spans="1:21" x14ac:dyDescent="0.3">
      <c r="A174" s="12" t="s">
        <v>36</v>
      </c>
      <c r="B174" s="90">
        <v>4182387</v>
      </c>
      <c r="C174" s="90">
        <v>26250689600</v>
      </c>
      <c r="D174" s="63">
        <f t="shared" si="33"/>
        <v>0.41823870000000002</v>
      </c>
      <c r="E174" s="84">
        <f t="shared" si="34"/>
        <v>12.552970157950472</v>
      </c>
      <c r="F174" s="82"/>
      <c r="G174" s="12" t="s">
        <v>36</v>
      </c>
      <c r="H174" s="80">
        <v>0</v>
      </c>
      <c r="I174" s="63">
        <f t="shared" si="35"/>
        <v>0.41823870000000002</v>
      </c>
      <c r="J174" s="63">
        <f t="shared" si="36"/>
        <v>0</v>
      </c>
      <c r="K174" s="81">
        <v>0</v>
      </c>
      <c r="L174" s="63">
        <f t="shared" si="37"/>
        <v>0</v>
      </c>
      <c r="M174" s="63">
        <f t="shared" si="38"/>
        <v>0</v>
      </c>
      <c r="N174" s="82"/>
      <c r="O174" s="38">
        <v>10</v>
      </c>
      <c r="P174" s="38">
        <v>15</v>
      </c>
      <c r="Q174" s="63">
        <f t="shared" si="39"/>
        <v>0</v>
      </c>
      <c r="R174" s="63">
        <v>3.9529999999999996E-2</v>
      </c>
      <c r="T174" s="63"/>
      <c r="U174" s="43">
        <f t="shared" si="40"/>
        <v>0</v>
      </c>
    </row>
    <row r="175" spans="1:21" x14ac:dyDescent="0.3">
      <c r="A175" s="12" t="s">
        <v>37</v>
      </c>
      <c r="B175" s="90">
        <v>4178241</v>
      </c>
      <c r="C175" s="90">
        <v>36572728875</v>
      </c>
      <c r="D175" s="63">
        <f t="shared" si="33"/>
        <v>0.41782409999999998</v>
      </c>
      <c r="E175" s="84">
        <f t="shared" si="34"/>
        <v>17.506280214568765</v>
      </c>
      <c r="F175" s="82"/>
      <c r="G175" s="12" t="s">
        <v>37</v>
      </c>
      <c r="H175" s="80">
        <v>0</v>
      </c>
      <c r="I175" s="63">
        <f t="shared" si="35"/>
        <v>0.41782409999999998</v>
      </c>
      <c r="J175" s="63">
        <f t="shared" si="36"/>
        <v>0</v>
      </c>
      <c r="K175" s="81">
        <v>0</v>
      </c>
      <c r="L175" s="63">
        <f t="shared" si="37"/>
        <v>0</v>
      </c>
      <c r="M175" s="63">
        <f t="shared" si="38"/>
        <v>0</v>
      </c>
      <c r="N175" s="82"/>
      <c r="O175" s="38">
        <v>15</v>
      </c>
      <c r="P175" s="38">
        <v>20</v>
      </c>
      <c r="Q175" s="63">
        <f t="shared" si="39"/>
        <v>0</v>
      </c>
      <c r="R175" s="63">
        <v>6.719E-2</v>
      </c>
      <c r="T175" s="63"/>
      <c r="U175" s="43">
        <f t="shared" si="40"/>
        <v>0</v>
      </c>
    </row>
    <row r="176" spans="1:21" x14ac:dyDescent="0.3">
      <c r="A176" s="12" t="s">
        <v>38</v>
      </c>
      <c r="B176" s="90">
        <v>3933148</v>
      </c>
      <c r="C176" s="90">
        <v>44239791700</v>
      </c>
      <c r="D176" s="63">
        <f t="shared" si="33"/>
        <v>0.39331480000000002</v>
      </c>
      <c r="E176" s="84">
        <f t="shared" si="34"/>
        <v>22.495869313842245</v>
      </c>
      <c r="F176" s="82"/>
      <c r="G176" s="12" t="s">
        <v>38</v>
      </c>
      <c r="H176" s="80">
        <v>1.2170284464251</v>
      </c>
      <c r="I176" s="63">
        <f t="shared" si="35"/>
        <v>0.39331480000000002</v>
      </c>
      <c r="J176" s="63">
        <f t="shared" si="36"/>
        <v>4.7867529999999998E-2</v>
      </c>
      <c r="K176" s="81">
        <v>47867530</v>
      </c>
      <c r="L176" s="63">
        <f t="shared" si="37"/>
        <v>4.7867529999999998E-2</v>
      </c>
      <c r="M176" s="63">
        <f t="shared" si="38"/>
        <v>1.076821699256423</v>
      </c>
      <c r="N176" s="82"/>
      <c r="O176" s="38">
        <v>20</v>
      </c>
      <c r="P176" s="38">
        <v>25</v>
      </c>
      <c r="Q176" s="63">
        <f t="shared" si="39"/>
        <v>4.7867529999999998E-2</v>
      </c>
      <c r="R176" s="63">
        <v>3.5569999999999997E-2</v>
      </c>
      <c r="T176" s="63"/>
      <c r="U176" s="43">
        <f t="shared" si="40"/>
        <v>0</v>
      </c>
    </row>
    <row r="177" spans="1:21" x14ac:dyDescent="0.3">
      <c r="A177" s="12" t="s">
        <v>39</v>
      </c>
      <c r="B177" s="90">
        <v>3660982</v>
      </c>
      <c r="C177" s="90">
        <v>50332563875</v>
      </c>
      <c r="D177" s="63">
        <f t="shared" si="33"/>
        <v>0.36609819999999998</v>
      </c>
      <c r="E177" s="84">
        <f t="shared" si="34"/>
        <v>27.496755720186549</v>
      </c>
      <c r="F177" s="82"/>
      <c r="G177" s="12" t="s">
        <v>39</v>
      </c>
      <c r="H177" s="80">
        <v>1.44645644256104</v>
      </c>
      <c r="I177" s="63">
        <f t="shared" si="35"/>
        <v>0.36609819999999998</v>
      </c>
      <c r="J177" s="63">
        <f t="shared" si="36"/>
        <v>5.2954510000000003E-2</v>
      </c>
      <c r="K177" s="81">
        <v>52954510</v>
      </c>
      <c r="L177" s="63">
        <f t="shared" si="37"/>
        <v>5.2954510000000003E-2</v>
      </c>
      <c r="M177" s="63">
        <f t="shared" si="38"/>
        <v>1.4560772257521759</v>
      </c>
      <c r="N177" s="82"/>
      <c r="O177" s="38">
        <v>25</v>
      </c>
      <c r="P177" s="38">
        <v>30</v>
      </c>
      <c r="Q177" s="63">
        <f t="shared" si="39"/>
        <v>5.2954510000000003E-2</v>
      </c>
      <c r="R177" s="63">
        <v>3.9529999999999996E-2</v>
      </c>
      <c r="T177" s="63"/>
      <c r="U177" s="43">
        <f t="shared" si="40"/>
        <v>0</v>
      </c>
    </row>
    <row r="178" spans="1:21" x14ac:dyDescent="0.3">
      <c r="A178" s="12" t="s">
        <v>40</v>
      </c>
      <c r="B178" s="90">
        <v>3422334</v>
      </c>
      <c r="C178" s="90">
        <v>55610483025</v>
      </c>
      <c r="D178" s="63">
        <f t="shared" si="33"/>
        <v>0.34223340000000002</v>
      </c>
      <c r="E178" s="84">
        <f t="shared" si="34"/>
        <v>32.498571457373828</v>
      </c>
      <c r="F178" s="82"/>
      <c r="G178" s="12" t="s">
        <v>40</v>
      </c>
      <c r="H178" s="80">
        <v>2.9270488210677299</v>
      </c>
      <c r="I178" s="63">
        <f t="shared" si="35"/>
        <v>0.34223340000000002</v>
      </c>
      <c r="J178" s="63">
        <f t="shared" si="36"/>
        <v>0.100173387</v>
      </c>
      <c r="K178" s="81">
        <v>100173387</v>
      </c>
      <c r="L178" s="63">
        <f t="shared" si="37"/>
        <v>0.100173387</v>
      </c>
      <c r="M178" s="63">
        <f t="shared" si="38"/>
        <v>3.2554919755466627</v>
      </c>
      <c r="N178" s="82"/>
      <c r="O178" s="38">
        <v>30</v>
      </c>
      <c r="P178" s="38">
        <v>35</v>
      </c>
      <c r="Q178" s="63">
        <f t="shared" si="39"/>
        <v>0.100173387</v>
      </c>
      <c r="R178" s="63">
        <v>7.51E-2</v>
      </c>
      <c r="T178" s="63"/>
      <c r="U178" s="43">
        <f t="shared" si="40"/>
        <v>0</v>
      </c>
    </row>
    <row r="179" spans="1:21" x14ac:dyDescent="0.3">
      <c r="A179" s="12" t="s">
        <v>41</v>
      </c>
      <c r="B179" s="90">
        <v>3213747</v>
      </c>
      <c r="C179" s="90">
        <v>60256708900</v>
      </c>
      <c r="D179" s="63">
        <f t="shared" si="33"/>
        <v>0.32137470000000001</v>
      </c>
      <c r="E179" s="84">
        <f t="shared" si="34"/>
        <v>37.499348206314934</v>
      </c>
      <c r="F179" s="82"/>
      <c r="G179" s="12" t="s">
        <v>41</v>
      </c>
      <c r="H179" s="80">
        <v>1.79666672578769</v>
      </c>
      <c r="I179" s="63">
        <f t="shared" si="35"/>
        <v>0.32137470000000001</v>
      </c>
      <c r="J179" s="63">
        <f t="shared" si="36"/>
        <v>5.7740323000000003E-2</v>
      </c>
      <c r="K179" s="81">
        <v>57740323</v>
      </c>
      <c r="L179" s="63">
        <f t="shared" si="37"/>
        <v>5.7740323000000003E-2</v>
      </c>
      <c r="M179" s="63">
        <f t="shared" si="38"/>
        <v>2.165224477722095</v>
      </c>
      <c r="N179" s="82"/>
      <c r="O179" s="38">
        <v>35</v>
      </c>
      <c r="P179" s="38">
        <v>40</v>
      </c>
      <c r="Q179" s="63">
        <f t="shared" si="39"/>
        <v>5.7740323000000003E-2</v>
      </c>
      <c r="R179" s="63">
        <v>4.3479999999999998E-2</v>
      </c>
      <c r="T179" s="63"/>
      <c r="U179" s="43">
        <f t="shared" si="40"/>
        <v>0</v>
      </c>
    </row>
    <row r="180" spans="1:21" x14ac:dyDescent="0.3">
      <c r="A180" s="12" t="s">
        <v>42</v>
      </c>
      <c r="B180" s="90">
        <v>3013224</v>
      </c>
      <c r="C180" s="90">
        <v>64031926775</v>
      </c>
      <c r="D180" s="63">
        <f t="shared" si="33"/>
        <v>0.30132239999999999</v>
      </c>
      <c r="E180" s="84">
        <f t="shared" si="34"/>
        <v>42.500608501060654</v>
      </c>
      <c r="F180" s="82"/>
      <c r="G180" s="12" t="s">
        <v>42</v>
      </c>
      <c r="H180" s="80">
        <v>1.7343399959644601</v>
      </c>
      <c r="I180" s="63">
        <f t="shared" si="35"/>
        <v>0.30132239999999999</v>
      </c>
      <c r="J180" s="63">
        <f t="shared" si="36"/>
        <v>5.2259549000000002E-2</v>
      </c>
      <c r="K180" s="81">
        <v>52259549</v>
      </c>
      <c r="L180" s="63">
        <f t="shared" si="37"/>
        <v>5.2259549000000002E-2</v>
      </c>
      <c r="M180" s="63">
        <f t="shared" si="38"/>
        <v>2.2210626324909959</v>
      </c>
      <c r="N180" s="82"/>
      <c r="O180" s="38">
        <v>40</v>
      </c>
      <c r="P180" s="38">
        <v>45</v>
      </c>
      <c r="Q180" s="63">
        <f t="shared" si="39"/>
        <v>5.2259549000000002E-2</v>
      </c>
      <c r="R180" s="63">
        <v>3.9529999999999996E-2</v>
      </c>
      <c r="T180" s="63"/>
      <c r="U180" s="43">
        <f t="shared" si="40"/>
        <v>0</v>
      </c>
    </row>
    <row r="181" spans="1:21" x14ac:dyDescent="0.3">
      <c r="A181" s="12" t="s">
        <v>43</v>
      </c>
      <c r="B181" s="90">
        <v>2844186</v>
      </c>
      <c r="C181" s="90">
        <v>67551907375</v>
      </c>
      <c r="D181" s="63">
        <f t="shared" si="33"/>
        <v>0.28441860000000002</v>
      </c>
      <c r="E181" s="84">
        <f t="shared" si="34"/>
        <v>47.501750852440729</v>
      </c>
      <c r="F181" s="82"/>
      <c r="G181" s="12" t="s">
        <v>43</v>
      </c>
      <c r="H181" s="80">
        <v>2.0121994131185499</v>
      </c>
      <c r="I181" s="63">
        <f t="shared" si="35"/>
        <v>0.28441860000000002</v>
      </c>
      <c r="J181" s="63">
        <f t="shared" si="36"/>
        <v>5.7230693999999999E-2</v>
      </c>
      <c r="K181" s="81">
        <v>57230694</v>
      </c>
      <c r="L181" s="63">
        <f t="shared" si="37"/>
        <v>5.7230693999999999E-2</v>
      </c>
      <c r="M181" s="63">
        <f t="shared" si="38"/>
        <v>2.7185581675002743</v>
      </c>
      <c r="N181" s="82"/>
      <c r="O181" s="38">
        <v>45</v>
      </c>
      <c r="P181" s="38">
        <v>50</v>
      </c>
      <c r="Q181" s="63">
        <f t="shared" si="39"/>
        <v>5.7230693999999999E-2</v>
      </c>
      <c r="R181" s="63">
        <v>4.3479999999999998E-2</v>
      </c>
      <c r="T181" s="63"/>
      <c r="U181" s="43">
        <f t="shared" si="40"/>
        <v>0</v>
      </c>
    </row>
    <row r="182" spans="1:21" x14ac:dyDescent="0.3">
      <c r="A182" s="12" t="s">
        <v>44</v>
      </c>
      <c r="B182" s="90">
        <v>5221251</v>
      </c>
      <c r="C182" s="90">
        <v>143407859850</v>
      </c>
      <c r="D182" s="63">
        <f t="shared" si="33"/>
        <v>0.52212510000000001</v>
      </c>
      <c r="E182" s="84">
        <f t="shared" si="34"/>
        <v>54.932375344529504</v>
      </c>
      <c r="F182" s="82"/>
      <c r="G182" s="12" t="s">
        <v>44</v>
      </c>
      <c r="H182" s="80">
        <v>2.6726558826610698</v>
      </c>
      <c r="I182" s="63">
        <f t="shared" si="35"/>
        <v>0.52212510000000001</v>
      </c>
      <c r="J182" s="63">
        <f t="shared" si="36"/>
        <v>0.13954607199999999</v>
      </c>
      <c r="K182" s="81">
        <v>139546072</v>
      </c>
      <c r="L182" s="63">
        <f t="shared" si="37"/>
        <v>0.13954607199999999</v>
      </c>
      <c r="M182" s="63">
        <f t="shared" si="38"/>
        <v>7.6655972049587389</v>
      </c>
      <c r="N182" s="82"/>
      <c r="O182" s="38">
        <v>50</v>
      </c>
      <c r="P182" s="38">
        <v>60</v>
      </c>
      <c r="Q182" s="63">
        <f t="shared" si="39"/>
        <v>0.13954607199999999</v>
      </c>
      <c r="R182" s="63">
        <v>0.10672000000000001</v>
      </c>
      <c r="T182" s="63"/>
      <c r="U182" s="43">
        <f t="shared" si="40"/>
        <v>0</v>
      </c>
    </row>
    <row r="183" spans="1:21" x14ac:dyDescent="0.3">
      <c r="A183" s="12" t="s">
        <v>45</v>
      </c>
      <c r="B183" s="90">
        <v>4682884</v>
      </c>
      <c r="C183" s="90">
        <v>152046399050</v>
      </c>
      <c r="D183" s="63">
        <f t="shared" si="33"/>
        <v>0.46828839999999999</v>
      </c>
      <c r="E183" s="84">
        <f t="shared" si="34"/>
        <v>64.937076831286021</v>
      </c>
      <c r="F183" s="82"/>
      <c r="G183" s="12" t="s">
        <v>45</v>
      </c>
      <c r="H183" s="80">
        <v>1.2031549788549101</v>
      </c>
      <c r="I183" s="63">
        <f t="shared" si="35"/>
        <v>0.46828839999999999</v>
      </c>
      <c r="J183" s="63">
        <f t="shared" si="36"/>
        <v>5.6342351999999998E-2</v>
      </c>
      <c r="K183" s="81">
        <v>56342352</v>
      </c>
      <c r="L183" s="63">
        <f t="shared" si="37"/>
        <v>5.6342351999999998E-2</v>
      </c>
      <c r="M183" s="63">
        <f t="shared" si="38"/>
        <v>3.6587076406793613</v>
      </c>
      <c r="N183" s="82"/>
      <c r="O183" s="38">
        <v>60</v>
      </c>
      <c r="P183" s="38">
        <v>70</v>
      </c>
      <c r="Q183" s="63">
        <f t="shared" si="39"/>
        <v>5.6342351999999998E-2</v>
      </c>
      <c r="R183" s="63">
        <v>4.3479999999999998E-2</v>
      </c>
      <c r="T183" s="63"/>
      <c r="U183" s="43">
        <f t="shared" si="40"/>
        <v>0</v>
      </c>
    </row>
    <row r="184" spans="1:21" x14ac:dyDescent="0.3">
      <c r="A184" s="12" t="s">
        <v>46</v>
      </c>
      <c r="B184" s="90">
        <v>4214802</v>
      </c>
      <c r="C184" s="90">
        <v>157931775950</v>
      </c>
      <c r="D184" s="63">
        <f t="shared" si="33"/>
        <v>0.42148020000000003</v>
      </c>
      <c r="E184" s="84">
        <f t="shared" si="34"/>
        <v>74.941492364291378</v>
      </c>
      <c r="F184" s="82"/>
      <c r="G184" s="12" t="s">
        <v>46</v>
      </c>
      <c r="H184" s="80">
        <v>1.2042541500170101</v>
      </c>
      <c r="I184" s="63">
        <f t="shared" si="35"/>
        <v>0.42148020000000003</v>
      </c>
      <c r="J184" s="63">
        <f t="shared" si="36"/>
        <v>5.0756928E-2</v>
      </c>
      <c r="K184" s="81">
        <v>50756928</v>
      </c>
      <c r="L184" s="63">
        <f t="shared" si="37"/>
        <v>5.0756928E-2</v>
      </c>
      <c r="M184" s="63">
        <f t="shared" si="38"/>
        <v>3.8037999321468874</v>
      </c>
      <c r="N184" s="82"/>
      <c r="O184" s="38">
        <v>70</v>
      </c>
      <c r="P184" s="38">
        <v>80</v>
      </c>
      <c r="Q184" s="63">
        <f t="shared" si="39"/>
        <v>5.0756928E-2</v>
      </c>
      <c r="R184" s="63">
        <v>3.9529999999999996E-2</v>
      </c>
      <c r="T184" s="63"/>
      <c r="U184" s="43">
        <f t="shared" si="40"/>
        <v>0</v>
      </c>
    </row>
    <row r="185" spans="1:21" x14ac:dyDescent="0.3">
      <c r="A185" s="12" t="s">
        <v>47</v>
      </c>
      <c r="B185" s="90">
        <v>3808760</v>
      </c>
      <c r="C185" s="90">
        <v>161760501375</v>
      </c>
      <c r="D185" s="63">
        <f t="shared" si="33"/>
        <v>0.38087599999999999</v>
      </c>
      <c r="E185" s="84">
        <f t="shared" si="34"/>
        <v>84.941293951312247</v>
      </c>
      <c r="F185" s="82"/>
      <c r="G185" s="12" t="s">
        <v>47</v>
      </c>
      <c r="H185" s="80">
        <v>1.18842809733352</v>
      </c>
      <c r="I185" s="63">
        <f t="shared" si="35"/>
        <v>0.38087599999999999</v>
      </c>
      <c r="J185" s="63">
        <f t="shared" si="36"/>
        <v>4.5264374000000003E-2</v>
      </c>
      <c r="K185" s="81">
        <v>45264374</v>
      </c>
      <c r="L185" s="63">
        <f t="shared" si="37"/>
        <v>4.5264374000000003E-2</v>
      </c>
      <c r="M185" s="63">
        <f t="shared" si="38"/>
        <v>3.8448144974561358</v>
      </c>
      <c r="N185" s="82"/>
      <c r="O185" s="38">
        <v>80</v>
      </c>
      <c r="P185" s="38">
        <v>90</v>
      </c>
      <c r="Q185" s="63">
        <f t="shared" si="39"/>
        <v>4.5264374000000003E-2</v>
      </c>
      <c r="R185" s="63">
        <v>3.5569999999999997E-2</v>
      </c>
      <c r="T185" s="63"/>
      <c r="U185" s="43">
        <f t="shared" si="40"/>
        <v>0</v>
      </c>
    </row>
    <row r="186" spans="1:21" x14ac:dyDescent="0.3">
      <c r="A186" s="12" t="s">
        <v>48</v>
      </c>
      <c r="B186" s="90">
        <v>3455167</v>
      </c>
      <c r="C186" s="90">
        <v>164026775175</v>
      </c>
      <c r="D186" s="63">
        <f t="shared" si="33"/>
        <v>0.34551670000000001</v>
      </c>
      <c r="E186" s="84">
        <f t="shared" si="34"/>
        <v>94.945787092201343</v>
      </c>
      <c r="F186" s="82"/>
      <c r="G186" s="12" t="s">
        <v>48</v>
      </c>
      <c r="H186" s="80">
        <v>1.15375844351373</v>
      </c>
      <c r="I186" s="63">
        <f t="shared" si="35"/>
        <v>0.34551670000000001</v>
      </c>
      <c r="J186" s="63">
        <f t="shared" si="36"/>
        <v>3.9864281000000001E-2</v>
      </c>
      <c r="K186" s="81">
        <v>39864281</v>
      </c>
      <c r="L186" s="63">
        <f t="shared" si="37"/>
        <v>3.9864281000000001E-2</v>
      </c>
      <c r="M186" s="63">
        <f t="shared" si="38"/>
        <v>3.7849455364096873</v>
      </c>
      <c r="N186" s="82"/>
      <c r="O186" s="38">
        <v>90</v>
      </c>
      <c r="P186" s="38">
        <v>100</v>
      </c>
      <c r="Q186" s="63">
        <f t="shared" si="39"/>
        <v>3.9864281000000001E-2</v>
      </c>
      <c r="R186" s="63">
        <v>3.1620000000000002E-2</v>
      </c>
      <c r="T186" s="63"/>
      <c r="U186" s="43">
        <f t="shared" si="40"/>
        <v>0</v>
      </c>
    </row>
    <row r="187" spans="1:21" x14ac:dyDescent="0.3">
      <c r="A187" s="12" t="s">
        <v>49</v>
      </c>
      <c r="B187" s="90">
        <v>6012448</v>
      </c>
      <c r="C187" s="90">
        <v>329838156225</v>
      </c>
      <c r="D187" s="63">
        <f t="shared" si="33"/>
        <v>0.60124480000000002</v>
      </c>
      <c r="E187" s="84">
        <f t="shared" si="34"/>
        <v>109.71842292024812</v>
      </c>
      <c r="F187" s="82"/>
      <c r="G187" s="12" t="s">
        <v>49</v>
      </c>
      <c r="H187" s="80">
        <v>0.89406940400981405</v>
      </c>
      <c r="I187" s="63">
        <f t="shared" si="35"/>
        <v>0.60124480000000002</v>
      </c>
      <c r="J187" s="63">
        <f t="shared" si="36"/>
        <v>5.3755457999999999E-2</v>
      </c>
      <c r="K187" s="81">
        <v>53755458</v>
      </c>
      <c r="L187" s="63">
        <f t="shared" si="37"/>
        <v>5.3755457999999999E-2</v>
      </c>
      <c r="M187" s="63">
        <f t="shared" si="38"/>
        <v>5.8979640751156346</v>
      </c>
      <c r="N187" s="82"/>
      <c r="O187" s="38">
        <v>100</v>
      </c>
      <c r="P187" s="38">
        <v>120</v>
      </c>
      <c r="Q187" s="63">
        <f t="shared" si="39"/>
        <v>5.3755457999999999E-2</v>
      </c>
      <c r="R187" s="63">
        <v>4.3479999999999998E-2</v>
      </c>
      <c r="T187" s="63"/>
      <c r="U187" s="43">
        <f t="shared" si="40"/>
        <v>0</v>
      </c>
    </row>
    <row r="188" spans="1:21" x14ac:dyDescent="0.3">
      <c r="A188" s="12" t="s">
        <v>50</v>
      </c>
      <c r="B188" s="90">
        <v>5017940</v>
      </c>
      <c r="C188" s="90">
        <v>325484189700</v>
      </c>
      <c r="D188" s="63">
        <f t="shared" si="33"/>
        <v>0.50179399999999996</v>
      </c>
      <c r="E188" s="84">
        <f t="shared" si="34"/>
        <v>129.72821105872131</v>
      </c>
      <c r="F188" s="82"/>
      <c r="G188" s="12" t="s">
        <v>50</v>
      </c>
      <c r="H188" s="80">
        <v>1.5286518571365899</v>
      </c>
      <c r="I188" s="63">
        <f t="shared" si="35"/>
        <v>0.50179399999999996</v>
      </c>
      <c r="J188" s="63">
        <f t="shared" si="36"/>
        <v>7.6706833000000002E-2</v>
      </c>
      <c r="K188" s="81">
        <v>76706833</v>
      </c>
      <c r="L188" s="63">
        <f t="shared" si="37"/>
        <v>7.6706833000000002E-2</v>
      </c>
      <c r="M188" s="63">
        <f t="shared" si="38"/>
        <v>9.9510402210700892</v>
      </c>
      <c r="N188" s="82"/>
      <c r="O188" s="38">
        <v>120</v>
      </c>
      <c r="P188" s="38">
        <v>140</v>
      </c>
      <c r="Q188" s="63">
        <f t="shared" si="39"/>
        <v>7.6706833000000002E-2</v>
      </c>
      <c r="R188" s="63">
        <v>6.3240000000000005E-2</v>
      </c>
      <c r="T188" s="63"/>
      <c r="U188" s="43">
        <f t="shared" si="40"/>
        <v>0</v>
      </c>
    </row>
    <row r="189" spans="1:21" x14ac:dyDescent="0.3">
      <c r="A189" s="12" t="s">
        <v>51</v>
      </c>
      <c r="B189" s="90">
        <v>4218303</v>
      </c>
      <c r="C189" s="90">
        <v>315833495375</v>
      </c>
      <c r="D189" s="63">
        <f t="shared" si="33"/>
        <v>0.42183029999999999</v>
      </c>
      <c r="E189" s="84">
        <f t="shared" si="34"/>
        <v>149.74433812601893</v>
      </c>
      <c r="F189" s="82"/>
      <c r="G189" s="12" t="s">
        <v>51</v>
      </c>
      <c r="H189" s="80">
        <v>0.72956871519186695</v>
      </c>
      <c r="I189" s="63">
        <f t="shared" si="35"/>
        <v>0.42183029999999999</v>
      </c>
      <c r="J189" s="63">
        <f t="shared" si="36"/>
        <v>3.0775418999999998E-2</v>
      </c>
      <c r="K189" s="81">
        <v>30775419</v>
      </c>
      <c r="L189" s="63">
        <f t="shared" si="37"/>
        <v>3.0775418999999998E-2</v>
      </c>
      <c r="M189" s="63">
        <f t="shared" si="38"/>
        <v>4.6084447487059075</v>
      </c>
      <c r="N189" s="82"/>
      <c r="O189" s="38">
        <v>140</v>
      </c>
      <c r="P189" s="38">
        <v>160</v>
      </c>
      <c r="Q189" s="63">
        <f t="shared" si="39"/>
        <v>3.0775418999999998E-2</v>
      </c>
      <c r="R189" s="63">
        <v>2.767E-2</v>
      </c>
      <c r="T189" s="63"/>
      <c r="U189" s="43">
        <f t="shared" si="40"/>
        <v>0</v>
      </c>
    </row>
    <row r="190" spans="1:21" x14ac:dyDescent="0.3">
      <c r="A190" s="12" t="s">
        <v>52</v>
      </c>
      <c r="B190" s="90">
        <v>3570593</v>
      </c>
      <c r="C190" s="90">
        <v>303059416600</v>
      </c>
      <c r="D190" s="63">
        <f t="shared" si="33"/>
        <v>0.35705930000000002</v>
      </c>
      <c r="E190" s="84">
        <f t="shared" si="34"/>
        <v>169.75298870523747</v>
      </c>
      <c r="F190" s="82"/>
      <c r="G190" s="12" t="s">
        <v>52</v>
      </c>
      <c r="H190" s="80">
        <v>0.67196152011724697</v>
      </c>
      <c r="I190" s="63">
        <f t="shared" si="35"/>
        <v>0.35705930000000002</v>
      </c>
      <c r="J190" s="63">
        <f t="shared" si="36"/>
        <v>2.3993011000000002E-2</v>
      </c>
      <c r="K190" s="81">
        <v>23993011</v>
      </c>
      <c r="L190" s="63">
        <f t="shared" si="37"/>
        <v>2.3993011000000002E-2</v>
      </c>
      <c r="M190" s="63">
        <f t="shared" si="38"/>
        <v>4.0728853252876389</v>
      </c>
      <c r="N190" s="82"/>
      <c r="O190" s="38">
        <v>160</v>
      </c>
      <c r="P190" s="38">
        <v>180</v>
      </c>
      <c r="Q190" s="63">
        <f t="shared" si="39"/>
        <v>2.3993011000000002E-2</v>
      </c>
      <c r="R190" s="63">
        <v>2.3719999999999998E-2</v>
      </c>
      <c r="T190" s="63"/>
      <c r="U190" s="43">
        <f t="shared" si="40"/>
        <v>0</v>
      </c>
    </row>
    <row r="191" spans="1:21" x14ac:dyDescent="0.3">
      <c r="A191" s="12" t="s">
        <v>53</v>
      </c>
      <c r="B191" s="90">
        <v>3045777</v>
      </c>
      <c r="C191" s="90">
        <v>288980255725</v>
      </c>
      <c r="D191" s="63">
        <f t="shared" si="33"/>
        <v>0.30457770000000001</v>
      </c>
      <c r="E191" s="84">
        <f t="shared" si="34"/>
        <v>189.75798669764725</v>
      </c>
      <c r="F191" s="82"/>
      <c r="G191" s="12" t="s">
        <v>53</v>
      </c>
      <c r="H191" s="80">
        <v>0.769493170379841</v>
      </c>
      <c r="I191" s="63">
        <f t="shared" si="35"/>
        <v>0.30457770000000001</v>
      </c>
      <c r="J191" s="63">
        <f t="shared" si="36"/>
        <v>2.3437046E-2</v>
      </c>
      <c r="K191" s="81">
        <v>23437046</v>
      </c>
      <c r="L191" s="63">
        <f t="shared" si="37"/>
        <v>2.3437046E-2</v>
      </c>
      <c r="M191" s="63">
        <f t="shared" si="38"/>
        <v>4.4473666631001469</v>
      </c>
      <c r="N191" s="82"/>
      <c r="O191" s="38">
        <v>180</v>
      </c>
      <c r="P191" s="38">
        <v>200</v>
      </c>
      <c r="Q191" s="63">
        <f t="shared" si="39"/>
        <v>2.3437046E-2</v>
      </c>
      <c r="R191" s="63">
        <v>2.3719999999999998E-2</v>
      </c>
      <c r="T191" s="63"/>
      <c r="U191" s="43">
        <f t="shared" si="40"/>
        <v>0</v>
      </c>
    </row>
    <row r="192" spans="1:21" x14ac:dyDescent="0.3">
      <c r="A192" s="12" t="s">
        <v>54</v>
      </c>
      <c r="B192" s="90">
        <v>5871341</v>
      </c>
      <c r="C192" s="90">
        <v>656110802000</v>
      </c>
      <c r="D192" s="63">
        <f t="shared" si="33"/>
        <v>0.58713409999999999</v>
      </c>
      <c r="E192" s="84">
        <f t="shared" si="34"/>
        <v>223.49606401672122</v>
      </c>
      <c r="F192" s="82"/>
      <c r="G192" s="12" t="s">
        <v>54</v>
      </c>
      <c r="H192" s="80">
        <v>0.70254728860067905</v>
      </c>
      <c r="I192" s="63">
        <f t="shared" si="35"/>
        <v>0.58713409999999999</v>
      </c>
      <c r="J192" s="63">
        <f t="shared" si="36"/>
        <v>4.1248947000000001E-2</v>
      </c>
      <c r="K192" s="81">
        <v>41248947</v>
      </c>
      <c r="L192" s="63">
        <f t="shared" si="37"/>
        <v>4.1248947000000001E-2</v>
      </c>
      <c r="M192" s="63">
        <f t="shared" si="38"/>
        <v>9.2189772993343411</v>
      </c>
      <c r="N192" s="82"/>
      <c r="O192" s="38">
        <v>200</v>
      </c>
      <c r="P192" s="38">
        <v>250</v>
      </c>
      <c r="Q192" s="63">
        <f t="shared" si="39"/>
        <v>4.1248947000000001E-2</v>
      </c>
      <c r="R192" s="63">
        <v>4.3479999999999998E-2</v>
      </c>
      <c r="T192" s="63"/>
      <c r="U192" s="43">
        <f t="shared" si="40"/>
        <v>0</v>
      </c>
    </row>
    <row r="193" spans="1:21" x14ac:dyDescent="0.3">
      <c r="A193" s="12" t="s">
        <v>55</v>
      </c>
      <c r="B193" s="90">
        <v>4126274</v>
      </c>
      <c r="C193" s="90">
        <v>564503446125</v>
      </c>
      <c r="D193" s="63">
        <f t="shared" si="33"/>
        <v>0.41262739999999998</v>
      </c>
      <c r="E193" s="84">
        <f t="shared" si="34"/>
        <v>273.61413523435431</v>
      </c>
      <c r="F193" s="82"/>
      <c r="G193" s="12" t="s">
        <v>55</v>
      </c>
      <c r="H193" s="80">
        <v>0.25575824581692802</v>
      </c>
      <c r="I193" s="63">
        <f t="shared" si="35"/>
        <v>0.41262739999999998</v>
      </c>
      <c r="J193" s="63">
        <f t="shared" si="36"/>
        <v>1.0553286E-2</v>
      </c>
      <c r="K193" s="81">
        <v>10553286</v>
      </c>
      <c r="L193" s="63">
        <f t="shared" si="37"/>
        <v>1.0553286E-2</v>
      </c>
      <c r="M193" s="63">
        <f t="shared" si="38"/>
        <v>2.8875282227708179</v>
      </c>
      <c r="N193" s="82"/>
      <c r="O193" s="38">
        <v>250</v>
      </c>
      <c r="P193" s="38">
        <v>300</v>
      </c>
      <c r="Q193" s="63">
        <f t="shared" si="39"/>
        <v>1.0553286E-2</v>
      </c>
      <c r="R193" s="63">
        <v>1.1859999999999999E-2</v>
      </c>
      <c r="T193" s="63"/>
      <c r="U193" s="43">
        <f t="shared" si="40"/>
        <v>0</v>
      </c>
    </row>
    <row r="194" spans="1:21" x14ac:dyDescent="0.3">
      <c r="A194" s="12" t="s">
        <v>56</v>
      </c>
      <c r="B194" s="90">
        <v>2971964</v>
      </c>
      <c r="C194" s="90">
        <v>481066855400</v>
      </c>
      <c r="D194" s="63">
        <f t="shared" si="33"/>
        <v>0.29719640000000003</v>
      </c>
      <c r="E194" s="84">
        <f t="shared" si="34"/>
        <v>323.7366639703576</v>
      </c>
      <c r="F194" s="82"/>
      <c r="G194" s="12" t="s">
        <v>56</v>
      </c>
      <c r="H194" s="80">
        <v>0.151740128749877</v>
      </c>
      <c r="I194" s="63">
        <f t="shared" si="35"/>
        <v>0.29719640000000003</v>
      </c>
      <c r="J194" s="63">
        <f t="shared" si="36"/>
        <v>4.5096620000000002E-3</v>
      </c>
      <c r="K194" s="81">
        <v>4509662</v>
      </c>
      <c r="L194" s="63">
        <f t="shared" si="37"/>
        <v>4.5096620000000002E-3</v>
      </c>
      <c r="M194" s="63">
        <f t="shared" si="38"/>
        <v>1.4599429315138908</v>
      </c>
      <c r="N194" s="82"/>
      <c r="O194" s="38">
        <v>300</v>
      </c>
      <c r="P194" s="38">
        <v>350</v>
      </c>
      <c r="Q194" s="63">
        <f t="shared" si="39"/>
        <v>4.5096620000000002E-3</v>
      </c>
      <c r="R194" s="63">
        <v>3.9500000000000004E-3</v>
      </c>
      <c r="T194" s="63"/>
      <c r="U194" s="43">
        <f t="shared" si="40"/>
        <v>0</v>
      </c>
    </row>
    <row r="195" spans="1:21" x14ac:dyDescent="0.3">
      <c r="A195" s="12" t="s">
        <v>57</v>
      </c>
      <c r="B195" s="90">
        <v>2196543</v>
      </c>
      <c r="C195" s="90">
        <v>410539850525</v>
      </c>
      <c r="D195" s="63">
        <f t="shared" ref="D195:D226" si="41">IFERROR(B195/$B$161,0)</f>
        <v>0.2196543</v>
      </c>
      <c r="E195" s="84">
        <f t="shared" ref="E195:E226" si="42">IFERROR(C195/B195/500,0)</f>
        <v>373.80543019189696</v>
      </c>
      <c r="F195" s="82"/>
      <c r="G195" s="12" t="s">
        <v>57</v>
      </c>
      <c r="H195" s="80">
        <v>0.38949868042647001</v>
      </c>
      <c r="I195" s="63">
        <f t="shared" ref="I195:I226" si="43">IFERROR(B195/$B$161,0)</f>
        <v>0.2196543</v>
      </c>
      <c r="J195" s="63">
        <f t="shared" ref="J195:J226" si="44">IFERROR(K195/$B$2,0)</f>
        <v>8.5555059999999992E-3</v>
      </c>
      <c r="K195" s="81">
        <v>8555506</v>
      </c>
      <c r="L195" s="63">
        <f t="shared" ref="L195:L226" si="45">IFERROR(K195/$B$2,0)</f>
        <v>8.5555059999999992E-3</v>
      </c>
      <c r="M195" s="63">
        <f t="shared" ref="M195:M226" si="46">IFERROR(L195*E195,0)</f>
        <v>3.1980946008393554</v>
      </c>
      <c r="N195" s="82"/>
      <c r="O195" s="38">
        <v>350</v>
      </c>
      <c r="P195" s="38">
        <v>400</v>
      </c>
      <c r="Q195" s="63">
        <f t="shared" ref="Q195:Q226" si="47">L195</f>
        <v>8.5555059999999992E-3</v>
      </c>
      <c r="R195" s="63">
        <v>7.9100000000000004E-3</v>
      </c>
      <c r="T195" s="63"/>
      <c r="U195" s="43">
        <f t="shared" ref="U195:U226" si="48">IFERROR(ROUND(T195/L195,2),0)</f>
        <v>0</v>
      </c>
    </row>
    <row r="196" spans="1:21" x14ac:dyDescent="0.3">
      <c r="A196" s="12" t="s">
        <v>58</v>
      </c>
      <c r="B196" s="90">
        <v>1656016</v>
      </c>
      <c r="C196" s="90">
        <v>350994696725</v>
      </c>
      <c r="D196" s="63">
        <f t="shared" si="41"/>
        <v>0.16560159999999999</v>
      </c>
      <c r="E196" s="84">
        <f t="shared" si="42"/>
        <v>423.90254288002052</v>
      </c>
      <c r="F196" s="82"/>
      <c r="G196" s="12" t="s">
        <v>58</v>
      </c>
      <c r="H196" s="80">
        <v>0.73291151776311303</v>
      </c>
      <c r="I196" s="63">
        <f t="shared" si="43"/>
        <v>0.16560159999999999</v>
      </c>
      <c r="J196" s="63">
        <f t="shared" si="44"/>
        <v>1.2137132E-2</v>
      </c>
      <c r="K196" s="81">
        <v>12137132</v>
      </c>
      <c r="L196" s="63">
        <f t="shared" si="45"/>
        <v>1.2137132E-2</v>
      </c>
      <c r="M196" s="63">
        <f t="shared" si="46"/>
        <v>5.1449611180704693</v>
      </c>
      <c r="N196" s="82"/>
      <c r="O196" s="38">
        <v>400</v>
      </c>
      <c r="P196" s="38">
        <v>450</v>
      </c>
      <c r="Q196" s="63">
        <f t="shared" si="47"/>
        <v>1.2137132E-2</v>
      </c>
      <c r="R196" s="63">
        <v>1.1859999999999999E-2</v>
      </c>
      <c r="T196" s="63"/>
      <c r="U196" s="43">
        <f t="shared" si="48"/>
        <v>0</v>
      </c>
    </row>
    <row r="197" spans="1:21" x14ac:dyDescent="0.3">
      <c r="A197" s="12" t="s">
        <v>59</v>
      </c>
      <c r="B197" s="90">
        <v>1271695</v>
      </c>
      <c r="C197" s="90">
        <v>301359642450</v>
      </c>
      <c r="D197" s="63">
        <f t="shared" si="41"/>
        <v>0.12716949999999999</v>
      </c>
      <c r="E197" s="84">
        <f t="shared" si="42"/>
        <v>473.94955936761568</v>
      </c>
      <c r="F197" s="82"/>
      <c r="G197" s="12" t="s">
        <v>59</v>
      </c>
      <c r="H197" s="80">
        <v>0.59981324138256398</v>
      </c>
      <c r="I197" s="63">
        <f t="shared" si="43"/>
        <v>0.12716949999999999</v>
      </c>
      <c r="J197" s="63">
        <f t="shared" si="44"/>
        <v>7.6277949999999997E-3</v>
      </c>
      <c r="K197" s="81">
        <v>7627795</v>
      </c>
      <c r="L197" s="63">
        <f t="shared" si="45"/>
        <v>7.6277949999999997E-3</v>
      </c>
      <c r="M197" s="63">
        <f t="shared" si="46"/>
        <v>3.6151900791965019</v>
      </c>
      <c r="N197" s="82"/>
      <c r="O197" s="38">
        <v>450</v>
      </c>
      <c r="P197" s="38">
        <v>500</v>
      </c>
      <c r="Q197" s="63">
        <f t="shared" si="47"/>
        <v>7.6277949999999997E-3</v>
      </c>
      <c r="R197" s="63">
        <v>7.9100000000000004E-3</v>
      </c>
      <c r="T197" s="63"/>
      <c r="U197" s="43">
        <f t="shared" si="48"/>
        <v>0</v>
      </c>
    </row>
    <row r="198" spans="1:21" x14ac:dyDescent="0.3">
      <c r="A198" s="12" t="s">
        <v>60</v>
      </c>
      <c r="B198" s="90">
        <v>994180</v>
      </c>
      <c r="C198" s="90">
        <v>260496934675</v>
      </c>
      <c r="D198" s="63">
        <f t="shared" si="41"/>
        <v>9.9418000000000006E-2</v>
      </c>
      <c r="E198" s="84">
        <f t="shared" si="42"/>
        <v>524.04380429097341</v>
      </c>
      <c r="F198" s="82"/>
      <c r="G198" s="12" t="s">
        <v>60</v>
      </c>
      <c r="H198" s="80">
        <v>0</v>
      </c>
      <c r="I198" s="63">
        <f t="shared" si="43"/>
        <v>9.9418000000000006E-2</v>
      </c>
      <c r="J198" s="63">
        <f t="shared" si="44"/>
        <v>0</v>
      </c>
      <c r="K198" s="81">
        <v>0</v>
      </c>
      <c r="L198" s="63">
        <f t="shared" si="45"/>
        <v>0</v>
      </c>
      <c r="M198" s="63">
        <f t="shared" si="46"/>
        <v>0</v>
      </c>
      <c r="N198" s="82"/>
      <c r="O198" s="38">
        <v>500</v>
      </c>
      <c r="P198" s="38">
        <v>550</v>
      </c>
      <c r="Q198" s="63">
        <f t="shared" si="47"/>
        <v>0</v>
      </c>
      <c r="R198" s="63">
        <v>0</v>
      </c>
      <c r="T198" s="63"/>
      <c r="U198" s="43">
        <f t="shared" si="48"/>
        <v>0</v>
      </c>
    </row>
    <row r="199" spans="1:21" x14ac:dyDescent="0.3">
      <c r="A199" s="12" t="s">
        <v>61</v>
      </c>
      <c r="B199" s="90">
        <v>786641</v>
      </c>
      <c r="C199" s="90">
        <v>225810482775</v>
      </c>
      <c r="D199" s="63">
        <f t="shared" si="41"/>
        <v>7.8664100000000001E-2</v>
      </c>
      <c r="E199" s="84">
        <f t="shared" si="42"/>
        <v>574.11317939187006</v>
      </c>
      <c r="F199" s="82"/>
      <c r="G199" s="12" t="s">
        <v>61</v>
      </c>
      <c r="H199" s="80">
        <v>0.851710627846756</v>
      </c>
      <c r="I199" s="63">
        <f t="shared" si="43"/>
        <v>7.8664100000000001E-2</v>
      </c>
      <c r="J199" s="63">
        <f t="shared" si="44"/>
        <v>6.6999049999999999E-3</v>
      </c>
      <c r="K199" s="81">
        <v>6699905</v>
      </c>
      <c r="L199" s="63">
        <f t="shared" si="45"/>
        <v>6.6999049999999999E-3</v>
      </c>
      <c r="M199" s="63">
        <f t="shared" si="46"/>
        <v>3.8465037611734871</v>
      </c>
      <c r="N199" s="82"/>
      <c r="O199" s="38">
        <v>550</v>
      </c>
      <c r="P199" s="38">
        <v>600</v>
      </c>
      <c r="Q199" s="63">
        <f t="shared" si="47"/>
        <v>6.6999049999999999E-3</v>
      </c>
      <c r="R199" s="63">
        <v>7.9100000000000004E-3</v>
      </c>
      <c r="T199" s="63"/>
      <c r="U199" s="43">
        <f t="shared" si="48"/>
        <v>0</v>
      </c>
    </row>
    <row r="200" spans="1:21" x14ac:dyDescent="0.3">
      <c r="A200" s="12" t="s">
        <v>62</v>
      </c>
      <c r="B200" s="90">
        <v>632559</v>
      </c>
      <c r="C200" s="90">
        <v>197403627875</v>
      </c>
      <c r="D200" s="63">
        <f t="shared" si="41"/>
        <v>6.3255900000000004E-2</v>
      </c>
      <c r="E200" s="84">
        <f t="shared" si="42"/>
        <v>624.14297441029214</v>
      </c>
      <c r="F200" s="82"/>
      <c r="G200" s="12" t="s">
        <v>62</v>
      </c>
      <c r="H200" s="80">
        <v>0</v>
      </c>
      <c r="I200" s="63">
        <f t="shared" si="43"/>
        <v>6.3255900000000004E-2</v>
      </c>
      <c r="J200" s="63">
        <f t="shared" si="44"/>
        <v>0</v>
      </c>
      <c r="K200" s="81">
        <v>0</v>
      </c>
      <c r="L200" s="63">
        <f t="shared" si="45"/>
        <v>0</v>
      </c>
      <c r="M200" s="63">
        <f t="shared" si="46"/>
        <v>0</v>
      </c>
      <c r="N200" s="82"/>
      <c r="O200" s="38">
        <v>600</v>
      </c>
      <c r="P200" s="38">
        <v>650</v>
      </c>
      <c r="Q200" s="63">
        <f t="shared" si="47"/>
        <v>0</v>
      </c>
      <c r="R200" s="63">
        <v>0</v>
      </c>
      <c r="T200" s="63"/>
      <c r="U200" s="43">
        <f t="shared" si="48"/>
        <v>0</v>
      </c>
    </row>
    <row r="201" spans="1:21" x14ac:dyDescent="0.3">
      <c r="A201" s="12" t="s">
        <v>63</v>
      </c>
      <c r="B201" s="90">
        <v>513194</v>
      </c>
      <c r="C201" s="90">
        <v>172987742925</v>
      </c>
      <c r="D201" s="63">
        <f t="shared" si="41"/>
        <v>5.1319400000000001E-2</v>
      </c>
      <c r="E201" s="84">
        <f t="shared" si="42"/>
        <v>674.16120580131496</v>
      </c>
      <c r="F201" s="82"/>
      <c r="G201" s="12" t="s">
        <v>63</v>
      </c>
      <c r="H201" s="80">
        <v>0</v>
      </c>
      <c r="I201" s="63">
        <f t="shared" si="43"/>
        <v>5.1319400000000001E-2</v>
      </c>
      <c r="J201" s="63">
        <f t="shared" si="44"/>
        <v>0</v>
      </c>
      <c r="K201" s="81">
        <v>0</v>
      </c>
      <c r="L201" s="63">
        <f t="shared" si="45"/>
        <v>0</v>
      </c>
      <c r="M201" s="63">
        <f t="shared" si="46"/>
        <v>0</v>
      </c>
      <c r="N201" s="82"/>
      <c r="O201" s="38">
        <v>650</v>
      </c>
      <c r="P201" s="38">
        <v>700</v>
      </c>
      <c r="Q201" s="63">
        <f t="shared" si="47"/>
        <v>0</v>
      </c>
      <c r="R201" s="63">
        <v>0</v>
      </c>
      <c r="T201" s="63"/>
      <c r="U201" s="43">
        <f t="shared" si="48"/>
        <v>0</v>
      </c>
    </row>
    <row r="202" spans="1:21" x14ac:dyDescent="0.3">
      <c r="A202" s="12" t="s">
        <v>64</v>
      </c>
      <c r="B202" s="90">
        <v>420624</v>
      </c>
      <c r="C202" s="90">
        <v>152318527675</v>
      </c>
      <c r="D202" s="63">
        <f t="shared" si="41"/>
        <v>4.20624E-2</v>
      </c>
      <c r="E202" s="84">
        <f t="shared" si="42"/>
        <v>724.2502932547834</v>
      </c>
      <c r="F202" s="82"/>
      <c r="G202" s="12" t="s">
        <v>64</v>
      </c>
      <c r="H202" s="80">
        <v>0</v>
      </c>
      <c r="I202" s="63">
        <f t="shared" si="43"/>
        <v>4.20624E-2</v>
      </c>
      <c r="J202" s="63">
        <f t="shared" si="44"/>
        <v>0</v>
      </c>
      <c r="K202" s="81">
        <v>0</v>
      </c>
      <c r="L202" s="63">
        <f t="shared" si="45"/>
        <v>0</v>
      </c>
      <c r="M202" s="63">
        <f t="shared" si="46"/>
        <v>0</v>
      </c>
      <c r="N202" s="82"/>
      <c r="O202" s="38">
        <v>700</v>
      </c>
      <c r="P202" s="38">
        <v>750</v>
      </c>
      <c r="Q202" s="63">
        <f t="shared" si="47"/>
        <v>0</v>
      </c>
      <c r="R202" s="63">
        <v>0</v>
      </c>
      <c r="T202" s="63"/>
      <c r="U202" s="43">
        <f t="shared" si="48"/>
        <v>0</v>
      </c>
    </row>
    <row r="203" spans="1:21" x14ac:dyDescent="0.3">
      <c r="A203" s="12" t="s">
        <v>65</v>
      </c>
      <c r="B203" s="90">
        <v>349617</v>
      </c>
      <c r="C203" s="90">
        <v>135351024075</v>
      </c>
      <c r="D203" s="63">
        <f t="shared" si="41"/>
        <v>3.4961699999999998E-2</v>
      </c>
      <c r="E203" s="84">
        <f t="shared" si="42"/>
        <v>774.28170869837561</v>
      </c>
      <c r="F203" s="82"/>
      <c r="G203" s="12" t="s">
        <v>65</v>
      </c>
      <c r="H203" s="80">
        <v>0</v>
      </c>
      <c r="I203" s="63">
        <f t="shared" si="43"/>
        <v>3.4961699999999998E-2</v>
      </c>
      <c r="J203" s="63">
        <f t="shared" si="44"/>
        <v>0</v>
      </c>
      <c r="K203" s="81">
        <v>0</v>
      </c>
      <c r="L203" s="63">
        <f t="shared" si="45"/>
        <v>0</v>
      </c>
      <c r="M203" s="63">
        <f t="shared" si="46"/>
        <v>0</v>
      </c>
      <c r="N203" s="82"/>
      <c r="O203" s="38">
        <v>750</v>
      </c>
      <c r="P203" s="38">
        <v>800</v>
      </c>
      <c r="Q203" s="63">
        <f t="shared" si="47"/>
        <v>0</v>
      </c>
      <c r="R203" s="63">
        <v>0</v>
      </c>
      <c r="T203" s="63"/>
      <c r="U203" s="43">
        <f t="shared" si="48"/>
        <v>0</v>
      </c>
    </row>
    <row r="204" spans="1:21" x14ac:dyDescent="0.3">
      <c r="A204" s="12" t="s">
        <v>66</v>
      </c>
      <c r="B204" s="90">
        <v>294650</v>
      </c>
      <c r="C204" s="90">
        <v>121449643550</v>
      </c>
      <c r="D204" s="63">
        <f t="shared" si="41"/>
        <v>2.9465000000000002E-2</v>
      </c>
      <c r="E204" s="84">
        <f t="shared" si="42"/>
        <v>824.36547463091802</v>
      </c>
      <c r="F204" s="82"/>
      <c r="G204" s="12" t="s">
        <v>66</v>
      </c>
      <c r="H204" s="80">
        <v>0</v>
      </c>
      <c r="I204" s="63">
        <f t="shared" si="43"/>
        <v>2.9465000000000002E-2</v>
      </c>
      <c r="J204" s="63">
        <f t="shared" si="44"/>
        <v>0</v>
      </c>
      <c r="K204" s="81">
        <v>0</v>
      </c>
      <c r="L204" s="63">
        <f t="shared" si="45"/>
        <v>0</v>
      </c>
      <c r="M204" s="63">
        <f t="shared" si="46"/>
        <v>0</v>
      </c>
      <c r="N204" s="82"/>
      <c r="O204" s="38">
        <v>800</v>
      </c>
      <c r="P204" s="38">
        <v>850</v>
      </c>
      <c r="Q204" s="63">
        <f t="shared" si="47"/>
        <v>0</v>
      </c>
      <c r="R204" s="63">
        <v>0</v>
      </c>
      <c r="T204" s="63"/>
      <c r="U204" s="43">
        <f t="shared" si="48"/>
        <v>0</v>
      </c>
    </row>
    <row r="205" spans="1:21" x14ac:dyDescent="0.3">
      <c r="A205" s="12" t="s">
        <v>67</v>
      </c>
      <c r="B205" s="90">
        <v>250568</v>
      </c>
      <c r="C205" s="90">
        <v>109541734600</v>
      </c>
      <c r="D205" s="63">
        <f t="shared" si="41"/>
        <v>2.5056800000000001E-2</v>
      </c>
      <c r="E205" s="84">
        <f t="shared" si="42"/>
        <v>874.34735959899115</v>
      </c>
      <c r="F205" s="82"/>
      <c r="G205" s="12" t="s">
        <v>67</v>
      </c>
      <c r="H205" s="80">
        <v>0</v>
      </c>
      <c r="I205" s="63">
        <f t="shared" si="43"/>
        <v>2.5056800000000001E-2</v>
      </c>
      <c r="J205" s="63">
        <f t="shared" si="44"/>
        <v>0</v>
      </c>
      <c r="K205" s="86">
        <v>0</v>
      </c>
      <c r="L205" s="63">
        <f t="shared" si="45"/>
        <v>0</v>
      </c>
      <c r="M205" s="63">
        <f t="shared" si="46"/>
        <v>0</v>
      </c>
      <c r="N205" s="82"/>
      <c r="O205" s="38">
        <v>850</v>
      </c>
      <c r="P205" s="38">
        <v>900</v>
      </c>
      <c r="Q205" s="63">
        <f t="shared" si="47"/>
        <v>0</v>
      </c>
      <c r="R205" s="63">
        <v>0</v>
      </c>
      <c r="T205" s="63"/>
      <c r="U205" s="43">
        <f t="shared" si="48"/>
        <v>0</v>
      </c>
    </row>
    <row r="206" spans="1:21" x14ac:dyDescent="0.3">
      <c r="A206" s="12" t="s">
        <v>68</v>
      </c>
      <c r="B206" s="90">
        <v>213052</v>
      </c>
      <c r="C206" s="90">
        <v>98465914350</v>
      </c>
      <c r="D206" s="63">
        <f t="shared" si="41"/>
        <v>2.13052E-2</v>
      </c>
      <c r="E206" s="84">
        <f t="shared" si="42"/>
        <v>924.33691633967294</v>
      </c>
      <c r="F206" s="82"/>
      <c r="G206" s="12" t="s">
        <v>68</v>
      </c>
      <c r="H206" s="80">
        <v>0</v>
      </c>
      <c r="I206" s="63">
        <f t="shared" si="43"/>
        <v>2.13052E-2</v>
      </c>
      <c r="J206" s="63">
        <f t="shared" si="44"/>
        <v>0</v>
      </c>
      <c r="K206" s="86">
        <v>0</v>
      </c>
      <c r="L206" s="63">
        <f t="shared" si="45"/>
        <v>0</v>
      </c>
      <c r="M206" s="63">
        <f t="shared" si="46"/>
        <v>0</v>
      </c>
      <c r="N206" s="82"/>
      <c r="O206" s="38">
        <v>900</v>
      </c>
      <c r="P206" s="38">
        <v>950</v>
      </c>
      <c r="Q206" s="63">
        <f t="shared" si="47"/>
        <v>0</v>
      </c>
      <c r="R206" s="63">
        <v>0</v>
      </c>
      <c r="T206" s="63"/>
      <c r="U206" s="43">
        <f t="shared" si="48"/>
        <v>0</v>
      </c>
    </row>
    <row r="207" spans="1:21" x14ac:dyDescent="0.3">
      <c r="A207" s="12" t="s">
        <v>69</v>
      </c>
      <c r="B207" s="90">
        <v>183814</v>
      </c>
      <c r="C207" s="90">
        <v>89555814700</v>
      </c>
      <c r="D207" s="63">
        <f t="shared" si="41"/>
        <v>1.8381399999999999E-2</v>
      </c>
      <c r="E207" s="84">
        <f t="shared" si="42"/>
        <v>974.41777775359878</v>
      </c>
      <c r="F207" s="82"/>
      <c r="G207" s="12" t="s">
        <v>69</v>
      </c>
      <c r="H207" s="80">
        <v>0</v>
      </c>
      <c r="I207" s="63">
        <f t="shared" si="43"/>
        <v>1.8381399999999999E-2</v>
      </c>
      <c r="J207" s="63">
        <f t="shared" si="44"/>
        <v>0</v>
      </c>
      <c r="K207" s="86">
        <v>0</v>
      </c>
      <c r="L207" s="63">
        <f t="shared" si="45"/>
        <v>0</v>
      </c>
      <c r="M207" s="63">
        <f t="shared" si="46"/>
        <v>0</v>
      </c>
      <c r="N207" s="82"/>
      <c r="O207" s="38">
        <v>950</v>
      </c>
      <c r="P207" s="38">
        <v>1000</v>
      </c>
      <c r="Q207" s="63">
        <f t="shared" si="47"/>
        <v>0</v>
      </c>
      <c r="R207" s="63">
        <v>0</v>
      </c>
      <c r="T207" s="63"/>
      <c r="U207" s="43">
        <f t="shared" si="48"/>
        <v>0</v>
      </c>
    </row>
    <row r="208" spans="1:21" x14ac:dyDescent="0.3">
      <c r="A208" s="12" t="s">
        <v>70</v>
      </c>
      <c r="B208" s="90">
        <v>1358748</v>
      </c>
      <c r="C208" s="90">
        <v>915636675575</v>
      </c>
      <c r="D208" s="63">
        <f t="shared" si="41"/>
        <v>0.13587479999999999</v>
      </c>
      <c r="E208" s="84">
        <f t="shared" si="42"/>
        <v>1347.7652597464726</v>
      </c>
      <c r="F208" s="82"/>
      <c r="G208" s="12" t="s">
        <v>70</v>
      </c>
      <c r="H208" s="80">
        <v>0</v>
      </c>
      <c r="I208" s="63">
        <f t="shared" si="43"/>
        <v>0.13587479999999999</v>
      </c>
      <c r="J208" s="63">
        <f t="shared" si="44"/>
        <v>0</v>
      </c>
      <c r="K208" s="86">
        <v>0</v>
      </c>
      <c r="L208" s="63">
        <f t="shared" si="45"/>
        <v>0</v>
      </c>
      <c r="M208" s="63">
        <f t="shared" si="46"/>
        <v>0</v>
      </c>
      <c r="N208" s="82"/>
      <c r="O208" s="38">
        <v>1000</v>
      </c>
      <c r="P208" s="38">
        <v>2000</v>
      </c>
      <c r="Q208" s="63">
        <f t="shared" si="47"/>
        <v>0</v>
      </c>
      <c r="R208" s="63">
        <v>0</v>
      </c>
      <c r="T208" s="63"/>
      <c r="U208" s="43">
        <f t="shared" si="48"/>
        <v>0</v>
      </c>
    </row>
    <row r="209" spans="1:21" x14ac:dyDescent="0.3">
      <c r="A209" s="12" t="s">
        <v>71</v>
      </c>
      <c r="B209" s="90">
        <v>333499</v>
      </c>
      <c r="C209" s="90">
        <v>403521966275</v>
      </c>
      <c r="D209" s="63">
        <f t="shared" si="41"/>
        <v>3.3349900000000002E-2</v>
      </c>
      <c r="E209" s="84">
        <f t="shared" si="42"/>
        <v>2419.9290928908331</v>
      </c>
      <c r="F209" s="82"/>
      <c r="G209" s="12" t="s">
        <v>71</v>
      </c>
      <c r="H209" s="80">
        <v>0</v>
      </c>
      <c r="I209" s="63">
        <f t="shared" si="43"/>
        <v>3.3349900000000002E-2</v>
      </c>
      <c r="J209" s="63">
        <f t="shared" si="44"/>
        <v>0</v>
      </c>
      <c r="K209" s="86">
        <v>0</v>
      </c>
      <c r="L209" s="63">
        <f t="shared" si="45"/>
        <v>0</v>
      </c>
      <c r="M209" s="63">
        <f t="shared" si="46"/>
        <v>0</v>
      </c>
      <c r="N209" s="82"/>
      <c r="O209" s="38">
        <v>2000</v>
      </c>
      <c r="P209" s="38">
        <v>3000</v>
      </c>
      <c r="Q209" s="63">
        <f t="shared" si="47"/>
        <v>0</v>
      </c>
      <c r="R209" s="63">
        <v>0</v>
      </c>
      <c r="T209" s="63"/>
      <c r="U209" s="43">
        <f t="shared" si="48"/>
        <v>0</v>
      </c>
    </row>
    <row r="210" spans="1:21" x14ac:dyDescent="0.3">
      <c r="A210" s="12" t="s">
        <v>72</v>
      </c>
      <c r="B210" s="90">
        <v>153122</v>
      </c>
      <c r="C210" s="90">
        <v>264363044325</v>
      </c>
      <c r="D210" s="63">
        <f t="shared" si="41"/>
        <v>1.53122E-2</v>
      </c>
      <c r="E210" s="84">
        <f t="shared" si="42"/>
        <v>3452.9727188124502</v>
      </c>
      <c r="F210" s="82"/>
      <c r="G210" s="12" t="s">
        <v>72</v>
      </c>
      <c r="H210" s="80">
        <v>0</v>
      </c>
      <c r="I210" s="63">
        <f t="shared" si="43"/>
        <v>1.53122E-2</v>
      </c>
      <c r="J210" s="63">
        <f t="shared" si="44"/>
        <v>0</v>
      </c>
      <c r="K210" s="86">
        <v>0</v>
      </c>
      <c r="L210" s="63">
        <f t="shared" si="45"/>
        <v>0</v>
      </c>
      <c r="M210" s="63">
        <f t="shared" si="46"/>
        <v>0</v>
      </c>
      <c r="N210" s="82"/>
      <c r="O210" s="38">
        <v>3000</v>
      </c>
      <c r="P210" s="38">
        <v>4000</v>
      </c>
      <c r="Q210" s="63">
        <f t="shared" si="47"/>
        <v>0</v>
      </c>
      <c r="R210" s="63">
        <v>0</v>
      </c>
      <c r="T210" s="63"/>
      <c r="U210" s="43">
        <f t="shared" si="48"/>
        <v>0</v>
      </c>
    </row>
    <row r="211" spans="1:21" x14ac:dyDescent="0.3">
      <c r="A211" s="12" t="s">
        <v>73</v>
      </c>
      <c r="B211" s="90">
        <v>94933</v>
      </c>
      <c r="C211" s="90">
        <v>212019763550</v>
      </c>
      <c r="D211" s="63">
        <f t="shared" si="41"/>
        <v>9.4932999999999997E-3</v>
      </c>
      <c r="E211" s="84">
        <f t="shared" si="42"/>
        <v>4466.7241854781796</v>
      </c>
      <c r="F211" s="82"/>
      <c r="G211" s="12" t="s">
        <v>73</v>
      </c>
      <c r="H211" s="80">
        <v>0</v>
      </c>
      <c r="I211" s="63">
        <f t="shared" si="43"/>
        <v>9.4932999999999997E-3</v>
      </c>
      <c r="J211" s="63">
        <f t="shared" si="44"/>
        <v>0</v>
      </c>
      <c r="K211" s="86">
        <v>0</v>
      </c>
      <c r="L211" s="63">
        <f t="shared" si="45"/>
        <v>0</v>
      </c>
      <c r="M211" s="63">
        <f t="shared" si="46"/>
        <v>0</v>
      </c>
      <c r="N211" s="82"/>
      <c r="O211" s="38">
        <v>4000</v>
      </c>
      <c r="P211" s="38">
        <v>5000</v>
      </c>
      <c r="Q211" s="63">
        <f t="shared" si="47"/>
        <v>0</v>
      </c>
      <c r="R211" s="63">
        <v>0</v>
      </c>
      <c r="T211" s="63"/>
      <c r="U211" s="43">
        <f t="shared" si="48"/>
        <v>0</v>
      </c>
    </row>
    <row r="212" spans="1:21" x14ac:dyDescent="0.3">
      <c r="A212" s="12" t="s">
        <v>74</v>
      </c>
      <c r="B212" s="90">
        <v>62948</v>
      </c>
      <c r="C212" s="90">
        <v>172026852150</v>
      </c>
      <c r="D212" s="63">
        <f t="shared" si="41"/>
        <v>6.2947999999999997E-3</v>
      </c>
      <c r="E212" s="84">
        <f t="shared" si="42"/>
        <v>5465.6812654889745</v>
      </c>
      <c r="F212" s="82"/>
      <c r="G212" s="12" t="s">
        <v>74</v>
      </c>
      <c r="H212" s="80">
        <v>0</v>
      </c>
      <c r="I212" s="63">
        <f t="shared" si="43"/>
        <v>6.2947999999999997E-3</v>
      </c>
      <c r="J212" s="63">
        <f t="shared" si="44"/>
        <v>0</v>
      </c>
      <c r="K212" s="86">
        <v>0</v>
      </c>
      <c r="L212" s="63">
        <f t="shared" si="45"/>
        <v>0</v>
      </c>
      <c r="M212" s="63">
        <f t="shared" si="46"/>
        <v>0</v>
      </c>
      <c r="N212" s="82"/>
      <c r="O212" s="38">
        <v>5000</v>
      </c>
      <c r="P212" s="38">
        <v>6000</v>
      </c>
      <c r="Q212" s="63">
        <f t="shared" si="47"/>
        <v>0</v>
      </c>
      <c r="R212" s="63">
        <v>0</v>
      </c>
      <c r="T212" s="63"/>
      <c r="U212" s="43">
        <f t="shared" si="48"/>
        <v>0</v>
      </c>
    </row>
    <row r="213" spans="1:21" x14ac:dyDescent="0.3">
      <c r="A213" s="12" t="s">
        <v>75</v>
      </c>
      <c r="B213" s="90">
        <v>42906</v>
      </c>
      <c r="C213" s="90">
        <v>138771967350</v>
      </c>
      <c r="D213" s="63">
        <f t="shared" si="41"/>
        <v>4.2906000000000003E-3</v>
      </c>
      <c r="E213" s="84">
        <f t="shared" si="42"/>
        <v>6468.6508809956649</v>
      </c>
      <c r="F213" s="82"/>
      <c r="G213" s="12" t="s">
        <v>75</v>
      </c>
      <c r="H213" s="80">
        <v>0</v>
      </c>
      <c r="I213" s="63">
        <f t="shared" si="43"/>
        <v>4.2906000000000003E-3</v>
      </c>
      <c r="J213" s="63">
        <f t="shared" si="44"/>
        <v>0</v>
      </c>
      <c r="K213" s="86">
        <v>0</v>
      </c>
      <c r="L213" s="63">
        <f t="shared" si="45"/>
        <v>0</v>
      </c>
      <c r="M213" s="63">
        <f t="shared" si="46"/>
        <v>0</v>
      </c>
      <c r="N213" s="82"/>
      <c r="O213" s="38">
        <v>6000</v>
      </c>
      <c r="P213" s="38">
        <v>7000</v>
      </c>
      <c r="Q213" s="63">
        <f t="shared" si="47"/>
        <v>0</v>
      </c>
      <c r="R213" s="63">
        <v>0</v>
      </c>
      <c r="T213" s="63"/>
      <c r="U213" s="43">
        <f t="shared" si="48"/>
        <v>0</v>
      </c>
    </row>
    <row r="214" spans="1:21" x14ac:dyDescent="0.3">
      <c r="A214" s="12" t="s">
        <v>76</v>
      </c>
      <c r="B214" s="90">
        <v>32027</v>
      </c>
      <c r="C214" s="90">
        <v>119746353100</v>
      </c>
      <c r="D214" s="63">
        <f t="shared" si="41"/>
        <v>3.2027000000000002E-3</v>
      </c>
      <c r="E214" s="84">
        <f t="shared" si="42"/>
        <v>7477.8376432385176</v>
      </c>
      <c r="F214" s="82"/>
      <c r="G214" s="12" t="s">
        <v>76</v>
      </c>
      <c r="H214" s="80">
        <v>0</v>
      </c>
      <c r="I214" s="63">
        <f t="shared" si="43"/>
        <v>3.2027000000000002E-3</v>
      </c>
      <c r="J214" s="63">
        <f t="shared" si="44"/>
        <v>0</v>
      </c>
      <c r="K214" s="86">
        <v>0</v>
      </c>
      <c r="L214" s="63">
        <f t="shared" si="45"/>
        <v>0</v>
      </c>
      <c r="M214" s="63">
        <f t="shared" si="46"/>
        <v>0</v>
      </c>
      <c r="N214" s="82"/>
      <c r="O214" s="38">
        <v>7000</v>
      </c>
      <c r="P214" s="38">
        <v>8000</v>
      </c>
      <c r="Q214" s="63">
        <f t="shared" si="47"/>
        <v>0</v>
      </c>
      <c r="R214" s="63">
        <v>0</v>
      </c>
      <c r="T214" s="63"/>
      <c r="U214" s="43">
        <f t="shared" si="48"/>
        <v>0</v>
      </c>
    </row>
    <row r="215" spans="1:21" x14ac:dyDescent="0.3">
      <c r="A215" s="12" t="s">
        <v>77</v>
      </c>
      <c r="B215" s="90">
        <v>24713</v>
      </c>
      <c r="C215" s="90">
        <v>104845489950</v>
      </c>
      <c r="D215" s="63">
        <f t="shared" si="41"/>
        <v>2.4713000000000001E-3</v>
      </c>
      <c r="E215" s="84">
        <f t="shared" si="42"/>
        <v>8485.0475417796297</v>
      </c>
      <c r="F215" s="82"/>
      <c r="G215" s="12" t="s">
        <v>77</v>
      </c>
      <c r="H215" s="80">
        <v>0</v>
      </c>
      <c r="I215" s="63">
        <f t="shared" si="43"/>
        <v>2.4713000000000001E-3</v>
      </c>
      <c r="J215" s="63">
        <f t="shared" si="44"/>
        <v>0</v>
      </c>
      <c r="K215" s="86">
        <v>0</v>
      </c>
      <c r="L215" s="63">
        <f t="shared" si="45"/>
        <v>0</v>
      </c>
      <c r="M215" s="63">
        <f t="shared" si="46"/>
        <v>0</v>
      </c>
      <c r="N215" s="82"/>
      <c r="O215" s="38">
        <v>8000</v>
      </c>
      <c r="P215" s="38">
        <v>9000</v>
      </c>
      <c r="Q215" s="63">
        <f t="shared" si="47"/>
        <v>0</v>
      </c>
      <c r="R215" s="63">
        <v>0</v>
      </c>
      <c r="T215" s="63"/>
      <c r="U215" s="43">
        <f t="shared" si="48"/>
        <v>0</v>
      </c>
    </row>
    <row r="216" spans="1:21" x14ac:dyDescent="0.3">
      <c r="A216" s="12" t="s">
        <v>78</v>
      </c>
      <c r="B216" s="90">
        <v>19640</v>
      </c>
      <c r="C216" s="90">
        <v>93121461925</v>
      </c>
      <c r="D216" s="63">
        <f t="shared" si="41"/>
        <v>1.964E-3</v>
      </c>
      <c r="E216" s="84">
        <f t="shared" si="42"/>
        <v>9482.8372632382889</v>
      </c>
      <c r="F216" s="82"/>
      <c r="G216" s="12" t="s">
        <v>78</v>
      </c>
      <c r="H216" s="80">
        <v>0</v>
      </c>
      <c r="I216" s="63">
        <f t="shared" si="43"/>
        <v>1.964E-3</v>
      </c>
      <c r="J216" s="63">
        <f t="shared" si="44"/>
        <v>0</v>
      </c>
      <c r="K216" s="86">
        <v>0</v>
      </c>
      <c r="L216" s="63">
        <f t="shared" si="45"/>
        <v>0</v>
      </c>
      <c r="M216" s="63">
        <f t="shared" si="46"/>
        <v>0</v>
      </c>
      <c r="N216" s="82"/>
      <c r="O216" s="38">
        <v>9000</v>
      </c>
      <c r="P216" s="38">
        <v>10000</v>
      </c>
      <c r="Q216" s="63">
        <f t="shared" si="47"/>
        <v>0</v>
      </c>
      <c r="R216" s="63">
        <v>0</v>
      </c>
      <c r="T216" s="63"/>
      <c r="U216" s="43">
        <f t="shared" si="48"/>
        <v>0</v>
      </c>
    </row>
    <row r="217" spans="1:21" x14ac:dyDescent="0.3">
      <c r="A217" s="12" t="s">
        <v>79</v>
      </c>
      <c r="B217" s="90">
        <v>93090</v>
      </c>
      <c r="C217" s="90">
        <v>650601917750</v>
      </c>
      <c r="D217" s="63">
        <f t="shared" si="41"/>
        <v>9.3089999999999996E-3</v>
      </c>
      <c r="E217" s="84">
        <f t="shared" si="42"/>
        <v>13977.912079707809</v>
      </c>
      <c r="F217" s="82"/>
      <c r="G217" s="12" t="s">
        <v>79</v>
      </c>
      <c r="H217" s="80">
        <v>0</v>
      </c>
      <c r="I217" s="63">
        <f t="shared" si="43"/>
        <v>9.3089999999999996E-3</v>
      </c>
      <c r="J217" s="63">
        <f t="shared" si="44"/>
        <v>0</v>
      </c>
      <c r="K217" s="86">
        <v>0</v>
      </c>
      <c r="L217" s="63">
        <f t="shared" si="45"/>
        <v>0</v>
      </c>
      <c r="M217" s="63">
        <f t="shared" si="46"/>
        <v>0</v>
      </c>
      <c r="N217" s="82"/>
      <c r="O217" s="38">
        <v>10000</v>
      </c>
      <c r="P217" s="38">
        <v>20000</v>
      </c>
      <c r="Q217" s="63">
        <f t="shared" si="47"/>
        <v>0</v>
      </c>
      <c r="R217" s="63">
        <v>0</v>
      </c>
      <c r="T217" s="63"/>
      <c r="U217" s="43">
        <f t="shared" si="48"/>
        <v>0</v>
      </c>
    </row>
    <row r="218" spans="1:21" x14ac:dyDescent="0.3">
      <c r="A218" s="12" t="s">
        <v>80</v>
      </c>
      <c r="B218" s="90">
        <v>33534</v>
      </c>
      <c r="C218" s="90">
        <v>406629941525</v>
      </c>
      <c r="D218" s="63">
        <f t="shared" si="41"/>
        <v>3.3533999999999999E-3</v>
      </c>
      <c r="E218" s="84">
        <f t="shared" si="42"/>
        <v>24251.800651577501</v>
      </c>
      <c r="F218" s="82"/>
      <c r="G218" s="12" t="s">
        <v>80</v>
      </c>
      <c r="H218" s="80">
        <v>0</v>
      </c>
      <c r="I218" s="63">
        <f t="shared" si="43"/>
        <v>3.3533999999999999E-3</v>
      </c>
      <c r="J218" s="63">
        <f t="shared" si="44"/>
        <v>0</v>
      </c>
      <c r="K218" s="86">
        <v>0</v>
      </c>
      <c r="L218" s="63">
        <f t="shared" si="45"/>
        <v>0</v>
      </c>
      <c r="M218" s="63">
        <f t="shared" si="46"/>
        <v>0</v>
      </c>
      <c r="N218" s="82"/>
      <c r="O218" s="38">
        <v>20000</v>
      </c>
      <c r="P218" s="38">
        <v>30000</v>
      </c>
      <c r="Q218" s="63">
        <f t="shared" si="47"/>
        <v>0</v>
      </c>
      <c r="R218" s="63">
        <v>0</v>
      </c>
      <c r="T218" s="63"/>
      <c r="U218" s="43">
        <f t="shared" si="48"/>
        <v>0</v>
      </c>
    </row>
    <row r="219" spans="1:21" x14ac:dyDescent="0.3">
      <c r="A219" s="12" t="s">
        <v>81</v>
      </c>
      <c r="B219" s="90">
        <v>15750</v>
      </c>
      <c r="C219" s="90">
        <v>272734469250</v>
      </c>
      <c r="D219" s="63">
        <f t="shared" si="41"/>
        <v>1.575E-3</v>
      </c>
      <c r="E219" s="84">
        <f t="shared" si="42"/>
        <v>34632.948476190475</v>
      </c>
      <c r="F219" s="82"/>
      <c r="G219" s="12" t="s">
        <v>81</v>
      </c>
      <c r="H219" s="80">
        <v>0</v>
      </c>
      <c r="I219" s="63">
        <f t="shared" si="43"/>
        <v>1.575E-3</v>
      </c>
      <c r="J219" s="63">
        <f t="shared" si="44"/>
        <v>0</v>
      </c>
      <c r="K219" s="86">
        <v>0</v>
      </c>
      <c r="L219" s="63">
        <f t="shared" si="45"/>
        <v>0</v>
      </c>
      <c r="M219" s="63">
        <f t="shared" si="46"/>
        <v>0</v>
      </c>
      <c r="N219" s="82"/>
      <c r="O219" s="38">
        <v>30000</v>
      </c>
      <c r="P219" s="38">
        <v>40000</v>
      </c>
      <c r="Q219" s="63">
        <f t="shared" si="47"/>
        <v>0</v>
      </c>
      <c r="R219" s="63">
        <v>0</v>
      </c>
      <c r="T219" s="63"/>
      <c r="U219" s="43">
        <f t="shared" si="48"/>
        <v>0</v>
      </c>
    </row>
    <row r="220" spans="1:21" x14ac:dyDescent="0.3">
      <c r="A220" s="12" t="s">
        <v>82</v>
      </c>
      <c r="B220" s="90">
        <v>10015</v>
      </c>
      <c r="C220" s="90">
        <v>223414198100</v>
      </c>
      <c r="D220" s="63">
        <f t="shared" si="41"/>
        <v>1.0015E-3</v>
      </c>
      <c r="E220" s="84">
        <f t="shared" si="42"/>
        <v>44615.915746380429</v>
      </c>
      <c r="F220" s="82"/>
      <c r="G220" s="12" t="s">
        <v>82</v>
      </c>
      <c r="H220" s="80">
        <v>0</v>
      </c>
      <c r="I220" s="63">
        <f t="shared" si="43"/>
        <v>1.0015E-3</v>
      </c>
      <c r="J220" s="63">
        <f t="shared" si="44"/>
        <v>0</v>
      </c>
      <c r="K220" s="86">
        <v>0</v>
      </c>
      <c r="L220" s="63">
        <f t="shared" si="45"/>
        <v>0</v>
      </c>
      <c r="M220" s="63">
        <f t="shared" si="46"/>
        <v>0</v>
      </c>
      <c r="N220" s="82"/>
      <c r="O220" s="38">
        <v>40000</v>
      </c>
      <c r="P220" s="38">
        <v>50000</v>
      </c>
      <c r="Q220" s="63">
        <f t="shared" si="47"/>
        <v>0</v>
      </c>
      <c r="R220" s="63">
        <v>0</v>
      </c>
      <c r="T220" s="63"/>
      <c r="U220" s="43">
        <f t="shared" si="48"/>
        <v>0</v>
      </c>
    </row>
    <row r="221" spans="1:21" x14ac:dyDescent="0.3">
      <c r="A221" s="12" t="s">
        <v>83</v>
      </c>
      <c r="B221" s="90">
        <v>6349</v>
      </c>
      <c r="C221" s="90">
        <v>173299562700</v>
      </c>
      <c r="D221" s="63">
        <f t="shared" si="41"/>
        <v>6.3489999999999998E-4</v>
      </c>
      <c r="E221" s="84">
        <f t="shared" si="42"/>
        <v>54591.136462435032</v>
      </c>
      <c r="F221" s="82"/>
      <c r="G221" s="12" t="s">
        <v>83</v>
      </c>
      <c r="H221" s="80">
        <v>0</v>
      </c>
      <c r="I221" s="63">
        <f t="shared" si="43"/>
        <v>6.3489999999999998E-4</v>
      </c>
      <c r="J221" s="63">
        <f t="shared" si="44"/>
        <v>0</v>
      </c>
      <c r="K221" s="86">
        <v>0</v>
      </c>
      <c r="L221" s="63">
        <f t="shared" si="45"/>
        <v>0</v>
      </c>
      <c r="M221" s="63">
        <f t="shared" si="46"/>
        <v>0</v>
      </c>
      <c r="N221" s="82"/>
      <c r="O221" s="38">
        <v>50000</v>
      </c>
      <c r="P221" s="38">
        <v>60000</v>
      </c>
      <c r="Q221" s="63">
        <f t="shared" si="47"/>
        <v>0</v>
      </c>
      <c r="R221" s="63">
        <v>0</v>
      </c>
      <c r="T221" s="63"/>
      <c r="U221" s="43">
        <f t="shared" si="48"/>
        <v>0</v>
      </c>
    </row>
    <row r="222" spans="1:21" x14ac:dyDescent="0.3">
      <c r="A222" s="12" t="s">
        <v>84</v>
      </c>
      <c r="B222" s="90">
        <v>3782</v>
      </c>
      <c r="C222" s="90">
        <v>122077781350</v>
      </c>
      <c r="D222" s="63">
        <f t="shared" si="41"/>
        <v>3.7819999999999998E-4</v>
      </c>
      <c r="E222" s="84">
        <f t="shared" si="42"/>
        <v>64557.261422527758</v>
      </c>
      <c r="F222" s="82"/>
      <c r="G222" s="12" t="s">
        <v>84</v>
      </c>
      <c r="H222" s="80">
        <v>0</v>
      </c>
      <c r="I222" s="63">
        <f t="shared" si="43"/>
        <v>3.7819999999999998E-4</v>
      </c>
      <c r="J222" s="63">
        <f t="shared" si="44"/>
        <v>0</v>
      </c>
      <c r="K222" s="86">
        <v>0</v>
      </c>
      <c r="L222" s="63">
        <f t="shared" si="45"/>
        <v>0</v>
      </c>
      <c r="M222" s="63">
        <f t="shared" si="46"/>
        <v>0</v>
      </c>
      <c r="N222" s="82"/>
      <c r="O222" s="38">
        <v>60000</v>
      </c>
      <c r="P222" s="38">
        <v>70000</v>
      </c>
      <c r="Q222" s="63">
        <f t="shared" si="47"/>
        <v>0</v>
      </c>
      <c r="R222" s="63">
        <v>0</v>
      </c>
      <c r="T222" s="63"/>
      <c r="U222" s="43">
        <f t="shared" si="48"/>
        <v>0</v>
      </c>
    </row>
    <row r="223" spans="1:21" x14ac:dyDescent="0.3">
      <c r="A223" s="12" t="s">
        <v>85</v>
      </c>
      <c r="B223" s="90">
        <v>2287</v>
      </c>
      <c r="C223" s="90">
        <v>85400205325</v>
      </c>
      <c r="D223" s="63">
        <f t="shared" si="41"/>
        <v>2.287E-4</v>
      </c>
      <c r="E223" s="84">
        <f t="shared" si="42"/>
        <v>74683.17037603847</v>
      </c>
      <c r="F223" s="82"/>
      <c r="G223" s="12" t="s">
        <v>85</v>
      </c>
      <c r="H223" s="80">
        <v>0</v>
      </c>
      <c r="I223" s="63">
        <f t="shared" si="43"/>
        <v>2.287E-4</v>
      </c>
      <c r="J223" s="63">
        <f t="shared" si="44"/>
        <v>0</v>
      </c>
      <c r="K223" s="86">
        <v>0</v>
      </c>
      <c r="L223" s="63">
        <f t="shared" si="45"/>
        <v>0</v>
      </c>
      <c r="M223" s="63">
        <f t="shared" si="46"/>
        <v>0</v>
      </c>
      <c r="N223" s="82"/>
      <c r="O223" s="38">
        <v>70000</v>
      </c>
      <c r="P223" s="38">
        <v>80000</v>
      </c>
      <c r="Q223" s="63">
        <f t="shared" si="47"/>
        <v>0</v>
      </c>
      <c r="R223" s="63">
        <v>0</v>
      </c>
      <c r="T223" s="63"/>
      <c r="U223" s="43">
        <f t="shared" si="48"/>
        <v>0</v>
      </c>
    </row>
    <row r="224" spans="1:21" x14ac:dyDescent="0.3">
      <c r="A224" s="12" t="s">
        <v>86</v>
      </c>
      <c r="B224" s="90">
        <v>1415</v>
      </c>
      <c r="C224" s="90">
        <v>59902788850</v>
      </c>
      <c r="D224" s="63">
        <f t="shared" si="41"/>
        <v>1.415E-4</v>
      </c>
      <c r="E224" s="84">
        <f t="shared" si="42"/>
        <v>84668.252791519437</v>
      </c>
      <c r="F224" s="82"/>
      <c r="G224" s="12" t="s">
        <v>86</v>
      </c>
      <c r="H224" s="80">
        <v>0</v>
      </c>
      <c r="I224" s="63">
        <f t="shared" si="43"/>
        <v>1.415E-4</v>
      </c>
      <c r="J224" s="63">
        <f t="shared" si="44"/>
        <v>0</v>
      </c>
      <c r="K224" s="86">
        <v>0</v>
      </c>
      <c r="L224" s="63">
        <f t="shared" si="45"/>
        <v>0</v>
      </c>
      <c r="M224" s="63">
        <f t="shared" si="46"/>
        <v>0</v>
      </c>
      <c r="N224" s="82"/>
      <c r="O224" s="38">
        <v>80000</v>
      </c>
      <c r="P224" s="38">
        <v>90000</v>
      </c>
      <c r="Q224" s="63">
        <f t="shared" si="47"/>
        <v>0</v>
      </c>
      <c r="R224" s="63">
        <v>0</v>
      </c>
      <c r="T224" s="63"/>
      <c r="U224" s="43">
        <f t="shared" si="48"/>
        <v>0</v>
      </c>
    </row>
    <row r="225" spans="1:21" x14ac:dyDescent="0.3">
      <c r="A225" s="12" t="s">
        <v>87</v>
      </c>
      <c r="B225" s="90">
        <v>848</v>
      </c>
      <c r="C225" s="90">
        <v>40032606400</v>
      </c>
      <c r="D225" s="63">
        <f t="shared" si="41"/>
        <v>8.4800000000000001E-5</v>
      </c>
      <c r="E225" s="84">
        <f t="shared" si="42"/>
        <v>94416.524528301874</v>
      </c>
      <c r="F225" s="82"/>
      <c r="G225" s="12" t="s">
        <v>87</v>
      </c>
      <c r="H225" s="80">
        <v>0</v>
      </c>
      <c r="I225" s="63">
        <f t="shared" si="43"/>
        <v>8.4800000000000001E-5</v>
      </c>
      <c r="J225" s="63">
        <f t="shared" si="44"/>
        <v>0</v>
      </c>
      <c r="K225" s="86">
        <v>0</v>
      </c>
      <c r="L225" s="63">
        <f t="shared" si="45"/>
        <v>0</v>
      </c>
      <c r="M225" s="63">
        <f t="shared" si="46"/>
        <v>0</v>
      </c>
      <c r="N225" s="82"/>
      <c r="O225" s="38">
        <v>90000</v>
      </c>
      <c r="P225" s="38">
        <v>100000</v>
      </c>
      <c r="Q225" s="63">
        <f t="shared" si="47"/>
        <v>0</v>
      </c>
      <c r="R225" s="63">
        <v>0</v>
      </c>
      <c r="T225" s="63"/>
      <c r="U225" s="43">
        <f t="shared" si="48"/>
        <v>0</v>
      </c>
    </row>
    <row r="226" spans="1:21" x14ac:dyDescent="0.3">
      <c r="A226" s="12" t="s">
        <v>88</v>
      </c>
      <c r="B226" s="90">
        <v>1218</v>
      </c>
      <c r="C226" s="90">
        <v>74475216675</v>
      </c>
      <c r="D226" s="63">
        <f t="shared" si="41"/>
        <v>1.2180000000000001E-4</v>
      </c>
      <c r="E226" s="84">
        <f t="shared" si="42"/>
        <v>122290.99618226601</v>
      </c>
      <c r="F226" s="82"/>
      <c r="G226" s="12" t="s">
        <v>88</v>
      </c>
      <c r="H226" s="80">
        <v>0</v>
      </c>
      <c r="I226" s="63">
        <f t="shared" si="43"/>
        <v>1.2180000000000001E-4</v>
      </c>
      <c r="J226" s="63">
        <f t="shared" si="44"/>
        <v>0</v>
      </c>
      <c r="K226" s="86">
        <v>0</v>
      </c>
      <c r="L226" s="63">
        <f t="shared" si="45"/>
        <v>0</v>
      </c>
      <c r="M226" s="63">
        <f t="shared" si="46"/>
        <v>0</v>
      </c>
      <c r="N226" s="82"/>
      <c r="O226" s="38">
        <v>100000</v>
      </c>
      <c r="P226" s="38">
        <v>9999999</v>
      </c>
      <c r="Q226" s="63">
        <f t="shared" si="47"/>
        <v>0</v>
      </c>
      <c r="R226" s="63">
        <v>0</v>
      </c>
      <c r="T226" s="63"/>
      <c r="U226" s="43">
        <f t="shared" si="48"/>
        <v>0</v>
      </c>
    </row>
    <row r="227" spans="1:21" x14ac:dyDescent="0.3">
      <c r="F227" s="4"/>
      <c r="K227">
        <f>SUM(K163:K226)</f>
        <v>1000000000</v>
      </c>
      <c r="M227">
        <f>SUM(M163:M226)</f>
        <v>94.000000036097703</v>
      </c>
      <c r="N227" s="4"/>
      <c r="O227" s="4"/>
      <c r="P227" s="4"/>
    </row>
    <row r="230" spans="1:21" s="50" customFormat="1" ht="15.6" customHeight="1" collapsed="1" x14ac:dyDescent="0.3">
      <c r="A230" s="57" t="s">
        <v>117</v>
      </c>
      <c r="B230" s="57" t="s">
        <v>12</v>
      </c>
      <c r="C230" s="57"/>
      <c r="D230" s="47"/>
      <c r="E230" s="47"/>
      <c r="F230" s="48"/>
      <c r="G230" s="57" t="s">
        <v>98</v>
      </c>
      <c r="H230" s="57" t="s">
        <v>12</v>
      </c>
      <c r="I230" s="49"/>
      <c r="J230" s="49"/>
      <c r="K230" s="49"/>
      <c r="L230" s="49"/>
      <c r="M230" s="49"/>
      <c r="N230" s="48"/>
      <c r="O230" s="57" t="s">
        <v>98</v>
      </c>
      <c r="P230" s="57" t="s">
        <v>12</v>
      </c>
      <c r="Q230" s="49"/>
      <c r="R230" s="49"/>
    </row>
    <row r="231" spans="1:21" x14ac:dyDescent="0.3">
      <c r="A231" s="23"/>
      <c r="B231" s="1"/>
      <c r="C231" s="1"/>
      <c r="D231" s="1"/>
      <c r="E231" s="1"/>
      <c r="G231" s="29"/>
      <c r="H231" s="23"/>
      <c r="I231" s="23"/>
      <c r="J231" s="23"/>
      <c r="K231" s="23"/>
      <c r="L231" s="23"/>
      <c r="M231" s="23"/>
      <c r="Q231" s="23"/>
      <c r="R231" s="23"/>
    </row>
    <row r="232" spans="1:21" x14ac:dyDescent="0.3">
      <c r="A232" s="41" t="s">
        <v>100</v>
      </c>
      <c r="B232">
        <v>10000000</v>
      </c>
      <c r="C232" s="1"/>
      <c r="D232" s="1"/>
      <c r="E232" s="1"/>
      <c r="G232" s="41" t="s">
        <v>101</v>
      </c>
      <c r="H232" s="23"/>
      <c r="I232" s="23"/>
      <c r="J232" s="23"/>
      <c r="L232" s="23"/>
      <c r="M232" s="23"/>
      <c r="Q232" s="23"/>
      <c r="R232" s="23"/>
    </row>
    <row r="233" spans="1:21" x14ac:dyDescent="0.3">
      <c r="A233" s="8" t="s">
        <v>18</v>
      </c>
      <c r="B233" s="8" t="s">
        <v>102</v>
      </c>
      <c r="C233" s="8" t="s">
        <v>103</v>
      </c>
      <c r="D233" s="8" t="s">
        <v>93</v>
      </c>
      <c r="E233" s="8" t="s">
        <v>104</v>
      </c>
      <c r="G233" s="8" t="s">
        <v>18</v>
      </c>
      <c r="H233" s="8" t="s">
        <v>105</v>
      </c>
      <c r="I233" s="8" t="s">
        <v>106</v>
      </c>
      <c r="J233" s="8" t="s">
        <v>107</v>
      </c>
      <c r="K233" s="8" t="s">
        <v>108</v>
      </c>
      <c r="L233" s="8" t="s">
        <v>93</v>
      </c>
      <c r="M233" s="8" t="s">
        <v>109</v>
      </c>
      <c r="O233" s="8" t="s">
        <v>110</v>
      </c>
      <c r="P233" s="8" t="s">
        <v>111</v>
      </c>
      <c r="Q233" s="8" t="s">
        <v>112</v>
      </c>
      <c r="R233" s="8" t="s">
        <v>113</v>
      </c>
      <c r="T233" s="11" t="s">
        <v>112</v>
      </c>
      <c r="U233" s="11" t="s">
        <v>114</v>
      </c>
    </row>
    <row r="234" spans="1:21" x14ac:dyDescent="0.3">
      <c r="A234" s="12" t="s">
        <v>25</v>
      </c>
      <c r="B234" s="78">
        <v>0</v>
      </c>
      <c r="C234" s="78">
        <v>0</v>
      </c>
      <c r="D234" s="63">
        <f t="shared" ref="D234:D265" si="49">IFERROR(B234/$B$232,0)</f>
        <v>0</v>
      </c>
      <c r="E234" s="79">
        <f t="shared" ref="E234:E265" si="50">IFERROR(C234/B234/500,0)</f>
        <v>0</v>
      </c>
      <c r="G234" s="12" t="s">
        <v>25</v>
      </c>
      <c r="H234" s="80">
        <v>1</v>
      </c>
      <c r="I234" s="63">
        <f t="shared" ref="I234:I265" si="51">IFERROR(B234/$B$232,0)</f>
        <v>0</v>
      </c>
      <c r="J234" s="63">
        <f t="shared" ref="J234:J265" si="52">IFERROR(K234/$B$2,0)</f>
        <v>0</v>
      </c>
      <c r="K234" s="81">
        <v>0</v>
      </c>
      <c r="L234" s="63">
        <f t="shared" ref="L234:L265" si="53">IFERROR(K234/$B$2,0)</f>
        <v>0</v>
      </c>
      <c r="M234" s="63">
        <f t="shared" ref="M234:M265" si="54">IFERROR(L234*E234,0)</f>
        <v>0</v>
      </c>
      <c r="N234" s="82"/>
      <c r="O234" s="42">
        <v>-1</v>
      </c>
      <c r="P234" s="42">
        <v>0</v>
      </c>
      <c r="Q234" s="63">
        <f t="shared" ref="Q234:Q265" si="55">L234</f>
        <v>0</v>
      </c>
      <c r="R234" s="63">
        <v>0</v>
      </c>
      <c r="T234" s="63"/>
      <c r="U234" s="43">
        <f t="shared" ref="U234:U265" si="56">IFERROR(ROUND(T234/L234,2),0)</f>
        <v>0</v>
      </c>
    </row>
    <row r="235" spans="1:21" x14ac:dyDescent="0.3">
      <c r="A235" s="12" t="s">
        <v>26</v>
      </c>
      <c r="B235" s="83">
        <v>0</v>
      </c>
      <c r="C235" s="83">
        <v>0</v>
      </c>
      <c r="D235" s="63">
        <f t="shared" si="49"/>
        <v>0</v>
      </c>
      <c r="E235" s="84">
        <f t="shared" si="50"/>
        <v>0</v>
      </c>
      <c r="G235" s="12" t="s">
        <v>26</v>
      </c>
      <c r="H235" s="80">
        <v>1</v>
      </c>
      <c r="I235" s="63">
        <f t="shared" si="51"/>
        <v>0</v>
      </c>
      <c r="J235" s="63">
        <f t="shared" si="52"/>
        <v>0</v>
      </c>
      <c r="K235" s="81">
        <v>0</v>
      </c>
      <c r="L235" s="63">
        <f t="shared" si="53"/>
        <v>0</v>
      </c>
      <c r="M235" s="63">
        <f t="shared" si="54"/>
        <v>0</v>
      </c>
      <c r="N235" s="82"/>
      <c r="O235" s="38">
        <v>0</v>
      </c>
      <c r="P235" s="38">
        <v>1</v>
      </c>
      <c r="Q235" s="63">
        <f t="shared" si="55"/>
        <v>0</v>
      </c>
      <c r="R235" s="63">
        <v>0</v>
      </c>
      <c r="T235" s="63"/>
      <c r="U235" s="43">
        <f t="shared" si="56"/>
        <v>0</v>
      </c>
    </row>
    <row r="236" spans="1:21" x14ac:dyDescent="0.3">
      <c r="A236" s="12" t="s">
        <v>27</v>
      </c>
      <c r="B236" s="83">
        <v>0</v>
      </c>
      <c r="C236" s="83">
        <v>0</v>
      </c>
      <c r="D236" s="63">
        <f t="shared" si="49"/>
        <v>0</v>
      </c>
      <c r="E236" s="84">
        <f t="shared" si="50"/>
        <v>0</v>
      </c>
      <c r="F236" s="44"/>
      <c r="G236" s="12" t="s">
        <v>27</v>
      </c>
      <c r="H236" s="80">
        <v>1</v>
      </c>
      <c r="I236" s="63">
        <f t="shared" si="51"/>
        <v>0</v>
      </c>
      <c r="J236" s="63">
        <f t="shared" si="52"/>
        <v>0</v>
      </c>
      <c r="K236" s="81">
        <v>0</v>
      </c>
      <c r="L236" s="63">
        <f t="shared" si="53"/>
        <v>0</v>
      </c>
      <c r="M236" s="63">
        <f t="shared" si="54"/>
        <v>0</v>
      </c>
      <c r="N236" s="82"/>
      <c r="O236" s="38">
        <v>1</v>
      </c>
      <c r="P236" s="38">
        <v>2</v>
      </c>
      <c r="Q236" s="63">
        <f t="shared" si="55"/>
        <v>0</v>
      </c>
      <c r="R236" s="63">
        <v>0</v>
      </c>
      <c r="T236" s="63"/>
      <c r="U236" s="43">
        <f t="shared" si="56"/>
        <v>0</v>
      </c>
    </row>
    <row r="237" spans="1:21" x14ac:dyDescent="0.3">
      <c r="A237" s="12" t="s">
        <v>28</v>
      </c>
      <c r="B237" s="83">
        <v>1148</v>
      </c>
      <c r="C237" s="83">
        <v>1722000</v>
      </c>
      <c r="D237" s="63">
        <f t="shared" si="49"/>
        <v>1.148E-4</v>
      </c>
      <c r="E237" s="84">
        <f t="shared" si="50"/>
        <v>3</v>
      </c>
      <c r="F237" s="82"/>
      <c r="G237" s="12" t="s">
        <v>28</v>
      </c>
      <c r="H237" s="80">
        <v>1</v>
      </c>
      <c r="I237" s="63">
        <f t="shared" si="51"/>
        <v>1.148E-4</v>
      </c>
      <c r="J237" s="63">
        <f t="shared" si="52"/>
        <v>0</v>
      </c>
      <c r="K237" s="81">
        <v>0</v>
      </c>
      <c r="L237" s="63">
        <f t="shared" si="53"/>
        <v>0</v>
      </c>
      <c r="M237" s="63">
        <f t="shared" si="54"/>
        <v>0</v>
      </c>
      <c r="N237" s="82"/>
      <c r="O237" s="38">
        <v>2</v>
      </c>
      <c r="P237" s="38">
        <v>3</v>
      </c>
      <c r="Q237" s="63">
        <f t="shared" si="55"/>
        <v>0</v>
      </c>
      <c r="R237" s="63">
        <v>0</v>
      </c>
      <c r="T237" s="63"/>
      <c r="U237" s="43">
        <f t="shared" si="56"/>
        <v>0</v>
      </c>
    </row>
    <row r="238" spans="1:21" x14ac:dyDescent="0.3">
      <c r="A238" s="12" t="s">
        <v>29</v>
      </c>
      <c r="B238" s="83">
        <v>1024</v>
      </c>
      <c r="C238" s="83">
        <v>1857625</v>
      </c>
      <c r="D238" s="63">
        <f t="shared" si="49"/>
        <v>1.024E-4</v>
      </c>
      <c r="E238" s="84">
        <f t="shared" si="50"/>
        <v>3.628173828125</v>
      </c>
      <c r="F238" s="82"/>
      <c r="G238" s="12" t="s">
        <v>29</v>
      </c>
      <c r="H238" s="80">
        <v>1</v>
      </c>
      <c r="I238" s="63">
        <f t="shared" si="51"/>
        <v>1.024E-4</v>
      </c>
      <c r="J238" s="63">
        <f t="shared" si="52"/>
        <v>0</v>
      </c>
      <c r="K238" s="81">
        <v>0</v>
      </c>
      <c r="L238" s="63">
        <f t="shared" si="53"/>
        <v>0</v>
      </c>
      <c r="M238" s="63">
        <f t="shared" si="54"/>
        <v>0</v>
      </c>
      <c r="N238" s="82"/>
      <c r="O238" s="38">
        <v>3</v>
      </c>
      <c r="P238" s="38">
        <v>4</v>
      </c>
      <c r="Q238" s="63">
        <f t="shared" si="55"/>
        <v>0</v>
      </c>
      <c r="R238" s="63">
        <v>0</v>
      </c>
      <c r="T238" s="63"/>
      <c r="U238" s="43">
        <f t="shared" si="56"/>
        <v>0</v>
      </c>
    </row>
    <row r="239" spans="1:21" x14ac:dyDescent="0.3">
      <c r="A239" s="12" t="s">
        <v>30</v>
      </c>
      <c r="B239" s="83">
        <v>1497</v>
      </c>
      <c r="C239" s="83">
        <v>3489150</v>
      </c>
      <c r="D239" s="63">
        <f t="shared" si="49"/>
        <v>1.4970000000000001E-4</v>
      </c>
      <c r="E239" s="84">
        <f t="shared" si="50"/>
        <v>4.661523046092185</v>
      </c>
      <c r="F239" s="82"/>
      <c r="G239" s="12" t="s">
        <v>30</v>
      </c>
      <c r="H239" s="80">
        <v>1</v>
      </c>
      <c r="I239" s="63">
        <f t="shared" si="51"/>
        <v>1.4970000000000001E-4</v>
      </c>
      <c r="J239" s="63">
        <f t="shared" si="52"/>
        <v>0</v>
      </c>
      <c r="K239" s="81">
        <v>0</v>
      </c>
      <c r="L239" s="63">
        <f t="shared" si="53"/>
        <v>0</v>
      </c>
      <c r="M239" s="63">
        <f t="shared" si="54"/>
        <v>0</v>
      </c>
      <c r="N239" s="82"/>
      <c r="O239" s="38">
        <v>4</v>
      </c>
      <c r="P239" s="38">
        <v>5</v>
      </c>
      <c r="Q239" s="63">
        <f t="shared" si="55"/>
        <v>0</v>
      </c>
      <c r="R239" s="63">
        <v>0</v>
      </c>
      <c r="T239" s="63"/>
      <c r="U239" s="43">
        <f t="shared" si="56"/>
        <v>0</v>
      </c>
    </row>
    <row r="240" spans="1:21" x14ac:dyDescent="0.3">
      <c r="A240" s="12" t="s">
        <v>31</v>
      </c>
      <c r="B240" s="83">
        <v>1756</v>
      </c>
      <c r="C240" s="83">
        <v>4914025</v>
      </c>
      <c r="D240" s="63">
        <f t="shared" si="49"/>
        <v>1.7560000000000001E-4</v>
      </c>
      <c r="E240" s="84">
        <f t="shared" si="50"/>
        <v>5.5968394077448744</v>
      </c>
      <c r="F240" s="82"/>
      <c r="G240" s="12" t="s">
        <v>31</v>
      </c>
      <c r="H240" s="80">
        <v>1</v>
      </c>
      <c r="I240" s="63">
        <f t="shared" si="51"/>
        <v>1.7560000000000001E-4</v>
      </c>
      <c r="J240" s="63">
        <f t="shared" si="52"/>
        <v>0</v>
      </c>
      <c r="K240" s="81">
        <v>0</v>
      </c>
      <c r="L240" s="63">
        <f t="shared" si="53"/>
        <v>0</v>
      </c>
      <c r="M240" s="63">
        <f t="shared" si="54"/>
        <v>0</v>
      </c>
      <c r="N240" s="82"/>
      <c r="O240" s="38">
        <v>5</v>
      </c>
      <c r="P240" s="38">
        <v>6</v>
      </c>
      <c r="Q240" s="63">
        <f t="shared" si="55"/>
        <v>0</v>
      </c>
      <c r="R240" s="63">
        <v>0</v>
      </c>
      <c r="T240" s="63"/>
      <c r="U240" s="43">
        <f t="shared" si="56"/>
        <v>0</v>
      </c>
    </row>
    <row r="241" spans="1:21" x14ac:dyDescent="0.3">
      <c r="A241" s="12" t="s">
        <v>32</v>
      </c>
      <c r="B241" s="83">
        <v>2335</v>
      </c>
      <c r="C241" s="83">
        <v>7708500</v>
      </c>
      <c r="D241" s="63">
        <f t="shared" si="49"/>
        <v>2.3350000000000001E-4</v>
      </c>
      <c r="E241" s="84">
        <f t="shared" si="50"/>
        <v>6.6025695931477513</v>
      </c>
      <c r="F241" s="82"/>
      <c r="G241" s="12" t="s">
        <v>32</v>
      </c>
      <c r="H241" s="80">
        <v>1</v>
      </c>
      <c r="I241" s="63">
        <f t="shared" si="51"/>
        <v>2.3350000000000001E-4</v>
      </c>
      <c r="J241" s="63">
        <f t="shared" si="52"/>
        <v>0</v>
      </c>
      <c r="K241" s="81">
        <v>0</v>
      </c>
      <c r="L241" s="63">
        <f t="shared" si="53"/>
        <v>0</v>
      </c>
      <c r="M241" s="63">
        <f t="shared" si="54"/>
        <v>0</v>
      </c>
      <c r="N241" s="82"/>
      <c r="O241" s="38">
        <v>6</v>
      </c>
      <c r="P241" s="38">
        <v>7</v>
      </c>
      <c r="Q241" s="63">
        <f t="shared" si="55"/>
        <v>0</v>
      </c>
      <c r="R241" s="63">
        <v>0</v>
      </c>
      <c r="T241" s="63"/>
      <c r="U241" s="43">
        <f t="shared" si="56"/>
        <v>0</v>
      </c>
    </row>
    <row r="242" spans="1:21" x14ac:dyDescent="0.3">
      <c r="A242" s="12" t="s">
        <v>33</v>
      </c>
      <c r="B242" s="83">
        <v>2639</v>
      </c>
      <c r="C242" s="83">
        <v>10012850</v>
      </c>
      <c r="D242" s="63">
        <f t="shared" si="49"/>
        <v>2.6390000000000002E-4</v>
      </c>
      <c r="E242" s="84">
        <f t="shared" si="50"/>
        <v>7.5883668056081852</v>
      </c>
      <c r="F242" s="82"/>
      <c r="G242" s="12" t="s">
        <v>33</v>
      </c>
      <c r="H242" s="80">
        <v>1</v>
      </c>
      <c r="I242" s="63">
        <f t="shared" si="51"/>
        <v>2.6390000000000002E-4</v>
      </c>
      <c r="J242" s="63">
        <f t="shared" si="52"/>
        <v>0</v>
      </c>
      <c r="K242" s="81">
        <v>0</v>
      </c>
      <c r="L242" s="63">
        <f t="shared" si="53"/>
        <v>0</v>
      </c>
      <c r="M242" s="63">
        <f t="shared" si="54"/>
        <v>0</v>
      </c>
      <c r="N242" s="82"/>
      <c r="O242" s="38">
        <v>7</v>
      </c>
      <c r="P242" s="38">
        <v>8</v>
      </c>
      <c r="Q242" s="63">
        <f t="shared" si="55"/>
        <v>0</v>
      </c>
      <c r="R242" s="63">
        <v>0</v>
      </c>
      <c r="T242" s="63"/>
      <c r="U242" s="43">
        <f t="shared" si="56"/>
        <v>0</v>
      </c>
    </row>
    <row r="243" spans="1:21" x14ac:dyDescent="0.3">
      <c r="A243" s="12" t="s">
        <v>34</v>
      </c>
      <c r="B243" s="83">
        <v>3125</v>
      </c>
      <c r="C243" s="83">
        <v>13407000</v>
      </c>
      <c r="D243" s="63">
        <f t="shared" si="49"/>
        <v>3.1250000000000001E-4</v>
      </c>
      <c r="E243" s="84">
        <f t="shared" si="50"/>
        <v>8.5804799999999997</v>
      </c>
      <c r="F243" s="82"/>
      <c r="G243" s="12" t="s">
        <v>34</v>
      </c>
      <c r="H243" s="80">
        <v>1</v>
      </c>
      <c r="I243" s="63">
        <f t="shared" si="51"/>
        <v>3.1250000000000001E-4</v>
      </c>
      <c r="J243" s="63">
        <f t="shared" si="52"/>
        <v>8.264001E-2</v>
      </c>
      <c r="K243" s="81">
        <v>82640010</v>
      </c>
      <c r="L243" s="63">
        <f t="shared" si="53"/>
        <v>8.264001E-2</v>
      </c>
      <c r="M243" s="63">
        <f t="shared" si="54"/>
        <v>0.70909095300479996</v>
      </c>
      <c r="N243" s="82"/>
      <c r="O243" s="38">
        <v>8</v>
      </c>
      <c r="P243" s="38">
        <v>9</v>
      </c>
      <c r="Q243" s="63">
        <f t="shared" si="55"/>
        <v>8.264001E-2</v>
      </c>
      <c r="R243" s="63">
        <v>0</v>
      </c>
      <c r="T243" s="63"/>
      <c r="U243" s="43">
        <f t="shared" si="56"/>
        <v>0</v>
      </c>
    </row>
    <row r="244" spans="1:21" x14ac:dyDescent="0.3">
      <c r="A244" s="12" t="s">
        <v>35</v>
      </c>
      <c r="B244" s="83">
        <v>3516</v>
      </c>
      <c r="C244" s="83">
        <v>16826325</v>
      </c>
      <c r="D244" s="63">
        <f t="shared" si="49"/>
        <v>3.5159999999999998E-4</v>
      </c>
      <c r="E244" s="84">
        <f t="shared" si="50"/>
        <v>9.5712883959044373</v>
      </c>
      <c r="F244" s="82"/>
      <c r="G244" s="12" t="s">
        <v>35</v>
      </c>
      <c r="H244" s="80">
        <v>1</v>
      </c>
      <c r="I244" s="63">
        <f t="shared" si="51"/>
        <v>3.5159999999999998E-4</v>
      </c>
      <c r="J244" s="63">
        <f t="shared" si="52"/>
        <v>0</v>
      </c>
      <c r="K244" s="81">
        <v>0</v>
      </c>
      <c r="L244" s="63">
        <f t="shared" si="53"/>
        <v>0</v>
      </c>
      <c r="M244" s="63">
        <f t="shared" si="54"/>
        <v>0</v>
      </c>
      <c r="N244" s="82"/>
      <c r="O244" s="38">
        <v>9</v>
      </c>
      <c r="P244" s="38">
        <v>10</v>
      </c>
      <c r="Q244" s="63">
        <f t="shared" si="55"/>
        <v>0</v>
      </c>
      <c r="R244" s="63">
        <v>0</v>
      </c>
      <c r="T244" s="63"/>
      <c r="U244" s="43">
        <f t="shared" si="56"/>
        <v>0</v>
      </c>
    </row>
    <row r="245" spans="1:21" x14ac:dyDescent="0.3">
      <c r="A245" s="12" t="s">
        <v>36</v>
      </c>
      <c r="B245" s="83">
        <v>23999</v>
      </c>
      <c r="C245" s="83">
        <v>152876675</v>
      </c>
      <c r="D245" s="63">
        <f t="shared" si="49"/>
        <v>2.3998999999999999E-3</v>
      </c>
      <c r="E245" s="84">
        <f t="shared" si="50"/>
        <v>12.740253760573358</v>
      </c>
      <c r="F245" s="82"/>
      <c r="G245" s="12" t="s">
        <v>36</v>
      </c>
      <c r="H245" s="80">
        <v>1</v>
      </c>
      <c r="I245" s="63">
        <f t="shared" si="51"/>
        <v>2.3998999999999999E-3</v>
      </c>
      <c r="J245" s="63">
        <f t="shared" si="52"/>
        <v>3.9166083999999997E-2</v>
      </c>
      <c r="K245" s="81">
        <v>39166084</v>
      </c>
      <c r="L245" s="63">
        <f t="shared" si="53"/>
        <v>3.9166083999999997E-2</v>
      </c>
      <c r="M245" s="63">
        <f t="shared" si="54"/>
        <v>0.49898584896793197</v>
      </c>
      <c r="N245" s="82"/>
      <c r="O245" s="38">
        <v>10</v>
      </c>
      <c r="P245" s="38">
        <v>15</v>
      </c>
      <c r="Q245" s="63">
        <f t="shared" si="55"/>
        <v>3.9166083999999997E-2</v>
      </c>
      <c r="R245" s="63">
        <v>0</v>
      </c>
      <c r="T245" s="63"/>
      <c r="U245" s="43">
        <f t="shared" si="56"/>
        <v>0</v>
      </c>
    </row>
    <row r="246" spans="1:21" x14ac:dyDescent="0.3">
      <c r="A246" s="12" t="s">
        <v>37</v>
      </c>
      <c r="B246" s="83">
        <v>33435</v>
      </c>
      <c r="C246" s="83">
        <v>295122000</v>
      </c>
      <c r="D246" s="63">
        <f t="shared" si="49"/>
        <v>3.3435000000000001E-3</v>
      </c>
      <c r="E246" s="84">
        <f t="shared" si="50"/>
        <v>17.65347689546882</v>
      </c>
      <c r="F246" s="82"/>
      <c r="G246" s="12" t="s">
        <v>37</v>
      </c>
      <c r="H246" s="80">
        <v>1</v>
      </c>
      <c r="I246" s="63">
        <f t="shared" si="51"/>
        <v>3.3435000000000001E-3</v>
      </c>
      <c r="J246" s="63">
        <f t="shared" si="52"/>
        <v>6.6829346999999997E-2</v>
      </c>
      <c r="K246" s="81">
        <v>66829347</v>
      </c>
      <c r="L246" s="63">
        <f t="shared" si="53"/>
        <v>6.6829346999999997E-2</v>
      </c>
      <c r="M246" s="63">
        <f t="shared" si="54"/>
        <v>1.1797703332037686</v>
      </c>
      <c r="N246" s="82"/>
      <c r="O246" s="38">
        <v>15</v>
      </c>
      <c r="P246" s="38">
        <v>20</v>
      </c>
      <c r="Q246" s="63">
        <f t="shared" si="55"/>
        <v>6.6829346999999997E-2</v>
      </c>
      <c r="R246" s="63">
        <v>0</v>
      </c>
      <c r="T246" s="63"/>
      <c r="U246" s="43">
        <f t="shared" si="56"/>
        <v>0</v>
      </c>
    </row>
    <row r="247" spans="1:21" x14ac:dyDescent="0.3">
      <c r="A247" s="12" t="s">
        <v>38</v>
      </c>
      <c r="B247" s="83">
        <v>42291</v>
      </c>
      <c r="C247" s="83">
        <v>478270900</v>
      </c>
      <c r="D247" s="63">
        <f t="shared" si="49"/>
        <v>4.2291000000000004E-3</v>
      </c>
      <c r="E247" s="84">
        <f t="shared" si="50"/>
        <v>22.618093684235415</v>
      </c>
      <c r="F247" s="82"/>
      <c r="G247" s="12" t="s">
        <v>38</v>
      </c>
      <c r="H247" s="80">
        <v>1</v>
      </c>
      <c r="I247" s="63">
        <f t="shared" si="51"/>
        <v>4.2291000000000004E-3</v>
      </c>
      <c r="J247" s="63">
        <f t="shared" si="52"/>
        <v>3.5215591999999997E-2</v>
      </c>
      <c r="K247" s="81">
        <v>35215592</v>
      </c>
      <c r="L247" s="63">
        <f t="shared" si="53"/>
        <v>3.5215591999999997E-2</v>
      </c>
      <c r="M247" s="63">
        <f t="shared" si="54"/>
        <v>0.79650955900181108</v>
      </c>
      <c r="N247" s="82"/>
      <c r="O247" s="38">
        <v>20</v>
      </c>
      <c r="P247" s="38">
        <v>25</v>
      </c>
      <c r="Q247" s="63">
        <f t="shared" si="55"/>
        <v>3.5215591999999997E-2</v>
      </c>
      <c r="R247" s="63">
        <v>0</v>
      </c>
      <c r="T247" s="63"/>
      <c r="U247" s="43">
        <f t="shared" si="56"/>
        <v>0</v>
      </c>
    </row>
    <row r="248" spans="1:21" x14ac:dyDescent="0.3">
      <c r="A248" s="12" t="s">
        <v>39</v>
      </c>
      <c r="B248" s="83">
        <v>49505</v>
      </c>
      <c r="C248" s="83">
        <v>683273950</v>
      </c>
      <c r="D248" s="63">
        <f t="shared" si="49"/>
        <v>4.9505E-3</v>
      </c>
      <c r="E248" s="84">
        <f t="shared" si="50"/>
        <v>27.604239975760024</v>
      </c>
      <c r="F248" s="82"/>
      <c r="G248" s="12" t="s">
        <v>39</v>
      </c>
      <c r="H248" s="80">
        <v>1</v>
      </c>
      <c r="I248" s="63">
        <f t="shared" si="51"/>
        <v>4.9505E-3</v>
      </c>
      <c r="J248" s="63">
        <f t="shared" si="52"/>
        <v>3.9180108999999998E-2</v>
      </c>
      <c r="K248" s="81">
        <v>39180109</v>
      </c>
      <c r="L248" s="63">
        <f t="shared" si="53"/>
        <v>3.9180108999999998E-2</v>
      </c>
      <c r="M248" s="63">
        <f t="shared" si="54"/>
        <v>1.0815371311124351</v>
      </c>
      <c r="N248" s="82"/>
      <c r="O248" s="38">
        <v>25</v>
      </c>
      <c r="P248" s="38">
        <v>30</v>
      </c>
      <c r="Q248" s="63">
        <f t="shared" si="55"/>
        <v>3.9180108999999998E-2</v>
      </c>
      <c r="R248" s="63">
        <v>0</v>
      </c>
      <c r="T248" s="63"/>
      <c r="U248" s="43">
        <f t="shared" si="56"/>
        <v>0</v>
      </c>
    </row>
    <row r="249" spans="1:21" x14ac:dyDescent="0.3">
      <c r="A249" s="12" t="s">
        <v>40</v>
      </c>
      <c r="B249" s="83">
        <v>57026</v>
      </c>
      <c r="C249" s="83">
        <v>929214975</v>
      </c>
      <c r="D249" s="63">
        <f t="shared" si="49"/>
        <v>5.7026000000000004E-3</v>
      </c>
      <c r="E249" s="84">
        <f t="shared" si="50"/>
        <v>32.589168975555012</v>
      </c>
      <c r="F249" s="82"/>
      <c r="G249" s="12" t="s">
        <v>40</v>
      </c>
      <c r="H249" s="80">
        <v>1</v>
      </c>
      <c r="I249" s="63">
        <f t="shared" si="51"/>
        <v>5.7026000000000004E-3</v>
      </c>
      <c r="J249" s="63">
        <f t="shared" si="52"/>
        <v>7.4753029999999998E-2</v>
      </c>
      <c r="K249" s="81">
        <v>74753030</v>
      </c>
      <c r="L249" s="63">
        <f t="shared" si="53"/>
        <v>7.4753029999999998E-2</v>
      </c>
      <c r="M249" s="63">
        <f t="shared" si="54"/>
        <v>2.4361391261047332</v>
      </c>
      <c r="N249" s="82"/>
      <c r="O249" s="38">
        <v>30</v>
      </c>
      <c r="P249" s="38">
        <v>35</v>
      </c>
      <c r="Q249" s="63">
        <f t="shared" si="55"/>
        <v>7.4753029999999998E-2</v>
      </c>
      <c r="R249" s="63">
        <v>0</v>
      </c>
      <c r="T249" s="63"/>
      <c r="U249" s="43">
        <f t="shared" si="56"/>
        <v>0</v>
      </c>
    </row>
    <row r="250" spans="1:21" x14ac:dyDescent="0.3">
      <c r="A250" s="12" t="s">
        <v>41</v>
      </c>
      <c r="B250" s="83">
        <v>63420</v>
      </c>
      <c r="C250" s="83">
        <v>1191452350</v>
      </c>
      <c r="D250" s="63">
        <f t="shared" si="49"/>
        <v>6.3420000000000004E-3</v>
      </c>
      <c r="E250" s="84">
        <f t="shared" si="50"/>
        <v>37.573394828129928</v>
      </c>
      <c r="F250" s="82"/>
      <c r="G250" s="12" t="s">
        <v>41</v>
      </c>
      <c r="H250" s="80">
        <v>1</v>
      </c>
      <c r="I250" s="63">
        <f t="shared" si="51"/>
        <v>6.3420000000000004E-3</v>
      </c>
      <c r="J250" s="63">
        <f t="shared" si="52"/>
        <v>4.3139322000000001E-2</v>
      </c>
      <c r="K250" s="81">
        <v>43139322</v>
      </c>
      <c r="L250" s="63">
        <f t="shared" si="53"/>
        <v>4.3139322000000001E-2</v>
      </c>
      <c r="M250" s="63">
        <f t="shared" si="54"/>
        <v>1.6208907781238315</v>
      </c>
      <c r="N250" s="82"/>
      <c r="O250" s="38">
        <v>35</v>
      </c>
      <c r="P250" s="38">
        <v>40</v>
      </c>
      <c r="Q250" s="63">
        <f t="shared" si="55"/>
        <v>4.3139322000000001E-2</v>
      </c>
      <c r="R250" s="63">
        <v>0</v>
      </c>
      <c r="T250" s="63"/>
      <c r="U250" s="43">
        <f t="shared" si="56"/>
        <v>0</v>
      </c>
    </row>
    <row r="251" spans="1:21" x14ac:dyDescent="0.3">
      <c r="A251" s="12" t="s">
        <v>42</v>
      </c>
      <c r="B251" s="83">
        <v>68592</v>
      </c>
      <c r="C251" s="83">
        <v>1459931525</v>
      </c>
      <c r="D251" s="63">
        <f t="shared" si="49"/>
        <v>6.8592000000000002E-3</v>
      </c>
      <c r="E251" s="84">
        <f t="shared" si="50"/>
        <v>42.568565576160488</v>
      </c>
      <c r="F251" s="82"/>
      <c r="G251" s="12" t="s">
        <v>42</v>
      </c>
      <c r="H251" s="80">
        <v>1</v>
      </c>
      <c r="I251" s="63">
        <f t="shared" si="51"/>
        <v>6.8592000000000002E-3</v>
      </c>
      <c r="J251" s="63">
        <f t="shared" si="52"/>
        <v>3.9194222000000001E-2</v>
      </c>
      <c r="K251" s="81">
        <v>39194222</v>
      </c>
      <c r="L251" s="63">
        <f t="shared" si="53"/>
        <v>3.9194222000000001E-2</v>
      </c>
      <c r="M251" s="63">
        <f t="shared" si="54"/>
        <v>1.668441809413592</v>
      </c>
      <c r="N251" s="82"/>
      <c r="O251" s="38">
        <v>40</v>
      </c>
      <c r="P251" s="38">
        <v>45</v>
      </c>
      <c r="Q251" s="63">
        <f t="shared" si="55"/>
        <v>3.9194222000000001E-2</v>
      </c>
      <c r="R251" s="63">
        <v>0</v>
      </c>
      <c r="T251" s="63"/>
      <c r="U251" s="43">
        <f t="shared" si="56"/>
        <v>0</v>
      </c>
    </row>
    <row r="252" spans="1:21" x14ac:dyDescent="0.3">
      <c r="A252" s="12" t="s">
        <v>43</v>
      </c>
      <c r="B252" s="83">
        <v>73256</v>
      </c>
      <c r="C252" s="83">
        <v>1741850925</v>
      </c>
      <c r="D252" s="63">
        <f t="shared" si="49"/>
        <v>7.3255999999999998E-3</v>
      </c>
      <c r="E252" s="84">
        <f t="shared" si="50"/>
        <v>47.555174320192201</v>
      </c>
      <c r="F252" s="82"/>
      <c r="G252" s="12" t="s">
        <v>43</v>
      </c>
      <c r="H252" s="80">
        <v>1</v>
      </c>
      <c r="I252" s="63">
        <f t="shared" si="51"/>
        <v>7.3255999999999998E-3</v>
      </c>
      <c r="J252" s="63">
        <f t="shared" si="52"/>
        <v>4.3148730000000003E-2</v>
      </c>
      <c r="K252" s="81">
        <v>43148730</v>
      </c>
      <c r="L252" s="63">
        <f t="shared" si="53"/>
        <v>4.3148730000000003E-2</v>
      </c>
      <c r="M252" s="63">
        <f t="shared" si="54"/>
        <v>2.0519453768449072</v>
      </c>
      <c r="N252" s="82"/>
      <c r="O252" s="38">
        <v>45</v>
      </c>
      <c r="P252" s="38">
        <v>50</v>
      </c>
      <c r="Q252" s="63">
        <f t="shared" si="55"/>
        <v>4.3148730000000003E-2</v>
      </c>
      <c r="R252" s="63">
        <v>0</v>
      </c>
      <c r="T252" s="63"/>
      <c r="U252" s="43">
        <f t="shared" si="56"/>
        <v>0</v>
      </c>
    </row>
    <row r="253" spans="1:21" x14ac:dyDescent="0.3">
      <c r="A253" s="12" t="s">
        <v>44</v>
      </c>
      <c r="B253" s="83">
        <v>158621</v>
      </c>
      <c r="C253" s="83">
        <v>4369349850</v>
      </c>
      <c r="D253" s="63">
        <f t="shared" si="49"/>
        <v>1.5862100000000001E-2</v>
      </c>
      <c r="E253" s="84">
        <f t="shared" si="50"/>
        <v>55.091694668423472</v>
      </c>
      <c r="F253" s="82"/>
      <c r="G253" s="12" t="s">
        <v>44</v>
      </c>
      <c r="H253" s="80">
        <v>1</v>
      </c>
      <c r="I253" s="63">
        <f t="shared" si="51"/>
        <v>1.5862100000000001E-2</v>
      </c>
      <c r="J253" s="63">
        <f t="shared" si="52"/>
        <v>0.106392652</v>
      </c>
      <c r="K253" s="81">
        <v>106392652</v>
      </c>
      <c r="L253" s="63">
        <f t="shared" si="53"/>
        <v>0.106392652</v>
      </c>
      <c r="M253" s="63">
        <f t="shared" si="54"/>
        <v>5.8613514989478341</v>
      </c>
      <c r="N253" s="82"/>
      <c r="O253" s="38">
        <v>50</v>
      </c>
      <c r="P253" s="38">
        <v>60</v>
      </c>
      <c r="Q253" s="63">
        <f t="shared" si="55"/>
        <v>0.106392652</v>
      </c>
      <c r="R253" s="63">
        <v>0</v>
      </c>
      <c r="T253" s="63"/>
      <c r="U253" s="43">
        <f t="shared" si="56"/>
        <v>0</v>
      </c>
    </row>
    <row r="254" spans="1:21" x14ac:dyDescent="0.3">
      <c r="A254" s="12" t="s">
        <v>45</v>
      </c>
      <c r="B254" s="83">
        <v>171110</v>
      </c>
      <c r="C254" s="83">
        <v>5568059825</v>
      </c>
      <c r="D254" s="63">
        <f t="shared" si="49"/>
        <v>1.7111000000000001E-2</v>
      </c>
      <c r="E254" s="84">
        <f t="shared" si="50"/>
        <v>65.081641341826895</v>
      </c>
      <c r="F254" s="82"/>
      <c r="G254" s="12" t="s">
        <v>45</v>
      </c>
      <c r="H254" s="80">
        <v>1</v>
      </c>
      <c r="I254" s="63">
        <f t="shared" si="51"/>
        <v>1.7111000000000001E-2</v>
      </c>
      <c r="J254" s="63">
        <f t="shared" si="52"/>
        <v>4.3165232999999997E-2</v>
      </c>
      <c r="K254" s="81">
        <v>43165233</v>
      </c>
      <c r="L254" s="63">
        <f t="shared" si="53"/>
        <v>4.3165232999999997E-2</v>
      </c>
      <c r="M254" s="63">
        <f t="shared" si="54"/>
        <v>2.8092642125423906</v>
      </c>
      <c r="N254" s="82"/>
      <c r="O254" s="38">
        <v>60</v>
      </c>
      <c r="P254" s="38">
        <v>70</v>
      </c>
      <c r="Q254" s="63">
        <f t="shared" si="55"/>
        <v>4.3165232999999997E-2</v>
      </c>
      <c r="R254" s="63">
        <v>0</v>
      </c>
      <c r="T254" s="63"/>
      <c r="U254" s="43">
        <f t="shared" si="56"/>
        <v>0</v>
      </c>
    </row>
    <row r="255" spans="1:21" x14ac:dyDescent="0.3">
      <c r="A255" s="12" t="s">
        <v>46</v>
      </c>
      <c r="B255" s="83">
        <v>180419</v>
      </c>
      <c r="C255" s="83">
        <v>6770248675</v>
      </c>
      <c r="D255" s="63">
        <f t="shared" si="49"/>
        <v>1.80419E-2</v>
      </c>
      <c r="E255" s="84">
        <f t="shared" si="50"/>
        <v>75.050284892389371</v>
      </c>
      <c r="F255" s="82"/>
      <c r="G255" s="12" t="s">
        <v>46</v>
      </c>
      <c r="H255" s="80">
        <v>1</v>
      </c>
      <c r="I255" s="63">
        <f t="shared" si="51"/>
        <v>1.80419E-2</v>
      </c>
      <c r="J255" s="63">
        <f t="shared" si="52"/>
        <v>3.9224851999999998E-2</v>
      </c>
      <c r="K255" s="81">
        <v>39224852</v>
      </c>
      <c r="L255" s="63">
        <f t="shared" si="53"/>
        <v>3.9224851999999998E-2</v>
      </c>
      <c r="M255" s="63">
        <f t="shared" si="54"/>
        <v>2.943836317461809</v>
      </c>
      <c r="N255" s="82"/>
      <c r="O255" s="38">
        <v>70</v>
      </c>
      <c r="P255" s="38">
        <v>80</v>
      </c>
      <c r="Q255" s="63">
        <f t="shared" si="55"/>
        <v>3.9224851999999998E-2</v>
      </c>
      <c r="R255" s="63">
        <v>0</v>
      </c>
      <c r="T255" s="63"/>
      <c r="U255" s="43">
        <f t="shared" si="56"/>
        <v>0</v>
      </c>
    </row>
    <row r="256" spans="1:21" x14ac:dyDescent="0.3">
      <c r="A256" s="12" t="s">
        <v>47</v>
      </c>
      <c r="B256" s="83">
        <v>187283</v>
      </c>
      <c r="C256" s="83">
        <v>7965425900</v>
      </c>
      <c r="D256" s="63">
        <f t="shared" si="49"/>
        <v>1.87283E-2</v>
      </c>
      <c r="E256" s="84">
        <f t="shared" si="50"/>
        <v>85.062989166128261</v>
      </c>
      <c r="F256" s="82"/>
      <c r="G256" s="12" t="s">
        <v>47</v>
      </c>
      <c r="H256" s="80">
        <v>1</v>
      </c>
      <c r="I256" s="63">
        <f t="shared" si="51"/>
        <v>1.87283E-2</v>
      </c>
      <c r="J256" s="63">
        <f t="shared" si="52"/>
        <v>3.5274475E-2</v>
      </c>
      <c r="K256" s="81">
        <v>35274475</v>
      </c>
      <c r="L256" s="63">
        <f t="shared" si="53"/>
        <v>3.5274475E-2</v>
      </c>
      <c r="M256" s="63">
        <f t="shared" si="54"/>
        <v>3.0005522847658623</v>
      </c>
      <c r="N256" s="82"/>
      <c r="O256" s="38">
        <v>80</v>
      </c>
      <c r="P256" s="38">
        <v>90</v>
      </c>
      <c r="Q256" s="63">
        <f t="shared" si="55"/>
        <v>3.5274475E-2</v>
      </c>
      <c r="R256" s="63">
        <v>0</v>
      </c>
      <c r="T256" s="63"/>
      <c r="U256" s="43">
        <f t="shared" si="56"/>
        <v>0</v>
      </c>
    </row>
    <row r="257" spans="1:21" x14ac:dyDescent="0.3">
      <c r="A257" s="12" t="s">
        <v>48</v>
      </c>
      <c r="B257" s="83">
        <v>192071</v>
      </c>
      <c r="C257" s="83">
        <v>9127933900</v>
      </c>
      <c r="D257" s="63">
        <f t="shared" si="49"/>
        <v>1.9207100000000001E-2</v>
      </c>
      <c r="E257" s="84">
        <f t="shared" si="50"/>
        <v>95.047497019331388</v>
      </c>
      <c r="F257" s="82"/>
      <c r="G257" s="12" t="s">
        <v>48</v>
      </c>
      <c r="H257" s="80">
        <v>1</v>
      </c>
      <c r="I257" s="63">
        <f t="shared" si="51"/>
        <v>1.9207100000000001E-2</v>
      </c>
      <c r="J257" s="63">
        <f t="shared" si="52"/>
        <v>3.1334063000000002E-2</v>
      </c>
      <c r="K257" s="81">
        <v>31334063</v>
      </c>
      <c r="L257" s="63">
        <f t="shared" si="53"/>
        <v>3.1334063000000002E-2</v>
      </c>
      <c r="M257" s="63">
        <f t="shared" si="54"/>
        <v>2.978224259596042</v>
      </c>
      <c r="N257" s="82"/>
      <c r="O257" s="38">
        <v>90</v>
      </c>
      <c r="P257" s="38">
        <v>100</v>
      </c>
      <c r="Q257" s="63">
        <f t="shared" si="55"/>
        <v>3.1334063000000002E-2</v>
      </c>
      <c r="R257" s="63">
        <v>0</v>
      </c>
      <c r="T257" s="63"/>
      <c r="U257" s="43">
        <f t="shared" si="56"/>
        <v>0</v>
      </c>
    </row>
    <row r="258" spans="1:21" x14ac:dyDescent="0.3">
      <c r="A258" s="12" t="s">
        <v>49</v>
      </c>
      <c r="B258" s="83">
        <v>391227</v>
      </c>
      <c r="C258" s="83">
        <v>21525388900</v>
      </c>
      <c r="D258" s="63">
        <f t="shared" si="49"/>
        <v>3.9122700000000003E-2</v>
      </c>
      <c r="E258" s="84">
        <f t="shared" si="50"/>
        <v>110.04040569797074</v>
      </c>
      <c r="F258" s="82"/>
      <c r="G258" s="12" t="s">
        <v>49</v>
      </c>
      <c r="H258" s="80">
        <v>1</v>
      </c>
      <c r="I258" s="63">
        <f t="shared" si="51"/>
        <v>3.9122700000000003E-2</v>
      </c>
      <c r="J258" s="63">
        <f t="shared" si="52"/>
        <v>4.3207567000000002E-2</v>
      </c>
      <c r="K258" s="81">
        <v>43207567</v>
      </c>
      <c r="L258" s="63">
        <f t="shared" si="53"/>
        <v>4.3207567000000002E-2</v>
      </c>
      <c r="M258" s="63">
        <f t="shared" si="54"/>
        <v>4.7545782019022527</v>
      </c>
      <c r="N258" s="82"/>
      <c r="O258" s="38">
        <v>100</v>
      </c>
      <c r="P258" s="38">
        <v>120</v>
      </c>
      <c r="Q258" s="63">
        <f t="shared" si="55"/>
        <v>4.3207567000000002E-2</v>
      </c>
      <c r="R258" s="63">
        <v>0.19038512128462151</v>
      </c>
      <c r="T258" s="63"/>
      <c r="U258" s="43">
        <f t="shared" si="56"/>
        <v>0</v>
      </c>
    </row>
    <row r="259" spans="1:21" x14ac:dyDescent="0.3">
      <c r="A259" s="12" t="s">
        <v>50</v>
      </c>
      <c r="B259" s="83">
        <v>391927</v>
      </c>
      <c r="C259" s="83">
        <v>25481290450</v>
      </c>
      <c r="D259" s="63">
        <f t="shared" si="49"/>
        <v>3.9192699999999997E-2</v>
      </c>
      <c r="E259" s="84">
        <f t="shared" si="50"/>
        <v>130.03079884774459</v>
      </c>
      <c r="F259" s="82"/>
      <c r="G259" s="12" t="s">
        <v>50</v>
      </c>
      <c r="H259" s="80">
        <v>1</v>
      </c>
      <c r="I259" s="63">
        <f t="shared" si="51"/>
        <v>3.9192699999999997E-2</v>
      </c>
      <c r="J259" s="63">
        <f t="shared" si="52"/>
        <v>6.2985396999999999E-2</v>
      </c>
      <c r="K259" s="81">
        <v>62985397</v>
      </c>
      <c r="L259" s="63">
        <f t="shared" si="53"/>
        <v>6.2985396999999999E-2</v>
      </c>
      <c r="M259" s="63">
        <f t="shared" si="54"/>
        <v>8.1900414876523353</v>
      </c>
      <c r="N259" s="82"/>
      <c r="O259" s="38">
        <v>120</v>
      </c>
      <c r="P259" s="38">
        <v>140</v>
      </c>
      <c r="Q259" s="63">
        <f t="shared" si="55"/>
        <v>6.2985396999999999E-2</v>
      </c>
      <c r="R259" s="63">
        <v>0.16559557398714689</v>
      </c>
      <c r="T259" s="63"/>
      <c r="U259" s="43">
        <f t="shared" si="56"/>
        <v>0</v>
      </c>
    </row>
    <row r="260" spans="1:21" x14ac:dyDescent="0.3">
      <c r="A260" s="12" t="s">
        <v>51</v>
      </c>
      <c r="B260" s="83">
        <v>386397</v>
      </c>
      <c r="C260" s="83">
        <v>28979272825</v>
      </c>
      <c r="D260" s="63">
        <f t="shared" si="49"/>
        <v>3.8639699999999999E-2</v>
      </c>
      <c r="E260" s="84">
        <f t="shared" si="50"/>
        <v>149.99740073033692</v>
      </c>
      <c r="F260" s="82"/>
      <c r="G260" s="12" t="s">
        <v>51</v>
      </c>
      <c r="H260" s="80">
        <v>1</v>
      </c>
      <c r="I260" s="63">
        <f t="shared" si="51"/>
        <v>3.8639699999999999E-2</v>
      </c>
      <c r="J260" s="63">
        <f t="shared" si="52"/>
        <v>2.7436018E-2</v>
      </c>
      <c r="K260" s="81">
        <v>27436018</v>
      </c>
      <c r="L260" s="63">
        <f t="shared" si="53"/>
        <v>2.7436018E-2</v>
      </c>
      <c r="M260" s="63">
        <f t="shared" si="54"/>
        <v>4.1153313863907366</v>
      </c>
      <c r="N260" s="82"/>
      <c r="O260" s="38">
        <v>140</v>
      </c>
      <c r="P260" s="38">
        <v>160</v>
      </c>
      <c r="Q260" s="63">
        <f t="shared" si="55"/>
        <v>2.7436018E-2</v>
      </c>
      <c r="R260" s="63">
        <v>0.13174008258088099</v>
      </c>
      <c r="T260" s="63"/>
      <c r="U260" s="43">
        <f t="shared" si="56"/>
        <v>0</v>
      </c>
    </row>
    <row r="261" spans="1:21" x14ac:dyDescent="0.3">
      <c r="A261" s="12" t="s">
        <v>52</v>
      </c>
      <c r="B261" s="83">
        <v>375882</v>
      </c>
      <c r="C261" s="83">
        <v>31944807250</v>
      </c>
      <c r="D261" s="63">
        <f t="shared" si="49"/>
        <v>3.7588200000000002E-2</v>
      </c>
      <c r="E261" s="84">
        <f t="shared" si="50"/>
        <v>169.97252994290761</v>
      </c>
      <c r="F261" s="82"/>
      <c r="G261" s="12" t="s">
        <v>52</v>
      </c>
      <c r="H261" s="80">
        <v>1</v>
      </c>
      <c r="I261" s="63">
        <f t="shared" si="51"/>
        <v>3.7588200000000002E-2</v>
      </c>
      <c r="J261" s="63">
        <f t="shared" si="52"/>
        <v>2.3505018999999999E-2</v>
      </c>
      <c r="K261" s="81">
        <v>23505019</v>
      </c>
      <c r="L261" s="63">
        <f t="shared" si="53"/>
        <v>2.3505018999999999E-2</v>
      </c>
      <c r="M261" s="63">
        <f t="shared" si="54"/>
        <v>3.995207545786112</v>
      </c>
      <c r="N261" s="82"/>
      <c r="O261" s="38">
        <v>160</v>
      </c>
      <c r="P261" s="38">
        <v>180</v>
      </c>
      <c r="Q261" s="63">
        <f t="shared" si="55"/>
        <v>2.3505018999999999E-2</v>
      </c>
      <c r="R261" s="63">
        <v>9.2868193114418324E-2</v>
      </c>
      <c r="T261" s="63"/>
      <c r="U261" s="43">
        <f t="shared" si="56"/>
        <v>0</v>
      </c>
    </row>
    <row r="262" spans="1:21" x14ac:dyDescent="0.3">
      <c r="A262" s="12" t="s">
        <v>53</v>
      </c>
      <c r="B262" s="83">
        <v>362324</v>
      </c>
      <c r="C262" s="83">
        <v>34412323325</v>
      </c>
      <c r="D262" s="63">
        <f t="shared" si="49"/>
        <v>3.6232399999999998E-2</v>
      </c>
      <c r="E262" s="84">
        <f t="shared" si="50"/>
        <v>189.95331981872579</v>
      </c>
      <c r="F262" s="82"/>
      <c r="G262" s="12" t="s">
        <v>53</v>
      </c>
      <c r="H262" s="80">
        <v>1</v>
      </c>
      <c r="I262" s="63">
        <f t="shared" si="51"/>
        <v>3.6232399999999998E-2</v>
      </c>
      <c r="J262" s="63">
        <f t="shared" si="52"/>
        <v>2.3523916999999998E-2</v>
      </c>
      <c r="K262" s="81">
        <v>23523917</v>
      </c>
      <c r="L262" s="63">
        <f t="shared" si="53"/>
        <v>2.3523916999999998E-2</v>
      </c>
      <c r="M262" s="63">
        <f t="shared" si="54"/>
        <v>4.4684461292901601</v>
      </c>
      <c r="N262" s="82"/>
      <c r="O262" s="38">
        <v>180</v>
      </c>
      <c r="P262" s="38">
        <v>200</v>
      </c>
      <c r="Q262" s="63">
        <f t="shared" si="55"/>
        <v>2.3523916999999998E-2</v>
      </c>
      <c r="R262" s="63">
        <v>7.7661853931942249E-2</v>
      </c>
      <c r="T262" s="63"/>
      <c r="U262" s="43">
        <f t="shared" si="56"/>
        <v>0</v>
      </c>
    </row>
    <row r="263" spans="1:21" x14ac:dyDescent="0.3">
      <c r="A263" s="12" t="s">
        <v>54</v>
      </c>
      <c r="B263" s="83">
        <v>834186</v>
      </c>
      <c r="C263" s="83">
        <v>93638745375</v>
      </c>
      <c r="D263" s="63">
        <f t="shared" si="49"/>
        <v>8.3418599999999996E-2</v>
      </c>
      <c r="E263" s="84">
        <f t="shared" si="50"/>
        <v>224.50327714682339</v>
      </c>
      <c r="F263" s="82"/>
      <c r="G263" s="12" t="s">
        <v>54</v>
      </c>
      <c r="H263" s="80">
        <v>1</v>
      </c>
      <c r="I263" s="63">
        <f t="shared" si="51"/>
        <v>8.3418599999999996E-2</v>
      </c>
      <c r="J263" s="63">
        <f t="shared" si="52"/>
        <v>4.3314869999999998E-2</v>
      </c>
      <c r="K263" s="81">
        <v>43314870</v>
      </c>
      <c r="L263" s="63">
        <f t="shared" si="53"/>
        <v>4.3314869999999998E-2</v>
      </c>
      <c r="M263" s="63">
        <f t="shared" si="54"/>
        <v>9.7243302641886267</v>
      </c>
      <c r="N263" s="82"/>
      <c r="O263" s="38">
        <v>200</v>
      </c>
      <c r="P263" s="38">
        <v>250</v>
      </c>
      <c r="Q263" s="63">
        <f t="shared" si="55"/>
        <v>4.3314869999999998E-2</v>
      </c>
      <c r="R263" s="63">
        <v>7.8106011937272138E-2</v>
      </c>
      <c r="T263" s="63"/>
      <c r="U263" s="43">
        <f t="shared" si="56"/>
        <v>0</v>
      </c>
    </row>
    <row r="264" spans="1:21" x14ac:dyDescent="0.3">
      <c r="A264" s="12" t="s">
        <v>55</v>
      </c>
      <c r="B264" s="83">
        <v>732855</v>
      </c>
      <c r="C264" s="83">
        <v>100574663775</v>
      </c>
      <c r="D264" s="63">
        <f t="shared" si="49"/>
        <v>7.3285500000000003E-2</v>
      </c>
      <c r="E264" s="84">
        <f t="shared" si="50"/>
        <v>274.47356919172279</v>
      </c>
      <c r="F264" s="82"/>
      <c r="G264" s="12" t="s">
        <v>55</v>
      </c>
      <c r="H264" s="80">
        <v>1</v>
      </c>
      <c r="I264" s="63">
        <f t="shared" si="51"/>
        <v>7.3285500000000003E-2</v>
      </c>
      <c r="J264" s="63">
        <f t="shared" si="52"/>
        <v>1.1743534E-2</v>
      </c>
      <c r="K264" s="81">
        <v>11743534</v>
      </c>
      <c r="L264" s="63">
        <f t="shared" si="53"/>
        <v>1.1743534E-2</v>
      </c>
      <c r="M264" s="63">
        <f t="shared" si="54"/>
        <v>3.2232896919043492</v>
      </c>
      <c r="N264" s="82"/>
      <c r="O264" s="38">
        <v>250</v>
      </c>
      <c r="P264" s="38">
        <v>300</v>
      </c>
      <c r="Q264" s="63">
        <f t="shared" si="55"/>
        <v>1.1743534E-2</v>
      </c>
      <c r="R264" s="63">
        <v>6.2218464746621578E-2</v>
      </c>
      <c r="T264" s="63"/>
      <c r="U264" s="43">
        <f t="shared" si="56"/>
        <v>0</v>
      </c>
    </row>
    <row r="265" spans="1:21" x14ac:dyDescent="0.3">
      <c r="A265" s="12" t="s">
        <v>56</v>
      </c>
      <c r="B265" s="83">
        <v>634943</v>
      </c>
      <c r="C265" s="83">
        <v>102989687025</v>
      </c>
      <c r="D265" s="63">
        <f t="shared" si="49"/>
        <v>6.3494300000000004E-2</v>
      </c>
      <c r="E265" s="84">
        <f t="shared" si="50"/>
        <v>324.40608692433807</v>
      </c>
      <c r="F265" s="82"/>
      <c r="G265" s="12" t="s">
        <v>56</v>
      </c>
      <c r="H265" s="80">
        <v>1</v>
      </c>
      <c r="I265" s="63">
        <f t="shared" si="51"/>
        <v>6.3494300000000004E-2</v>
      </c>
      <c r="J265" s="63">
        <f t="shared" si="52"/>
        <v>3.8811649999999998E-3</v>
      </c>
      <c r="K265" s="81">
        <v>3881165</v>
      </c>
      <c r="L265" s="63">
        <f t="shared" si="53"/>
        <v>3.8811649999999998E-3</v>
      </c>
      <c r="M265" s="63">
        <f t="shared" si="54"/>
        <v>1.2590735503576984</v>
      </c>
      <c r="N265" s="82"/>
      <c r="O265" s="38">
        <v>300</v>
      </c>
      <c r="P265" s="38">
        <v>350</v>
      </c>
      <c r="Q265" s="63">
        <f t="shared" si="55"/>
        <v>3.8811649999999998E-3</v>
      </c>
      <c r="R265" s="63">
        <v>5.4238473650861693E-2</v>
      </c>
      <c r="T265" s="63"/>
      <c r="U265" s="43">
        <f t="shared" si="56"/>
        <v>0</v>
      </c>
    </row>
    <row r="266" spans="1:21" x14ac:dyDescent="0.3">
      <c r="A266" s="12" t="s">
        <v>57</v>
      </c>
      <c r="B266" s="83">
        <v>549244</v>
      </c>
      <c r="C266" s="83">
        <v>102817847325</v>
      </c>
      <c r="D266" s="63">
        <f t="shared" ref="D266:D297" si="57">IFERROR(B266/$B$232,0)</f>
        <v>5.4924399999999998E-2</v>
      </c>
      <c r="E266" s="84">
        <f t="shared" ref="E266:E297" si="58">IFERROR(C266/B266/500,0)</f>
        <v>374.39770784933478</v>
      </c>
      <c r="F266" s="82"/>
      <c r="G266" s="12" t="s">
        <v>57</v>
      </c>
      <c r="H266" s="80">
        <v>1</v>
      </c>
      <c r="I266" s="63">
        <f t="shared" ref="I266:I297" si="59">IFERROR(B266/$B$232,0)</f>
        <v>5.4924399999999998E-2</v>
      </c>
      <c r="J266" s="63">
        <f t="shared" ref="J266:J297" si="60">IFERROR(K266/$B$2,0)</f>
        <v>7.8881469999999999E-3</v>
      </c>
      <c r="K266" s="81">
        <v>7888147</v>
      </c>
      <c r="L266" s="63">
        <f t="shared" ref="L266:L297" si="61">IFERROR(K266/$B$2,0)</f>
        <v>7.8881469999999999E-3</v>
      </c>
      <c r="M266" s="63">
        <f t="shared" ref="M266:M297" si="62">IFERROR(L266*E266,0)</f>
        <v>2.9533041559786066</v>
      </c>
      <c r="N266" s="82"/>
      <c r="O266" s="38">
        <v>350</v>
      </c>
      <c r="P266" s="38">
        <v>400</v>
      </c>
      <c r="Q266" s="63">
        <f t="shared" ref="Q266:Q297" si="63">L266</f>
        <v>7.8881469999999999E-3</v>
      </c>
      <c r="R266" s="63">
        <v>3.1967103383605242E-2</v>
      </c>
      <c r="T266" s="63"/>
      <c r="U266" s="43">
        <f t="shared" ref="U266:U297" si="64">IFERROR(ROUND(T266/L266,2),0)</f>
        <v>0</v>
      </c>
    </row>
    <row r="267" spans="1:21" x14ac:dyDescent="0.3">
      <c r="A267" s="12" t="s">
        <v>58</v>
      </c>
      <c r="B267" s="83">
        <v>474685</v>
      </c>
      <c r="C267" s="83">
        <v>100736974000</v>
      </c>
      <c r="D267" s="63">
        <f t="shared" si="57"/>
        <v>4.7468499999999997E-2</v>
      </c>
      <c r="E267" s="84">
        <f t="shared" si="58"/>
        <v>424.43714884607687</v>
      </c>
      <c r="F267" s="82"/>
      <c r="G267" s="12" t="s">
        <v>58</v>
      </c>
      <c r="H267" s="80">
        <v>1</v>
      </c>
      <c r="I267" s="63">
        <f t="shared" si="59"/>
        <v>4.7468499999999997E-2</v>
      </c>
      <c r="J267" s="63">
        <f t="shared" si="60"/>
        <v>1.1885219000000001E-2</v>
      </c>
      <c r="K267" s="81">
        <v>11885219</v>
      </c>
      <c r="L267" s="63">
        <f t="shared" si="61"/>
        <v>1.1885219000000001E-2</v>
      </c>
      <c r="M267" s="63">
        <f t="shared" si="62"/>
        <v>5.0445284657712213</v>
      </c>
      <c r="N267" s="82"/>
      <c r="O267" s="38">
        <v>400</v>
      </c>
      <c r="P267" s="38">
        <v>450</v>
      </c>
      <c r="Q267" s="63">
        <f t="shared" si="63"/>
        <v>1.1885219000000001E-2</v>
      </c>
      <c r="R267" s="63">
        <v>2.673084232077011E-2</v>
      </c>
      <c r="T267" s="63"/>
      <c r="U267" s="43">
        <f t="shared" si="64"/>
        <v>0</v>
      </c>
    </row>
    <row r="268" spans="1:21" x14ac:dyDescent="0.3">
      <c r="A268" s="12" t="s">
        <v>59</v>
      </c>
      <c r="B268" s="83">
        <v>410001</v>
      </c>
      <c r="C268" s="83">
        <v>97259284425</v>
      </c>
      <c r="D268" s="63">
        <f t="shared" si="57"/>
        <v>4.1000099999999998E-2</v>
      </c>
      <c r="E268" s="84">
        <f t="shared" si="58"/>
        <v>474.43437662347168</v>
      </c>
      <c r="F268" s="82"/>
      <c r="G268" s="12" t="s">
        <v>59</v>
      </c>
      <c r="H268" s="80">
        <v>1</v>
      </c>
      <c r="I268" s="63">
        <f t="shared" si="59"/>
        <v>4.1000099999999998E-2</v>
      </c>
      <c r="J268" s="63">
        <f t="shared" si="60"/>
        <v>7.9824419999999993E-3</v>
      </c>
      <c r="K268" s="81">
        <v>7982442</v>
      </c>
      <c r="L268" s="63">
        <f t="shared" si="61"/>
        <v>7.9824419999999993E-3</v>
      </c>
      <c r="M268" s="63">
        <f t="shared" si="62"/>
        <v>3.7871448942030184</v>
      </c>
      <c r="N268" s="82"/>
      <c r="O268" s="38">
        <v>450</v>
      </c>
      <c r="P268" s="38">
        <v>500</v>
      </c>
      <c r="Q268" s="63">
        <f t="shared" si="63"/>
        <v>7.9824419999999993E-3</v>
      </c>
      <c r="R268" s="63">
        <v>2.4327817291933809E-2</v>
      </c>
      <c r="T268" s="63"/>
      <c r="U268" s="43">
        <f t="shared" si="64"/>
        <v>0</v>
      </c>
    </row>
    <row r="269" spans="1:21" x14ac:dyDescent="0.3">
      <c r="A269" s="12" t="s">
        <v>60</v>
      </c>
      <c r="B269" s="83">
        <v>357096</v>
      </c>
      <c r="C269" s="83">
        <v>93642085625</v>
      </c>
      <c r="D269" s="63">
        <f t="shared" si="57"/>
        <v>3.5709600000000001E-2</v>
      </c>
      <c r="E269" s="84">
        <f t="shared" si="58"/>
        <v>524.46448924098843</v>
      </c>
      <c r="F269" s="82"/>
      <c r="G269" s="12" t="s">
        <v>60</v>
      </c>
      <c r="H269" s="80">
        <v>1</v>
      </c>
      <c r="I269" s="63">
        <f t="shared" si="59"/>
        <v>3.5709600000000001E-2</v>
      </c>
      <c r="J269" s="63">
        <f t="shared" si="60"/>
        <v>1.2002000000000001E-4</v>
      </c>
      <c r="K269" s="81">
        <v>120020</v>
      </c>
      <c r="L269" s="63">
        <f t="shared" si="61"/>
        <v>1.2002000000000001E-4</v>
      </c>
      <c r="M269" s="63">
        <f t="shared" si="62"/>
        <v>6.2946227998703433E-2</v>
      </c>
      <c r="N269" s="82"/>
      <c r="O269" s="38">
        <v>500</v>
      </c>
      <c r="P269" s="38">
        <v>550</v>
      </c>
      <c r="Q269" s="63">
        <f t="shared" si="63"/>
        <v>1.2002000000000001E-4</v>
      </c>
      <c r="R269" s="63">
        <v>2.844508634134104E-2</v>
      </c>
      <c r="T269" s="63"/>
      <c r="U269" s="43">
        <f t="shared" si="64"/>
        <v>0</v>
      </c>
    </row>
    <row r="270" spans="1:21" x14ac:dyDescent="0.3">
      <c r="A270" s="12" t="s">
        <v>61</v>
      </c>
      <c r="B270" s="83">
        <v>309666</v>
      </c>
      <c r="C270" s="83">
        <v>88939242850</v>
      </c>
      <c r="D270" s="63">
        <f t="shared" si="57"/>
        <v>3.09666E-2</v>
      </c>
      <c r="E270" s="84">
        <f t="shared" si="58"/>
        <v>574.42045849399028</v>
      </c>
      <c r="F270" s="82"/>
      <c r="G270" s="12" t="s">
        <v>61</v>
      </c>
      <c r="H270" s="80">
        <v>1</v>
      </c>
      <c r="I270" s="63">
        <f t="shared" si="59"/>
        <v>3.09666E-2</v>
      </c>
      <c r="J270" s="63">
        <f t="shared" si="60"/>
        <v>8.076939E-3</v>
      </c>
      <c r="K270" s="81">
        <v>8076939</v>
      </c>
      <c r="L270" s="63">
        <f t="shared" si="61"/>
        <v>8.076939E-3</v>
      </c>
      <c r="M270" s="63">
        <f t="shared" si="62"/>
        <v>4.6395590036079914</v>
      </c>
      <c r="N270" s="82"/>
      <c r="O270" s="38">
        <v>550</v>
      </c>
      <c r="P270" s="38">
        <v>600</v>
      </c>
      <c r="Q270" s="63">
        <f t="shared" si="63"/>
        <v>8.076939E-3</v>
      </c>
      <c r="R270" s="63">
        <v>1.20146501441758E-2</v>
      </c>
      <c r="T270" s="63"/>
      <c r="U270" s="43">
        <f t="shared" si="64"/>
        <v>0</v>
      </c>
    </row>
    <row r="271" spans="1:21" x14ac:dyDescent="0.3">
      <c r="A271" s="12" t="s">
        <v>62</v>
      </c>
      <c r="B271" s="83">
        <v>269178</v>
      </c>
      <c r="C271" s="83">
        <v>84042237925</v>
      </c>
      <c r="D271" s="63">
        <f t="shared" si="57"/>
        <v>2.6917799999999999E-2</v>
      </c>
      <c r="E271" s="84">
        <f t="shared" si="58"/>
        <v>624.43615692961532</v>
      </c>
      <c r="F271" s="82"/>
      <c r="G271" s="12" t="s">
        <v>62</v>
      </c>
      <c r="H271" s="80">
        <v>1</v>
      </c>
      <c r="I271" s="63">
        <f t="shared" si="59"/>
        <v>2.6917799999999999E-2</v>
      </c>
      <c r="J271" s="63">
        <f t="shared" si="60"/>
        <v>2.1457299999999999E-4</v>
      </c>
      <c r="K271" s="81">
        <v>214573</v>
      </c>
      <c r="L271" s="63">
        <f t="shared" si="61"/>
        <v>2.1457299999999999E-4</v>
      </c>
      <c r="M271" s="63">
        <f t="shared" si="62"/>
        <v>0.13398713950085833</v>
      </c>
      <c r="N271" s="82"/>
      <c r="O271" s="38">
        <v>600</v>
      </c>
      <c r="P271" s="38">
        <v>650</v>
      </c>
      <c r="Q271" s="63">
        <f t="shared" si="63"/>
        <v>2.1457299999999999E-4</v>
      </c>
      <c r="R271" s="63">
        <v>3.7226010446712119E-3</v>
      </c>
      <c r="T271" s="63"/>
      <c r="U271" s="43">
        <f t="shared" si="64"/>
        <v>0</v>
      </c>
    </row>
    <row r="272" spans="1:21" x14ac:dyDescent="0.3">
      <c r="A272" s="12" t="s">
        <v>63</v>
      </c>
      <c r="B272" s="83">
        <v>234744</v>
      </c>
      <c r="C272" s="83">
        <v>79155744275</v>
      </c>
      <c r="D272" s="63">
        <f t="shared" si="57"/>
        <v>2.3474399999999999E-2</v>
      </c>
      <c r="E272" s="84">
        <f t="shared" si="58"/>
        <v>674.40057488157311</v>
      </c>
      <c r="F272" s="82"/>
      <c r="G272" s="12" t="s">
        <v>63</v>
      </c>
      <c r="H272" s="80">
        <v>1</v>
      </c>
      <c r="I272" s="63">
        <f t="shared" si="59"/>
        <v>2.3474399999999999E-2</v>
      </c>
      <c r="J272" s="63">
        <f t="shared" si="60"/>
        <v>2.61592E-4</v>
      </c>
      <c r="K272" s="81">
        <v>261592</v>
      </c>
      <c r="L272" s="63">
        <f t="shared" si="61"/>
        <v>2.61592E-4</v>
      </c>
      <c r="M272" s="63">
        <f t="shared" si="62"/>
        <v>0.17641779518442047</v>
      </c>
      <c r="N272" s="82"/>
      <c r="O272" s="38">
        <v>650</v>
      </c>
      <c r="P272" s="38">
        <v>700</v>
      </c>
      <c r="Q272" s="63">
        <f t="shared" si="63"/>
        <v>2.61592E-4</v>
      </c>
      <c r="R272" s="63">
        <v>2.2526660270319921E-3</v>
      </c>
      <c r="T272" s="63"/>
      <c r="U272" s="43">
        <f t="shared" si="64"/>
        <v>0</v>
      </c>
    </row>
    <row r="273" spans="1:21" x14ac:dyDescent="0.3">
      <c r="A273" s="12" t="s">
        <v>64</v>
      </c>
      <c r="B273" s="83">
        <v>206008</v>
      </c>
      <c r="C273" s="83">
        <v>74620456200</v>
      </c>
      <c r="D273" s="63">
        <f t="shared" si="57"/>
        <v>2.0600799999999999E-2</v>
      </c>
      <c r="E273" s="84">
        <f t="shared" si="58"/>
        <v>724.44231486155877</v>
      </c>
      <c r="F273" s="82"/>
      <c r="G273" s="12" t="s">
        <v>64</v>
      </c>
      <c r="H273" s="80">
        <v>1</v>
      </c>
      <c r="I273" s="63">
        <f t="shared" si="59"/>
        <v>2.0600799999999999E-2</v>
      </c>
      <c r="J273" s="63">
        <f t="shared" si="60"/>
        <v>3.0878999999999998E-4</v>
      </c>
      <c r="K273" s="81">
        <v>308790</v>
      </c>
      <c r="L273" s="63">
        <f t="shared" si="61"/>
        <v>3.0878999999999998E-4</v>
      </c>
      <c r="M273" s="63">
        <f t="shared" si="62"/>
        <v>0.22370054240610071</v>
      </c>
      <c r="N273" s="82"/>
      <c r="O273" s="38">
        <v>700</v>
      </c>
      <c r="P273" s="38">
        <v>750</v>
      </c>
      <c r="Q273" s="63">
        <f t="shared" si="63"/>
        <v>3.0878999999999998E-4</v>
      </c>
      <c r="R273" s="63">
        <v>2.2741570272898849E-3</v>
      </c>
      <c r="T273" s="63"/>
      <c r="U273" s="43">
        <f t="shared" si="64"/>
        <v>0</v>
      </c>
    </row>
    <row r="274" spans="1:21" x14ac:dyDescent="0.3">
      <c r="A274" s="12" t="s">
        <v>65</v>
      </c>
      <c r="B274" s="83">
        <v>180585</v>
      </c>
      <c r="C274" s="83">
        <v>69923898425</v>
      </c>
      <c r="D274" s="63">
        <f t="shared" si="57"/>
        <v>1.8058500000000002E-2</v>
      </c>
      <c r="E274" s="84">
        <f t="shared" si="58"/>
        <v>774.41535481906033</v>
      </c>
      <c r="F274" s="82"/>
      <c r="G274" s="12" t="s">
        <v>65</v>
      </c>
      <c r="H274" s="80">
        <v>1</v>
      </c>
      <c r="I274" s="63">
        <f t="shared" si="59"/>
        <v>1.8058500000000002E-2</v>
      </c>
      <c r="J274" s="63">
        <f t="shared" si="60"/>
        <v>3.5623000000000002E-4</v>
      </c>
      <c r="K274" s="81">
        <v>356230</v>
      </c>
      <c r="L274" s="63">
        <f t="shared" si="61"/>
        <v>3.5623000000000002E-4</v>
      </c>
      <c r="M274" s="63">
        <f t="shared" si="62"/>
        <v>0.27586998184719386</v>
      </c>
      <c r="N274" s="82"/>
      <c r="O274" s="38">
        <v>750</v>
      </c>
      <c r="P274" s="38">
        <v>800</v>
      </c>
      <c r="Q274" s="63">
        <f t="shared" si="63"/>
        <v>3.5623000000000002E-4</v>
      </c>
      <c r="R274" s="63">
        <v>2.2816250273794999E-3</v>
      </c>
      <c r="T274" s="63"/>
      <c r="U274" s="43">
        <f t="shared" si="64"/>
        <v>0</v>
      </c>
    </row>
    <row r="275" spans="1:21" x14ac:dyDescent="0.3">
      <c r="A275" s="12" t="s">
        <v>66</v>
      </c>
      <c r="B275" s="83">
        <v>158461</v>
      </c>
      <c r="C275" s="83">
        <v>65325578175</v>
      </c>
      <c r="D275" s="63">
        <f t="shared" si="57"/>
        <v>1.5846099999999998E-2</v>
      </c>
      <c r="E275" s="84">
        <f t="shared" si="58"/>
        <v>824.50039031686026</v>
      </c>
      <c r="F275" s="82"/>
      <c r="G275" s="12" t="s">
        <v>66</v>
      </c>
      <c r="H275" s="80">
        <v>1</v>
      </c>
      <c r="I275" s="63">
        <f t="shared" si="59"/>
        <v>1.5846099999999998E-2</v>
      </c>
      <c r="J275" s="63">
        <f t="shared" si="60"/>
        <v>4.0337800000000003E-4</v>
      </c>
      <c r="K275" s="81">
        <v>403378</v>
      </c>
      <c r="L275" s="63">
        <f t="shared" si="61"/>
        <v>4.0337800000000003E-4</v>
      </c>
      <c r="M275" s="63">
        <f t="shared" si="62"/>
        <v>0.33258531844523448</v>
      </c>
      <c r="N275" s="82"/>
      <c r="O275" s="38">
        <v>800</v>
      </c>
      <c r="P275" s="38">
        <v>850</v>
      </c>
      <c r="Q275" s="63">
        <f t="shared" si="63"/>
        <v>4.0337800000000003E-4</v>
      </c>
      <c r="R275" s="63">
        <v>1.5291920183503041E-3</v>
      </c>
      <c r="T275" s="63"/>
      <c r="U275" s="43">
        <f t="shared" si="64"/>
        <v>0</v>
      </c>
    </row>
    <row r="276" spans="1:21" x14ac:dyDescent="0.3">
      <c r="A276" s="12" t="s">
        <v>67</v>
      </c>
      <c r="B276" s="83">
        <v>139537</v>
      </c>
      <c r="C276" s="83">
        <v>61005744150</v>
      </c>
      <c r="D276" s="63">
        <f t="shared" si="57"/>
        <v>1.3953699999999999E-2</v>
      </c>
      <c r="E276" s="84">
        <f t="shared" si="58"/>
        <v>874.40240438020021</v>
      </c>
      <c r="F276" s="82"/>
      <c r="G276" s="12" t="s">
        <v>67</v>
      </c>
      <c r="H276" s="80">
        <v>1</v>
      </c>
      <c r="I276" s="63">
        <f t="shared" si="59"/>
        <v>1.3953699999999999E-2</v>
      </c>
      <c r="J276" s="63">
        <f t="shared" si="60"/>
        <v>4.5066600000000001E-4</v>
      </c>
      <c r="K276" s="86">
        <v>450666</v>
      </c>
      <c r="L276" s="63">
        <f t="shared" si="61"/>
        <v>4.5066600000000001E-4</v>
      </c>
      <c r="M276" s="63">
        <f t="shared" si="62"/>
        <v>0.39406343397240734</v>
      </c>
      <c r="N276" s="82"/>
      <c r="O276" s="38">
        <v>850</v>
      </c>
      <c r="P276" s="38">
        <v>900</v>
      </c>
      <c r="Q276" s="63">
        <f t="shared" si="63"/>
        <v>4.5066600000000001E-4</v>
      </c>
      <c r="R276" s="63">
        <v>1.527822018333864E-3</v>
      </c>
      <c r="T276" s="63"/>
      <c r="U276" s="43">
        <f t="shared" si="64"/>
        <v>0</v>
      </c>
    </row>
    <row r="277" spans="1:21" x14ac:dyDescent="0.3">
      <c r="A277" s="12" t="s">
        <v>68</v>
      </c>
      <c r="B277" s="83">
        <v>123154</v>
      </c>
      <c r="C277" s="83">
        <v>56926954100</v>
      </c>
      <c r="D277" s="63">
        <f t="shared" si="57"/>
        <v>1.2315400000000001E-2</v>
      </c>
      <c r="E277" s="84">
        <f t="shared" si="58"/>
        <v>924.48404599119806</v>
      </c>
      <c r="F277" s="82"/>
      <c r="G277" s="12" t="s">
        <v>68</v>
      </c>
      <c r="H277" s="80">
        <v>1</v>
      </c>
      <c r="I277" s="63">
        <f t="shared" si="59"/>
        <v>1.2315400000000001E-2</v>
      </c>
      <c r="J277" s="63">
        <f t="shared" si="60"/>
        <v>4.9744000000000003E-4</v>
      </c>
      <c r="K277" s="86">
        <v>497440</v>
      </c>
      <c r="L277" s="63">
        <f t="shared" si="61"/>
        <v>4.9744000000000003E-4</v>
      </c>
      <c r="M277" s="63">
        <f t="shared" si="62"/>
        <v>0.45987534383786161</v>
      </c>
      <c r="N277" s="82"/>
      <c r="O277" s="38">
        <v>900</v>
      </c>
      <c r="P277" s="38">
        <v>950</v>
      </c>
      <c r="Q277" s="63">
        <f t="shared" si="63"/>
        <v>4.9744000000000003E-4</v>
      </c>
      <c r="R277" s="63">
        <v>1.5125650181507799E-3</v>
      </c>
      <c r="T277" s="63"/>
      <c r="U277" s="43">
        <f t="shared" si="64"/>
        <v>0</v>
      </c>
    </row>
    <row r="278" spans="1:21" x14ac:dyDescent="0.3">
      <c r="A278" s="12" t="s">
        <v>69</v>
      </c>
      <c r="B278" s="83">
        <v>108754</v>
      </c>
      <c r="C278" s="83">
        <v>52991640575</v>
      </c>
      <c r="D278" s="63">
        <f t="shared" si="57"/>
        <v>1.08754E-2</v>
      </c>
      <c r="E278" s="84">
        <f t="shared" si="58"/>
        <v>974.52306259999636</v>
      </c>
      <c r="F278" s="82"/>
      <c r="G278" s="12" t="s">
        <v>69</v>
      </c>
      <c r="H278" s="80">
        <v>1</v>
      </c>
      <c r="I278" s="63">
        <f t="shared" si="59"/>
        <v>1.08754E-2</v>
      </c>
      <c r="J278" s="63">
        <f t="shared" si="60"/>
        <v>5.4431E-4</v>
      </c>
      <c r="K278" s="86">
        <v>544310</v>
      </c>
      <c r="L278" s="63">
        <f t="shared" si="61"/>
        <v>5.4431E-4</v>
      </c>
      <c r="M278" s="63">
        <f t="shared" si="62"/>
        <v>0.53044264820380405</v>
      </c>
      <c r="N278" s="82"/>
      <c r="O278" s="38">
        <v>950</v>
      </c>
      <c r="P278" s="38">
        <v>1000</v>
      </c>
      <c r="Q278" s="63">
        <f t="shared" si="63"/>
        <v>5.4431E-4</v>
      </c>
      <c r="R278" s="63">
        <v>1.4996680179960159E-3</v>
      </c>
      <c r="T278" s="63"/>
      <c r="U278" s="43">
        <f t="shared" si="64"/>
        <v>0</v>
      </c>
    </row>
    <row r="279" spans="1:21" x14ac:dyDescent="0.3">
      <c r="A279" s="12" t="s">
        <v>70</v>
      </c>
      <c r="B279" s="83">
        <v>812705</v>
      </c>
      <c r="C279" s="83">
        <v>541922478250</v>
      </c>
      <c r="D279" s="63">
        <f t="shared" si="57"/>
        <v>8.1270499999999996E-2</v>
      </c>
      <c r="E279" s="84">
        <f t="shared" si="58"/>
        <v>1333.6265391501222</v>
      </c>
      <c r="F279" s="82"/>
      <c r="G279" s="12" t="s">
        <v>70</v>
      </c>
      <c r="H279" s="80">
        <v>1</v>
      </c>
      <c r="I279" s="63">
        <f t="shared" si="59"/>
        <v>8.1270499999999996E-2</v>
      </c>
      <c r="J279" s="63">
        <f t="shared" si="60"/>
        <v>8.4525699999999997E-4</v>
      </c>
      <c r="K279" s="86">
        <v>845257</v>
      </c>
      <c r="L279" s="63">
        <f t="shared" si="61"/>
        <v>8.4525699999999997E-4</v>
      </c>
      <c r="M279" s="63">
        <f t="shared" si="62"/>
        <v>1.1272571676024148</v>
      </c>
      <c r="N279" s="82"/>
      <c r="O279" s="38">
        <v>1000</v>
      </c>
      <c r="P279" s="38">
        <v>2000</v>
      </c>
      <c r="Q279" s="63">
        <f t="shared" si="63"/>
        <v>8.4525699999999997E-4</v>
      </c>
      <c r="R279" s="63">
        <v>3.862547046350564E-3</v>
      </c>
      <c r="T279" s="63"/>
      <c r="U279" s="43">
        <f t="shared" si="64"/>
        <v>0</v>
      </c>
    </row>
    <row r="280" spans="1:21" x14ac:dyDescent="0.3">
      <c r="A280" s="12" t="s">
        <v>71</v>
      </c>
      <c r="B280" s="83">
        <v>121995</v>
      </c>
      <c r="C280" s="83">
        <v>144832714050</v>
      </c>
      <c r="D280" s="63">
        <f t="shared" si="57"/>
        <v>1.21995E-2</v>
      </c>
      <c r="E280" s="84">
        <f t="shared" si="58"/>
        <v>2374.4040993483341</v>
      </c>
      <c r="F280" s="82"/>
      <c r="G280" s="12" t="s">
        <v>71</v>
      </c>
      <c r="H280" s="80">
        <v>1</v>
      </c>
      <c r="I280" s="63">
        <f t="shared" si="59"/>
        <v>1.21995E-2</v>
      </c>
      <c r="J280" s="63">
        <f t="shared" si="60"/>
        <v>1.9097890000000001E-3</v>
      </c>
      <c r="K280" s="86">
        <v>1909789</v>
      </c>
      <c r="L280" s="63">
        <f t="shared" si="61"/>
        <v>1.9097890000000001E-3</v>
      </c>
      <c r="M280" s="63">
        <f t="shared" si="62"/>
        <v>4.5346108304903554</v>
      </c>
      <c r="N280" s="82"/>
      <c r="O280" s="38">
        <v>2000</v>
      </c>
      <c r="P280" s="38">
        <v>3000</v>
      </c>
      <c r="Q280" s="63">
        <f t="shared" si="63"/>
        <v>1.9097890000000001E-3</v>
      </c>
      <c r="R280" s="63">
        <v>1.746226020954712E-3</v>
      </c>
      <c r="T280" s="63"/>
      <c r="U280" s="43">
        <f t="shared" si="64"/>
        <v>0</v>
      </c>
    </row>
    <row r="281" spans="1:21" x14ac:dyDescent="0.3">
      <c r="A281" s="12" t="s">
        <v>72</v>
      </c>
      <c r="B281" s="83">
        <v>32360</v>
      </c>
      <c r="C281" s="83">
        <v>55313613875</v>
      </c>
      <c r="D281" s="63">
        <f t="shared" si="57"/>
        <v>3.2360000000000002E-3</v>
      </c>
      <c r="E281" s="84">
        <f t="shared" si="58"/>
        <v>3418.641154202719</v>
      </c>
      <c r="F281" s="82"/>
      <c r="G281" s="12" t="s">
        <v>72</v>
      </c>
      <c r="H281" s="80">
        <v>1</v>
      </c>
      <c r="I281" s="63">
        <f t="shared" si="59"/>
        <v>3.2360000000000002E-3</v>
      </c>
      <c r="J281" s="63">
        <f t="shared" si="60"/>
        <v>0</v>
      </c>
      <c r="K281" s="86">
        <v>0</v>
      </c>
      <c r="L281" s="63">
        <f t="shared" si="61"/>
        <v>0</v>
      </c>
      <c r="M281" s="63">
        <f t="shared" si="62"/>
        <v>0</v>
      </c>
      <c r="N281" s="82"/>
      <c r="O281" s="38">
        <v>3000</v>
      </c>
      <c r="P281" s="38">
        <v>4000</v>
      </c>
      <c r="Q281" s="63">
        <f t="shared" si="63"/>
        <v>0</v>
      </c>
      <c r="R281" s="63">
        <v>6.3937700767252408E-4</v>
      </c>
      <c r="T281" s="63"/>
      <c r="U281" s="43">
        <f t="shared" si="64"/>
        <v>0</v>
      </c>
    </row>
    <row r="282" spans="1:21" x14ac:dyDescent="0.3">
      <c r="A282" s="12" t="s">
        <v>73</v>
      </c>
      <c r="B282" s="83">
        <v>13906</v>
      </c>
      <c r="C282" s="83">
        <v>30929337225</v>
      </c>
      <c r="D282" s="63">
        <f t="shared" si="57"/>
        <v>1.3906000000000001E-3</v>
      </c>
      <c r="E282" s="84">
        <f t="shared" si="58"/>
        <v>4448.3442003451746</v>
      </c>
      <c r="F282" s="82"/>
      <c r="G282" s="12" t="s">
        <v>73</v>
      </c>
      <c r="H282" s="80">
        <v>1</v>
      </c>
      <c r="I282" s="63">
        <f t="shared" si="59"/>
        <v>1.3906000000000001E-3</v>
      </c>
      <c r="J282" s="63">
        <f t="shared" si="60"/>
        <v>0</v>
      </c>
      <c r="K282" s="86">
        <v>0</v>
      </c>
      <c r="L282" s="63">
        <f t="shared" si="61"/>
        <v>0</v>
      </c>
      <c r="M282" s="63">
        <f t="shared" si="62"/>
        <v>0</v>
      </c>
      <c r="N282" s="82"/>
      <c r="O282" s="38">
        <v>4000</v>
      </c>
      <c r="P282" s="38">
        <v>5000</v>
      </c>
      <c r="Q282" s="63">
        <f t="shared" si="63"/>
        <v>0</v>
      </c>
      <c r="R282" s="63">
        <v>3.3850700406208399E-4</v>
      </c>
      <c r="T282" s="63"/>
      <c r="U282" s="43">
        <f t="shared" si="64"/>
        <v>0</v>
      </c>
    </row>
    <row r="283" spans="1:21" x14ac:dyDescent="0.3">
      <c r="A283" s="12" t="s">
        <v>74</v>
      </c>
      <c r="B283" s="83">
        <v>8328</v>
      </c>
      <c r="C283" s="83">
        <v>22769281575</v>
      </c>
      <c r="D283" s="63">
        <f t="shared" si="57"/>
        <v>8.3279999999999997E-4</v>
      </c>
      <c r="E283" s="84">
        <f t="shared" si="58"/>
        <v>5468.1271793948126</v>
      </c>
      <c r="F283" s="82"/>
      <c r="G283" s="12" t="s">
        <v>74</v>
      </c>
      <c r="H283" s="80">
        <v>1</v>
      </c>
      <c r="I283" s="63">
        <f t="shared" si="59"/>
        <v>8.3279999999999997E-4</v>
      </c>
      <c r="J283" s="63">
        <f t="shared" si="60"/>
        <v>0</v>
      </c>
      <c r="K283" s="86">
        <v>0</v>
      </c>
      <c r="L283" s="63">
        <f t="shared" si="61"/>
        <v>0</v>
      </c>
      <c r="M283" s="63">
        <f t="shared" si="62"/>
        <v>0</v>
      </c>
      <c r="N283" s="82"/>
      <c r="O283" s="38">
        <v>5000</v>
      </c>
      <c r="P283" s="38">
        <v>6000</v>
      </c>
      <c r="Q283" s="63">
        <f t="shared" si="63"/>
        <v>0</v>
      </c>
      <c r="R283" s="63">
        <v>2.9639800355677598E-4</v>
      </c>
      <c r="T283" s="63"/>
      <c r="U283" s="43">
        <f t="shared" si="64"/>
        <v>0</v>
      </c>
    </row>
    <row r="284" spans="1:21" x14ac:dyDescent="0.3">
      <c r="A284" s="12" t="s">
        <v>75</v>
      </c>
      <c r="B284" s="83">
        <v>5869</v>
      </c>
      <c r="C284" s="83">
        <v>19004181700</v>
      </c>
      <c r="D284" s="63">
        <f t="shared" si="57"/>
        <v>5.8690000000000001E-4</v>
      </c>
      <c r="E284" s="84">
        <f t="shared" si="58"/>
        <v>6476.1225762480835</v>
      </c>
      <c r="F284" s="82"/>
      <c r="G284" s="12" t="s">
        <v>75</v>
      </c>
      <c r="H284" s="80">
        <v>1</v>
      </c>
      <c r="I284" s="63">
        <f t="shared" si="59"/>
        <v>5.8690000000000001E-4</v>
      </c>
      <c r="J284" s="63">
        <f t="shared" si="60"/>
        <v>0</v>
      </c>
      <c r="K284" s="86">
        <v>0</v>
      </c>
      <c r="L284" s="63">
        <f t="shared" si="61"/>
        <v>0</v>
      </c>
      <c r="M284" s="63">
        <f t="shared" si="62"/>
        <v>0</v>
      </c>
      <c r="N284" s="82"/>
      <c r="O284" s="38">
        <v>6000</v>
      </c>
      <c r="P284" s="38">
        <v>7000</v>
      </c>
      <c r="Q284" s="63">
        <f t="shared" si="63"/>
        <v>0</v>
      </c>
      <c r="R284" s="63">
        <v>2.1737400260848799E-4</v>
      </c>
      <c r="T284" s="63"/>
      <c r="U284" s="43">
        <f t="shared" si="64"/>
        <v>0</v>
      </c>
    </row>
    <row r="285" spans="1:21" x14ac:dyDescent="0.3">
      <c r="A285" s="12" t="s">
        <v>76</v>
      </c>
      <c r="B285" s="83">
        <v>4567</v>
      </c>
      <c r="C285" s="83">
        <v>17073659775</v>
      </c>
      <c r="D285" s="63">
        <f t="shared" si="57"/>
        <v>4.5669999999999999E-4</v>
      </c>
      <c r="E285" s="84">
        <f t="shared" si="58"/>
        <v>7476.969465732428</v>
      </c>
      <c r="F285" s="82"/>
      <c r="G285" s="12" t="s">
        <v>76</v>
      </c>
      <c r="H285" s="80">
        <v>1</v>
      </c>
      <c r="I285" s="63">
        <f t="shared" si="59"/>
        <v>4.5669999999999999E-4</v>
      </c>
      <c r="J285" s="63">
        <f t="shared" si="60"/>
        <v>0</v>
      </c>
      <c r="K285" s="86">
        <v>0</v>
      </c>
      <c r="L285" s="63">
        <f t="shared" si="61"/>
        <v>0</v>
      </c>
      <c r="M285" s="63">
        <f t="shared" si="62"/>
        <v>0</v>
      </c>
      <c r="N285" s="82"/>
      <c r="O285" s="38">
        <v>7000</v>
      </c>
      <c r="P285" s="38">
        <v>8000</v>
      </c>
      <c r="Q285" s="63">
        <f t="shared" si="63"/>
        <v>0</v>
      </c>
      <c r="R285" s="63">
        <v>0</v>
      </c>
      <c r="T285" s="63"/>
      <c r="U285" s="43">
        <f t="shared" si="64"/>
        <v>0</v>
      </c>
    </row>
    <row r="286" spans="1:21" x14ac:dyDescent="0.3">
      <c r="A286" s="12" t="s">
        <v>77</v>
      </c>
      <c r="B286" s="83">
        <v>3824</v>
      </c>
      <c r="C286" s="83">
        <v>16222030250</v>
      </c>
      <c r="D286" s="63">
        <f t="shared" si="57"/>
        <v>3.8240000000000003E-4</v>
      </c>
      <c r="E286" s="84">
        <f t="shared" si="58"/>
        <v>8484.325444560669</v>
      </c>
      <c r="F286" s="82"/>
      <c r="G286" s="12" t="s">
        <v>77</v>
      </c>
      <c r="H286" s="80">
        <v>1</v>
      </c>
      <c r="I286" s="63">
        <f t="shared" si="59"/>
        <v>3.8240000000000003E-4</v>
      </c>
      <c r="J286" s="63">
        <f t="shared" si="60"/>
        <v>0</v>
      </c>
      <c r="K286" s="86">
        <v>0</v>
      </c>
      <c r="L286" s="63">
        <f t="shared" si="61"/>
        <v>0</v>
      </c>
      <c r="M286" s="63">
        <f t="shared" si="62"/>
        <v>0</v>
      </c>
      <c r="N286" s="82"/>
      <c r="O286" s="38">
        <v>8000</v>
      </c>
      <c r="P286" s="38">
        <v>9000</v>
      </c>
      <c r="Q286" s="63">
        <f t="shared" si="63"/>
        <v>0</v>
      </c>
      <c r="R286" s="63">
        <v>0</v>
      </c>
      <c r="T286" s="63"/>
      <c r="U286" s="43">
        <f t="shared" si="64"/>
        <v>0</v>
      </c>
    </row>
    <row r="287" spans="1:21" x14ac:dyDescent="0.3">
      <c r="A287" s="12" t="s">
        <v>78</v>
      </c>
      <c r="B287" s="83">
        <v>3053</v>
      </c>
      <c r="C287" s="83">
        <v>14485521400</v>
      </c>
      <c r="D287" s="63">
        <f t="shared" si="57"/>
        <v>3.0529999999999999E-4</v>
      </c>
      <c r="E287" s="84">
        <f t="shared" si="58"/>
        <v>9489.3687520471667</v>
      </c>
      <c r="F287" s="82"/>
      <c r="G287" s="12" t="s">
        <v>78</v>
      </c>
      <c r="H287" s="80">
        <v>1</v>
      </c>
      <c r="I287" s="63">
        <f t="shared" si="59"/>
        <v>3.0529999999999999E-4</v>
      </c>
      <c r="J287" s="63">
        <f t="shared" si="60"/>
        <v>0</v>
      </c>
      <c r="K287" s="86">
        <v>0</v>
      </c>
      <c r="L287" s="63">
        <f t="shared" si="61"/>
        <v>0</v>
      </c>
      <c r="M287" s="63">
        <f t="shared" si="62"/>
        <v>0</v>
      </c>
      <c r="N287" s="82"/>
      <c r="O287" s="38">
        <v>9000</v>
      </c>
      <c r="P287" s="38">
        <v>10000</v>
      </c>
      <c r="Q287" s="63">
        <f t="shared" si="63"/>
        <v>0</v>
      </c>
      <c r="R287" s="63">
        <v>0</v>
      </c>
      <c r="T287" s="63"/>
      <c r="U287" s="43">
        <f t="shared" si="64"/>
        <v>0</v>
      </c>
    </row>
    <row r="288" spans="1:21" x14ac:dyDescent="0.3">
      <c r="A288" s="12" t="s">
        <v>79</v>
      </c>
      <c r="B288" s="83">
        <v>15951</v>
      </c>
      <c r="C288" s="83">
        <v>112077189850</v>
      </c>
      <c r="D288" s="63">
        <f t="shared" si="57"/>
        <v>1.5950999999999999E-3</v>
      </c>
      <c r="E288" s="84">
        <f t="shared" si="58"/>
        <v>14052.685079305373</v>
      </c>
      <c r="F288" s="82"/>
      <c r="G288" s="12" t="s">
        <v>79</v>
      </c>
      <c r="H288" s="80">
        <v>1</v>
      </c>
      <c r="I288" s="63">
        <f t="shared" si="59"/>
        <v>1.5950999999999999E-3</v>
      </c>
      <c r="J288" s="63">
        <f t="shared" si="60"/>
        <v>0</v>
      </c>
      <c r="K288" s="86">
        <v>0</v>
      </c>
      <c r="L288" s="63">
        <f t="shared" si="61"/>
        <v>0</v>
      </c>
      <c r="M288" s="63">
        <f t="shared" si="62"/>
        <v>0</v>
      </c>
      <c r="N288" s="82"/>
      <c r="O288" s="38">
        <v>10000</v>
      </c>
      <c r="P288" s="38">
        <v>20000</v>
      </c>
      <c r="Q288" s="63">
        <f t="shared" si="63"/>
        <v>0</v>
      </c>
      <c r="R288" s="63">
        <v>0</v>
      </c>
      <c r="T288" s="63"/>
      <c r="U288" s="43">
        <f t="shared" si="64"/>
        <v>0</v>
      </c>
    </row>
    <row r="289" spans="1:21" x14ac:dyDescent="0.3">
      <c r="A289" s="12" t="s">
        <v>80</v>
      </c>
      <c r="B289" s="83">
        <v>6932</v>
      </c>
      <c r="C289" s="83">
        <v>85225544450</v>
      </c>
      <c r="D289" s="63">
        <f t="shared" si="57"/>
        <v>6.9320000000000004E-4</v>
      </c>
      <c r="E289" s="84">
        <f t="shared" si="58"/>
        <v>24589.020326024234</v>
      </c>
      <c r="F289" s="82"/>
      <c r="G289" s="12" t="s">
        <v>80</v>
      </c>
      <c r="H289" s="80">
        <v>1</v>
      </c>
      <c r="I289" s="63">
        <f t="shared" si="59"/>
        <v>6.9320000000000004E-4</v>
      </c>
      <c r="J289" s="63">
        <f t="shared" si="60"/>
        <v>0</v>
      </c>
      <c r="K289" s="86">
        <v>0</v>
      </c>
      <c r="L289" s="63">
        <f t="shared" si="61"/>
        <v>0</v>
      </c>
      <c r="M289" s="63">
        <f t="shared" si="62"/>
        <v>0</v>
      </c>
      <c r="N289" s="82"/>
      <c r="O289" s="38">
        <v>20000</v>
      </c>
      <c r="P289" s="38">
        <v>30000</v>
      </c>
      <c r="Q289" s="63">
        <f t="shared" si="63"/>
        <v>0</v>
      </c>
      <c r="R289" s="63">
        <v>0</v>
      </c>
      <c r="T289" s="63"/>
      <c r="U289" s="43">
        <f t="shared" si="64"/>
        <v>0</v>
      </c>
    </row>
    <row r="290" spans="1:21" x14ac:dyDescent="0.3">
      <c r="A290" s="12" t="s">
        <v>81</v>
      </c>
      <c r="B290" s="83">
        <v>4992</v>
      </c>
      <c r="C290" s="83">
        <v>86626772875</v>
      </c>
      <c r="D290" s="63">
        <f t="shared" si="57"/>
        <v>4.9919999999999999E-4</v>
      </c>
      <c r="E290" s="84">
        <f t="shared" si="58"/>
        <v>34706.23913261218</v>
      </c>
      <c r="F290" s="82"/>
      <c r="G290" s="12" t="s">
        <v>81</v>
      </c>
      <c r="H290" s="80">
        <v>1</v>
      </c>
      <c r="I290" s="63">
        <f t="shared" si="59"/>
        <v>4.9919999999999999E-4</v>
      </c>
      <c r="J290" s="63">
        <f t="shared" si="60"/>
        <v>0</v>
      </c>
      <c r="K290" s="86">
        <v>0</v>
      </c>
      <c r="L290" s="63">
        <f t="shared" si="61"/>
        <v>0</v>
      </c>
      <c r="M290" s="63">
        <f t="shared" si="62"/>
        <v>0</v>
      </c>
      <c r="N290" s="82"/>
      <c r="O290" s="38">
        <v>30000</v>
      </c>
      <c r="P290" s="38">
        <v>40000</v>
      </c>
      <c r="Q290" s="63">
        <f t="shared" si="63"/>
        <v>0</v>
      </c>
      <c r="R290" s="63">
        <v>0</v>
      </c>
      <c r="T290" s="63"/>
      <c r="U290" s="43">
        <f t="shared" si="64"/>
        <v>0</v>
      </c>
    </row>
    <row r="291" spans="1:21" x14ac:dyDescent="0.3">
      <c r="A291" s="12" t="s">
        <v>82</v>
      </c>
      <c r="B291" s="83">
        <v>3868</v>
      </c>
      <c r="C291" s="83">
        <v>86822593775</v>
      </c>
      <c r="D291" s="63">
        <f t="shared" si="57"/>
        <v>3.8680000000000002E-4</v>
      </c>
      <c r="E291" s="84">
        <f t="shared" si="58"/>
        <v>44892.757898138574</v>
      </c>
      <c r="F291" s="82"/>
      <c r="G291" s="12" t="s">
        <v>82</v>
      </c>
      <c r="H291" s="80">
        <v>1</v>
      </c>
      <c r="I291" s="63">
        <f t="shared" si="59"/>
        <v>3.8680000000000002E-4</v>
      </c>
      <c r="J291" s="63">
        <f t="shared" si="60"/>
        <v>0</v>
      </c>
      <c r="K291" s="86">
        <v>0</v>
      </c>
      <c r="L291" s="63">
        <f t="shared" si="61"/>
        <v>0</v>
      </c>
      <c r="M291" s="63">
        <f t="shared" si="62"/>
        <v>0</v>
      </c>
      <c r="N291" s="82"/>
      <c r="O291" s="38">
        <v>40000</v>
      </c>
      <c r="P291" s="38">
        <v>50000</v>
      </c>
      <c r="Q291" s="63">
        <f t="shared" si="63"/>
        <v>0</v>
      </c>
      <c r="R291" s="63">
        <v>0</v>
      </c>
      <c r="T291" s="63"/>
      <c r="U291" s="43">
        <f t="shared" si="64"/>
        <v>0</v>
      </c>
    </row>
    <row r="292" spans="1:21" x14ac:dyDescent="0.3">
      <c r="A292" s="12" t="s">
        <v>83</v>
      </c>
      <c r="B292" s="83">
        <v>3159</v>
      </c>
      <c r="C292" s="83">
        <v>86662390975</v>
      </c>
      <c r="D292" s="63">
        <f t="shared" si="57"/>
        <v>3.1589999999999998E-4</v>
      </c>
      <c r="E292" s="84">
        <f t="shared" si="58"/>
        <v>54866.977508705291</v>
      </c>
      <c r="F292" s="82"/>
      <c r="G292" s="12" t="s">
        <v>83</v>
      </c>
      <c r="H292" s="80">
        <v>1</v>
      </c>
      <c r="I292" s="63">
        <f t="shared" si="59"/>
        <v>3.1589999999999998E-4</v>
      </c>
      <c r="J292" s="63">
        <f t="shared" si="60"/>
        <v>0</v>
      </c>
      <c r="K292" s="86">
        <v>0</v>
      </c>
      <c r="L292" s="63">
        <f t="shared" si="61"/>
        <v>0</v>
      </c>
      <c r="M292" s="63">
        <f t="shared" si="62"/>
        <v>0</v>
      </c>
      <c r="N292" s="82"/>
      <c r="O292" s="38">
        <v>50000</v>
      </c>
      <c r="P292" s="38">
        <v>60000</v>
      </c>
      <c r="Q292" s="63">
        <f t="shared" si="63"/>
        <v>0</v>
      </c>
      <c r="R292" s="63">
        <v>0</v>
      </c>
      <c r="T292" s="63"/>
      <c r="U292" s="43">
        <f t="shared" si="64"/>
        <v>0</v>
      </c>
    </row>
    <row r="293" spans="1:21" x14ac:dyDescent="0.3">
      <c r="A293" s="12" t="s">
        <v>84</v>
      </c>
      <c r="B293" s="83">
        <v>2388</v>
      </c>
      <c r="C293" s="83">
        <v>77364347050</v>
      </c>
      <c r="D293" s="63">
        <f t="shared" si="57"/>
        <v>2.388E-4</v>
      </c>
      <c r="E293" s="84">
        <f t="shared" si="58"/>
        <v>64794.260510887769</v>
      </c>
      <c r="F293" s="82"/>
      <c r="G293" s="12" t="s">
        <v>84</v>
      </c>
      <c r="H293" s="80">
        <v>1</v>
      </c>
      <c r="I293" s="63">
        <f t="shared" si="59"/>
        <v>2.388E-4</v>
      </c>
      <c r="J293" s="63">
        <f t="shared" si="60"/>
        <v>0</v>
      </c>
      <c r="K293" s="86">
        <v>0</v>
      </c>
      <c r="L293" s="63">
        <f t="shared" si="61"/>
        <v>0</v>
      </c>
      <c r="M293" s="63">
        <f t="shared" si="62"/>
        <v>0</v>
      </c>
      <c r="N293" s="82"/>
      <c r="O293" s="38">
        <v>60000</v>
      </c>
      <c r="P293" s="38">
        <v>70000</v>
      </c>
      <c r="Q293" s="63">
        <f t="shared" si="63"/>
        <v>0</v>
      </c>
      <c r="R293" s="63">
        <v>0</v>
      </c>
      <c r="T293" s="63"/>
      <c r="U293" s="43">
        <f t="shared" si="64"/>
        <v>0</v>
      </c>
    </row>
    <row r="294" spans="1:21" x14ac:dyDescent="0.3">
      <c r="A294" s="12" t="s">
        <v>85</v>
      </c>
      <c r="B294" s="83">
        <v>1948</v>
      </c>
      <c r="C294" s="83">
        <v>72787068275</v>
      </c>
      <c r="D294" s="63">
        <f t="shared" si="57"/>
        <v>1.9479999999999999E-4</v>
      </c>
      <c r="E294" s="84">
        <f t="shared" si="58"/>
        <v>74730.049563655033</v>
      </c>
      <c r="F294" s="82"/>
      <c r="G294" s="12" t="s">
        <v>85</v>
      </c>
      <c r="H294" s="80">
        <v>1</v>
      </c>
      <c r="I294" s="63">
        <f t="shared" si="59"/>
        <v>1.9479999999999999E-4</v>
      </c>
      <c r="J294" s="63">
        <f t="shared" si="60"/>
        <v>0</v>
      </c>
      <c r="K294" s="86">
        <v>0</v>
      </c>
      <c r="L294" s="63">
        <f t="shared" si="61"/>
        <v>0</v>
      </c>
      <c r="M294" s="63">
        <f t="shared" si="62"/>
        <v>0</v>
      </c>
      <c r="N294" s="82"/>
      <c r="O294" s="38">
        <v>70000</v>
      </c>
      <c r="P294" s="38">
        <v>80000</v>
      </c>
      <c r="Q294" s="63">
        <f t="shared" si="63"/>
        <v>0</v>
      </c>
      <c r="R294" s="63">
        <v>0</v>
      </c>
      <c r="T294" s="63"/>
      <c r="U294" s="43">
        <f t="shared" si="64"/>
        <v>0</v>
      </c>
    </row>
    <row r="295" spans="1:21" x14ac:dyDescent="0.3">
      <c r="A295" s="12" t="s">
        <v>86</v>
      </c>
      <c r="B295" s="83">
        <v>1413</v>
      </c>
      <c r="C295" s="83">
        <v>59880956000</v>
      </c>
      <c r="D295" s="63">
        <f t="shared" si="57"/>
        <v>1.4129999999999999E-4</v>
      </c>
      <c r="E295" s="84">
        <f t="shared" si="58"/>
        <v>84757.191790516634</v>
      </c>
      <c r="F295" s="82"/>
      <c r="G295" s="12" t="s">
        <v>86</v>
      </c>
      <c r="H295" s="80">
        <v>1</v>
      </c>
      <c r="I295" s="63">
        <f t="shared" si="59"/>
        <v>1.4129999999999999E-4</v>
      </c>
      <c r="J295" s="63">
        <f t="shared" si="60"/>
        <v>0</v>
      </c>
      <c r="K295" s="86">
        <v>0</v>
      </c>
      <c r="L295" s="63">
        <f t="shared" si="61"/>
        <v>0</v>
      </c>
      <c r="M295" s="63">
        <f t="shared" si="62"/>
        <v>0</v>
      </c>
      <c r="N295" s="82"/>
      <c r="O295" s="38">
        <v>80000</v>
      </c>
      <c r="P295" s="38">
        <v>90000</v>
      </c>
      <c r="Q295" s="63">
        <f t="shared" si="63"/>
        <v>0</v>
      </c>
      <c r="R295" s="63">
        <v>0</v>
      </c>
      <c r="T295" s="63"/>
      <c r="U295" s="43">
        <f t="shared" si="64"/>
        <v>0</v>
      </c>
    </row>
    <row r="296" spans="1:21" x14ac:dyDescent="0.3">
      <c r="A296" s="12" t="s">
        <v>87</v>
      </c>
      <c r="B296" s="83">
        <v>1056</v>
      </c>
      <c r="C296" s="83">
        <v>49988540825</v>
      </c>
      <c r="D296" s="63">
        <f t="shared" si="57"/>
        <v>1.0560000000000001E-4</v>
      </c>
      <c r="E296" s="84">
        <f t="shared" si="58"/>
        <v>94675.266714015161</v>
      </c>
      <c r="F296" s="82"/>
      <c r="G296" s="12" t="s">
        <v>87</v>
      </c>
      <c r="H296" s="80">
        <v>1</v>
      </c>
      <c r="I296" s="63">
        <f t="shared" si="59"/>
        <v>1.0560000000000001E-4</v>
      </c>
      <c r="J296" s="63">
        <f t="shared" si="60"/>
        <v>0</v>
      </c>
      <c r="K296" s="86">
        <v>0</v>
      </c>
      <c r="L296" s="63">
        <f t="shared" si="61"/>
        <v>0</v>
      </c>
      <c r="M296" s="63">
        <f t="shared" si="62"/>
        <v>0</v>
      </c>
      <c r="N296" s="82"/>
      <c r="O296" s="38">
        <v>90000</v>
      </c>
      <c r="P296" s="38">
        <v>100000</v>
      </c>
      <c r="Q296" s="63">
        <f t="shared" si="63"/>
        <v>0</v>
      </c>
      <c r="R296" s="63">
        <v>0</v>
      </c>
      <c r="T296" s="63"/>
      <c r="U296" s="43">
        <f t="shared" si="64"/>
        <v>0</v>
      </c>
    </row>
    <row r="297" spans="1:21" x14ac:dyDescent="0.3">
      <c r="A297" s="12" t="s">
        <v>88</v>
      </c>
      <c r="B297" s="83">
        <v>2764</v>
      </c>
      <c r="C297" s="83">
        <v>177494407625</v>
      </c>
      <c r="D297" s="63">
        <f t="shared" si="57"/>
        <v>2.764E-4</v>
      </c>
      <c r="E297" s="84">
        <f t="shared" si="58"/>
        <v>128433.00117583212</v>
      </c>
      <c r="F297" s="82"/>
      <c r="G297" s="12" t="s">
        <v>88</v>
      </c>
      <c r="H297" s="80">
        <v>1</v>
      </c>
      <c r="I297" s="63">
        <f t="shared" si="59"/>
        <v>2.764E-4</v>
      </c>
      <c r="J297" s="63">
        <f t="shared" si="60"/>
        <v>0</v>
      </c>
      <c r="K297" s="86">
        <v>0</v>
      </c>
      <c r="L297" s="63">
        <f t="shared" si="61"/>
        <v>0</v>
      </c>
      <c r="M297" s="63">
        <f t="shared" si="62"/>
        <v>0</v>
      </c>
      <c r="N297" s="82"/>
      <c r="O297" s="38">
        <v>100000</v>
      </c>
      <c r="P297" s="38">
        <v>9999999</v>
      </c>
      <c r="Q297" s="63">
        <f t="shared" si="63"/>
        <v>0</v>
      </c>
      <c r="R297" s="63">
        <v>0</v>
      </c>
      <c r="T297" s="63"/>
      <c r="U297" s="43">
        <f t="shared" si="64"/>
        <v>0</v>
      </c>
    </row>
    <row r="298" spans="1:21" x14ac:dyDescent="0.3">
      <c r="K298">
        <f>SUM(K234:K297)</f>
        <v>1000000000</v>
      </c>
      <c r="M298">
        <f>SUM(M234:M297)</f>
        <v>94.043130695614209</v>
      </c>
    </row>
  </sheetData>
  <phoneticPr fontId="20" type="noConversion"/>
  <conditionalFormatting sqref="D79">
    <cfRule type="cellIs" dxfId="9" priority="40" operator="lessThan">
      <formula>0.001</formula>
    </cfRule>
  </conditionalFormatting>
  <conditionalFormatting sqref="D86:D149">
    <cfRule type="cellIs" dxfId="8" priority="54" operator="lessThan">
      <formula>0.001</formula>
    </cfRule>
  </conditionalFormatting>
  <conditionalFormatting sqref="D15:D78">
    <cfRule type="cellIs" dxfId="7" priority="55" operator="lessThan">
      <formula>0.001</formula>
    </cfRule>
  </conditionalFormatting>
  <conditionalFormatting sqref="D163:D226">
    <cfRule type="cellIs" dxfId="6" priority="50" operator="lessThan">
      <formula>0.001</formula>
    </cfRule>
  </conditionalFormatting>
  <conditionalFormatting sqref="D156">
    <cfRule type="cellIs" dxfId="5" priority="39" operator="lessThan">
      <formula>0.001</formula>
    </cfRule>
  </conditionalFormatting>
  <conditionalFormatting sqref="D234:D297">
    <cfRule type="cellIs" dxfId="4" priority="34" operator="lessThan">
      <formula>0.001</formula>
    </cfRule>
  </conditionalFormatting>
  <conditionalFormatting sqref="Y15:Z78">
    <cfRule type="cellIs" dxfId="3" priority="25" operator="equal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24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24" customWidth="1"/>
    <col min="15" max="15" width="17.88671875" style="24" bestFit="1" customWidth="1"/>
    <col min="16" max="16" width="14.6640625" style="24" bestFit="1" customWidth="1"/>
    <col min="17" max="18" width="13.21875" style="4" bestFit="1" customWidth="1"/>
    <col min="20" max="20" width="9.6640625" style="4" customWidth="1"/>
    <col min="21" max="23" width="8.88671875" style="4" customWidth="1"/>
    <col min="24" max="16384" width="8.88671875" style="4"/>
  </cols>
  <sheetData>
    <row r="1" spans="1:21" x14ac:dyDescent="0.3">
      <c r="A1" s="23"/>
      <c r="B1" s="1"/>
      <c r="E1" s="1"/>
      <c r="G1" s="29"/>
      <c r="H1" s="23"/>
      <c r="I1" s="23"/>
      <c r="J1" s="23"/>
      <c r="K1" s="23"/>
      <c r="L1" s="23"/>
      <c r="M1" s="23"/>
      <c r="Q1" s="23"/>
      <c r="R1" s="23"/>
    </row>
    <row r="2" spans="1:21" x14ac:dyDescent="0.3">
      <c r="A2" s="38" t="s">
        <v>89</v>
      </c>
      <c r="B2" s="68">
        <v>1000000000</v>
      </c>
      <c r="C2" s="1"/>
      <c r="F2" s="61"/>
      <c r="G2" s="61"/>
      <c r="K2" s="23"/>
      <c r="L2" s="23"/>
      <c r="M2" s="23"/>
      <c r="Q2" s="23"/>
      <c r="R2" s="23"/>
    </row>
    <row r="3" spans="1:21" x14ac:dyDescent="0.3">
      <c r="A3" s="38" t="s">
        <v>3</v>
      </c>
      <c r="B3" s="68">
        <v>100</v>
      </c>
      <c r="C3" s="1"/>
      <c r="F3" s="61"/>
      <c r="G3" s="30"/>
    </row>
    <row r="4" spans="1:21" x14ac:dyDescent="0.3">
      <c r="F4" s="61"/>
      <c r="G4" s="61"/>
      <c r="I4" s="1"/>
      <c r="K4" s="31"/>
      <c r="L4" s="32"/>
      <c r="M4" s="69"/>
      <c r="N4" s="70"/>
      <c r="O4" s="70"/>
      <c r="P4" s="70"/>
      <c r="Q4" s="32"/>
      <c r="R4" s="32"/>
    </row>
    <row r="5" spans="1:21" x14ac:dyDescent="0.3">
      <c r="A5" s="23"/>
      <c r="B5" s="23"/>
      <c r="C5" s="1" t="s">
        <v>90</v>
      </c>
      <c r="F5" s="4"/>
      <c r="G5" s="24"/>
      <c r="I5" s="61"/>
      <c r="K5" s="33"/>
      <c r="L5" s="32"/>
      <c r="M5" s="69"/>
      <c r="N5" s="70"/>
      <c r="O5" s="70"/>
      <c r="P5" s="70"/>
      <c r="Q5" s="32"/>
      <c r="R5" s="32"/>
    </row>
    <row r="6" spans="1:21" x14ac:dyDescent="0.3">
      <c r="A6" s="34"/>
      <c r="B6" s="11" t="s">
        <v>91</v>
      </c>
      <c r="C6" s="11" t="s">
        <v>11</v>
      </c>
      <c r="D6" s="11" t="s">
        <v>12</v>
      </c>
      <c r="E6" s="11" t="s">
        <v>92</v>
      </c>
      <c r="F6" s="11" t="s">
        <v>93</v>
      </c>
      <c r="G6" s="11" t="s">
        <v>94</v>
      </c>
      <c r="H6" s="11" t="s">
        <v>95</v>
      </c>
      <c r="I6" s="35" t="s">
        <v>96</v>
      </c>
      <c r="J6" s="36" t="s">
        <v>97</v>
      </c>
      <c r="K6" s="30"/>
      <c r="L6" s="30"/>
      <c r="M6" s="37"/>
      <c r="Q6" s="30"/>
      <c r="R6" s="30"/>
    </row>
    <row r="7" spans="1:21" x14ac:dyDescent="0.3">
      <c r="A7" s="38" t="s">
        <v>6</v>
      </c>
      <c r="B7" s="38">
        <v>1</v>
      </c>
      <c r="C7" s="71">
        <f>SUM(M15:M79)</f>
        <v>0.7942213322328816</v>
      </c>
      <c r="D7" s="71">
        <f>SUM(M86:M149)*F7</f>
        <v>0.20000000000897569</v>
      </c>
      <c r="E7" s="72">
        <f>SUM(C7:D7)</f>
        <v>0.99422133224185727</v>
      </c>
      <c r="F7" s="25">
        <v>3.3333337253555599E-3</v>
      </c>
      <c r="G7" s="26">
        <f>1/F7</f>
        <v>299.99996471800375</v>
      </c>
      <c r="H7" s="27">
        <f>D7*G7</f>
        <v>59.99999294629346</v>
      </c>
      <c r="I7" s="73">
        <f>IFERROR(LOOKUP(2,1/(K15:K78&lt;&gt;0),P15:P78),0)</f>
        <v>20</v>
      </c>
      <c r="J7" s="73">
        <f>IFERROR(LOOKUP(2,1/(K86:K149&lt;&gt;0),P86:P149),0)</f>
        <v>120</v>
      </c>
      <c r="K7" s="61"/>
      <c r="L7" s="30"/>
      <c r="M7" s="37"/>
      <c r="Q7" s="30"/>
      <c r="R7" s="30"/>
    </row>
    <row r="8" spans="1:21" x14ac:dyDescent="0.3">
      <c r="L8" s="30"/>
      <c r="M8" s="37"/>
      <c r="Q8" s="30"/>
      <c r="R8" s="30"/>
    </row>
    <row r="9" spans="1:21" x14ac:dyDescent="0.3">
      <c r="A9" s="23"/>
      <c r="B9" s="1"/>
      <c r="C9" s="75"/>
      <c r="D9" s="23"/>
      <c r="E9" s="1"/>
      <c r="G9" s="29"/>
      <c r="H9" s="23"/>
      <c r="I9" s="23"/>
      <c r="J9" s="23"/>
      <c r="K9" s="40"/>
      <c r="L9" s="61"/>
      <c r="M9" s="61"/>
      <c r="Q9" s="61"/>
      <c r="R9" s="61"/>
    </row>
    <row r="10" spans="1:21" x14ac:dyDescent="0.3">
      <c r="A10" s="23"/>
      <c r="B10" s="1"/>
      <c r="C10" s="1"/>
      <c r="D10" s="75"/>
      <c r="E10" s="1"/>
      <c r="G10" s="29"/>
      <c r="H10" s="23"/>
      <c r="I10" s="23"/>
      <c r="J10" s="23"/>
      <c r="K10" s="40"/>
      <c r="L10" s="61"/>
      <c r="M10" s="61"/>
      <c r="Q10" s="61"/>
      <c r="R10" s="61"/>
    </row>
    <row r="11" spans="1:21" s="55" customFormat="1" ht="15.6" customHeight="1" x14ac:dyDescent="0.3">
      <c r="A11" s="56" t="s">
        <v>118</v>
      </c>
      <c r="B11" s="56" t="s">
        <v>11</v>
      </c>
      <c r="C11" s="56"/>
      <c r="D11" s="76"/>
      <c r="E11" s="52"/>
      <c r="F11" s="53"/>
      <c r="G11" s="56" t="s">
        <v>6</v>
      </c>
      <c r="H11" s="56" t="s">
        <v>11</v>
      </c>
      <c r="I11" s="51"/>
      <c r="J11" s="51"/>
      <c r="K11" s="54"/>
      <c r="L11" s="62"/>
      <c r="M11" s="62"/>
      <c r="N11" s="53"/>
      <c r="O11" s="56" t="s">
        <v>6</v>
      </c>
      <c r="P11" s="56" t="s">
        <v>11</v>
      </c>
      <c r="Q11" s="62"/>
      <c r="R11" s="62"/>
    </row>
    <row r="12" spans="1:21" x14ac:dyDescent="0.3">
      <c r="A12" s="23"/>
      <c r="B12" s="1"/>
      <c r="C12" s="1"/>
      <c r="D12" s="75"/>
      <c r="E12" s="1"/>
      <c r="G12" s="29"/>
      <c r="H12" s="23"/>
      <c r="I12" s="23"/>
      <c r="J12" s="23"/>
      <c r="K12" s="40"/>
      <c r="L12" s="61"/>
      <c r="M12" s="61"/>
      <c r="Q12" s="61"/>
      <c r="R12" s="61"/>
    </row>
    <row r="13" spans="1:21" x14ac:dyDescent="0.3">
      <c r="A13" s="41" t="s">
        <v>100</v>
      </c>
      <c r="B13" s="77">
        <v>10000000</v>
      </c>
      <c r="C13" s="1"/>
      <c r="D13" s="1"/>
      <c r="E13" s="1"/>
      <c r="G13" s="41" t="s">
        <v>101</v>
      </c>
      <c r="H13" s="23"/>
      <c r="I13" s="23"/>
      <c r="J13" s="23"/>
      <c r="K13" s="23"/>
      <c r="L13" s="23"/>
      <c r="M13" s="23"/>
      <c r="Q13" s="23"/>
      <c r="R13" s="23"/>
    </row>
    <row r="14" spans="1:21" x14ac:dyDescent="0.3">
      <c r="A14" s="8" t="s">
        <v>18</v>
      </c>
      <c r="B14" s="8" t="s">
        <v>102</v>
      </c>
      <c r="C14" s="8" t="s">
        <v>103</v>
      </c>
      <c r="D14" s="8" t="s">
        <v>93</v>
      </c>
      <c r="E14" s="8" t="s">
        <v>104</v>
      </c>
      <c r="G14" s="8" t="s">
        <v>18</v>
      </c>
      <c r="H14" s="8" t="s">
        <v>105</v>
      </c>
      <c r="I14" s="8" t="s">
        <v>106</v>
      </c>
      <c r="J14" s="8" t="s">
        <v>107</v>
      </c>
      <c r="K14" s="8" t="s">
        <v>108</v>
      </c>
      <c r="L14" s="8" t="s">
        <v>93</v>
      </c>
      <c r="M14" s="8" t="s">
        <v>109</v>
      </c>
      <c r="O14" s="8" t="s">
        <v>110</v>
      </c>
      <c r="P14" s="8" t="s">
        <v>111</v>
      </c>
      <c r="Q14" s="8" t="s">
        <v>112</v>
      </c>
      <c r="R14" s="8" t="s">
        <v>113</v>
      </c>
      <c r="T14" s="11" t="s">
        <v>112</v>
      </c>
      <c r="U14" s="11" t="s">
        <v>114</v>
      </c>
    </row>
    <row r="15" spans="1:21" x14ac:dyDescent="0.3">
      <c r="A15" s="12" t="s">
        <v>25</v>
      </c>
      <c r="B15" s="78">
        <v>7157620</v>
      </c>
      <c r="C15" s="78">
        <v>0</v>
      </c>
      <c r="D15" s="22">
        <f t="shared" ref="D15:D46" si="0">IFERROR(B15/$B$13,0)</f>
        <v>0.71576200000000001</v>
      </c>
      <c r="E15" s="79">
        <f t="shared" ref="E15:E46" si="1">IFERROR(C15/B15/500,0)</f>
        <v>0</v>
      </c>
      <c r="G15" s="12" t="s">
        <v>25</v>
      </c>
      <c r="H15" s="80">
        <v>0.94451837761714097</v>
      </c>
      <c r="I15" s="63">
        <f t="shared" ref="I15:I46" si="2">IFERROR(B15/$B$13,0)</f>
        <v>0.71576200000000001</v>
      </c>
      <c r="J15" s="63">
        <f t="shared" ref="J15:J46" si="3">IFERROR(K15/$B$2,0)</f>
        <v>0.67605036299999999</v>
      </c>
      <c r="K15" s="81">
        <v>676050363</v>
      </c>
      <c r="L15" s="63">
        <f t="shared" ref="L15:L46" si="4">IFERROR(K15/SUM($K$15:$K$79),0)</f>
        <v>0.6737968615249732</v>
      </c>
      <c r="M15" s="63">
        <f t="shared" ref="M15:M46" si="5">IFERROR(L15*E15,0)</f>
        <v>0</v>
      </c>
      <c r="N15" s="82"/>
      <c r="O15" s="42">
        <v>-1</v>
      </c>
      <c r="P15" s="42">
        <v>0</v>
      </c>
      <c r="Q15" s="63">
        <f t="shared" ref="Q15:Q46" si="6">L15</f>
        <v>0.6737968615249732</v>
      </c>
      <c r="R15" s="63">
        <v>0.71193439999999997</v>
      </c>
      <c r="T15" s="63"/>
      <c r="U15" s="43">
        <f t="shared" ref="U15:U46" si="7">IFERROR(ROUND(T15/L15,2),0)</f>
        <v>0</v>
      </c>
    </row>
    <row r="16" spans="1:21" x14ac:dyDescent="0.3">
      <c r="A16" s="12" t="s">
        <v>26</v>
      </c>
      <c r="B16" s="83">
        <v>1667211</v>
      </c>
      <c r="C16" s="83">
        <v>416306550</v>
      </c>
      <c r="D16" s="63">
        <f t="shared" si="0"/>
        <v>0.16672110000000001</v>
      </c>
      <c r="E16" s="84">
        <f t="shared" si="1"/>
        <v>0.4994047544072106</v>
      </c>
      <c r="G16" s="12" t="s">
        <v>26</v>
      </c>
      <c r="H16" s="80">
        <v>1.04125000974682</v>
      </c>
      <c r="I16" s="63">
        <f t="shared" si="2"/>
        <v>0.16672110000000001</v>
      </c>
      <c r="J16" s="63">
        <f t="shared" si="3"/>
        <v>0.17359834699999999</v>
      </c>
      <c r="K16" s="81">
        <v>173598347</v>
      </c>
      <c r="L16" s="63">
        <f t="shared" si="4"/>
        <v>0.17301968577527893</v>
      </c>
      <c r="M16" s="63">
        <f t="shared" si="5"/>
        <v>8.6406853682215928E-2</v>
      </c>
      <c r="N16" s="82"/>
      <c r="O16" s="38">
        <v>0</v>
      </c>
      <c r="P16" s="38">
        <v>1</v>
      </c>
      <c r="Q16" s="63">
        <f t="shared" si="6"/>
        <v>0.17301968577527893</v>
      </c>
      <c r="R16" s="63">
        <v>0.17202590000000001</v>
      </c>
      <c r="T16" s="63"/>
      <c r="U16" s="43">
        <f t="shared" si="7"/>
        <v>0</v>
      </c>
    </row>
    <row r="17" spans="1:21" x14ac:dyDescent="0.3">
      <c r="A17" s="12" t="s">
        <v>27</v>
      </c>
      <c r="B17" s="83">
        <v>538090</v>
      </c>
      <c r="C17" s="83">
        <v>401573875</v>
      </c>
      <c r="D17" s="63">
        <f t="shared" si="0"/>
        <v>5.3809000000000003E-2</v>
      </c>
      <c r="E17" s="84">
        <f t="shared" si="1"/>
        <v>1.4925899942388818</v>
      </c>
      <c r="F17" s="44"/>
      <c r="G17" s="12" t="s">
        <v>27</v>
      </c>
      <c r="H17" s="80">
        <v>1.11925094315077</v>
      </c>
      <c r="I17" s="63">
        <f t="shared" si="2"/>
        <v>5.3809000000000003E-2</v>
      </c>
      <c r="J17" s="63">
        <f t="shared" si="3"/>
        <v>6.0225774000000003E-2</v>
      </c>
      <c r="K17" s="81">
        <v>60225774</v>
      </c>
      <c r="L17" s="63">
        <f t="shared" si="4"/>
        <v>6.0025021396390162E-2</v>
      </c>
      <c r="M17" s="63">
        <f t="shared" si="5"/>
        <v>8.959274634022675E-2</v>
      </c>
      <c r="N17" s="82"/>
      <c r="O17" s="38">
        <v>1</v>
      </c>
      <c r="P17" s="38">
        <v>2</v>
      </c>
      <c r="Q17" s="63">
        <f t="shared" si="6"/>
        <v>6.0025021396390162E-2</v>
      </c>
      <c r="R17" s="63">
        <v>5.3412600000000005E-2</v>
      </c>
      <c r="T17" s="63"/>
      <c r="U17" s="43">
        <f t="shared" si="7"/>
        <v>0</v>
      </c>
    </row>
    <row r="18" spans="1:21" x14ac:dyDescent="0.3">
      <c r="A18" s="12" t="s">
        <v>28</v>
      </c>
      <c r="B18" s="83">
        <v>224385</v>
      </c>
      <c r="C18" s="83">
        <v>287523200</v>
      </c>
      <c r="D18" s="63">
        <f t="shared" si="0"/>
        <v>2.24385E-2</v>
      </c>
      <c r="E18" s="84">
        <f t="shared" si="1"/>
        <v>2.5627666733516055</v>
      </c>
      <c r="F18" s="44"/>
      <c r="G18" s="12" t="s">
        <v>28</v>
      </c>
      <c r="H18" s="80">
        <v>1.16595895447557</v>
      </c>
      <c r="I18" s="63">
        <f t="shared" si="2"/>
        <v>2.24385E-2</v>
      </c>
      <c r="J18" s="63">
        <f t="shared" si="3"/>
        <v>2.6162370000000001E-2</v>
      </c>
      <c r="K18" s="81">
        <v>26162370</v>
      </c>
      <c r="L18" s="63">
        <f t="shared" si="4"/>
        <v>2.607516208974377E-2</v>
      </c>
      <c r="M18" s="63">
        <f t="shared" si="5"/>
        <v>6.6824556405836538E-2</v>
      </c>
      <c r="N18" s="82"/>
      <c r="O18" s="38">
        <v>2</v>
      </c>
      <c r="P18" s="38">
        <v>3</v>
      </c>
      <c r="Q18" s="63">
        <f t="shared" si="6"/>
        <v>2.607516208974377E-2</v>
      </c>
      <c r="R18" s="63">
        <v>2.0843899999999999E-2</v>
      </c>
      <c r="T18" s="63"/>
      <c r="U18" s="43">
        <f t="shared" si="7"/>
        <v>0</v>
      </c>
    </row>
    <row r="19" spans="1:21" x14ac:dyDescent="0.3">
      <c r="A19" s="12" t="s">
        <v>29</v>
      </c>
      <c r="B19" s="83">
        <v>132955</v>
      </c>
      <c r="C19" s="83">
        <v>232983725</v>
      </c>
      <c r="D19" s="63">
        <f t="shared" si="0"/>
        <v>1.32955E-2</v>
      </c>
      <c r="E19" s="84">
        <f t="shared" si="1"/>
        <v>3.5047004625625213</v>
      </c>
      <c r="F19" s="85"/>
      <c r="G19" s="12" t="s">
        <v>29</v>
      </c>
      <c r="H19" s="80">
        <v>1.34969771727276</v>
      </c>
      <c r="I19" s="63">
        <f t="shared" si="2"/>
        <v>1.32955E-2</v>
      </c>
      <c r="J19" s="63">
        <f t="shared" si="3"/>
        <v>1.7944906E-2</v>
      </c>
      <c r="K19" s="81">
        <v>17944906</v>
      </c>
      <c r="L19" s="63">
        <f t="shared" si="4"/>
        <v>1.7885089639631865E-2</v>
      </c>
      <c r="M19" s="63">
        <f t="shared" si="5"/>
        <v>6.2681881932989958E-2</v>
      </c>
      <c r="N19" s="82"/>
      <c r="O19" s="38">
        <v>3</v>
      </c>
      <c r="P19" s="38">
        <v>4</v>
      </c>
      <c r="Q19" s="63">
        <f t="shared" si="6"/>
        <v>1.7885089639631865E-2</v>
      </c>
      <c r="R19" s="63">
        <v>1.3122799999999999E-2</v>
      </c>
      <c r="T19" s="63"/>
      <c r="U19" s="43">
        <f t="shared" si="7"/>
        <v>0</v>
      </c>
    </row>
    <row r="20" spans="1:21" x14ac:dyDescent="0.3">
      <c r="A20" s="12" t="s">
        <v>30</v>
      </c>
      <c r="B20" s="83">
        <v>69633</v>
      </c>
      <c r="C20" s="83">
        <v>158342550</v>
      </c>
      <c r="D20" s="63">
        <f t="shared" si="0"/>
        <v>6.9633000000000004E-3</v>
      </c>
      <c r="E20" s="84">
        <f t="shared" si="1"/>
        <v>4.5479169359355476</v>
      </c>
      <c r="F20" s="85"/>
      <c r="G20" s="12" t="s">
        <v>30</v>
      </c>
      <c r="H20" s="80">
        <v>1.44998635704336</v>
      </c>
      <c r="I20" s="63">
        <f t="shared" si="2"/>
        <v>6.9633000000000004E-3</v>
      </c>
      <c r="J20" s="63">
        <f t="shared" si="3"/>
        <v>1.009669E-2</v>
      </c>
      <c r="K20" s="81">
        <v>10096690</v>
      </c>
      <c r="L20" s="63">
        <f t="shared" si="4"/>
        <v>1.0063034362708541E-2</v>
      </c>
      <c r="M20" s="63">
        <f t="shared" si="5"/>
        <v>4.5765844405063552E-2</v>
      </c>
      <c r="N20" s="82"/>
      <c r="O20" s="38">
        <v>4</v>
      </c>
      <c r="P20" s="38">
        <v>5</v>
      </c>
      <c r="Q20" s="63">
        <f t="shared" si="6"/>
        <v>1.0063034362708541E-2</v>
      </c>
      <c r="R20" s="63">
        <v>6.7679000000000003E-3</v>
      </c>
      <c r="T20" s="63"/>
      <c r="U20" s="43">
        <f t="shared" si="7"/>
        <v>0</v>
      </c>
    </row>
    <row r="21" spans="1:21" x14ac:dyDescent="0.3">
      <c r="A21" s="12" t="s">
        <v>31</v>
      </c>
      <c r="B21" s="83">
        <v>36941</v>
      </c>
      <c r="C21" s="83">
        <v>102200425</v>
      </c>
      <c r="D21" s="63">
        <f t="shared" si="0"/>
        <v>3.6941000000000001E-3</v>
      </c>
      <c r="E21" s="84">
        <f t="shared" si="1"/>
        <v>5.5331704610053869</v>
      </c>
      <c r="F21" s="85"/>
      <c r="G21" s="12" t="s">
        <v>31</v>
      </c>
      <c r="H21" s="80">
        <v>1.3288608862781199</v>
      </c>
      <c r="I21" s="63">
        <f t="shared" si="2"/>
        <v>3.6941000000000001E-3</v>
      </c>
      <c r="J21" s="63">
        <f t="shared" si="3"/>
        <v>4.9089449999999996E-3</v>
      </c>
      <c r="K21" s="81">
        <v>4908945</v>
      </c>
      <c r="L21" s="63">
        <f t="shared" si="4"/>
        <v>4.8925818480755846E-3</v>
      </c>
      <c r="M21" s="63">
        <f t="shared" si="5"/>
        <v>2.7071489359822971E-2</v>
      </c>
      <c r="N21" s="82"/>
      <c r="O21" s="38">
        <v>5</v>
      </c>
      <c r="P21" s="38">
        <v>6</v>
      </c>
      <c r="Q21" s="63">
        <f t="shared" si="6"/>
        <v>4.8925818480755846E-3</v>
      </c>
      <c r="R21" s="63">
        <v>3.0503000000000001E-3</v>
      </c>
      <c r="T21" s="63"/>
      <c r="U21" s="43">
        <f t="shared" si="7"/>
        <v>0</v>
      </c>
    </row>
    <row r="22" spans="1:21" x14ac:dyDescent="0.3">
      <c r="A22" s="12" t="s">
        <v>32</v>
      </c>
      <c r="B22" s="83">
        <v>22473</v>
      </c>
      <c r="C22" s="83">
        <v>72923550</v>
      </c>
      <c r="D22" s="63">
        <f t="shared" si="0"/>
        <v>2.2472999999999998E-3</v>
      </c>
      <c r="E22" s="84">
        <f t="shared" si="1"/>
        <v>6.4898811907622482</v>
      </c>
      <c r="F22" s="85"/>
      <c r="G22" s="12" t="s">
        <v>32</v>
      </c>
      <c r="H22" s="80">
        <v>1.94933609219953</v>
      </c>
      <c r="I22" s="63">
        <f t="shared" si="2"/>
        <v>2.2472999999999998E-3</v>
      </c>
      <c r="J22" s="63">
        <f t="shared" si="3"/>
        <v>4.3807430000000003E-3</v>
      </c>
      <c r="K22" s="81">
        <v>4380743</v>
      </c>
      <c r="L22" s="63">
        <f t="shared" si="4"/>
        <v>4.3661405216159849E-3</v>
      </c>
      <c r="M22" s="63">
        <f t="shared" si="5"/>
        <v>2.8335733247460453E-2</v>
      </c>
      <c r="N22" s="82"/>
      <c r="O22" s="38">
        <v>6</v>
      </c>
      <c r="P22" s="38">
        <v>7</v>
      </c>
      <c r="Q22" s="63">
        <f t="shared" si="6"/>
        <v>4.3661405216159849E-3</v>
      </c>
      <c r="R22" s="63">
        <v>2.5419000000000001E-3</v>
      </c>
      <c r="T22" s="63"/>
      <c r="U22" s="43">
        <f t="shared" si="7"/>
        <v>0</v>
      </c>
    </row>
    <row r="23" spans="1:21" x14ac:dyDescent="0.3">
      <c r="A23" s="12" t="s">
        <v>33</v>
      </c>
      <c r="B23" s="83">
        <v>17491</v>
      </c>
      <c r="C23" s="83">
        <v>66123350</v>
      </c>
      <c r="D23" s="63">
        <f t="shared" si="0"/>
        <v>1.7491E-3</v>
      </c>
      <c r="E23" s="84">
        <f t="shared" si="1"/>
        <v>7.5608427191126868</v>
      </c>
      <c r="F23" s="85"/>
      <c r="G23" s="12" t="s">
        <v>33</v>
      </c>
      <c r="H23" s="80">
        <v>1.8741615688068101</v>
      </c>
      <c r="I23" s="63">
        <f t="shared" si="2"/>
        <v>1.7491E-3</v>
      </c>
      <c r="J23" s="63">
        <f t="shared" si="3"/>
        <v>3.2780959999999999E-3</v>
      </c>
      <c r="K23" s="81">
        <v>3278096</v>
      </c>
      <c r="L23" s="63">
        <f t="shared" si="4"/>
        <v>3.2671690120482468E-3</v>
      </c>
      <c r="M23" s="63">
        <f t="shared" si="5"/>
        <v>2.4702551036855577E-2</v>
      </c>
      <c r="N23" s="82"/>
      <c r="O23" s="38">
        <v>7</v>
      </c>
      <c r="P23" s="38">
        <v>8</v>
      </c>
      <c r="Q23" s="63">
        <f t="shared" si="6"/>
        <v>3.2671690120482468E-3</v>
      </c>
      <c r="R23" s="63">
        <v>1.5887000000000002E-3</v>
      </c>
      <c r="T23" s="63"/>
      <c r="U23" s="43">
        <f t="shared" si="7"/>
        <v>0</v>
      </c>
    </row>
    <row r="24" spans="1:21" x14ac:dyDescent="0.3">
      <c r="A24" s="12" t="s">
        <v>34</v>
      </c>
      <c r="B24" s="83">
        <v>10394</v>
      </c>
      <c r="C24" s="83">
        <v>44647150</v>
      </c>
      <c r="D24" s="63">
        <f t="shared" si="0"/>
        <v>1.0394E-3</v>
      </c>
      <c r="E24" s="84">
        <f t="shared" si="1"/>
        <v>8.5909467000192414</v>
      </c>
      <c r="F24" s="85"/>
      <c r="G24" s="12" t="s">
        <v>34</v>
      </c>
      <c r="H24" s="80">
        <v>2.58906003463537</v>
      </c>
      <c r="I24" s="63">
        <f t="shared" si="2"/>
        <v>1.0394E-3</v>
      </c>
      <c r="J24" s="63">
        <f t="shared" si="3"/>
        <v>2.6910689999999999E-3</v>
      </c>
      <c r="K24" s="81">
        <v>2691069</v>
      </c>
      <c r="L24" s="63">
        <f t="shared" si="4"/>
        <v>2.6820987689450413E-3</v>
      </c>
      <c r="M24" s="63">
        <f t="shared" si="5"/>
        <v>2.3041767568194073E-2</v>
      </c>
      <c r="N24" s="82"/>
      <c r="O24" s="38">
        <v>8</v>
      </c>
      <c r="P24" s="38">
        <v>9</v>
      </c>
      <c r="Q24" s="63">
        <f t="shared" si="6"/>
        <v>2.6820987689450413E-3</v>
      </c>
      <c r="R24" s="63">
        <v>7.626E-4</v>
      </c>
      <c r="T24" s="63"/>
      <c r="U24" s="43">
        <f t="shared" si="7"/>
        <v>0</v>
      </c>
    </row>
    <row r="25" spans="1:21" x14ac:dyDescent="0.3">
      <c r="A25" s="12" t="s">
        <v>35</v>
      </c>
      <c r="B25" s="83">
        <v>14993</v>
      </c>
      <c r="C25" s="83">
        <v>73230375</v>
      </c>
      <c r="D25" s="63">
        <f t="shared" si="0"/>
        <v>1.4993000000000001E-3</v>
      </c>
      <c r="E25" s="84">
        <f t="shared" si="1"/>
        <v>9.768608684052559</v>
      </c>
      <c r="F25" s="85"/>
      <c r="G25" s="12" t="s">
        <v>35</v>
      </c>
      <c r="H25" s="80">
        <v>2.4501387314079901</v>
      </c>
      <c r="I25" s="63">
        <f t="shared" si="2"/>
        <v>1.4993000000000001E-3</v>
      </c>
      <c r="J25" s="63">
        <f t="shared" si="3"/>
        <v>3.6734929999999999E-3</v>
      </c>
      <c r="K25" s="81">
        <v>3673493</v>
      </c>
      <c r="L25" s="63">
        <f t="shared" si="4"/>
        <v>3.6612480218932426E-3</v>
      </c>
      <c r="M25" s="63">
        <f t="shared" si="5"/>
        <v>3.5765299221136582E-2</v>
      </c>
      <c r="N25" s="82"/>
      <c r="O25" s="38">
        <v>9</v>
      </c>
      <c r="P25" s="38">
        <v>10</v>
      </c>
      <c r="Q25" s="63">
        <f t="shared" si="6"/>
        <v>3.6612480218932426E-3</v>
      </c>
      <c r="R25" s="63">
        <v>1.4616000000000002E-3</v>
      </c>
      <c r="T25" s="63"/>
      <c r="U25" s="43">
        <f t="shared" si="7"/>
        <v>0</v>
      </c>
    </row>
    <row r="26" spans="1:21" x14ac:dyDescent="0.3">
      <c r="A26" s="12" t="s">
        <v>36</v>
      </c>
      <c r="B26" s="83">
        <v>40743</v>
      </c>
      <c r="C26" s="83">
        <v>248220825</v>
      </c>
      <c r="D26" s="63">
        <f t="shared" si="0"/>
        <v>4.0743000000000003E-3</v>
      </c>
      <c r="E26" s="84">
        <f t="shared" si="1"/>
        <v>12.184710256976659</v>
      </c>
      <c r="F26" s="85"/>
      <c r="G26" s="12" t="s">
        <v>36</v>
      </c>
      <c r="H26" s="80">
        <v>2.7541155535920301</v>
      </c>
      <c r="I26" s="63">
        <f t="shared" si="2"/>
        <v>4.0743000000000003E-3</v>
      </c>
      <c r="J26" s="63">
        <f t="shared" si="3"/>
        <v>1.1221093E-2</v>
      </c>
      <c r="K26" s="81">
        <v>11221093</v>
      </c>
      <c r="L26" s="63">
        <f t="shared" si="4"/>
        <v>1.1183689352267748E-2</v>
      </c>
      <c r="M26" s="63">
        <f t="shared" si="5"/>
        <v>0.13627001436141747</v>
      </c>
      <c r="N26" s="82"/>
      <c r="O26" s="38">
        <v>10</v>
      </c>
      <c r="P26" s="38">
        <v>15</v>
      </c>
      <c r="Q26" s="63">
        <f t="shared" si="6"/>
        <v>1.1183689352267748E-2</v>
      </c>
      <c r="R26" s="63">
        <v>4.6708000000000001E-3</v>
      </c>
      <c r="T26" s="63"/>
      <c r="U26" s="43">
        <f t="shared" si="7"/>
        <v>0</v>
      </c>
    </row>
    <row r="27" spans="1:21" x14ac:dyDescent="0.3">
      <c r="A27" s="12" t="s">
        <v>37</v>
      </c>
      <c r="B27" s="83">
        <v>15959</v>
      </c>
      <c r="C27" s="83">
        <v>138781325</v>
      </c>
      <c r="D27" s="63">
        <f t="shared" si="0"/>
        <v>1.5958999999999999E-3</v>
      </c>
      <c r="E27" s="84">
        <f t="shared" si="1"/>
        <v>17.392233222632996</v>
      </c>
      <c r="F27" s="85"/>
      <c r="G27" s="12" t="s">
        <v>37</v>
      </c>
      <c r="H27" s="80">
        <v>3.6143310984397501</v>
      </c>
      <c r="I27" s="63">
        <f t="shared" si="2"/>
        <v>1.5958999999999999E-3</v>
      </c>
      <c r="J27" s="63">
        <f t="shared" si="3"/>
        <v>5.7681110000000002E-3</v>
      </c>
      <c r="K27" s="81">
        <v>5768111</v>
      </c>
      <c r="L27" s="63">
        <f t="shared" si="4"/>
        <v>5.7488839610721054E-3</v>
      </c>
      <c r="M27" s="63">
        <f t="shared" si="5"/>
        <v>9.9985930620820243E-2</v>
      </c>
      <c r="N27" s="82"/>
      <c r="O27" s="38">
        <v>15</v>
      </c>
      <c r="P27" s="38">
        <v>20</v>
      </c>
      <c r="Q27" s="63">
        <f t="shared" si="6"/>
        <v>5.7488839610721054E-3</v>
      </c>
      <c r="R27" s="63">
        <v>1.7476E-3</v>
      </c>
      <c r="T27" s="63"/>
      <c r="U27" s="43">
        <f t="shared" si="7"/>
        <v>0</v>
      </c>
    </row>
    <row r="28" spans="1:21" x14ac:dyDescent="0.3">
      <c r="A28" s="12" t="s">
        <v>38</v>
      </c>
      <c r="B28" s="83">
        <v>9353</v>
      </c>
      <c r="C28" s="83">
        <v>106497650</v>
      </c>
      <c r="D28" s="63">
        <f t="shared" si="0"/>
        <v>9.3530000000000002E-4</v>
      </c>
      <c r="E28" s="84">
        <f t="shared" si="1"/>
        <v>22.772939163904631</v>
      </c>
      <c r="F28" s="85"/>
      <c r="G28" s="12" t="s">
        <v>38</v>
      </c>
      <c r="H28" s="80">
        <v>0</v>
      </c>
      <c r="I28" s="63">
        <f t="shared" si="2"/>
        <v>9.3530000000000002E-4</v>
      </c>
      <c r="J28" s="63">
        <f t="shared" si="3"/>
        <v>0</v>
      </c>
      <c r="K28" s="81">
        <v>0</v>
      </c>
      <c r="L28" s="63">
        <f t="shared" si="4"/>
        <v>0</v>
      </c>
      <c r="M28" s="63">
        <f t="shared" si="5"/>
        <v>0</v>
      </c>
      <c r="N28" s="82"/>
      <c r="O28" s="38">
        <v>20</v>
      </c>
      <c r="P28" s="38">
        <v>25</v>
      </c>
      <c r="Q28" s="63">
        <f t="shared" si="6"/>
        <v>0</v>
      </c>
      <c r="R28" s="63">
        <v>7.3080000000000009E-4</v>
      </c>
      <c r="T28" s="63"/>
      <c r="U28" s="43">
        <f t="shared" si="7"/>
        <v>0</v>
      </c>
    </row>
    <row r="29" spans="1:21" x14ac:dyDescent="0.3">
      <c r="A29" s="12" t="s">
        <v>39</v>
      </c>
      <c r="B29" s="83">
        <v>7163</v>
      </c>
      <c r="C29" s="83">
        <v>99122525</v>
      </c>
      <c r="D29" s="63">
        <f t="shared" si="0"/>
        <v>7.1630000000000001E-4</v>
      </c>
      <c r="E29" s="84">
        <f t="shared" si="1"/>
        <v>27.676259946949603</v>
      </c>
      <c r="F29" s="85"/>
      <c r="G29" s="12" t="s">
        <v>39</v>
      </c>
      <c r="H29" s="80">
        <v>0</v>
      </c>
      <c r="I29" s="63">
        <f t="shared" si="2"/>
        <v>7.1630000000000001E-4</v>
      </c>
      <c r="J29" s="63">
        <f t="shared" si="3"/>
        <v>0</v>
      </c>
      <c r="K29" s="81">
        <v>0</v>
      </c>
      <c r="L29" s="63">
        <f t="shared" si="4"/>
        <v>0</v>
      </c>
      <c r="M29" s="63">
        <f t="shared" si="5"/>
        <v>0</v>
      </c>
      <c r="N29" s="82"/>
      <c r="O29" s="38">
        <v>25</v>
      </c>
      <c r="P29" s="38">
        <v>30</v>
      </c>
      <c r="Q29" s="63">
        <f t="shared" si="6"/>
        <v>0</v>
      </c>
      <c r="R29" s="63">
        <v>8.5790000000000009E-4</v>
      </c>
      <c r="T29" s="63"/>
      <c r="U29" s="43">
        <f t="shared" si="7"/>
        <v>0</v>
      </c>
    </row>
    <row r="30" spans="1:21" x14ac:dyDescent="0.3">
      <c r="A30" s="12" t="s">
        <v>40</v>
      </c>
      <c r="B30" s="83">
        <v>4526</v>
      </c>
      <c r="C30" s="83">
        <v>73593650</v>
      </c>
      <c r="D30" s="63">
        <f t="shared" si="0"/>
        <v>4.526E-4</v>
      </c>
      <c r="E30" s="84">
        <f t="shared" si="1"/>
        <v>32.520393283252318</v>
      </c>
      <c r="F30" s="85"/>
      <c r="G30" s="12" t="s">
        <v>40</v>
      </c>
      <c r="H30" s="80">
        <v>0</v>
      </c>
      <c r="I30" s="63">
        <f t="shared" si="2"/>
        <v>4.526E-4</v>
      </c>
      <c r="J30" s="63">
        <f t="shared" si="3"/>
        <v>0</v>
      </c>
      <c r="K30" s="81">
        <v>0</v>
      </c>
      <c r="L30" s="63">
        <f t="shared" si="4"/>
        <v>0</v>
      </c>
      <c r="M30" s="63">
        <f t="shared" si="5"/>
        <v>0</v>
      </c>
      <c r="N30" s="82"/>
      <c r="O30" s="38">
        <v>30</v>
      </c>
      <c r="P30" s="38">
        <v>35</v>
      </c>
      <c r="Q30" s="63">
        <f t="shared" si="6"/>
        <v>0</v>
      </c>
      <c r="R30" s="63">
        <v>5.084E-4</v>
      </c>
      <c r="T30" s="63"/>
      <c r="U30" s="43">
        <f t="shared" si="7"/>
        <v>0</v>
      </c>
    </row>
    <row r="31" spans="1:21" x14ac:dyDescent="0.3">
      <c r="A31" s="12" t="s">
        <v>41</v>
      </c>
      <c r="B31" s="83">
        <v>4228</v>
      </c>
      <c r="C31" s="83">
        <v>79634100</v>
      </c>
      <c r="D31" s="63">
        <f t="shared" si="0"/>
        <v>4.2279999999999998E-4</v>
      </c>
      <c r="E31" s="84">
        <f t="shared" si="1"/>
        <v>37.669867549668872</v>
      </c>
      <c r="F31" s="85"/>
      <c r="G31" s="12" t="s">
        <v>41</v>
      </c>
      <c r="H31" s="80">
        <v>0</v>
      </c>
      <c r="I31" s="63">
        <f t="shared" si="2"/>
        <v>4.2279999999999998E-4</v>
      </c>
      <c r="J31" s="63">
        <f t="shared" si="3"/>
        <v>0</v>
      </c>
      <c r="K31" s="81">
        <v>0</v>
      </c>
      <c r="L31" s="63">
        <f t="shared" si="4"/>
        <v>0</v>
      </c>
      <c r="M31" s="63">
        <f t="shared" si="5"/>
        <v>0</v>
      </c>
      <c r="N31" s="82"/>
      <c r="O31" s="38">
        <v>35</v>
      </c>
      <c r="P31" s="38">
        <v>40</v>
      </c>
      <c r="Q31" s="63">
        <f t="shared" si="6"/>
        <v>0</v>
      </c>
      <c r="R31" s="63">
        <v>5.7189999999999997E-4</v>
      </c>
      <c r="T31" s="63"/>
      <c r="U31" s="43">
        <f t="shared" si="7"/>
        <v>0</v>
      </c>
    </row>
    <row r="32" spans="1:21" x14ac:dyDescent="0.3">
      <c r="A32" s="12" t="s">
        <v>42</v>
      </c>
      <c r="B32" s="83">
        <v>2967</v>
      </c>
      <c r="C32" s="83">
        <v>63386350</v>
      </c>
      <c r="D32" s="63">
        <f t="shared" si="0"/>
        <v>2.967E-4</v>
      </c>
      <c r="E32" s="84">
        <f t="shared" si="1"/>
        <v>42.727569935962251</v>
      </c>
      <c r="F32" s="85"/>
      <c r="G32" s="12" t="s">
        <v>42</v>
      </c>
      <c r="H32" s="80">
        <v>0</v>
      </c>
      <c r="I32" s="63">
        <f t="shared" si="2"/>
        <v>2.967E-4</v>
      </c>
      <c r="J32" s="63">
        <f t="shared" si="3"/>
        <v>0</v>
      </c>
      <c r="K32" s="81">
        <v>0</v>
      </c>
      <c r="L32" s="63">
        <f t="shared" si="4"/>
        <v>0</v>
      </c>
      <c r="M32" s="63">
        <f t="shared" si="5"/>
        <v>0</v>
      </c>
      <c r="N32" s="82"/>
      <c r="O32" s="38">
        <v>40</v>
      </c>
      <c r="P32" s="38">
        <v>45</v>
      </c>
      <c r="Q32" s="63">
        <f t="shared" si="6"/>
        <v>0</v>
      </c>
      <c r="R32" s="63">
        <v>2.2239999999999998E-4</v>
      </c>
      <c r="T32" s="63"/>
      <c r="U32" s="43">
        <f t="shared" si="7"/>
        <v>0</v>
      </c>
    </row>
    <row r="33" spans="1:21" x14ac:dyDescent="0.3">
      <c r="A33" s="12" t="s">
        <v>43</v>
      </c>
      <c r="B33" s="83">
        <v>2541</v>
      </c>
      <c r="C33" s="83">
        <v>60843175</v>
      </c>
      <c r="D33" s="63">
        <f t="shared" si="0"/>
        <v>2.541E-4</v>
      </c>
      <c r="E33" s="84">
        <f t="shared" si="1"/>
        <v>47.889157811885084</v>
      </c>
      <c r="F33" s="85"/>
      <c r="G33" s="12" t="s">
        <v>43</v>
      </c>
      <c r="H33" s="80">
        <v>0</v>
      </c>
      <c r="I33" s="63">
        <f t="shared" si="2"/>
        <v>2.541E-4</v>
      </c>
      <c r="J33" s="63">
        <f t="shared" si="3"/>
        <v>0</v>
      </c>
      <c r="K33" s="81">
        <v>0</v>
      </c>
      <c r="L33" s="63">
        <f t="shared" si="4"/>
        <v>0</v>
      </c>
      <c r="M33" s="63">
        <f t="shared" si="5"/>
        <v>0</v>
      </c>
      <c r="N33" s="82"/>
      <c r="O33" s="38">
        <v>45</v>
      </c>
      <c r="P33" s="38">
        <v>50</v>
      </c>
      <c r="Q33" s="63">
        <f t="shared" si="6"/>
        <v>0</v>
      </c>
      <c r="R33" s="63">
        <v>3.813E-4</v>
      </c>
      <c r="T33" s="63"/>
      <c r="U33" s="43">
        <f t="shared" si="7"/>
        <v>0</v>
      </c>
    </row>
    <row r="34" spans="1:21" x14ac:dyDescent="0.3">
      <c r="A34" s="12" t="s">
        <v>44</v>
      </c>
      <c r="B34" s="83">
        <v>3633</v>
      </c>
      <c r="C34" s="83">
        <v>99909275</v>
      </c>
      <c r="D34" s="63">
        <f t="shared" si="0"/>
        <v>3.6329999999999999E-4</v>
      </c>
      <c r="E34" s="84">
        <f t="shared" si="1"/>
        <v>55.000977153867332</v>
      </c>
      <c r="F34" s="85"/>
      <c r="G34" s="12" t="s">
        <v>44</v>
      </c>
      <c r="H34" s="80">
        <v>0</v>
      </c>
      <c r="I34" s="63">
        <f t="shared" si="2"/>
        <v>3.6329999999999999E-4</v>
      </c>
      <c r="J34" s="63">
        <f t="shared" si="3"/>
        <v>0</v>
      </c>
      <c r="K34" s="81">
        <v>0</v>
      </c>
      <c r="L34" s="63">
        <f t="shared" si="4"/>
        <v>0</v>
      </c>
      <c r="M34" s="63">
        <f t="shared" si="5"/>
        <v>0</v>
      </c>
      <c r="N34" s="82"/>
      <c r="O34" s="38">
        <v>50</v>
      </c>
      <c r="P34" s="38">
        <v>60</v>
      </c>
      <c r="Q34" s="63">
        <f t="shared" si="6"/>
        <v>0</v>
      </c>
      <c r="R34" s="63">
        <v>2.8600000000000001E-4</v>
      </c>
      <c r="T34" s="63"/>
      <c r="U34" s="43">
        <f t="shared" si="7"/>
        <v>0</v>
      </c>
    </row>
    <row r="35" spans="1:21" x14ac:dyDescent="0.3">
      <c r="A35" s="12" t="s">
        <v>45</v>
      </c>
      <c r="B35" s="83">
        <v>2543</v>
      </c>
      <c r="C35" s="83">
        <v>82437200</v>
      </c>
      <c r="D35" s="63">
        <f t="shared" si="0"/>
        <v>2.543E-4</v>
      </c>
      <c r="E35" s="84">
        <f t="shared" si="1"/>
        <v>64.834604797483294</v>
      </c>
      <c r="F35" s="85"/>
      <c r="G35" s="12" t="s">
        <v>45</v>
      </c>
      <c r="H35" s="80">
        <v>0</v>
      </c>
      <c r="I35" s="63">
        <f t="shared" si="2"/>
        <v>2.543E-4</v>
      </c>
      <c r="J35" s="63">
        <f t="shared" si="3"/>
        <v>0</v>
      </c>
      <c r="K35" s="81">
        <v>0</v>
      </c>
      <c r="L35" s="63">
        <f t="shared" si="4"/>
        <v>0</v>
      </c>
      <c r="M35" s="63">
        <f t="shared" si="5"/>
        <v>0</v>
      </c>
      <c r="N35" s="82"/>
      <c r="O35" s="38">
        <v>60</v>
      </c>
      <c r="P35" s="38">
        <v>70</v>
      </c>
      <c r="Q35" s="63">
        <f t="shared" si="6"/>
        <v>0</v>
      </c>
      <c r="R35" s="63">
        <v>3.1769999999999997E-4</v>
      </c>
      <c r="T35" s="63"/>
      <c r="U35" s="43">
        <f t="shared" si="7"/>
        <v>0</v>
      </c>
    </row>
    <row r="36" spans="1:21" x14ac:dyDescent="0.3">
      <c r="A36" s="12" t="s">
        <v>46</v>
      </c>
      <c r="B36" s="83">
        <v>2147</v>
      </c>
      <c r="C36" s="83">
        <v>80658150</v>
      </c>
      <c r="D36" s="63">
        <f t="shared" si="0"/>
        <v>2.1469999999999999E-4</v>
      </c>
      <c r="E36" s="84">
        <f t="shared" si="1"/>
        <v>75.135677689799721</v>
      </c>
      <c r="F36" s="85"/>
      <c r="G36" s="12" t="s">
        <v>46</v>
      </c>
      <c r="H36" s="80">
        <v>0</v>
      </c>
      <c r="I36" s="63">
        <f t="shared" si="2"/>
        <v>2.1469999999999999E-4</v>
      </c>
      <c r="J36" s="63">
        <f t="shared" si="3"/>
        <v>0</v>
      </c>
      <c r="K36" s="81">
        <v>0</v>
      </c>
      <c r="L36" s="63">
        <f t="shared" si="4"/>
        <v>0</v>
      </c>
      <c r="M36" s="63">
        <f t="shared" si="5"/>
        <v>0</v>
      </c>
      <c r="N36" s="82"/>
      <c r="O36" s="38">
        <v>70</v>
      </c>
      <c r="P36" s="38">
        <v>80</v>
      </c>
      <c r="Q36" s="63">
        <f t="shared" si="6"/>
        <v>0</v>
      </c>
      <c r="R36" s="63">
        <v>2.542E-4</v>
      </c>
      <c r="T36" s="63"/>
      <c r="U36" s="43">
        <f t="shared" si="7"/>
        <v>0</v>
      </c>
    </row>
    <row r="37" spans="1:21" x14ac:dyDescent="0.3">
      <c r="A37" s="12" t="s">
        <v>47</v>
      </c>
      <c r="B37" s="83">
        <v>1594</v>
      </c>
      <c r="C37" s="83">
        <v>67905075</v>
      </c>
      <c r="D37" s="63">
        <f t="shared" si="0"/>
        <v>1.594E-4</v>
      </c>
      <c r="E37" s="84">
        <f t="shared" si="1"/>
        <v>85.2008469259724</v>
      </c>
      <c r="F37" s="85"/>
      <c r="G37" s="12" t="s">
        <v>47</v>
      </c>
      <c r="H37" s="80">
        <v>0</v>
      </c>
      <c r="I37" s="63">
        <f t="shared" si="2"/>
        <v>1.594E-4</v>
      </c>
      <c r="J37" s="63">
        <f t="shared" si="3"/>
        <v>0</v>
      </c>
      <c r="K37" s="81">
        <v>0</v>
      </c>
      <c r="L37" s="63">
        <f t="shared" si="4"/>
        <v>0</v>
      </c>
      <c r="M37" s="63">
        <f t="shared" si="5"/>
        <v>0</v>
      </c>
      <c r="N37" s="82"/>
      <c r="O37" s="38">
        <v>80</v>
      </c>
      <c r="P37" s="38">
        <v>90</v>
      </c>
      <c r="Q37" s="63">
        <f t="shared" si="6"/>
        <v>0</v>
      </c>
      <c r="R37" s="63">
        <v>3.813E-4</v>
      </c>
      <c r="T37" s="63"/>
      <c r="U37" s="43">
        <f t="shared" si="7"/>
        <v>0</v>
      </c>
    </row>
    <row r="38" spans="1:21" x14ac:dyDescent="0.3">
      <c r="A38" s="12" t="s">
        <v>48</v>
      </c>
      <c r="B38" s="83">
        <v>1262</v>
      </c>
      <c r="C38" s="83">
        <v>60399650</v>
      </c>
      <c r="D38" s="63">
        <f t="shared" si="0"/>
        <v>1.262E-4</v>
      </c>
      <c r="E38" s="84">
        <f t="shared" si="1"/>
        <v>95.720522979397771</v>
      </c>
      <c r="F38" s="85"/>
      <c r="G38" s="12" t="s">
        <v>48</v>
      </c>
      <c r="H38" s="80">
        <v>0</v>
      </c>
      <c r="I38" s="63">
        <f t="shared" si="2"/>
        <v>1.262E-4</v>
      </c>
      <c r="J38" s="63">
        <f t="shared" si="3"/>
        <v>0</v>
      </c>
      <c r="K38" s="81">
        <v>0</v>
      </c>
      <c r="L38" s="63">
        <f t="shared" si="4"/>
        <v>0</v>
      </c>
      <c r="M38" s="63">
        <f t="shared" si="5"/>
        <v>0</v>
      </c>
      <c r="N38" s="82"/>
      <c r="O38" s="38">
        <v>90</v>
      </c>
      <c r="P38" s="38">
        <v>100</v>
      </c>
      <c r="Q38" s="63">
        <f t="shared" si="6"/>
        <v>0</v>
      </c>
      <c r="R38" s="63">
        <v>1.5890000000000001E-4</v>
      </c>
      <c r="T38" s="63"/>
      <c r="U38" s="43">
        <f t="shared" si="7"/>
        <v>0</v>
      </c>
    </row>
    <row r="39" spans="1:21" x14ac:dyDescent="0.3">
      <c r="A39" s="12" t="s">
        <v>49</v>
      </c>
      <c r="B39" s="83">
        <v>1802</v>
      </c>
      <c r="C39" s="83">
        <v>98996350</v>
      </c>
      <c r="D39" s="63">
        <f t="shared" si="0"/>
        <v>1.8019999999999999E-4</v>
      </c>
      <c r="E39" s="84">
        <f t="shared" si="1"/>
        <v>109.87386237513873</v>
      </c>
      <c r="F39" s="85"/>
      <c r="G39" s="12" t="s">
        <v>49</v>
      </c>
      <c r="H39" s="80">
        <v>0</v>
      </c>
      <c r="I39" s="63">
        <f t="shared" si="2"/>
        <v>1.8019999999999999E-4</v>
      </c>
      <c r="J39" s="63">
        <f t="shared" si="3"/>
        <v>0</v>
      </c>
      <c r="K39" s="81">
        <v>0</v>
      </c>
      <c r="L39" s="63">
        <f t="shared" si="4"/>
        <v>0</v>
      </c>
      <c r="M39" s="63">
        <f t="shared" si="5"/>
        <v>0</v>
      </c>
      <c r="N39" s="82"/>
      <c r="O39" s="38">
        <v>100</v>
      </c>
      <c r="P39" s="38">
        <v>120</v>
      </c>
      <c r="Q39" s="63">
        <f t="shared" si="6"/>
        <v>0</v>
      </c>
      <c r="R39" s="63">
        <v>2.8600000000000001E-4</v>
      </c>
      <c r="T39" s="63"/>
      <c r="U39" s="43">
        <f t="shared" si="7"/>
        <v>0</v>
      </c>
    </row>
    <row r="40" spans="1:21" x14ac:dyDescent="0.3">
      <c r="A40" s="12" t="s">
        <v>50</v>
      </c>
      <c r="B40" s="83">
        <v>1247</v>
      </c>
      <c r="C40" s="83">
        <v>80574600</v>
      </c>
      <c r="D40" s="63">
        <f t="shared" si="0"/>
        <v>1.247E-4</v>
      </c>
      <c r="E40" s="84">
        <f t="shared" si="1"/>
        <v>129.22951082598237</v>
      </c>
      <c r="F40" s="85"/>
      <c r="G40" s="12" t="s">
        <v>50</v>
      </c>
      <c r="H40" s="80">
        <v>0</v>
      </c>
      <c r="I40" s="63">
        <f t="shared" si="2"/>
        <v>1.247E-4</v>
      </c>
      <c r="J40" s="63">
        <f t="shared" si="3"/>
        <v>0</v>
      </c>
      <c r="K40" s="81">
        <v>0</v>
      </c>
      <c r="L40" s="63">
        <f t="shared" si="4"/>
        <v>0</v>
      </c>
      <c r="M40" s="63">
        <f t="shared" si="5"/>
        <v>0</v>
      </c>
      <c r="N40" s="82"/>
      <c r="O40" s="38">
        <v>120</v>
      </c>
      <c r="P40" s="38">
        <v>140</v>
      </c>
      <c r="Q40" s="63">
        <f t="shared" si="6"/>
        <v>0</v>
      </c>
      <c r="R40" s="63">
        <v>2.542E-4</v>
      </c>
      <c r="T40" s="63"/>
      <c r="U40" s="43">
        <f t="shared" si="7"/>
        <v>0</v>
      </c>
    </row>
    <row r="41" spans="1:21" x14ac:dyDescent="0.3">
      <c r="A41" s="12" t="s">
        <v>51</v>
      </c>
      <c r="B41" s="83">
        <v>861</v>
      </c>
      <c r="C41" s="83">
        <v>64573325</v>
      </c>
      <c r="D41" s="63">
        <f t="shared" si="0"/>
        <v>8.6100000000000006E-5</v>
      </c>
      <c r="E41" s="84">
        <f t="shared" si="1"/>
        <v>149.99610917537746</v>
      </c>
      <c r="F41" s="85"/>
      <c r="G41" s="12" t="s">
        <v>51</v>
      </c>
      <c r="H41" s="80">
        <v>0</v>
      </c>
      <c r="I41" s="63">
        <f t="shared" si="2"/>
        <v>8.6100000000000006E-5</v>
      </c>
      <c r="J41" s="63">
        <f t="shared" si="3"/>
        <v>0</v>
      </c>
      <c r="K41" s="81">
        <v>0</v>
      </c>
      <c r="L41" s="63">
        <f t="shared" si="4"/>
        <v>0</v>
      </c>
      <c r="M41" s="63">
        <f t="shared" si="5"/>
        <v>0</v>
      </c>
      <c r="N41" s="82"/>
      <c r="O41" s="38">
        <v>140</v>
      </c>
      <c r="P41" s="38">
        <v>160</v>
      </c>
      <c r="Q41" s="63">
        <f t="shared" si="6"/>
        <v>0</v>
      </c>
      <c r="R41" s="63">
        <v>2.2239999999999998E-4</v>
      </c>
      <c r="T41" s="63"/>
      <c r="U41" s="43">
        <f t="shared" si="7"/>
        <v>0</v>
      </c>
    </row>
    <row r="42" spans="1:21" x14ac:dyDescent="0.3">
      <c r="A42" s="12" t="s">
        <v>52</v>
      </c>
      <c r="B42" s="83">
        <v>649</v>
      </c>
      <c r="C42" s="83">
        <v>55036100</v>
      </c>
      <c r="D42" s="63">
        <f t="shared" si="0"/>
        <v>6.4900000000000005E-5</v>
      </c>
      <c r="E42" s="84">
        <f t="shared" si="1"/>
        <v>169.60277349768876</v>
      </c>
      <c r="F42" s="85"/>
      <c r="G42" s="12" t="s">
        <v>52</v>
      </c>
      <c r="H42" s="80">
        <v>0</v>
      </c>
      <c r="I42" s="63">
        <f t="shared" si="2"/>
        <v>6.4900000000000005E-5</v>
      </c>
      <c r="J42" s="63">
        <f t="shared" si="3"/>
        <v>0</v>
      </c>
      <c r="K42" s="81">
        <v>0</v>
      </c>
      <c r="L42" s="63">
        <f t="shared" si="4"/>
        <v>0</v>
      </c>
      <c r="M42" s="63">
        <f t="shared" si="5"/>
        <v>0</v>
      </c>
      <c r="N42" s="82"/>
      <c r="O42" s="38">
        <v>160</v>
      </c>
      <c r="P42" s="38">
        <v>180</v>
      </c>
      <c r="Q42" s="63">
        <f t="shared" si="6"/>
        <v>0</v>
      </c>
      <c r="R42" s="63">
        <v>6.3499999999999999E-5</v>
      </c>
      <c r="T42" s="63"/>
      <c r="U42" s="43">
        <f t="shared" si="7"/>
        <v>0</v>
      </c>
    </row>
    <row r="43" spans="1:21" x14ac:dyDescent="0.3">
      <c r="A43" s="12" t="s">
        <v>53</v>
      </c>
      <c r="B43" s="83">
        <v>545</v>
      </c>
      <c r="C43" s="83">
        <v>51916900</v>
      </c>
      <c r="D43" s="63">
        <f t="shared" si="0"/>
        <v>5.4500000000000003E-5</v>
      </c>
      <c r="E43" s="84">
        <f t="shared" si="1"/>
        <v>190.52073394495412</v>
      </c>
      <c r="F43" s="85"/>
      <c r="G43" s="12" t="s">
        <v>53</v>
      </c>
      <c r="H43" s="80">
        <v>0</v>
      </c>
      <c r="I43" s="63">
        <f t="shared" si="2"/>
        <v>5.4500000000000003E-5</v>
      </c>
      <c r="J43" s="63">
        <f t="shared" si="3"/>
        <v>0</v>
      </c>
      <c r="K43" s="81">
        <v>0</v>
      </c>
      <c r="L43" s="63">
        <f t="shared" si="4"/>
        <v>0</v>
      </c>
      <c r="M43" s="63">
        <f t="shared" si="5"/>
        <v>0</v>
      </c>
      <c r="N43" s="82"/>
      <c r="O43" s="38">
        <v>180</v>
      </c>
      <c r="P43" s="38">
        <v>200</v>
      </c>
      <c r="Q43" s="63">
        <f t="shared" si="6"/>
        <v>0</v>
      </c>
      <c r="R43" s="63">
        <v>1.5890000000000001E-4</v>
      </c>
      <c r="T43" s="63"/>
      <c r="U43" s="43">
        <f t="shared" si="7"/>
        <v>0</v>
      </c>
    </row>
    <row r="44" spans="1:21" x14ac:dyDescent="0.3">
      <c r="A44" s="12" t="s">
        <v>54</v>
      </c>
      <c r="B44" s="83">
        <v>871</v>
      </c>
      <c r="C44" s="83">
        <v>98088375</v>
      </c>
      <c r="D44" s="63">
        <f t="shared" si="0"/>
        <v>8.7100000000000003E-5</v>
      </c>
      <c r="E44" s="84">
        <f t="shared" si="1"/>
        <v>225.2316303099885</v>
      </c>
      <c r="F44" s="85"/>
      <c r="G44" s="12" t="s">
        <v>54</v>
      </c>
      <c r="H44" s="80">
        <v>0</v>
      </c>
      <c r="I44" s="63">
        <f t="shared" si="2"/>
        <v>8.7100000000000003E-5</v>
      </c>
      <c r="J44" s="63">
        <f t="shared" si="3"/>
        <v>0</v>
      </c>
      <c r="K44" s="81">
        <v>0</v>
      </c>
      <c r="L44" s="63">
        <f t="shared" si="4"/>
        <v>0</v>
      </c>
      <c r="M44" s="63">
        <f t="shared" si="5"/>
        <v>0</v>
      </c>
      <c r="N44" s="82"/>
      <c r="O44" s="38">
        <v>200</v>
      </c>
      <c r="P44" s="38">
        <v>250</v>
      </c>
      <c r="Q44" s="63">
        <f t="shared" si="6"/>
        <v>0</v>
      </c>
      <c r="R44" s="63">
        <v>1.5890000000000001E-4</v>
      </c>
      <c r="T44" s="63"/>
      <c r="U44" s="43">
        <f t="shared" si="7"/>
        <v>0</v>
      </c>
    </row>
    <row r="45" spans="1:21" x14ac:dyDescent="0.3">
      <c r="A45" s="12" t="s">
        <v>55</v>
      </c>
      <c r="B45" s="83">
        <v>509</v>
      </c>
      <c r="C45" s="83">
        <v>69456450</v>
      </c>
      <c r="D45" s="63">
        <f t="shared" si="0"/>
        <v>5.0899999999999997E-5</v>
      </c>
      <c r="E45" s="84">
        <f t="shared" si="1"/>
        <v>272.91335952848726</v>
      </c>
      <c r="F45" s="85"/>
      <c r="G45" s="12" t="s">
        <v>55</v>
      </c>
      <c r="H45" s="80">
        <v>0</v>
      </c>
      <c r="I45" s="63">
        <f t="shared" si="2"/>
        <v>5.0899999999999997E-5</v>
      </c>
      <c r="J45" s="63">
        <f t="shared" si="3"/>
        <v>0</v>
      </c>
      <c r="K45" s="81">
        <v>0</v>
      </c>
      <c r="L45" s="63">
        <f t="shared" si="4"/>
        <v>0</v>
      </c>
      <c r="M45" s="63">
        <f t="shared" si="5"/>
        <v>0</v>
      </c>
      <c r="N45" s="82"/>
      <c r="O45" s="38">
        <v>250</v>
      </c>
      <c r="P45" s="38">
        <v>300</v>
      </c>
      <c r="Q45" s="63">
        <f t="shared" si="6"/>
        <v>0</v>
      </c>
      <c r="R45" s="63">
        <v>1.271E-4</v>
      </c>
      <c r="T45" s="63"/>
      <c r="U45" s="43">
        <f t="shared" si="7"/>
        <v>0</v>
      </c>
    </row>
    <row r="46" spans="1:21" x14ac:dyDescent="0.3">
      <c r="A46" s="12" t="s">
        <v>56</v>
      </c>
      <c r="B46" s="83">
        <v>341</v>
      </c>
      <c r="C46" s="83">
        <v>55264575</v>
      </c>
      <c r="D46" s="63">
        <f t="shared" si="0"/>
        <v>3.4100000000000002E-5</v>
      </c>
      <c r="E46" s="84">
        <f t="shared" si="1"/>
        <v>324.1324046920821</v>
      </c>
      <c r="F46" s="85"/>
      <c r="G46" s="12" t="s">
        <v>56</v>
      </c>
      <c r="H46" s="80">
        <v>0</v>
      </c>
      <c r="I46" s="63">
        <f t="shared" si="2"/>
        <v>3.4100000000000002E-5</v>
      </c>
      <c r="J46" s="63">
        <f t="shared" si="3"/>
        <v>0</v>
      </c>
      <c r="K46" s="81">
        <v>0</v>
      </c>
      <c r="L46" s="63">
        <f t="shared" si="4"/>
        <v>0</v>
      </c>
      <c r="M46" s="63">
        <f t="shared" si="5"/>
        <v>0</v>
      </c>
      <c r="N46" s="82"/>
      <c r="O46" s="38">
        <v>300</v>
      </c>
      <c r="P46" s="38">
        <v>350</v>
      </c>
      <c r="Q46" s="63">
        <f t="shared" si="6"/>
        <v>0</v>
      </c>
      <c r="R46" s="63">
        <v>9.5299999999999999E-5</v>
      </c>
      <c r="T46" s="63"/>
      <c r="U46" s="43">
        <f t="shared" si="7"/>
        <v>0</v>
      </c>
    </row>
    <row r="47" spans="1:21" x14ac:dyDescent="0.3">
      <c r="A47" s="12" t="s">
        <v>57</v>
      </c>
      <c r="B47" s="83">
        <v>282</v>
      </c>
      <c r="C47" s="83">
        <v>53271550</v>
      </c>
      <c r="D47" s="63">
        <f t="shared" ref="D47:D78" si="8">IFERROR(B47/$B$13,0)</f>
        <v>2.8200000000000001E-5</v>
      </c>
      <c r="E47" s="84">
        <f t="shared" ref="E47:E78" si="9">IFERROR(C47/B47/500,0)</f>
        <v>377.81241134751775</v>
      </c>
      <c r="F47" s="85"/>
      <c r="G47" s="12" t="s">
        <v>57</v>
      </c>
      <c r="H47" s="80">
        <v>0</v>
      </c>
      <c r="I47" s="63">
        <f t="shared" ref="I47:I78" si="10">IFERROR(B47/$B$13,0)</f>
        <v>2.8200000000000001E-5</v>
      </c>
      <c r="J47" s="63">
        <f t="shared" ref="J47:J78" si="11">IFERROR(K47/$B$2,0)</f>
        <v>0</v>
      </c>
      <c r="K47" s="81">
        <v>0</v>
      </c>
      <c r="L47" s="63">
        <f t="shared" ref="L47:L78" si="12">IFERROR(K47/SUM($K$15:$K$79),0)</f>
        <v>0</v>
      </c>
      <c r="M47" s="63">
        <f t="shared" ref="M47:M78" si="13">IFERROR(L47*E47,0)</f>
        <v>0</v>
      </c>
      <c r="N47" s="82"/>
      <c r="O47" s="38">
        <v>350</v>
      </c>
      <c r="P47" s="38">
        <v>400</v>
      </c>
      <c r="Q47" s="63">
        <f t="shared" ref="Q47:Q78" si="14">L47</f>
        <v>0</v>
      </c>
      <c r="R47" s="63">
        <v>0</v>
      </c>
      <c r="T47" s="63"/>
      <c r="U47" s="43">
        <f t="shared" ref="U47:U78" si="15">IFERROR(ROUND(T47/L47,2),0)</f>
        <v>0</v>
      </c>
    </row>
    <row r="48" spans="1:21" x14ac:dyDescent="0.3">
      <c r="A48" s="12" t="s">
        <v>58</v>
      </c>
      <c r="B48" s="83">
        <v>182</v>
      </c>
      <c r="C48" s="83">
        <v>38558400</v>
      </c>
      <c r="D48" s="63">
        <f t="shared" si="8"/>
        <v>1.8199999999999999E-5</v>
      </c>
      <c r="E48" s="84">
        <f t="shared" si="9"/>
        <v>423.71868131868132</v>
      </c>
      <c r="F48" s="85"/>
      <c r="G48" s="12" t="s">
        <v>58</v>
      </c>
      <c r="H48" s="80">
        <v>0</v>
      </c>
      <c r="I48" s="63">
        <f t="shared" si="10"/>
        <v>1.8199999999999999E-5</v>
      </c>
      <c r="J48" s="63">
        <f t="shared" si="11"/>
        <v>0</v>
      </c>
      <c r="K48" s="81">
        <v>0</v>
      </c>
      <c r="L48" s="63">
        <f t="shared" si="12"/>
        <v>0</v>
      </c>
      <c r="M48" s="63">
        <f t="shared" si="13"/>
        <v>0</v>
      </c>
      <c r="N48" s="82"/>
      <c r="O48" s="38">
        <v>400</v>
      </c>
      <c r="P48" s="38">
        <v>450</v>
      </c>
      <c r="Q48" s="63">
        <f t="shared" si="14"/>
        <v>0</v>
      </c>
      <c r="R48" s="63">
        <v>3.18E-5</v>
      </c>
      <c r="T48" s="63"/>
      <c r="U48" s="43">
        <f t="shared" si="15"/>
        <v>0</v>
      </c>
    </row>
    <row r="49" spans="1:21" x14ac:dyDescent="0.3">
      <c r="A49" s="12" t="s">
        <v>59</v>
      </c>
      <c r="B49" s="83">
        <v>148</v>
      </c>
      <c r="C49" s="83">
        <v>35492675</v>
      </c>
      <c r="D49" s="63">
        <f t="shared" si="8"/>
        <v>1.4800000000000001E-5</v>
      </c>
      <c r="E49" s="84">
        <f t="shared" si="9"/>
        <v>479.63074324324327</v>
      </c>
      <c r="F49" s="85"/>
      <c r="G49" s="12" t="s">
        <v>59</v>
      </c>
      <c r="H49" s="80">
        <v>0</v>
      </c>
      <c r="I49" s="63">
        <f t="shared" si="10"/>
        <v>1.4800000000000001E-5</v>
      </c>
      <c r="J49" s="63">
        <f t="shared" si="11"/>
        <v>0</v>
      </c>
      <c r="K49" s="81">
        <v>0</v>
      </c>
      <c r="L49" s="63">
        <f t="shared" si="12"/>
        <v>0</v>
      </c>
      <c r="M49" s="63">
        <f t="shared" si="13"/>
        <v>0</v>
      </c>
      <c r="N49" s="82"/>
      <c r="O49" s="38">
        <v>450</v>
      </c>
      <c r="P49" s="38">
        <v>500</v>
      </c>
      <c r="Q49" s="63">
        <f t="shared" si="14"/>
        <v>0</v>
      </c>
      <c r="R49" s="63">
        <v>0</v>
      </c>
      <c r="T49" s="63"/>
      <c r="U49" s="43">
        <f t="shared" si="15"/>
        <v>0</v>
      </c>
    </row>
    <row r="50" spans="1:21" x14ac:dyDescent="0.3">
      <c r="A50" s="12" t="s">
        <v>60</v>
      </c>
      <c r="B50" s="83">
        <v>112</v>
      </c>
      <c r="C50" s="83">
        <v>29411950</v>
      </c>
      <c r="D50" s="63">
        <f t="shared" si="8"/>
        <v>1.1199999999999999E-5</v>
      </c>
      <c r="E50" s="84">
        <f t="shared" si="9"/>
        <v>525.21339285714282</v>
      </c>
      <c r="F50" s="85"/>
      <c r="G50" s="12" t="s">
        <v>60</v>
      </c>
      <c r="H50" s="80">
        <v>0</v>
      </c>
      <c r="I50" s="63">
        <f t="shared" si="10"/>
        <v>1.1199999999999999E-5</v>
      </c>
      <c r="J50" s="63">
        <f t="shared" si="11"/>
        <v>0</v>
      </c>
      <c r="K50" s="81">
        <v>0</v>
      </c>
      <c r="L50" s="63">
        <f t="shared" si="12"/>
        <v>0</v>
      </c>
      <c r="M50" s="63">
        <f t="shared" si="13"/>
        <v>0</v>
      </c>
      <c r="N50" s="82"/>
      <c r="O50" s="38">
        <v>500</v>
      </c>
      <c r="P50" s="38">
        <v>550</v>
      </c>
      <c r="Q50" s="63">
        <f t="shared" si="14"/>
        <v>0</v>
      </c>
      <c r="R50" s="63">
        <v>0</v>
      </c>
      <c r="T50" s="63"/>
      <c r="U50" s="43">
        <f t="shared" si="15"/>
        <v>0</v>
      </c>
    </row>
    <row r="51" spans="1:21" x14ac:dyDescent="0.3">
      <c r="A51" s="12" t="s">
        <v>61</v>
      </c>
      <c r="B51" s="83">
        <v>92</v>
      </c>
      <c r="C51" s="83">
        <v>26408600</v>
      </c>
      <c r="D51" s="63">
        <f t="shared" si="8"/>
        <v>9.2E-6</v>
      </c>
      <c r="E51" s="84">
        <f t="shared" si="9"/>
        <v>574.1</v>
      </c>
      <c r="F51" s="85"/>
      <c r="G51" s="12" t="s">
        <v>61</v>
      </c>
      <c r="H51" s="80">
        <v>0</v>
      </c>
      <c r="I51" s="63">
        <f t="shared" si="10"/>
        <v>9.2E-6</v>
      </c>
      <c r="J51" s="63">
        <f t="shared" si="11"/>
        <v>0</v>
      </c>
      <c r="K51" s="81">
        <v>0</v>
      </c>
      <c r="L51" s="63">
        <f t="shared" si="12"/>
        <v>0</v>
      </c>
      <c r="M51" s="63">
        <f t="shared" si="13"/>
        <v>0</v>
      </c>
      <c r="N51" s="82"/>
      <c r="O51" s="38">
        <v>550</v>
      </c>
      <c r="P51" s="38">
        <v>600</v>
      </c>
      <c r="Q51" s="63">
        <f t="shared" si="14"/>
        <v>0</v>
      </c>
      <c r="R51" s="63">
        <v>0</v>
      </c>
      <c r="T51" s="63"/>
      <c r="U51" s="43">
        <f t="shared" si="15"/>
        <v>0</v>
      </c>
    </row>
    <row r="52" spans="1:21" x14ac:dyDescent="0.3">
      <c r="A52" s="12" t="s">
        <v>62</v>
      </c>
      <c r="B52" s="83">
        <v>119</v>
      </c>
      <c r="C52" s="83">
        <v>37244775</v>
      </c>
      <c r="D52" s="63">
        <f t="shared" si="8"/>
        <v>1.19E-5</v>
      </c>
      <c r="E52" s="84">
        <f t="shared" si="9"/>
        <v>625.96260504201678</v>
      </c>
      <c r="F52" s="85"/>
      <c r="G52" s="12" t="s">
        <v>62</v>
      </c>
      <c r="H52" s="80">
        <v>0</v>
      </c>
      <c r="I52" s="63">
        <f t="shared" si="10"/>
        <v>1.19E-5</v>
      </c>
      <c r="J52" s="63">
        <f t="shared" si="11"/>
        <v>0</v>
      </c>
      <c r="K52" s="81">
        <v>0</v>
      </c>
      <c r="L52" s="63">
        <f t="shared" si="12"/>
        <v>0</v>
      </c>
      <c r="M52" s="63">
        <f t="shared" si="13"/>
        <v>0</v>
      </c>
      <c r="N52" s="82"/>
      <c r="O52" s="38">
        <v>600</v>
      </c>
      <c r="P52" s="38">
        <v>650</v>
      </c>
      <c r="Q52" s="63">
        <f t="shared" si="14"/>
        <v>0</v>
      </c>
      <c r="R52" s="63">
        <v>0</v>
      </c>
      <c r="T52" s="63"/>
      <c r="U52" s="43">
        <f t="shared" si="15"/>
        <v>0</v>
      </c>
    </row>
    <row r="53" spans="1:21" x14ac:dyDescent="0.3">
      <c r="A53" s="12" t="s">
        <v>63</v>
      </c>
      <c r="B53" s="83">
        <v>60</v>
      </c>
      <c r="C53" s="83">
        <v>20179775</v>
      </c>
      <c r="D53" s="63">
        <f t="shared" si="8"/>
        <v>6.0000000000000002E-6</v>
      </c>
      <c r="E53" s="84">
        <f t="shared" si="9"/>
        <v>672.65916666666658</v>
      </c>
      <c r="F53" s="85"/>
      <c r="G53" s="12" t="s">
        <v>63</v>
      </c>
      <c r="H53" s="80">
        <v>0</v>
      </c>
      <c r="I53" s="63">
        <f t="shared" si="10"/>
        <v>6.0000000000000002E-6</v>
      </c>
      <c r="J53" s="63">
        <f t="shared" si="11"/>
        <v>0</v>
      </c>
      <c r="K53" s="81">
        <v>0</v>
      </c>
      <c r="L53" s="63">
        <f t="shared" si="12"/>
        <v>0</v>
      </c>
      <c r="M53" s="63">
        <f t="shared" si="13"/>
        <v>0</v>
      </c>
      <c r="N53" s="82"/>
      <c r="O53" s="38">
        <v>650</v>
      </c>
      <c r="P53" s="38">
        <v>700</v>
      </c>
      <c r="Q53" s="63">
        <f t="shared" si="14"/>
        <v>0</v>
      </c>
      <c r="R53" s="63">
        <v>0</v>
      </c>
      <c r="T53" s="63"/>
      <c r="U53" s="43">
        <f t="shared" si="15"/>
        <v>0</v>
      </c>
    </row>
    <row r="54" spans="1:21" x14ac:dyDescent="0.3">
      <c r="A54" s="12" t="s">
        <v>64</v>
      </c>
      <c r="B54" s="83">
        <v>74</v>
      </c>
      <c r="C54" s="83">
        <v>27076125</v>
      </c>
      <c r="D54" s="63">
        <f t="shared" si="8"/>
        <v>7.4000000000000003E-6</v>
      </c>
      <c r="E54" s="84">
        <f t="shared" si="9"/>
        <v>731.78716216216208</v>
      </c>
      <c r="F54" s="85"/>
      <c r="G54" s="12" t="s">
        <v>64</v>
      </c>
      <c r="H54" s="80">
        <v>0</v>
      </c>
      <c r="I54" s="63">
        <f t="shared" si="10"/>
        <v>7.4000000000000003E-6</v>
      </c>
      <c r="J54" s="63">
        <f t="shared" si="11"/>
        <v>0</v>
      </c>
      <c r="K54" s="81">
        <v>0</v>
      </c>
      <c r="L54" s="63">
        <f t="shared" si="12"/>
        <v>0</v>
      </c>
      <c r="M54" s="63">
        <f t="shared" si="13"/>
        <v>0</v>
      </c>
      <c r="N54" s="82"/>
      <c r="O54" s="38">
        <v>700</v>
      </c>
      <c r="P54" s="38">
        <v>750</v>
      </c>
      <c r="Q54" s="63">
        <f t="shared" si="14"/>
        <v>0</v>
      </c>
      <c r="R54" s="63">
        <v>0</v>
      </c>
      <c r="T54" s="63"/>
      <c r="U54" s="43">
        <f t="shared" si="15"/>
        <v>0</v>
      </c>
    </row>
    <row r="55" spans="1:21" x14ac:dyDescent="0.3">
      <c r="A55" s="12" t="s">
        <v>65</v>
      </c>
      <c r="B55" s="83">
        <v>54</v>
      </c>
      <c r="C55" s="83">
        <v>20933425</v>
      </c>
      <c r="D55" s="63">
        <f t="shared" si="8"/>
        <v>5.4E-6</v>
      </c>
      <c r="E55" s="84">
        <f t="shared" si="9"/>
        <v>775.31203703703704</v>
      </c>
      <c r="F55" s="85"/>
      <c r="G55" s="12" t="s">
        <v>65</v>
      </c>
      <c r="H55" s="80">
        <v>0</v>
      </c>
      <c r="I55" s="63">
        <f t="shared" si="10"/>
        <v>5.4E-6</v>
      </c>
      <c r="J55" s="63">
        <f t="shared" si="11"/>
        <v>0</v>
      </c>
      <c r="K55" s="81">
        <v>0</v>
      </c>
      <c r="L55" s="63">
        <f t="shared" si="12"/>
        <v>0</v>
      </c>
      <c r="M55" s="63">
        <f t="shared" si="13"/>
        <v>0</v>
      </c>
      <c r="N55" s="82"/>
      <c r="O55" s="38">
        <v>750</v>
      </c>
      <c r="P55" s="38">
        <v>800</v>
      </c>
      <c r="Q55" s="63">
        <f t="shared" si="14"/>
        <v>0</v>
      </c>
      <c r="R55" s="63">
        <v>0</v>
      </c>
      <c r="T55" s="63"/>
      <c r="U55" s="43">
        <f t="shared" si="15"/>
        <v>0</v>
      </c>
    </row>
    <row r="56" spans="1:21" x14ac:dyDescent="0.3">
      <c r="A56" s="12" t="s">
        <v>66</v>
      </c>
      <c r="B56" s="83">
        <v>50</v>
      </c>
      <c r="C56" s="83">
        <v>20619450</v>
      </c>
      <c r="D56" s="63">
        <f t="shared" si="8"/>
        <v>5.0000000000000004E-6</v>
      </c>
      <c r="E56" s="84">
        <f t="shared" si="9"/>
        <v>824.77800000000002</v>
      </c>
      <c r="F56" s="85"/>
      <c r="G56" s="12" t="s">
        <v>66</v>
      </c>
      <c r="H56" s="80">
        <v>0</v>
      </c>
      <c r="I56" s="63">
        <f t="shared" si="10"/>
        <v>5.0000000000000004E-6</v>
      </c>
      <c r="J56" s="63">
        <f t="shared" si="11"/>
        <v>0</v>
      </c>
      <c r="K56" s="81">
        <v>0</v>
      </c>
      <c r="L56" s="63">
        <f t="shared" si="12"/>
        <v>0</v>
      </c>
      <c r="M56" s="63">
        <f t="shared" si="13"/>
        <v>0</v>
      </c>
      <c r="N56" s="82"/>
      <c r="O56" s="38">
        <v>800</v>
      </c>
      <c r="P56" s="38">
        <v>850</v>
      </c>
      <c r="Q56" s="63">
        <f t="shared" si="14"/>
        <v>0</v>
      </c>
      <c r="R56" s="63">
        <v>0</v>
      </c>
      <c r="T56" s="63"/>
      <c r="U56" s="43">
        <f t="shared" si="15"/>
        <v>0</v>
      </c>
    </row>
    <row r="57" spans="1:21" x14ac:dyDescent="0.3">
      <c r="A57" s="12" t="s">
        <v>67</v>
      </c>
      <c r="B57" s="83">
        <v>43</v>
      </c>
      <c r="C57" s="83">
        <v>18868450</v>
      </c>
      <c r="D57" s="63">
        <f t="shared" si="8"/>
        <v>4.3000000000000003E-6</v>
      </c>
      <c r="E57" s="84">
        <f t="shared" si="9"/>
        <v>877.60232558139535</v>
      </c>
      <c r="F57" s="85"/>
      <c r="G57" s="12" t="s">
        <v>67</v>
      </c>
      <c r="H57" s="80">
        <v>0</v>
      </c>
      <c r="I57" s="63">
        <f t="shared" si="10"/>
        <v>4.3000000000000003E-6</v>
      </c>
      <c r="J57" s="63">
        <f t="shared" si="11"/>
        <v>0</v>
      </c>
      <c r="K57" s="86">
        <v>0</v>
      </c>
      <c r="L57" s="63">
        <f t="shared" si="12"/>
        <v>0</v>
      </c>
      <c r="M57" s="63">
        <f t="shared" si="13"/>
        <v>0</v>
      </c>
      <c r="N57" s="82"/>
      <c r="O57" s="38">
        <v>850</v>
      </c>
      <c r="P57" s="38">
        <v>900</v>
      </c>
      <c r="Q57" s="63">
        <f t="shared" si="14"/>
        <v>0</v>
      </c>
      <c r="R57" s="63">
        <v>0</v>
      </c>
      <c r="T57" s="63"/>
      <c r="U57" s="43">
        <f t="shared" si="15"/>
        <v>0</v>
      </c>
    </row>
    <row r="58" spans="1:21" x14ac:dyDescent="0.3">
      <c r="A58" s="12" t="s">
        <v>68</v>
      </c>
      <c r="B58" s="83">
        <v>24</v>
      </c>
      <c r="C58" s="83">
        <v>11082500</v>
      </c>
      <c r="D58" s="63">
        <f t="shared" si="8"/>
        <v>2.3999999999999999E-6</v>
      </c>
      <c r="E58" s="84">
        <f t="shared" si="9"/>
        <v>923.54166666666663</v>
      </c>
      <c r="F58" s="85"/>
      <c r="G58" s="12" t="s">
        <v>68</v>
      </c>
      <c r="H58" s="80">
        <v>0</v>
      </c>
      <c r="I58" s="63">
        <f t="shared" si="10"/>
        <v>2.3999999999999999E-6</v>
      </c>
      <c r="J58" s="63">
        <f t="shared" si="11"/>
        <v>0</v>
      </c>
      <c r="K58" s="86">
        <v>0</v>
      </c>
      <c r="L58" s="63">
        <f t="shared" si="12"/>
        <v>0</v>
      </c>
      <c r="M58" s="63">
        <f t="shared" si="13"/>
        <v>0</v>
      </c>
      <c r="N58" s="82"/>
      <c r="O58" s="38">
        <v>900</v>
      </c>
      <c r="P58" s="38">
        <v>950</v>
      </c>
      <c r="Q58" s="63">
        <f t="shared" si="14"/>
        <v>0</v>
      </c>
      <c r="R58" s="63">
        <v>0</v>
      </c>
      <c r="T58" s="63"/>
      <c r="U58" s="43">
        <f t="shared" si="15"/>
        <v>0</v>
      </c>
    </row>
    <row r="59" spans="1:21" x14ac:dyDescent="0.3">
      <c r="A59" s="12" t="s">
        <v>69</v>
      </c>
      <c r="B59" s="83">
        <v>58</v>
      </c>
      <c r="C59" s="83">
        <v>28661725</v>
      </c>
      <c r="D59" s="63">
        <f t="shared" si="8"/>
        <v>5.8000000000000004E-6</v>
      </c>
      <c r="E59" s="84">
        <f t="shared" si="9"/>
        <v>988.33534482758625</v>
      </c>
      <c r="F59" s="85"/>
      <c r="G59" s="12" t="s">
        <v>69</v>
      </c>
      <c r="H59" s="80">
        <v>0</v>
      </c>
      <c r="I59" s="63">
        <f t="shared" si="10"/>
        <v>5.8000000000000004E-6</v>
      </c>
      <c r="J59" s="63">
        <f t="shared" si="11"/>
        <v>0</v>
      </c>
      <c r="K59" s="86">
        <v>0</v>
      </c>
      <c r="L59" s="63">
        <f t="shared" si="12"/>
        <v>0</v>
      </c>
      <c r="M59" s="63">
        <f t="shared" si="13"/>
        <v>0</v>
      </c>
      <c r="N59" s="82"/>
      <c r="O59" s="38">
        <v>950</v>
      </c>
      <c r="P59" s="38">
        <v>1000</v>
      </c>
      <c r="Q59" s="63">
        <f t="shared" si="14"/>
        <v>0</v>
      </c>
      <c r="R59" s="63">
        <v>0</v>
      </c>
      <c r="T59" s="63"/>
      <c r="U59" s="43">
        <f t="shared" si="15"/>
        <v>0</v>
      </c>
    </row>
    <row r="60" spans="1:21" x14ac:dyDescent="0.3">
      <c r="A60" s="12" t="s">
        <v>70</v>
      </c>
      <c r="B60" s="83">
        <v>398</v>
      </c>
      <c r="C60" s="83">
        <v>290887625</v>
      </c>
      <c r="D60" s="63">
        <f t="shared" si="8"/>
        <v>3.9799999999999998E-5</v>
      </c>
      <c r="E60" s="84">
        <f t="shared" si="9"/>
        <v>1461.7468592964826</v>
      </c>
      <c r="F60" s="85"/>
      <c r="G60" s="12" t="s">
        <v>70</v>
      </c>
      <c r="H60" s="80">
        <v>0</v>
      </c>
      <c r="I60" s="63">
        <f t="shared" si="10"/>
        <v>3.9799999999999998E-5</v>
      </c>
      <c r="J60" s="63">
        <f t="shared" si="11"/>
        <v>0</v>
      </c>
      <c r="K60" s="86">
        <v>0</v>
      </c>
      <c r="L60" s="63">
        <f t="shared" si="12"/>
        <v>0</v>
      </c>
      <c r="M60" s="63">
        <f t="shared" si="13"/>
        <v>0</v>
      </c>
      <c r="N60" s="82"/>
      <c r="O60" s="38">
        <v>1000</v>
      </c>
      <c r="P60" s="38">
        <v>2000</v>
      </c>
      <c r="Q60" s="63">
        <f t="shared" si="14"/>
        <v>0</v>
      </c>
      <c r="R60" s="63">
        <v>0</v>
      </c>
      <c r="T60" s="63"/>
      <c r="U60" s="43">
        <f t="shared" si="15"/>
        <v>0</v>
      </c>
    </row>
    <row r="61" spans="1:21" x14ac:dyDescent="0.3">
      <c r="A61" s="12" t="s">
        <v>71</v>
      </c>
      <c r="B61" s="83">
        <v>169</v>
      </c>
      <c r="C61" s="83">
        <v>207887825</v>
      </c>
      <c r="D61" s="63">
        <f t="shared" si="8"/>
        <v>1.6900000000000001E-5</v>
      </c>
      <c r="E61" s="84">
        <f t="shared" si="9"/>
        <v>2460.2109467455621</v>
      </c>
      <c r="F61" s="85"/>
      <c r="G61" s="12" t="s">
        <v>71</v>
      </c>
      <c r="H61" s="80">
        <v>0</v>
      </c>
      <c r="I61" s="63">
        <f t="shared" si="10"/>
        <v>1.6900000000000001E-5</v>
      </c>
      <c r="J61" s="63">
        <f t="shared" si="11"/>
        <v>0</v>
      </c>
      <c r="K61" s="86">
        <v>0</v>
      </c>
      <c r="L61" s="63">
        <f t="shared" si="12"/>
        <v>0</v>
      </c>
      <c r="M61" s="63">
        <f t="shared" si="13"/>
        <v>0</v>
      </c>
      <c r="N61" s="82"/>
      <c r="O61" s="38">
        <v>2000</v>
      </c>
      <c r="P61" s="38">
        <v>3000</v>
      </c>
      <c r="Q61" s="63">
        <f t="shared" si="14"/>
        <v>0</v>
      </c>
      <c r="R61" s="63">
        <v>0</v>
      </c>
      <c r="T61" s="63"/>
      <c r="U61" s="43">
        <f t="shared" si="15"/>
        <v>0</v>
      </c>
    </row>
    <row r="62" spans="1:21" x14ac:dyDescent="0.3">
      <c r="A62" s="12" t="s">
        <v>72</v>
      </c>
      <c r="B62" s="83">
        <v>129</v>
      </c>
      <c r="C62" s="83">
        <v>228629050</v>
      </c>
      <c r="D62" s="63">
        <f t="shared" si="8"/>
        <v>1.29E-5</v>
      </c>
      <c r="E62" s="84">
        <f t="shared" si="9"/>
        <v>3544.6364341085268</v>
      </c>
      <c r="F62" s="85"/>
      <c r="G62" s="12" t="s">
        <v>72</v>
      </c>
      <c r="H62" s="80">
        <v>0</v>
      </c>
      <c r="I62" s="63">
        <f t="shared" si="10"/>
        <v>1.29E-5</v>
      </c>
      <c r="J62" s="63">
        <f t="shared" si="11"/>
        <v>0</v>
      </c>
      <c r="K62" s="86">
        <v>0</v>
      </c>
      <c r="L62" s="63">
        <f t="shared" si="12"/>
        <v>0</v>
      </c>
      <c r="M62" s="63">
        <f t="shared" si="13"/>
        <v>0</v>
      </c>
      <c r="N62" s="82"/>
      <c r="O62" s="38">
        <v>3000</v>
      </c>
      <c r="P62" s="38">
        <v>4000</v>
      </c>
      <c r="Q62" s="63">
        <f t="shared" si="14"/>
        <v>0</v>
      </c>
      <c r="R62" s="63">
        <v>0</v>
      </c>
      <c r="T62" s="63"/>
      <c r="U62" s="43">
        <f t="shared" si="15"/>
        <v>0</v>
      </c>
    </row>
    <row r="63" spans="1:21" x14ac:dyDescent="0.3">
      <c r="A63" s="12" t="s">
        <v>73</v>
      </c>
      <c r="B63" s="83">
        <v>70</v>
      </c>
      <c r="C63" s="83">
        <v>156306500</v>
      </c>
      <c r="D63" s="63">
        <f t="shared" si="8"/>
        <v>6.9999999999999999E-6</v>
      </c>
      <c r="E63" s="84">
        <f t="shared" si="9"/>
        <v>4465.8999999999996</v>
      </c>
      <c r="F63" s="85"/>
      <c r="G63" s="12" t="s">
        <v>73</v>
      </c>
      <c r="H63" s="80">
        <v>0</v>
      </c>
      <c r="I63" s="63">
        <f t="shared" si="10"/>
        <v>6.9999999999999999E-6</v>
      </c>
      <c r="J63" s="63">
        <f t="shared" si="11"/>
        <v>0</v>
      </c>
      <c r="K63" s="86">
        <v>0</v>
      </c>
      <c r="L63" s="63">
        <f t="shared" si="12"/>
        <v>0</v>
      </c>
      <c r="M63" s="63">
        <f t="shared" si="13"/>
        <v>0</v>
      </c>
      <c r="N63" s="82"/>
      <c r="O63" s="38">
        <v>4000</v>
      </c>
      <c r="P63" s="38">
        <v>5000</v>
      </c>
      <c r="Q63" s="63">
        <f t="shared" si="14"/>
        <v>0</v>
      </c>
      <c r="R63" s="63">
        <v>0</v>
      </c>
      <c r="T63" s="63"/>
      <c r="U63" s="43">
        <f t="shared" si="15"/>
        <v>0</v>
      </c>
    </row>
    <row r="64" spans="1:21" x14ac:dyDescent="0.3">
      <c r="A64" s="12" t="s">
        <v>74</v>
      </c>
      <c r="B64" s="83">
        <v>39</v>
      </c>
      <c r="C64" s="83">
        <v>107019550</v>
      </c>
      <c r="D64" s="63">
        <f t="shared" si="8"/>
        <v>3.8999999999999999E-6</v>
      </c>
      <c r="E64" s="84">
        <f t="shared" si="9"/>
        <v>5488.1820512820514</v>
      </c>
      <c r="F64" s="85"/>
      <c r="G64" s="12" t="s">
        <v>74</v>
      </c>
      <c r="H64" s="80">
        <v>0</v>
      </c>
      <c r="I64" s="63">
        <f t="shared" si="10"/>
        <v>3.8999999999999999E-6</v>
      </c>
      <c r="J64" s="63">
        <f t="shared" si="11"/>
        <v>0</v>
      </c>
      <c r="K64" s="86">
        <v>0</v>
      </c>
      <c r="L64" s="63">
        <f t="shared" si="12"/>
        <v>0</v>
      </c>
      <c r="M64" s="63">
        <f t="shared" si="13"/>
        <v>0</v>
      </c>
      <c r="N64" s="82"/>
      <c r="O64" s="38">
        <v>5000</v>
      </c>
      <c r="P64" s="38">
        <v>6000</v>
      </c>
      <c r="Q64" s="63">
        <f t="shared" si="14"/>
        <v>0</v>
      </c>
      <c r="R64" s="63">
        <v>0</v>
      </c>
      <c r="T64" s="63"/>
      <c r="U64" s="43">
        <f t="shared" si="15"/>
        <v>0</v>
      </c>
    </row>
    <row r="65" spans="1:21" x14ac:dyDescent="0.3">
      <c r="A65" s="12" t="s">
        <v>75</v>
      </c>
      <c r="B65" s="83">
        <v>39</v>
      </c>
      <c r="C65" s="83">
        <v>127413550</v>
      </c>
      <c r="D65" s="63">
        <f t="shared" si="8"/>
        <v>3.8999999999999999E-6</v>
      </c>
      <c r="E65" s="84">
        <f t="shared" si="9"/>
        <v>6534.0282051282047</v>
      </c>
      <c r="F65" s="85"/>
      <c r="G65" s="12" t="s">
        <v>75</v>
      </c>
      <c r="H65" s="80">
        <v>0</v>
      </c>
      <c r="I65" s="63">
        <f t="shared" si="10"/>
        <v>3.8999999999999999E-6</v>
      </c>
      <c r="J65" s="63">
        <f t="shared" si="11"/>
        <v>0</v>
      </c>
      <c r="K65" s="86">
        <v>0</v>
      </c>
      <c r="L65" s="63">
        <f t="shared" si="12"/>
        <v>0</v>
      </c>
      <c r="M65" s="63">
        <f t="shared" si="13"/>
        <v>0</v>
      </c>
      <c r="N65" s="82"/>
      <c r="O65" s="38">
        <v>6000</v>
      </c>
      <c r="P65" s="38">
        <v>7000</v>
      </c>
      <c r="Q65" s="63">
        <f t="shared" si="14"/>
        <v>0</v>
      </c>
      <c r="R65" s="63">
        <v>0</v>
      </c>
      <c r="T65" s="63"/>
      <c r="U65" s="43">
        <f t="shared" si="15"/>
        <v>0</v>
      </c>
    </row>
    <row r="66" spans="1:21" x14ac:dyDescent="0.3">
      <c r="A66" s="12" t="s">
        <v>76</v>
      </c>
      <c r="B66" s="83">
        <v>31</v>
      </c>
      <c r="C66" s="83">
        <v>117916900</v>
      </c>
      <c r="D66" s="63">
        <f t="shared" si="8"/>
        <v>3.1E-6</v>
      </c>
      <c r="E66" s="84">
        <f t="shared" si="9"/>
        <v>7607.5419354838714</v>
      </c>
      <c r="F66" s="85"/>
      <c r="G66" s="12" t="s">
        <v>76</v>
      </c>
      <c r="H66" s="80">
        <v>0</v>
      </c>
      <c r="I66" s="63">
        <f t="shared" si="10"/>
        <v>3.1E-6</v>
      </c>
      <c r="J66" s="63">
        <f t="shared" si="11"/>
        <v>0</v>
      </c>
      <c r="K66" s="86">
        <v>0</v>
      </c>
      <c r="L66" s="63">
        <f t="shared" si="12"/>
        <v>0</v>
      </c>
      <c r="M66" s="63">
        <f t="shared" si="13"/>
        <v>0</v>
      </c>
      <c r="N66" s="82"/>
      <c r="O66" s="38">
        <v>7000</v>
      </c>
      <c r="P66" s="38">
        <v>8000</v>
      </c>
      <c r="Q66" s="63">
        <f t="shared" si="14"/>
        <v>0</v>
      </c>
      <c r="R66" s="63">
        <v>0</v>
      </c>
      <c r="T66" s="63"/>
      <c r="U66" s="43">
        <f t="shared" si="15"/>
        <v>0</v>
      </c>
    </row>
    <row r="67" spans="1:21" x14ac:dyDescent="0.3">
      <c r="A67" s="12" t="s">
        <v>77</v>
      </c>
      <c r="B67" s="83">
        <v>22</v>
      </c>
      <c r="C67" s="83">
        <v>93282225</v>
      </c>
      <c r="D67" s="63">
        <f t="shared" si="8"/>
        <v>2.2000000000000001E-6</v>
      </c>
      <c r="E67" s="84">
        <f t="shared" si="9"/>
        <v>8480.2022727272742</v>
      </c>
      <c r="F67" s="85"/>
      <c r="G67" s="12" t="s">
        <v>77</v>
      </c>
      <c r="H67" s="80">
        <v>0</v>
      </c>
      <c r="I67" s="63">
        <f t="shared" si="10"/>
        <v>2.2000000000000001E-6</v>
      </c>
      <c r="J67" s="63">
        <f t="shared" si="11"/>
        <v>0</v>
      </c>
      <c r="K67" s="86">
        <v>0</v>
      </c>
      <c r="L67" s="63">
        <f t="shared" si="12"/>
        <v>0</v>
      </c>
      <c r="M67" s="63">
        <f t="shared" si="13"/>
        <v>0</v>
      </c>
      <c r="N67" s="82"/>
      <c r="O67" s="38">
        <v>8000</v>
      </c>
      <c r="P67" s="38">
        <v>9000</v>
      </c>
      <c r="Q67" s="63">
        <f t="shared" si="14"/>
        <v>0</v>
      </c>
      <c r="R67" s="63">
        <v>0</v>
      </c>
      <c r="T67" s="63"/>
      <c r="U67" s="43">
        <f t="shared" si="15"/>
        <v>0</v>
      </c>
    </row>
    <row r="68" spans="1:21" x14ac:dyDescent="0.3">
      <c r="A68" s="12" t="s">
        <v>78</v>
      </c>
      <c r="B68" s="83">
        <v>13</v>
      </c>
      <c r="C68" s="83">
        <v>61536625</v>
      </c>
      <c r="D68" s="63">
        <f t="shared" si="8"/>
        <v>1.3E-6</v>
      </c>
      <c r="E68" s="84">
        <f t="shared" si="9"/>
        <v>9467.1730769230762</v>
      </c>
      <c r="F68" s="85"/>
      <c r="G68" s="12" t="s">
        <v>78</v>
      </c>
      <c r="H68" s="80">
        <v>0</v>
      </c>
      <c r="I68" s="63">
        <f t="shared" si="10"/>
        <v>1.3E-6</v>
      </c>
      <c r="J68" s="63">
        <f t="shared" si="11"/>
        <v>0</v>
      </c>
      <c r="K68" s="86">
        <v>0</v>
      </c>
      <c r="L68" s="63">
        <f t="shared" si="12"/>
        <v>0</v>
      </c>
      <c r="M68" s="63">
        <f t="shared" si="13"/>
        <v>0</v>
      </c>
      <c r="N68" s="82"/>
      <c r="O68" s="38">
        <v>9000</v>
      </c>
      <c r="P68" s="38">
        <v>10000</v>
      </c>
      <c r="Q68" s="63">
        <f t="shared" si="14"/>
        <v>0</v>
      </c>
      <c r="R68" s="63">
        <v>0</v>
      </c>
      <c r="T68" s="63"/>
      <c r="U68" s="43">
        <f t="shared" si="15"/>
        <v>0</v>
      </c>
    </row>
    <row r="69" spans="1:21" x14ac:dyDescent="0.3">
      <c r="A69" s="12" t="s">
        <v>79</v>
      </c>
      <c r="B69" s="83">
        <v>97</v>
      </c>
      <c r="C69" s="83">
        <v>670412775</v>
      </c>
      <c r="D69" s="63">
        <f t="shared" si="8"/>
        <v>9.7000000000000003E-6</v>
      </c>
      <c r="E69" s="84">
        <f t="shared" si="9"/>
        <v>13822.943814432991</v>
      </c>
      <c r="F69" s="85"/>
      <c r="G69" s="12" t="s">
        <v>79</v>
      </c>
      <c r="H69" s="80">
        <v>0</v>
      </c>
      <c r="I69" s="63">
        <f t="shared" si="10"/>
        <v>9.7000000000000003E-6</v>
      </c>
      <c r="J69" s="63">
        <f t="shared" si="11"/>
        <v>0</v>
      </c>
      <c r="K69" s="86">
        <v>0</v>
      </c>
      <c r="L69" s="63">
        <f t="shared" si="12"/>
        <v>0</v>
      </c>
      <c r="M69" s="63">
        <f t="shared" si="13"/>
        <v>0</v>
      </c>
      <c r="N69" s="82"/>
      <c r="O69" s="38">
        <v>10000</v>
      </c>
      <c r="P69" s="38">
        <v>20000</v>
      </c>
      <c r="Q69" s="63">
        <f t="shared" si="14"/>
        <v>0</v>
      </c>
      <c r="R69" s="63">
        <v>0</v>
      </c>
      <c r="T69" s="63"/>
      <c r="U69" s="43">
        <f t="shared" si="15"/>
        <v>0</v>
      </c>
    </row>
    <row r="70" spans="1:21" x14ac:dyDescent="0.3">
      <c r="A70" s="12" t="s">
        <v>80</v>
      </c>
      <c r="B70" s="83">
        <v>10</v>
      </c>
      <c r="C70" s="83">
        <v>116279275</v>
      </c>
      <c r="D70" s="63">
        <f t="shared" si="8"/>
        <v>9.9999999999999995E-7</v>
      </c>
      <c r="E70" s="84">
        <f t="shared" si="9"/>
        <v>23255.855</v>
      </c>
      <c r="F70" s="85"/>
      <c r="G70" s="12" t="s">
        <v>80</v>
      </c>
      <c r="H70" s="80">
        <v>0</v>
      </c>
      <c r="I70" s="63">
        <f t="shared" si="10"/>
        <v>9.9999999999999995E-7</v>
      </c>
      <c r="J70" s="63">
        <f t="shared" si="11"/>
        <v>0</v>
      </c>
      <c r="K70" s="86">
        <v>0</v>
      </c>
      <c r="L70" s="63">
        <f t="shared" si="12"/>
        <v>0</v>
      </c>
      <c r="M70" s="63">
        <f t="shared" si="13"/>
        <v>0</v>
      </c>
      <c r="N70" s="82"/>
      <c r="O70" s="38">
        <v>20000</v>
      </c>
      <c r="P70" s="38">
        <v>30000</v>
      </c>
      <c r="Q70" s="63">
        <f t="shared" si="14"/>
        <v>0</v>
      </c>
      <c r="R70" s="63">
        <v>0</v>
      </c>
      <c r="T70" s="63"/>
      <c r="U70" s="43">
        <f t="shared" si="15"/>
        <v>0</v>
      </c>
    </row>
    <row r="71" spans="1:21" x14ac:dyDescent="0.3">
      <c r="A71" s="12" t="s">
        <v>81</v>
      </c>
      <c r="B71" s="83">
        <v>9</v>
      </c>
      <c r="C71" s="83">
        <v>148717000</v>
      </c>
      <c r="D71" s="63">
        <f t="shared" si="8"/>
        <v>8.9999999999999996E-7</v>
      </c>
      <c r="E71" s="84">
        <f t="shared" si="9"/>
        <v>33048.222222222226</v>
      </c>
      <c r="F71" s="85"/>
      <c r="G71" s="12" t="s">
        <v>81</v>
      </c>
      <c r="H71" s="80">
        <v>0</v>
      </c>
      <c r="I71" s="63">
        <f t="shared" si="10"/>
        <v>8.9999999999999996E-7</v>
      </c>
      <c r="J71" s="63">
        <f t="shared" si="11"/>
        <v>0</v>
      </c>
      <c r="K71" s="86">
        <v>0</v>
      </c>
      <c r="L71" s="63">
        <f t="shared" si="12"/>
        <v>0</v>
      </c>
      <c r="M71" s="63">
        <f t="shared" si="13"/>
        <v>0</v>
      </c>
      <c r="N71" s="82"/>
      <c r="O71" s="38">
        <v>30000</v>
      </c>
      <c r="P71" s="38">
        <v>40000</v>
      </c>
      <c r="Q71" s="63">
        <f t="shared" si="14"/>
        <v>0</v>
      </c>
      <c r="R71" s="63">
        <v>0</v>
      </c>
      <c r="T71" s="63"/>
      <c r="U71" s="43">
        <f t="shared" si="15"/>
        <v>0</v>
      </c>
    </row>
    <row r="72" spans="1:21" x14ac:dyDescent="0.3">
      <c r="A72" s="12" t="s">
        <v>82</v>
      </c>
      <c r="B72" s="83">
        <v>2</v>
      </c>
      <c r="C72" s="83">
        <v>41812500</v>
      </c>
      <c r="D72" s="63">
        <f t="shared" si="8"/>
        <v>1.9999999999999999E-7</v>
      </c>
      <c r="E72" s="84">
        <f t="shared" si="9"/>
        <v>41812.5</v>
      </c>
      <c r="F72" s="85"/>
      <c r="G72" s="12" t="s">
        <v>82</v>
      </c>
      <c r="H72" s="80">
        <v>0</v>
      </c>
      <c r="I72" s="63">
        <f t="shared" si="10"/>
        <v>1.9999999999999999E-7</v>
      </c>
      <c r="J72" s="63">
        <f t="shared" si="11"/>
        <v>0</v>
      </c>
      <c r="K72" s="86">
        <v>0</v>
      </c>
      <c r="L72" s="63">
        <f t="shared" si="12"/>
        <v>0</v>
      </c>
      <c r="M72" s="63">
        <f t="shared" si="13"/>
        <v>0</v>
      </c>
      <c r="N72" s="82"/>
      <c r="O72" s="38">
        <v>40000</v>
      </c>
      <c r="P72" s="38">
        <v>50000</v>
      </c>
      <c r="Q72" s="63">
        <f t="shared" si="14"/>
        <v>0</v>
      </c>
      <c r="R72" s="63">
        <v>0</v>
      </c>
      <c r="T72" s="63"/>
      <c r="U72" s="43">
        <f t="shared" si="15"/>
        <v>0</v>
      </c>
    </row>
    <row r="73" spans="1:21" x14ac:dyDescent="0.3">
      <c r="A73" s="12" t="s">
        <v>83</v>
      </c>
      <c r="B73" s="83">
        <v>2</v>
      </c>
      <c r="C73" s="83">
        <v>54968100</v>
      </c>
      <c r="D73" s="63">
        <f t="shared" si="8"/>
        <v>1.9999999999999999E-7</v>
      </c>
      <c r="E73" s="84">
        <f t="shared" si="9"/>
        <v>54968.1</v>
      </c>
      <c r="F73" s="85"/>
      <c r="G73" s="12" t="s">
        <v>83</v>
      </c>
      <c r="H73" s="80">
        <v>0</v>
      </c>
      <c r="I73" s="63">
        <f t="shared" si="10"/>
        <v>1.9999999999999999E-7</v>
      </c>
      <c r="J73" s="63">
        <f t="shared" si="11"/>
        <v>0</v>
      </c>
      <c r="K73" s="86">
        <v>0</v>
      </c>
      <c r="L73" s="63">
        <f t="shared" si="12"/>
        <v>0</v>
      </c>
      <c r="M73" s="63">
        <f t="shared" si="13"/>
        <v>0</v>
      </c>
      <c r="N73" s="82"/>
      <c r="O73" s="38">
        <v>50000</v>
      </c>
      <c r="P73" s="38">
        <v>60000</v>
      </c>
      <c r="Q73" s="63">
        <f t="shared" si="14"/>
        <v>0</v>
      </c>
      <c r="R73" s="63">
        <v>0</v>
      </c>
      <c r="T73" s="63"/>
      <c r="U73" s="43">
        <f t="shared" si="15"/>
        <v>0</v>
      </c>
    </row>
    <row r="74" spans="1:21" x14ac:dyDescent="0.3">
      <c r="A74" s="12" t="s">
        <v>84</v>
      </c>
      <c r="B74" s="83">
        <v>2</v>
      </c>
      <c r="C74" s="83">
        <v>63437500</v>
      </c>
      <c r="D74" s="63">
        <f t="shared" si="8"/>
        <v>1.9999999999999999E-7</v>
      </c>
      <c r="E74" s="84">
        <f t="shared" si="9"/>
        <v>63437.5</v>
      </c>
      <c r="F74" s="85"/>
      <c r="G74" s="12" t="s">
        <v>84</v>
      </c>
      <c r="H74" s="80">
        <v>0</v>
      </c>
      <c r="I74" s="63">
        <f t="shared" si="10"/>
        <v>1.9999999999999999E-7</v>
      </c>
      <c r="J74" s="63">
        <f t="shared" si="11"/>
        <v>0</v>
      </c>
      <c r="K74" s="86">
        <v>0</v>
      </c>
      <c r="L74" s="63">
        <f t="shared" si="12"/>
        <v>0</v>
      </c>
      <c r="M74" s="63">
        <f t="shared" si="13"/>
        <v>0</v>
      </c>
      <c r="N74" s="82"/>
      <c r="O74" s="38">
        <v>60000</v>
      </c>
      <c r="P74" s="38">
        <v>70000</v>
      </c>
      <c r="Q74" s="63">
        <f t="shared" si="14"/>
        <v>0</v>
      </c>
      <c r="R74" s="63">
        <v>0</v>
      </c>
      <c r="T74" s="63"/>
      <c r="U74" s="43">
        <f t="shared" si="15"/>
        <v>0</v>
      </c>
    </row>
    <row r="75" spans="1:21" x14ac:dyDescent="0.3">
      <c r="A75" s="12" t="s">
        <v>85</v>
      </c>
      <c r="B75" s="83">
        <v>0</v>
      </c>
      <c r="C75" s="83">
        <v>0</v>
      </c>
      <c r="D75" s="63">
        <f t="shared" si="8"/>
        <v>0</v>
      </c>
      <c r="E75" s="84">
        <f t="shared" si="9"/>
        <v>0</v>
      </c>
      <c r="F75" s="85"/>
      <c r="G75" s="12" t="s">
        <v>85</v>
      </c>
      <c r="H75" s="80">
        <v>0</v>
      </c>
      <c r="I75" s="63">
        <f t="shared" si="10"/>
        <v>0</v>
      </c>
      <c r="J75" s="63">
        <f t="shared" si="11"/>
        <v>0</v>
      </c>
      <c r="K75" s="86">
        <v>0</v>
      </c>
      <c r="L75" s="63">
        <f t="shared" si="12"/>
        <v>0</v>
      </c>
      <c r="M75" s="63">
        <f t="shared" si="13"/>
        <v>0</v>
      </c>
      <c r="N75" s="82"/>
      <c r="O75" s="38">
        <v>70000</v>
      </c>
      <c r="P75" s="38">
        <v>80000</v>
      </c>
      <c r="Q75" s="63">
        <f t="shared" si="14"/>
        <v>0</v>
      </c>
      <c r="R75" s="63">
        <v>0</v>
      </c>
      <c r="T75" s="63"/>
      <c r="U75" s="43">
        <f t="shared" si="15"/>
        <v>0</v>
      </c>
    </row>
    <row r="76" spans="1:21" x14ac:dyDescent="0.3">
      <c r="A76" s="12" t="s">
        <v>86</v>
      </c>
      <c r="B76" s="83">
        <v>0</v>
      </c>
      <c r="C76" s="83">
        <v>0</v>
      </c>
      <c r="D76" s="63">
        <f t="shared" si="8"/>
        <v>0</v>
      </c>
      <c r="E76" s="84">
        <f t="shared" si="9"/>
        <v>0</v>
      </c>
      <c r="F76" s="85"/>
      <c r="G76" s="12" t="s">
        <v>86</v>
      </c>
      <c r="H76" s="80">
        <v>0</v>
      </c>
      <c r="I76" s="63">
        <f t="shared" si="10"/>
        <v>0</v>
      </c>
      <c r="J76" s="63">
        <f t="shared" si="11"/>
        <v>0</v>
      </c>
      <c r="K76" s="86">
        <v>0</v>
      </c>
      <c r="L76" s="63">
        <f t="shared" si="12"/>
        <v>0</v>
      </c>
      <c r="M76" s="63">
        <f t="shared" si="13"/>
        <v>0</v>
      </c>
      <c r="N76" s="82"/>
      <c r="O76" s="38">
        <v>80000</v>
      </c>
      <c r="P76" s="38">
        <v>90000</v>
      </c>
      <c r="Q76" s="63">
        <f t="shared" si="14"/>
        <v>0</v>
      </c>
      <c r="R76" s="63">
        <v>0</v>
      </c>
      <c r="T76" s="63"/>
      <c r="U76" s="43">
        <f t="shared" si="15"/>
        <v>0</v>
      </c>
    </row>
    <row r="77" spans="1:21" x14ac:dyDescent="0.3">
      <c r="A77" s="12" t="s">
        <v>87</v>
      </c>
      <c r="B77" s="83">
        <v>0</v>
      </c>
      <c r="C77" s="83">
        <v>0</v>
      </c>
      <c r="D77" s="63">
        <f t="shared" si="8"/>
        <v>0</v>
      </c>
      <c r="E77" s="84">
        <f t="shared" si="9"/>
        <v>0</v>
      </c>
      <c r="F77" s="85"/>
      <c r="G77" s="12" t="s">
        <v>87</v>
      </c>
      <c r="H77" s="80">
        <v>0</v>
      </c>
      <c r="I77" s="63">
        <f t="shared" si="10"/>
        <v>0</v>
      </c>
      <c r="J77" s="63">
        <f t="shared" si="11"/>
        <v>0</v>
      </c>
      <c r="K77" s="86">
        <v>0</v>
      </c>
      <c r="L77" s="63">
        <f t="shared" si="12"/>
        <v>0</v>
      </c>
      <c r="M77" s="63">
        <f t="shared" si="13"/>
        <v>0</v>
      </c>
      <c r="N77" s="82"/>
      <c r="O77" s="38">
        <v>90000</v>
      </c>
      <c r="P77" s="38">
        <v>100000</v>
      </c>
      <c r="Q77" s="63">
        <f t="shared" si="14"/>
        <v>0</v>
      </c>
      <c r="R77" s="63">
        <v>0</v>
      </c>
      <c r="T77" s="63"/>
      <c r="U77" s="43">
        <f t="shared" si="15"/>
        <v>0</v>
      </c>
    </row>
    <row r="78" spans="1:21" x14ac:dyDescent="0.3">
      <c r="A78" s="12" t="s">
        <v>88</v>
      </c>
      <c r="B78" s="83">
        <v>0</v>
      </c>
      <c r="C78" s="83">
        <v>0</v>
      </c>
      <c r="D78" s="63">
        <f t="shared" si="8"/>
        <v>0</v>
      </c>
      <c r="E78" s="84">
        <f t="shared" si="9"/>
        <v>0</v>
      </c>
      <c r="F78" s="85"/>
      <c r="G78" s="12" t="s">
        <v>88</v>
      </c>
      <c r="H78" s="80">
        <v>0</v>
      </c>
      <c r="I78" s="63">
        <f t="shared" si="10"/>
        <v>0</v>
      </c>
      <c r="J78" s="63">
        <f t="shared" si="11"/>
        <v>0</v>
      </c>
      <c r="K78" s="86">
        <v>0</v>
      </c>
      <c r="L78" s="63">
        <f t="shared" si="12"/>
        <v>0</v>
      </c>
      <c r="M78" s="63">
        <f t="shared" si="13"/>
        <v>0</v>
      </c>
      <c r="N78" s="82"/>
      <c r="O78" s="38">
        <v>100000</v>
      </c>
      <c r="P78" s="38">
        <v>9999999</v>
      </c>
      <c r="Q78" s="63">
        <f t="shared" si="14"/>
        <v>0</v>
      </c>
      <c r="R78" s="63">
        <v>0</v>
      </c>
      <c r="T78" s="63"/>
      <c r="U78" s="43">
        <f t="shared" si="15"/>
        <v>0</v>
      </c>
    </row>
    <row r="79" spans="1:21" x14ac:dyDescent="0.3">
      <c r="A79" s="12" t="s">
        <v>12</v>
      </c>
      <c r="B79" s="83">
        <v>22040</v>
      </c>
      <c r="C79" s="83">
        <v>44813925</v>
      </c>
      <c r="D79" s="63">
        <f>B79/B13</f>
        <v>2.2039999999999998E-3</v>
      </c>
      <c r="E79" s="84">
        <f>IFERROR(C79/B79/$B$3,0)</f>
        <v>20.332996823956442</v>
      </c>
      <c r="F79" s="85"/>
      <c r="G79" s="12" t="s">
        <v>12</v>
      </c>
      <c r="H79" s="80">
        <v>1.51240187175842</v>
      </c>
      <c r="I79" s="63">
        <f>D79*H79</f>
        <v>3.3333337253555573E-3</v>
      </c>
      <c r="J79" s="63">
        <f>I79</f>
        <v>3.3333337253555573E-3</v>
      </c>
      <c r="K79" s="86">
        <v>3344482</v>
      </c>
      <c r="L79" s="63">
        <f t="shared" ref="L79" si="16">IFERROR(K79/SUM($K$15:$K$79),0)</f>
        <v>3.3333337253555555E-3</v>
      </c>
      <c r="M79" s="63">
        <f>L79*E79</f>
        <v>6.7776664050841401E-2</v>
      </c>
      <c r="Q79" s="63"/>
      <c r="R79" s="63"/>
      <c r="T79" s="24"/>
      <c r="U79" s="24"/>
    </row>
    <row r="81" spans="1:21" x14ac:dyDescent="0.3">
      <c r="A81" s="23"/>
      <c r="B81" s="1"/>
      <c r="C81" s="87"/>
      <c r="D81" s="1"/>
      <c r="E81" s="1"/>
      <c r="G81" s="29"/>
      <c r="H81" s="23"/>
      <c r="I81" s="23"/>
      <c r="J81" s="23"/>
      <c r="K81" s="77"/>
      <c r="L81" s="23"/>
      <c r="M81" s="23"/>
      <c r="Q81" s="23"/>
      <c r="R81" s="23"/>
    </row>
    <row r="82" spans="1:21" s="55" customFormat="1" ht="15.6" customHeight="1" x14ac:dyDescent="0.3">
      <c r="A82" s="56" t="s">
        <v>119</v>
      </c>
      <c r="B82" s="56" t="s">
        <v>12</v>
      </c>
      <c r="C82" s="56"/>
      <c r="D82" s="76"/>
      <c r="E82" s="52"/>
      <c r="F82" s="53"/>
      <c r="G82" s="56" t="s">
        <v>6</v>
      </c>
      <c r="H82" s="56" t="s">
        <v>12</v>
      </c>
      <c r="I82" s="51"/>
      <c r="J82" s="51"/>
      <c r="K82" s="54"/>
      <c r="L82" s="62"/>
      <c r="M82" s="62"/>
      <c r="N82" s="53"/>
      <c r="O82" s="56" t="s">
        <v>6</v>
      </c>
      <c r="P82" s="56" t="s">
        <v>12</v>
      </c>
      <c r="Q82" s="62"/>
      <c r="R82" s="62"/>
    </row>
    <row r="83" spans="1:21" x14ac:dyDescent="0.3">
      <c r="A83" s="23"/>
      <c r="B83" s="1"/>
      <c r="C83" s="1"/>
      <c r="D83" s="1"/>
      <c r="E83" s="1"/>
      <c r="G83" s="29"/>
      <c r="H83" s="23"/>
      <c r="I83" s="23"/>
      <c r="J83" s="23"/>
      <c r="K83" s="23"/>
      <c r="L83" s="23"/>
      <c r="M83" s="23"/>
      <c r="Q83" s="23"/>
      <c r="R83" s="23"/>
    </row>
    <row r="84" spans="1:21" x14ac:dyDescent="0.3">
      <c r="A84" s="41" t="s">
        <v>100</v>
      </c>
      <c r="B84" s="41">
        <v>22143</v>
      </c>
      <c r="C84" s="1"/>
      <c r="D84" s="1"/>
      <c r="E84" s="1"/>
      <c r="G84" s="41" t="s">
        <v>101</v>
      </c>
      <c r="H84" s="23"/>
      <c r="I84" s="23"/>
      <c r="J84" s="23"/>
      <c r="K84" s="23"/>
      <c r="L84" s="23"/>
      <c r="M84" s="23"/>
      <c r="Q84" s="23"/>
      <c r="R84" s="23"/>
    </row>
    <row r="85" spans="1:21" x14ac:dyDescent="0.3">
      <c r="A85" s="8" t="s">
        <v>18</v>
      </c>
      <c r="B85" s="8" t="s">
        <v>102</v>
      </c>
      <c r="C85" s="8" t="s">
        <v>103</v>
      </c>
      <c r="D85" s="8" t="s">
        <v>93</v>
      </c>
      <c r="E85" s="8" t="s">
        <v>104</v>
      </c>
      <c r="G85" s="8" t="s">
        <v>18</v>
      </c>
      <c r="H85" s="8" t="s">
        <v>105</v>
      </c>
      <c r="I85" s="8" t="s">
        <v>106</v>
      </c>
      <c r="J85" s="8" t="s">
        <v>107</v>
      </c>
      <c r="K85" s="8" t="s">
        <v>108</v>
      </c>
      <c r="L85" s="8" t="s">
        <v>93</v>
      </c>
      <c r="M85" s="8" t="s">
        <v>109</v>
      </c>
      <c r="O85" s="8" t="s">
        <v>110</v>
      </c>
      <c r="P85" s="8" t="s">
        <v>111</v>
      </c>
      <c r="Q85" s="8" t="s">
        <v>112</v>
      </c>
      <c r="R85" s="8" t="s">
        <v>113</v>
      </c>
      <c r="T85" s="11" t="s">
        <v>112</v>
      </c>
      <c r="U85" s="11" t="s">
        <v>114</v>
      </c>
    </row>
    <row r="86" spans="1:21" x14ac:dyDescent="0.3">
      <c r="A86" s="12" t="s">
        <v>25</v>
      </c>
      <c r="B86" s="78">
        <v>4</v>
      </c>
      <c r="C86" s="78">
        <v>0</v>
      </c>
      <c r="D86" s="63">
        <f t="shared" ref="D86:D117" si="17">IFERROR(B86/$B$84,0)</f>
        <v>1.806439958451881E-4</v>
      </c>
      <c r="E86" s="79">
        <f t="shared" ref="E86:E117" si="18">IFERROR(C86/B86/500,0)</f>
        <v>0</v>
      </c>
      <c r="G86" s="12" t="s">
        <v>25</v>
      </c>
      <c r="H86" s="80">
        <v>0</v>
      </c>
      <c r="I86" s="63">
        <f t="shared" ref="I86:I117" si="19">IFERROR(B86/$B$84,0)</f>
        <v>1.806439958451881E-4</v>
      </c>
      <c r="J86" s="63">
        <f t="shared" ref="J86:J117" si="20">IFERROR(K86/$B$2,0)</f>
        <v>0</v>
      </c>
      <c r="K86" s="81">
        <v>0</v>
      </c>
      <c r="L86" s="63">
        <f t="shared" ref="L86:L117" si="21">IFERROR(K86/$B$2,0)</f>
        <v>0</v>
      </c>
      <c r="M86" s="63">
        <f t="shared" ref="M86:M117" si="22">IFERROR(L86*E86,0)</f>
        <v>0</v>
      </c>
      <c r="N86" s="82"/>
      <c r="O86" s="42">
        <v>-1</v>
      </c>
      <c r="P86" s="42">
        <v>0</v>
      </c>
      <c r="Q86" s="63">
        <f t="shared" ref="Q86:Q117" si="23">L86</f>
        <v>0</v>
      </c>
      <c r="R86" s="63">
        <v>0</v>
      </c>
      <c r="T86" s="63"/>
      <c r="U86" s="43">
        <f t="shared" ref="U86:U117" si="24">IFERROR(ROUND(T86/L86,2),0)</f>
        <v>0</v>
      </c>
    </row>
    <row r="87" spans="1:21" x14ac:dyDescent="0.3">
      <c r="A87" s="12" t="s">
        <v>26</v>
      </c>
      <c r="B87" s="83">
        <v>27</v>
      </c>
      <c r="C87" s="83">
        <v>9150</v>
      </c>
      <c r="D87" s="63">
        <f t="shared" si="17"/>
        <v>1.2193469719550196E-3</v>
      </c>
      <c r="E87" s="84">
        <f t="shared" si="18"/>
        <v>0.67777777777777781</v>
      </c>
      <c r="G87" s="12" t="s">
        <v>26</v>
      </c>
      <c r="H87" s="80">
        <v>0</v>
      </c>
      <c r="I87" s="63">
        <f t="shared" si="19"/>
        <v>1.2193469719550196E-3</v>
      </c>
      <c r="J87" s="63">
        <f t="shared" si="20"/>
        <v>0</v>
      </c>
      <c r="K87" s="81">
        <v>0</v>
      </c>
      <c r="L87" s="63">
        <f t="shared" si="21"/>
        <v>0</v>
      </c>
      <c r="M87" s="63">
        <f t="shared" si="22"/>
        <v>0</v>
      </c>
      <c r="N87" s="82"/>
      <c r="O87" s="38">
        <v>0</v>
      </c>
      <c r="P87" s="38">
        <v>1</v>
      </c>
      <c r="Q87" s="63">
        <f t="shared" si="23"/>
        <v>0</v>
      </c>
      <c r="R87" s="63">
        <v>0</v>
      </c>
      <c r="T87" s="63"/>
      <c r="U87" s="43">
        <f t="shared" si="24"/>
        <v>0</v>
      </c>
    </row>
    <row r="88" spans="1:21" x14ac:dyDescent="0.3">
      <c r="A88" s="12" t="s">
        <v>27</v>
      </c>
      <c r="B88" s="83">
        <v>49</v>
      </c>
      <c r="C88" s="83">
        <v>38975</v>
      </c>
      <c r="D88" s="63">
        <f t="shared" si="17"/>
        <v>2.2128889491035541E-3</v>
      </c>
      <c r="E88" s="84">
        <f t="shared" si="18"/>
        <v>1.5908163265306123</v>
      </c>
      <c r="F88" s="44"/>
      <c r="G88" s="12" t="s">
        <v>27</v>
      </c>
      <c r="H88" s="80">
        <v>0</v>
      </c>
      <c r="I88" s="63">
        <f t="shared" si="19"/>
        <v>2.2128889491035541E-3</v>
      </c>
      <c r="J88" s="63">
        <f t="shared" si="20"/>
        <v>0</v>
      </c>
      <c r="K88" s="81">
        <v>0</v>
      </c>
      <c r="L88" s="63">
        <f t="shared" si="21"/>
        <v>0</v>
      </c>
      <c r="M88" s="63">
        <f t="shared" si="22"/>
        <v>0</v>
      </c>
      <c r="N88" s="60"/>
      <c r="O88" s="38">
        <v>1</v>
      </c>
      <c r="P88" s="38">
        <v>2</v>
      </c>
      <c r="Q88" s="63">
        <f t="shared" si="23"/>
        <v>0</v>
      </c>
      <c r="R88" s="63">
        <v>0</v>
      </c>
      <c r="T88" s="63"/>
      <c r="U88" s="43">
        <f t="shared" si="24"/>
        <v>0</v>
      </c>
    </row>
    <row r="89" spans="1:21" x14ac:dyDescent="0.3">
      <c r="A89" s="12" t="s">
        <v>28</v>
      </c>
      <c r="B89" s="83">
        <v>70</v>
      </c>
      <c r="C89" s="83">
        <v>90475</v>
      </c>
      <c r="D89" s="63">
        <f t="shared" si="17"/>
        <v>3.1612699272907919E-3</v>
      </c>
      <c r="E89" s="84">
        <f t="shared" si="18"/>
        <v>2.585</v>
      </c>
      <c r="F89" s="82"/>
      <c r="G89" s="12" t="s">
        <v>28</v>
      </c>
      <c r="H89" s="80">
        <v>0</v>
      </c>
      <c r="I89" s="63">
        <f t="shared" si="19"/>
        <v>3.1612699272907919E-3</v>
      </c>
      <c r="J89" s="63">
        <f t="shared" si="20"/>
        <v>0</v>
      </c>
      <c r="K89" s="81">
        <v>0</v>
      </c>
      <c r="L89" s="63">
        <f t="shared" si="21"/>
        <v>0</v>
      </c>
      <c r="M89" s="63">
        <f t="shared" si="22"/>
        <v>0</v>
      </c>
      <c r="N89" s="60"/>
      <c r="O89" s="38">
        <v>2</v>
      </c>
      <c r="P89" s="38">
        <v>3</v>
      </c>
      <c r="Q89" s="63">
        <f t="shared" si="23"/>
        <v>0</v>
      </c>
      <c r="R89" s="63">
        <v>0</v>
      </c>
      <c r="T89" s="63"/>
      <c r="U89" s="43">
        <f t="shared" si="24"/>
        <v>0</v>
      </c>
    </row>
    <row r="90" spans="1:21" x14ac:dyDescent="0.3">
      <c r="A90" s="12" t="s">
        <v>29</v>
      </c>
      <c r="B90" s="83">
        <v>116</v>
      </c>
      <c r="C90" s="83">
        <v>205200</v>
      </c>
      <c r="D90" s="63">
        <f t="shared" si="17"/>
        <v>5.2386758795104548E-3</v>
      </c>
      <c r="E90" s="84">
        <f t="shared" si="18"/>
        <v>3.5379310344827588</v>
      </c>
      <c r="F90" s="82"/>
      <c r="G90" s="12" t="s">
        <v>29</v>
      </c>
      <c r="H90" s="80">
        <v>0</v>
      </c>
      <c r="I90" s="63">
        <f t="shared" si="19"/>
        <v>5.2386758795104548E-3</v>
      </c>
      <c r="J90" s="63">
        <f t="shared" si="20"/>
        <v>0</v>
      </c>
      <c r="K90" s="81">
        <v>0</v>
      </c>
      <c r="L90" s="63">
        <f t="shared" si="21"/>
        <v>0</v>
      </c>
      <c r="M90" s="63">
        <f t="shared" si="22"/>
        <v>0</v>
      </c>
      <c r="N90" s="60"/>
      <c r="O90" s="38">
        <v>3</v>
      </c>
      <c r="P90" s="38">
        <v>4</v>
      </c>
      <c r="Q90" s="63">
        <f t="shared" si="23"/>
        <v>0</v>
      </c>
      <c r="R90" s="63">
        <v>0</v>
      </c>
      <c r="T90" s="63"/>
      <c r="U90" s="43">
        <f t="shared" si="24"/>
        <v>0</v>
      </c>
    </row>
    <row r="91" spans="1:21" x14ac:dyDescent="0.3">
      <c r="A91" s="12" t="s">
        <v>30</v>
      </c>
      <c r="B91" s="83">
        <v>140</v>
      </c>
      <c r="C91" s="83">
        <v>316600</v>
      </c>
      <c r="D91" s="63">
        <f t="shared" si="17"/>
        <v>6.3225398545815837E-3</v>
      </c>
      <c r="E91" s="84">
        <f t="shared" si="18"/>
        <v>4.5228571428571431</v>
      </c>
      <c r="F91" s="82"/>
      <c r="G91" s="12" t="s">
        <v>30</v>
      </c>
      <c r="H91" s="80">
        <v>0</v>
      </c>
      <c r="I91" s="63">
        <f t="shared" si="19"/>
        <v>6.3225398545815837E-3</v>
      </c>
      <c r="J91" s="63">
        <f t="shared" si="20"/>
        <v>0</v>
      </c>
      <c r="K91" s="81">
        <v>0</v>
      </c>
      <c r="L91" s="63">
        <f t="shared" si="21"/>
        <v>0</v>
      </c>
      <c r="M91" s="63">
        <f t="shared" si="22"/>
        <v>0</v>
      </c>
      <c r="N91" s="60"/>
      <c r="O91" s="38">
        <v>4</v>
      </c>
      <c r="P91" s="38">
        <v>5</v>
      </c>
      <c r="Q91" s="63">
        <f t="shared" si="23"/>
        <v>0</v>
      </c>
      <c r="R91" s="63">
        <v>0</v>
      </c>
      <c r="T91" s="63"/>
      <c r="U91" s="43">
        <f t="shared" si="24"/>
        <v>0</v>
      </c>
    </row>
    <row r="92" spans="1:21" x14ac:dyDescent="0.3">
      <c r="A92" s="12" t="s">
        <v>31</v>
      </c>
      <c r="B92" s="83">
        <v>136</v>
      </c>
      <c r="C92" s="83">
        <v>375325</v>
      </c>
      <c r="D92" s="63">
        <f t="shared" si="17"/>
        <v>6.141895858736395E-3</v>
      </c>
      <c r="E92" s="84">
        <f t="shared" si="18"/>
        <v>5.5194852941176471</v>
      </c>
      <c r="F92" s="82"/>
      <c r="G92" s="12" t="s">
        <v>31</v>
      </c>
      <c r="H92" s="80">
        <v>0</v>
      </c>
      <c r="I92" s="63">
        <f t="shared" si="19"/>
        <v>6.141895858736395E-3</v>
      </c>
      <c r="J92" s="63">
        <f t="shared" si="20"/>
        <v>0</v>
      </c>
      <c r="K92" s="81">
        <v>0</v>
      </c>
      <c r="L92" s="63">
        <f t="shared" si="21"/>
        <v>0</v>
      </c>
      <c r="M92" s="63">
        <f t="shared" si="22"/>
        <v>0</v>
      </c>
      <c r="N92" s="60"/>
      <c r="O92" s="38">
        <v>5</v>
      </c>
      <c r="P92" s="38">
        <v>6</v>
      </c>
      <c r="Q92" s="63">
        <f t="shared" si="23"/>
        <v>0</v>
      </c>
      <c r="R92" s="63">
        <v>0</v>
      </c>
      <c r="T92" s="63"/>
      <c r="U92" s="43">
        <f t="shared" si="24"/>
        <v>0</v>
      </c>
    </row>
    <row r="93" spans="1:21" x14ac:dyDescent="0.3">
      <c r="A93" s="12" t="s">
        <v>32</v>
      </c>
      <c r="B93" s="83">
        <v>165</v>
      </c>
      <c r="C93" s="83">
        <v>539050</v>
      </c>
      <c r="D93" s="63">
        <f t="shared" si="17"/>
        <v>7.4515648286140089E-3</v>
      </c>
      <c r="E93" s="84">
        <f t="shared" si="18"/>
        <v>6.5339393939393942</v>
      </c>
      <c r="F93" s="82"/>
      <c r="G93" s="12" t="s">
        <v>32</v>
      </c>
      <c r="H93" s="80">
        <v>0</v>
      </c>
      <c r="I93" s="63">
        <f t="shared" si="19"/>
        <v>7.4515648286140089E-3</v>
      </c>
      <c r="J93" s="63">
        <f t="shared" si="20"/>
        <v>0</v>
      </c>
      <c r="K93" s="81">
        <v>0</v>
      </c>
      <c r="L93" s="63">
        <f t="shared" si="21"/>
        <v>0</v>
      </c>
      <c r="M93" s="63">
        <f t="shared" si="22"/>
        <v>0</v>
      </c>
      <c r="N93" s="82"/>
      <c r="O93" s="38">
        <v>6</v>
      </c>
      <c r="P93" s="38">
        <v>7</v>
      </c>
      <c r="Q93" s="63">
        <f t="shared" si="23"/>
        <v>0</v>
      </c>
      <c r="R93" s="63">
        <v>0</v>
      </c>
      <c r="T93" s="63"/>
      <c r="U93" s="43">
        <f t="shared" si="24"/>
        <v>0</v>
      </c>
    </row>
    <row r="94" spans="1:21" x14ac:dyDescent="0.3">
      <c r="A94" s="12" t="s">
        <v>33</v>
      </c>
      <c r="B94" s="83">
        <v>177</v>
      </c>
      <c r="C94" s="83">
        <v>664400</v>
      </c>
      <c r="D94" s="63">
        <f t="shared" si="17"/>
        <v>7.9934968161495725E-3</v>
      </c>
      <c r="E94" s="84">
        <f t="shared" si="18"/>
        <v>7.5073446327683611</v>
      </c>
      <c r="F94" s="82"/>
      <c r="G94" s="12" t="s">
        <v>33</v>
      </c>
      <c r="H94" s="80">
        <v>0</v>
      </c>
      <c r="I94" s="63">
        <f t="shared" si="19"/>
        <v>7.9934968161495725E-3</v>
      </c>
      <c r="J94" s="63">
        <f t="shared" si="20"/>
        <v>0</v>
      </c>
      <c r="K94" s="81">
        <v>0</v>
      </c>
      <c r="L94" s="63">
        <f t="shared" si="21"/>
        <v>0</v>
      </c>
      <c r="M94" s="63">
        <f t="shared" si="22"/>
        <v>0</v>
      </c>
      <c r="N94" s="82"/>
      <c r="O94" s="38">
        <v>7</v>
      </c>
      <c r="P94" s="38">
        <v>8</v>
      </c>
      <c r="Q94" s="63">
        <f t="shared" si="23"/>
        <v>0</v>
      </c>
      <c r="R94" s="63">
        <v>0</v>
      </c>
      <c r="T94" s="63"/>
      <c r="U94" s="43">
        <f t="shared" si="24"/>
        <v>0</v>
      </c>
    </row>
    <row r="95" spans="1:21" x14ac:dyDescent="0.3">
      <c r="A95" s="12" t="s">
        <v>34</v>
      </c>
      <c r="B95" s="83">
        <v>199</v>
      </c>
      <c r="C95" s="83">
        <v>848525</v>
      </c>
      <c r="D95" s="63">
        <f t="shared" si="17"/>
        <v>8.987038793298107E-3</v>
      </c>
      <c r="E95" s="84">
        <f t="shared" si="18"/>
        <v>8.5278894472361806</v>
      </c>
      <c r="F95" s="82"/>
      <c r="G95" s="12" t="s">
        <v>34</v>
      </c>
      <c r="H95" s="80">
        <v>0</v>
      </c>
      <c r="I95" s="63">
        <f t="shared" si="19"/>
        <v>8.987038793298107E-3</v>
      </c>
      <c r="J95" s="63">
        <f t="shared" si="20"/>
        <v>0</v>
      </c>
      <c r="K95" s="81">
        <v>0</v>
      </c>
      <c r="L95" s="63">
        <f t="shared" si="21"/>
        <v>0</v>
      </c>
      <c r="M95" s="63">
        <f t="shared" si="22"/>
        <v>0</v>
      </c>
      <c r="N95" s="82"/>
      <c r="O95" s="38">
        <v>8</v>
      </c>
      <c r="P95" s="38">
        <v>9</v>
      </c>
      <c r="Q95" s="63">
        <f t="shared" si="23"/>
        <v>0</v>
      </c>
      <c r="R95" s="63">
        <v>0</v>
      </c>
      <c r="T95" s="63"/>
      <c r="U95" s="43">
        <f t="shared" si="24"/>
        <v>0</v>
      </c>
    </row>
    <row r="96" spans="1:21" x14ac:dyDescent="0.3">
      <c r="A96" s="12" t="s">
        <v>35</v>
      </c>
      <c r="B96" s="83">
        <v>189</v>
      </c>
      <c r="C96" s="83">
        <v>903125</v>
      </c>
      <c r="D96" s="63">
        <f t="shared" si="17"/>
        <v>8.535428803685137E-3</v>
      </c>
      <c r="E96" s="84">
        <f t="shared" si="18"/>
        <v>9.556878306878307</v>
      </c>
      <c r="F96" s="82"/>
      <c r="G96" s="12" t="s">
        <v>35</v>
      </c>
      <c r="H96" s="80">
        <v>0</v>
      </c>
      <c r="I96" s="63">
        <f t="shared" si="19"/>
        <v>8.535428803685137E-3</v>
      </c>
      <c r="J96" s="63">
        <f t="shared" si="20"/>
        <v>0</v>
      </c>
      <c r="K96" s="81">
        <v>0</v>
      </c>
      <c r="L96" s="63">
        <f t="shared" si="21"/>
        <v>0</v>
      </c>
      <c r="M96" s="63">
        <f t="shared" si="22"/>
        <v>0</v>
      </c>
      <c r="N96" s="82"/>
      <c r="O96" s="38">
        <v>9</v>
      </c>
      <c r="P96" s="38">
        <v>10</v>
      </c>
      <c r="Q96" s="63">
        <f t="shared" si="23"/>
        <v>0</v>
      </c>
      <c r="R96" s="63">
        <v>2.7029999999999998E-2</v>
      </c>
      <c r="T96" s="63"/>
      <c r="U96" s="43">
        <f t="shared" si="24"/>
        <v>0</v>
      </c>
    </row>
    <row r="97" spans="1:21" x14ac:dyDescent="0.3">
      <c r="A97" s="12" t="s">
        <v>36</v>
      </c>
      <c r="B97" s="83">
        <v>897</v>
      </c>
      <c r="C97" s="83">
        <v>5616400</v>
      </c>
      <c r="D97" s="63">
        <f t="shared" si="17"/>
        <v>4.0509416068283427E-2</v>
      </c>
      <c r="E97" s="84">
        <f t="shared" si="18"/>
        <v>12.522630992196209</v>
      </c>
      <c r="F97" s="82"/>
      <c r="G97" s="12" t="s">
        <v>36</v>
      </c>
      <c r="H97" s="80">
        <v>0</v>
      </c>
      <c r="I97" s="63">
        <f t="shared" si="19"/>
        <v>4.0509416068283427E-2</v>
      </c>
      <c r="J97" s="63">
        <f t="shared" si="20"/>
        <v>0</v>
      </c>
      <c r="K97" s="81">
        <v>0</v>
      </c>
      <c r="L97" s="63">
        <f t="shared" si="21"/>
        <v>0</v>
      </c>
      <c r="M97" s="63">
        <f t="shared" si="22"/>
        <v>0</v>
      </c>
      <c r="N97" s="82"/>
      <c r="O97" s="38">
        <v>10</v>
      </c>
      <c r="P97" s="38">
        <v>15</v>
      </c>
      <c r="Q97" s="63">
        <f t="shared" si="23"/>
        <v>0</v>
      </c>
      <c r="R97" s="63">
        <v>9.4589999999999994E-2</v>
      </c>
      <c r="T97" s="63"/>
      <c r="U97" s="43">
        <f t="shared" si="24"/>
        <v>0</v>
      </c>
    </row>
    <row r="98" spans="1:21" x14ac:dyDescent="0.3">
      <c r="A98" s="12" t="s">
        <v>37</v>
      </c>
      <c r="B98" s="83">
        <v>904</v>
      </c>
      <c r="C98" s="83">
        <v>7931900</v>
      </c>
      <c r="D98" s="63">
        <f t="shared" si="17"/>
        <v>4.0825543061012506E-2</v>
      </c>
      <c r="E98" s="84">
        <f t="shared" si="18"/>
        <v>17.548451327433629</v>
      </c>
      <c r="F98" s="82"/>
      <c r="G98" s="12" t="s">
        <v>37</v>
      </c>
      <c r="H98" s="80">
        <v>0</v>
      </c>
      <c r="I98" s="63">
        <f t="shared" si="19"/>
        <v>4.0825543061012506E-2</v>
      </c>
      <c r="J98" s="63">
        <f t="shared" si="20"/>
        <v>0</v>
      </c>
      <c r="K98" s="81">
        <v>0</v>
      </c>
      <c r="L98" s="63">
        <f t="shared" si="21"/>
        <v>0</v>
      </c>
      <c r="M98" s="63">
        <f t="shared" si="22"/>
        <v>0</v>
      </c>
      <c r="N98" s="82"/>
      <c r="O98" s="38">
        <v>15</v>
      </c>
      <c r="P98" s="38">
        <v>20</v>
      </c>
      <c r="Q98" s="63">
        <f t="shared" si="23"/>
        <v>0</v>
      </c>
      <c r="R98" s="63">
        <v>0.13513999999999998</v>
      </c>
      <c r="T98" s="63"/>
      <c r="U98" s="43">
        <f t="shared" si="24"/>
        <v>0</v>
      </c>
    </row>
    <row r="99" spans="1:21" x14ac:dyDescent="0.3">
      <c r="A99" s="12" t="s">
        <v>38</v>
      </c>
      <c r="B99" s="83">
        <v>827</v>
      </c>
      <c r="C99" s="83">
        <v>9271325</v>
      </c>
      <c r="D99" s="63">
        <f t="shared" si="17"/>
        <v>3.734814614099264E-2</v>
      </c>
      <c r="E99" s="84">
        <f t="shared" si="18"/>
        <v>22.421584038694075</v>
      </c>
      <c r="F99" s="82"/>
      <c r="G99" s="12" t="s">
        <v>38</v>
      </c>
      <c r="H99" s="80">
        <v>1.18333316553809E-2</v>
      </c>
      <c r="I99" s="63">
        <f t="shared" si="19"/>
        <v>3.734814614099264E-2</v>
      </c>
      <c r="J99" s="63">
        <f t="shared" si="20"/>
        <v>4.4195299999999997E-4</v>
      </c>
      <c r="K99" s="81">
        <v>441953</v>
      </c>
      <c r="L99" s="63">
        <f t="shared" si="21"/>
        <v>4.4195299999999997E-4</v>
      </c>
      <c r="M99" s="63">
        <f t="shared" si="22"/>
        <v>9.9092863306529614E-3</v>
      </c>
      <c r="N99" s="82"/>
      <c r="O99" s="38">
        <v>20</v>
      </c>
      <c r="P99" s="38">
        <v>25</v>
      </c>
      <c r="Q99" s="63">
        <f t="shared" si="23"/>
        <v>4.4195299999999997E-4</v>
      </c>
      <c r="R99" s="63">
        <v>0</v>
      </c>
      <c r="T99" s="63"/>
      <c r="U99" s="43">
        <f t="shared" si="24"/>
        <v>0</v>
      </c>
    </row>
    <row r="100" spans="1:21" x14ac:dyDescent="0.3">
      <c r="A100" s="12" t="s">
        <v>39</v>
      </c>
      <c r="B100" s="83">
        <v>754</v>
      </c>
      <c r="C100" s="83">
        <v>10395175</v>
      </c>
      <c r="D100" s="63">
        <f t="shared" si="17"/>
        <v>3.4051393216817959E-2</v>
      </c>
      <c r="E100" s="84">
        <f t="shared" si="18"/>
        <v>27.573408488063663</v>
      </c>
      <c r="F100" s="82"/>
      <c r="G100" s="12" t="s">
        <v>39</v>
      </c>
      <c r="H100" s="80">
        <v>2.97310390078249</v>
      </c>
      <c r="I100" s="63">
        <f t="shared" si="19"/>
        <v>3.4051393216817959E-2</v>
      </c>
      <c r="J100" s="63">
        <f t="shared" si="20"/>
        <v>0.10123833</v>
      </c>
      <c r="K100" s="81">
        <v>101238330</v>
      </c>
      <c r="L100" s="63">
        <f t="shared" si="21"/>
        <v>0.10123833</v>
      </c>
      <c r="M100" s="63">
        <f t="shared" si="22"/>
        <v>2.7914858277393901</v>
      </c>
      <c r="N100" s="82"/>
      <c r="O100" s="38">
        <v>25</v>
      </c>
      <c r="P100" s="38">
        <v>30</v>
      </c>
      <c r="Q100" s="63">
        <f t="shared" si="23"/>
        <v>0.10123833</v>
      </c>
      <c r="R100" s="63">
        <v>4.054E-2</v>
      </c>
      <c r="T100" s="63"/>
      <c r="U100" s="43">
        <f t="shared" si="24"/>
        <v>0</v>
      </c>
    </row>
    <row r="101" spans="1:21" x14ac:dyDescent="0.3">
      <c r="A101" s="12" t="s">
        <v>40</v>
      </c>
      <c r="B101" s="83">
        <v>685</v>
      </c>
      <c r="C101" s="83">
        <v>11140575</v>
      </c>
      <c r="D101" s="63">
        <f t="shared" si="17"/>
        <v>3.0935284288488463E-2</v>
      </c>
      <c r="E101" s="84">
        <f t="shared" si="18"/>
        <v>32.527226277372264</v>
      </c>
      <c r="F101" s="82"/>
      <c r="G101" s="12" t="s">
        <v>40</v>
      </c>
      <c r="H101" s="80">
        <v>3.1663705782218998</v>
      </c>
      <c r="I101" s="63">
        <f t="shared" si="19"/>
        <v>3.0935284288488463E-2</v>
      </c>
      <c r="J101" s="63">
        <f t="shared" si="20"/>
        <v>9.7952574000000001E-2</v>
      </c>
      <c r="K101" s="81">
        <v>97952574</v>
      </c>
      <c r="L101" s="63">
        <f t="shared" si="21"/>
        <v>9.7952574000000001E-2</v>
      </c>
      <c r="M101" s="63">
        <f t="shared" si="22"/>
        <v>3.1861255389490513</v>
      </c>
      <c r="N101" s="82"/>
      <c r="O101" s="38">
        <v>30</v>
      </c>
      <c r="P101" s="38">
        <v>35</v>
      </c>
      <c r="Q101" s="63">
        <f t="shared" si="23"/>
        <v>9.7952574000000001E-2</v>
      </c>
      <c r="R101" s="63">
        <v>4.054E-2</v>
      </c>
      <c r="T101" s="63"/>
      <c r="U101" s="43">
        <f t="shared" si="24"/>
        <v>0</v>
      </c>
    </row>
    <row r="102" spans="1:21" x14ac:dyDescent="0.3">
      <c r="A102" s="12" t="s">
        <v>41</v>
      </c>
      <c r="B102" s="83">
        <v>705</v>
      </c>
      <c r="C102" s="83">
        <v>13210900</v>
      </c>
      <c r="D102" s="63">
        <f t="shared" si="17"/>
        <v>3.1838504267714403E-2</v>
      </c>
      <c r="E102" s="84">
        <f t="shared" si="18"/>
        <v>37.477730496453901</v>
      </c>
      <c r="F102" s="82"/>
      <c r="G102" s="12" t="s">
        <v>41</v>
      </c>
      <c r="H102" s="80">
        <v>0.99113742073616995</v>
      </c>
      <c r="I102" s="63">
        <f t="shared" si="19"/>
        <v>3.1838504267714403E-2</v>
      </c>
      <c r="J102" s="63">
        <f t="shared" si="20"/>
        <v>3.1556332999999999E-2</v>
      </c>
      <c r="K102" s="81">
        <v>31556333</v>
      </c>
      <c r="L102" s="63">
        <f t="shared" si="21"/>
        <v>3.1556332999999999E-2</v>
      </c>
      <c r="M102" s="63">
        <f t="shared" si="22"/>
        <v>1.1826597436303545</v>
      </c>
      <c r="N102" s="82"/>
      <c r="O102" s="38">
        <v>35</v>
      </c>
      <c r="P102" s="38">
        <v>40</v>
      </c>
      <c r="Q102" s="63">
        <f t="shared" si="23"/>
        <v>3.1556332999999999E-2</v>
      </c>
      <c r="R102" s="63">
        <v>1.3509999999999999E-2</v>
      </c>
      <c r="T102" s="63"/>
      <c r="U102" s="43">
        <f t="shared" si="24"/>
        <v>0</v>
      </c>
    </row>
    <row r="103" spans="1:21" x14ac:dyDescent="0.3">
      <c r="A103" s="12" t="s">
        <v>42</v>
      </c>
      <c r="B103" s="83">
        <v>626</v>
      </c>
      <c r="C103" s="83">
        <v>13277625</v>
      </c>
      <c r="D103" s="63">
        <f t="shared" si="17"/>
        <v>2.8270785349771937E-2</v>
      </c>
      <c r="E103" s="84">
        <f t="shared" si="18"/>
        <v>42.420527156549518</v>
      </c>
      <c r="F103" s="82"/>
      <c r="G103" s="12" t="s">
        <v>42</v>
      </c>
      <c r="H103" s="80">
        <v>2.15512382292173</v>
      </c>
      <c r="I103" s="63">
        <f t="shared" si="19"/>
        <v>2.8270785349771937E-2</v>
      </c>
      <c r="J103" s="63">
        <f t="shared" si="20"/>
        <v>6.0927043E-2</v>
      </c>
      <c r="K103" s="81">
        <v>60927043</v>
      </c>
      <c r="L103" s="63">
        <f t="shared" si="21"/>
        <v>6.0927043E-2</v>
      </c>
      <c r="M103" s="63">
        <f t="shared" si="22"/>
        <v>2.5845572821497602</v>
      </c>
      <c r="N103" s="82"/>
      <c r="O103" s="38">
        <v>40</v>
      </c>
      <c r="P103" s="38">
        <v>45</v>
      </c>
      <c r="Q103" s="63">
        <f t="shared" si="23"/>
        <v>6.0927043E-2</v>
      </c>
      <c r="R103" s="63">
        <v>2.7029999999999998E-2</v>
      </c>
      <c r="T103" s="63"/>
      <c r="U103" s="43">
        <f t="shared" si="24"/>
        <v>0</v>
      </c>
    </row>
    <row r="104" spans="1:21" x14ac:dyDescent="0.3">
      <c r="A104" s="12" t="s">
        <v>43</v>
      </c>
      <c r="B104" s="83">
        <v>565</v>
      </c>
      <c r="C104" s="83">
        <v>13415400</v>
      </c>
      <c r="D104" s="63">
        <f t="shared" si="17"/>
        <v>2.5515964413132818E-2</v>
      </c>
      <c r="E104" s="84">
        <f t="shared" si="18"/>
        <v>47.48814159292035</v>
      </c>
      <c r="F104" s="82"/>
      <c r="G104" s="12" t="s">
        <v>43</v>
      </c>
      <c r="H104" s="80">
        <v>5.7499514274477903</v>
      </c>
      <c r="I104" s="63">
        <f t="shared" si="19"/>
        <v>2.5515964413132818E-2</v>
      </c>
      <c r="J104" s="63">
        <f t="shared" si="20"/>
        <v>0.146715556</v>
      </c>
      <c r="K104" s="81">
        <v>146715556</v>
      </c>
      <c r="L104" s="63">
        <f t="shared" si="21"/>
        <v>0.146715556</v>
      </c>
      <c r="M104" s="63">
        <f t="shared" si="22"/>
        <v>6.9672490972120347</v>
      </c>
      <c r="N104" s="82"/>
      <c r="O104" s="38">
        <v>45</v>
      </c>
      <c r="P104" s="38">
        <v>50</v>
      </c>
      <c r="Q104" s="63">
        <f t="shared" si="23"/>
        <v>0.146715556</v>
      </c>
      <c r="R104" s="63">
        <v>6.7569999999999991E-2</v>
      </c>
      <c r="T104" s="63"/>
      <c r="U104" s="43">
        <f t="shared" si="24"/>
        <v>0</v>
      </c>
    </row>
    <row r="105" spans="1:21" x14ac:dyDescent="0.3">
      <c r="A105" s="12" t="s">
        <v>44</v>
      </c>
      <c r="B105" s="83">
        <v>1130</v>
      </c>
      <c r="C105" s="83">
        <v>31003150</v>
      </c>
      <c r="D105" s="63">
        <f t="shared" si="17"/>
        <v>5.1031928826265636E-2</v>
      </c>
      <c r="E105" s="84">
        <f t="shared" si="18"/>
        <v>54.872831858407082</v>
      </c>
      <c r="F105" s="82"/>
      <c r="G105" s="12" t="s">
        <v>44</v>
      </c>
      <c r="H105" s="80">
        <v>1.4357613103247799</v>
      </c>
      <c r="I105" s="63">
        <f t="shared" si="19"/>
        <v>5.1031928826265636E-2</v>
      </c>
      <c r="J105" s="63">
        <f t="shared" si="20"/>
        <v>7.3269668999999996E-2</v>
      </c>
      <c r="K105" s="81">
        <v>73269669</v>
      </c>
      <c r="L105" s="63">
        <f t="shared" si="21"/>
        <v>7.3269668999999996E-2</v>
      </c>
      <c r="M105" s="63">
        <f t="shared" si="22"/>
        <v>4.0205142273581416</v>
      </c>
      <c r="N105" s="82"/>
      <c r="O105" s="38">
        <v>50</v>
      </c>
      <c r="P105" s="38">
        <v>60</v>
      </c>
      <c r="Q105" s="63">
        <f t="shared" si="23"/>
        <v>7.3269668999999996E-2</v>
      </c>
      <c r="R105" s="63">
        <v>2.7029999999999998E-2</v>
      </c>
      <c r="T105" s="63"/>
      <c r="U105" s="43">
        <f t="shared" si="24"/>
        <v>0</v>
      </c>
    </row>
    <row r="106" spans="1:21" x14ac:dyDescent="0.3">
      <c r="A106" s="12" t="s">
        <v>45</v>
      </c>
      <c r="B106" s="83">
        <v>1013</v>
      </c>
      <c r="C106" s="83">
        <v>32886925</v>
      </c>
      <c r="D106" s="63">
        <f t="shared" si="17"/>
        <v>4.5748091947793883E-2</v>
      </c>
      <c r="E106" s="84">
        <f t="shared" si="18"/>
        <v>64.929763079960509</v>
      </c>
      <c r="F106" s="82"/>
      <c r="G106" s="12" t="s">
        <v>45</v>
      </c>
      <c r="H106" s="80">
        <v>3.1517787050997002</v>
      </c>
      <c r="I106" s="63">
        <f t="shared" si="19"/>
        <v>4.5748091947793883E-2</v>
      </c>
      <c r="J106" s="63">
        <f t="shared" si="20"/>
        <v>0.144187862</v>
      </c>
      <c r="K106" s="81">
        <v>144187862</v>
      </c>
      <c r="L106" s="63">
        <f t="shared" si="21"/>
        <v>0.144187862</v>
      </c>
      <c r="M106" s="63">
        <f t="shared" si="22"/>
        <v>9.3620837186660406</v>
      </c>
      <c r="N106" s="82"/>
      <c r="O106" s="38">
        <v>60</v>
      </c>
      <c r="P106" s="38">
        <v>70</v>
      </c>
      <c r="Q106" s="63">
        <f t="shared" si="23"/>
        <v>0.144187862</v>
      </c>
      <c r="R106" s="63">
        <v>5.4050000000000001E-2</v>
      </c>
      <c r="T106" s="63"/>
      <c r="U106" s="43">
        <f t="shared" si="24"/>
        <v>0</v>
      </c>
    </row>
    <row r="107" spans="1:21" x14ac:dyDescent="0.3">
      <c r="A107" s="12" t="s">
        <v>46</v>
      </c>
      <c r="B107" s="83">
        <v>903</v>
      </c>
      <c r="C107" s="83">
        <v>33789525</v>
      </c>
      <c r="D107" s="63">
        <f t="shared" si="17"/>
        <v>4.0780382062051215E-2</v>
      </c>
      <c r="E107" s="84">
        <f t="shared" si="18"/>
        <v>74.838372093023253</v>
      </c>
      <c r="F107" s="82"/>
      <c r="G107" s="12" t="s">
        <v>46</v>
      </c>
      <c r="H107" s="80">
        <v>3.47890463076412</v>
      </c>
      <c r="I107" s="63">
        <f t="shared" si="19"/>
        <v>4.0780382062051215E-2</v>
      </c>
      <c r="J107" s="63">
        <f t="shared" si="20"/>
        <v>0.14187105999999999</v>
      </c>
      <c r="K107" s="81">
        <v>141871060</v>
      </c>
      <c r="L107" s="63">
        <f t="shared" si="21"/>
        <v>0.14187105999999999</v>
      </c>
      <c r="M107" s="63">
        <f t="shared" si="22"/>
        <v>10.617399177511627</v>
      </c>
      <c r="N107" s="82"/>
      <c r="O107" s="38">
        <v>70</v>
      </c>
      <c r="P107" s="38">
        <v>80</v>
      </c>
      <c r="Q107" s="63">
        <f t="shared" si="23"/>
        <v>0.14187105999999999</v>
      </c>
      <c r="R107" s="63">
        <v>5.4050000000000001E-2</v>
      </c>
      <c r="T107" s="63"/>
      <c r="U107" s="43">
        <f t="shared" si="24"/>
        <v>0</v>
      </c>
    </row>
    <row r="108" spans="1:21" x14ac:dyDescent="0.3">
      <c r="A108" s="12" t="s">
        <v>47</v>
      </c>
      <c r="B108" s="83">
        <v>777</v>
      </c>
      <c r="C108" s="83">
        <v>33026300</v>
      </c>
      <c r="D108" s="63">
        <f t="shared" si="17"/>
        <v>3.5090096192927786E-2</v>
      </c>
      <c r="E108" s="84">
        <f t="shared" si="18"/>
        <v>85.00978120978121</v>
      </c>
      <c r="F108" s="82"/>
      <c r="G108" s="12" t="s">
        <v>47</v>
      </c>
      <c r="H108" s="80">
        <v>2.9990447852123601</v>
      </c>
      <c r="I108" s="63">
        <f t="shared" si="19"/>
        <v>3.5090096192927786E-2</v>
      </c>
      <c r="J108" s="63">
        <f t="shared" si="20"/>
        <v>0.10523676999999999</v>
      </c>
      <c r="K108" s="81">
        <v>105236770</v>
      </c>
      <c r="L108" s="63">
        <f t="shared" si="21"/>
        <v>0.10523676999999999</v>
      </c>
      <c r="M108" s="63">
        <f t="shared" si="22"/>
        <v>8.9461547929240659</v>
      </c>
      <c r="N108" s="82"/>
      <c r="O108" s="38">
        <v>80</v>
      </c>
      <c r="P108" s="38">
        <v>90</v>
      </c>
      <c r="Q108" s="63">
        <f t="shared" si="23"/>
        <v>0.10523676999999999</v>
      </c>
      <c r="R108" s="63">
        <v>6.7569999999999991E-2</v>
      </c>
      <c r="T108" s="63"/>
      <c r="U108" s="43">
        <f t="shared" si="24"/>
        <v>0</v>
      </c>
    </row>
    <row r="109" spans="1:21" x14ac:dyDescent="0.3">
      <c r="A109" s="12" t="s">
        <v>48</v>
      </c>
      <c r="B109" s="83">
        <v>749</v>
      </c>
      <c r="C109" s="83">
        <v>35515250</v>
      </c>
      <c r="D109" s="63">
        <f t="shared" si="17"/>
        <v>3.3825588222011468E-2</v>
      </c>
      <c r="E109" s="84">
        <f t="shared" si="18"/>
        <v>94.833778371161543</v>
      </c>
      <c r="F109" s="82"/>
      <c r="G109" s="12" t="s">
        <v>48</v>
      </c>
      <c r="H109" s="88">
        <v>0.55801944599198905</v>
      </c>
      <c r="I109" s="45">
        <f t="shared" si="19"/>
        <v>3.3825588222011468E-2</v>
      </c>
      <c r="J109" s="45">
        <f t="shared" si="20"/>
        <v>1.8875336E-2</v>
      </c>
      <c r="K109" s="81">
        <v>18875336</v>
      </c>
      <c r="L109" s="63">
        <f t="shared" si="21"/>
        <v>1.8875336E-2</v>
      </c>
      <c r="M109" s="63">
        <f t="shared" si="22"/>
        <v>1.7900194309052069</v>
      </c>
      <c r="N109" s="82"/>
      <c r="O109" s="38">
        <v>90</v>
      </c>
      <c r="P109" s="38">
        <v>100</v>
      </c>
      <c r="Q109" s="63">
        <f t="shared" si="23"/>
        <v>1.8875336E-2</v>
      </c>
      <c r="R109" s="63">
        <v>1.3509999999999999E-2</v>
      </c>
      <c r="T109" s="63"/>
      <c r="U109" s="43">
        <f t="shared" si="24"/>
        <v>0</v>
      </c>
    </row>
    <row r="110" spans="1:21" x14ac:dyDescent="0.3">
      <c r="A110" s="12" t="s">
        <v>49</v>
      </c>
      <c r="B110" s="83">
        <v>1243</v>
      </c>
      <c r="C110" s="83">
        <v>68299500</v>
      </c>
      <c r="D110" s="63">
        <f t="shared" si="17"/>
        <v>5.6135121708892198E-2</v>
      </c>
      <c r="E110" s="84">
        <f t="shared" si="18"/>
        <v>109.8946098149638</v>
      </c>
      <c r="F110" s="82"/>
      <c r="G110" s="12" t="s">
        <v>49</v>
      </c>
      <c r="H110" s="88">
        <v>1.3846503157699099</v>
      </c>
      <c r="I110" s="45">
        <f t="shared" si="19"/>
        <v>5.6135121708892198E-2</v>
      </c>
      <c r="J110" s="45">
        <f t="shared" si="20"/>
        <v>7.7727513999999998E-2</v>
      </c>
      <c r="K110" s="81">
        <v>77727514</v>
      </c>
      <c r="L110" s="63">
        <f t="shared" si="21"/>
        <v>7.7727513999999998E-2</v>
      </c>
      <c r="M110" s="63">
        <f t="shared" si="22"/>
        <v>8.5418348229171368</v>
      </c>
      <c r="N110" s="82"/>
      <c r="O110" s="38">
        <v>100</v>
      </c>
      <c r="P110" s="38">
        <v>120</v>
      </c>
      <c r="Q110" s="63">
        <f t="shared" si="23"/>
        <v>7.7727513999999998E-2</v>
      </c>
      <c r="R110" s="63">
        <v>6.7569999999999991E-2</v>
      </c>
      <c r="T110" s="63"/>
      <c r="U110" s="43">
        <f t="shared" si="24"/>
        <v>0</v>
      </c>
    </row>
    <row r="111" spans="1:21" x14ac:dyDescent="0.3">
      <c r="A111" s="12" t="s">
        <v>50</v>
      </c>
      <c r="B111" s="83">
        <v>1087</v>
      </c>
      <c r="C111" s="83">
        <v>70565050</v>
      </c>
      <c r="D111" s="63">
        <f t="shared" si="17"/>
        <v>4.9090005870929862E-2</v>
      </c>
      <c r="E111" s="84">
        <f t="shared" si="18"/>
        <v>129.8344986200552</v>
      </c>
      <c r="F111" s="82"/>
      <c r="G111" s="12" t="s">
        <v>50</v>
      </c>
      <c r="H111" s="88">
        <v>0</v>
      </c>
      <c r="I111" s="45">
        <f t="shared" si="19"/>
        <v>4.9090005870929862E-2</v>
      </c>
      <c r="J111" s="45">
        <f t="shared" si="20"/>
        <v>0</v>
      </c>
      <c r="K111" s="81">
        <v>0</v>
      </c>
      <c r="L111" s="63">
        <f t="shared" si="21"/>
        <v>0</v>
      </c>
      <c r="M111" s="63">
        <f t="shared" si="22"/>
        <v>0</v>
      </c>
      <c r="N111" s="82"/>
      <c r="O111" s="38">
        <v>120</v>
      </c>
      <c r="P111" s="38">
        <v>140</v>
      </c>
      <c r="Q111" s="63">
        <f t="shared" si="23"/>
        <v>0</v>
      </c>
      <c r="R111" s="63">
        <v>5.4050000000000001E-2</v>
      </c>
      <c r="T111" s="63"/>
      <c r="U111" s="43">
        <f t="shared" si="24"/>
        <v>0</v>
      </c>
    </row>
    <row r="112" spans="1:21" x14ac:dyDescent="0.3">
      <c r="A112" s="12" t="s">
        <v>51</v>
      </c>
      <c r="B112" s="83">
        <v>948</v>
      </c>
      <c r="C112" s="83">
        <v>70839325</v>
      </c>
      <c r="D112" s="63">
        <f t="shared" si="17"/>
        <v>4.2812627015309579E-2</v>
      </c>
      <c r="E112" s="84">
        <f t="shared" si="18"/>
        <v>149.45005274261604</v>
      </c>
      <c r="F112" s="82"/>
      <c r="G112" s="12" t="s">
        <v>51</v>
      </c>
      <c r="H112" s="88">
        <v>0</v>
      </c>
      <c r="I112" s="45">
        <f t="shared" si="19"/>
        <v>4.2812627015309579E-2</v>
      </c>
      <c r="J112" s="45">
        <f t="shared" si="20"/>
        <v>0</v>
      </c>
      <c r="K112" s="81">
        <v>0</v>
      </c>
      <c r="L112" s="63">
        <f t="shared" si="21"/>
        <v>0</v>
      </c>
      <c r="M112" s="63">
        <f t="shared" si="22"/>
        <v>0</v>
      </c>
      <c r="N112" s="82"/>
      <c r="O112" s="38">
        <v>140</v>
      </c>
      <c r="P112" s="38">
        <v>160</v>
      </c>
      <c r="Q112" s="63">
        <f t="shared" si="23"/>
        <v>0</v>
      </c>
      <c r="R112" s="63">
        <v>2.7029999999999998E-2</v>
      </c>
      <c r="T112" s="63"/>
      <c r="U112" s="43">
        <f t="shared" si="24"/>
        <v>0</v>
      </c>
    </row>
    <row r="113" spans="1:21" x14ac:dyDescent="0.3">
      <c r="A113" s="12" t="s">
        <v>52</v>
      </c>
      <c r="B113" s="83">
        <v>764</v>
      </c>
      <c r="C113" s="83">
        <v>64789150</v>
      </c>
      <c r="D113" s="63">
        <f t="shared" si="17"/>
        <v>3.4503003206430925E-2</v>
      </c>
      <c r="E113" s="84">
        <f t="shared" si="18"/>
        <v>169.60510471204188</v>
      </c>
      <c r="F113" s="82"/>
      <c r="G113" s="12" t="s">
        <v>52</v>
      </c>
      <c r="H113" s="88">
        <v>0</v>
      </c>
      <c r="I113" s="45">
        <f t="shared" si="19"/>
        <v>3.4503003206430925E-2</v>
      </c>
      <c r="J113" s="45">
        <f t="shared" si="20"/>
        <v>0</v>
      </c>
      <c r="K113" s="81">
        <v>0</v>
      </c>
      <c r="L113" s="63">
        <f t="shared" si="21"/>
        <v>0</v>
      </c>
      <c r="M113" s="63">
        <f t="shared" si="22"/>
        <v>0</v>
      </c>
      <c r="N113" s="82"/>
      <c r="O113" s="38">
        <v>160</v>
      </c>
      <c r="P113" s="38">
        <v>180</v>
      </c>
      <c r="Q113" s="63">
        <f t="shared" si="23"/>
        <v>0</v>
      </c>
      <c r="R113" s="63">
        <v>1.3509999999999999E-2</v>
      </c>
      <c r="T113" s="63"/>
      <c r="U113" s="43">
        <f t="shared" si="24"/>
        <v>0</v>
      </c>
    </row>
    <row r="114" spans="1:21" x14ac:dyDescent="0.3">
      <c r="A114" s="12" t="s">
        <v>53</v>
      </c>
      <c r="B114" s="83">
        <v>655</v>
      </c>
      <c r="C114" s="83">
        <v>62216775</v>
      </c>
      <c r="D114" s="63">
        <f t="shared" si="17"/>
        <v>2.9580454319649549E-2</v>
      </c>
      <c r="E114" s="84">
        <f t="shared" si="18"/>
        <v>189.97488549618322</v>
      </c>
      <c r="F114" s="82"/>
      <c r="G114" s="12" t="s">
        <v>53</v>
      </c>
      <c r="H114" s="88">
        <v>0</v>
      </c>
      <c r="I114" s="45">
        <f t="shared" si="19"/>
        <v>2.9580454319649549E-2</v>
      </c>
      <c r="J114" s="45">
        <f t="shared" si="20"/>
        <v>0</v>
      </c>
      <c r="K114" s="81">
        <v>0</v>
      </c>
      <c r="L114" s="63">
        <f t="shared" si="21"/>
        <v>0</v>
      </c>
      <c r="M114" s="63">
        <f t="shared" si="22"/>
        <v>0</v>
      </c>
      <c r="N114" s="82"/>
      <c r="O114" s="38">
        <v>180</v>
      </c>
      <c r="P114" s="38">
        <v>200</v>
      </c>
      <c r="Q114" s="63">
        <f t="shared" si="23"/>
        <v>0</v>
      </c>
      <c r="R114" s="63">
        <v>1.3509999999999999E-2</v>
      </c>
      <c r="T114" s="63"/>
      <c r="U114" s="43">
        <f t="shared" si="24"/>
        <v>0</v>
      </c>
    </row>
    <row r="115" spans="1:21" x14ac:dyDescent="0.3">
      <c r="A115" s="12" t="s">
        <v>54</v>
      </c>
      <c r="B115" s="83">
        <v>1338</v>
      </c>
      <c r="C115" s="83">
        <v>149504950</v>
      </c>
      <c r="D115" s="63">
        <f t="shared" si="17"/>
        <v>6.0425416610215416E-2</v>
      </c>
      <c r="E115" s="84">
        <f t="shared" si="18"/>
        <v>223.47526158445442</v>
      </c>
      <c r="F115" s="82"/>
      <c r="G115" s="12" t="s">
        <v>54</v>
      </c>
      <c r="H115" s="88">
        <v>0</v>
      </c>
      <c r="I115" s="45">
        <f t="shared" si="19"/>
        <v>6.0425416610215416E-2</v>
      </c>
      <c r="J115" s="45">
        <f t="shared" si="20"/>
        <v>0</v>
      </c>
      <c r="K115" s="81">
        <v>0</v>
      </c>
      <c r="L115" s="63">
        <f t="shared" si="21"/>
        <v>0</v>
      </c>
      <c r="M115" s="63">
        <f t="shared" si="22"/>
        <v>0</v>
      </c>
      <c r="N115" s="82"/>
      <c r="O115" s="38">
        <v>200</v>
      </c>
      <c r="P115" s="38">
        <v>250</v>
      </c>
      <c r="Q115" s="63">
        <f t="shared" si="23"/>
        <v>0</v>
      </c>
      <c r="R115" s="63">
        <v>5.4050000000000001E-2</v>
      </c>
      <c r="T115" s="63"/>
      <c r="U115" s="43">
        <f t="shared" si="24"/>
        <v>0</v>
      </c>
    </row>
    <row r="116" spans="1:21" x14ac:dyDescent="0.3">
      <c r="A116" s="12" t="s">
        <v>55</v>
      </c>
      <c r="B116" s="83">
        <v>924</v>
      </c>
      <c r="C116" s="83">
        <v>126534650</v>
      </c>
      <c r="D116" s="63">
        <f t="shared" si="17"/>
        <v>4.1728763040238454E-2</v>
      </c>
      <c r="E116" s="84">
        <f t="shared" si="18"/>
        <v>273.88452380952378</v>
      </c>
      <c r="F116" s="82"/>
      <c r="G116" s="12" t="s">
        <v>55</v>
      </c>
      <c r="H116" s="88">
        <v>0</v>
      </c>
      <c r="I116" s="45">
        <f t="shared" si="19"/>
        <v>4.1728763040238454E-2</v>
      </c>
      <c r="J116" s="45">
        <f t="shared" si="20"/>
        <v>0</v>
      </c>
      <c r="K116" s="81">
        <v>0</v>
      </c>
      <c r="L116" s="63">
        <f t="shared" si="21"/>
        <v>0</v>
      </c>
      <c r="M116" s="63">
        <f t="shared" si="22"/>
        <v>0</v>
      </c>
      <c r="N116" s="82"/>
      <c r="O116" s="38">
        <v>250</v>
      </c>
      <c r="P116" s="38">
        <v>300</v>
      </c>
      <c r="Q116" s="63">
        <f t="shared" si="23"/>
        <v>0</v>
      </c>
      <c r="R116" s="63">
        <v>6.7569999999999991E-2</v>
      </c>
      <c r="T116" s="63"/>
      <c r="U116" s="43">
        <f t="shared" si="24"/>
        <v>0</v>
      </c>
    </row>
    <row r="117" spans="1:21" x14ac:dyDescent="0.3">
      <c r="A117" s="12" t="s">
        <v>56</v>
      </c>
      <c r="B117" s="83">
        <v>652</v>
      </c>
      <c r="C117" s="83">
        <v>105515575</v>
      </c>
      <c r="D117" s="63">
        <f t="shared" si="17"/>
        <v>2.9444971322765658E-2</v>
      </c>
      <c r="E117" s="84">
        <f t="shared" si="18"/>
        <v>323.66740797546009</v>
      </c>
      <c r="F117" s="82"/>
      <c r="G117" s="12" t="s">
        <v>56</v>
      </c>
      <c r="H117" s="88">
        <v>0</v>
      </c>
      <c r="I117" s="45">
        <f t="shared" si="19"/>
        <v>2.9444971322765658E-2</v>
      </c>
      <c r="J117" s="45">
        <f t="shared" si="20"/>
        <v>0</v>
      </c>
      <c r="K117" s="81">
        <v>0</v>
      </c>
      <c r="L117" s="63">
        <f t="shared" si="21"/>
        <v>0</v>
      </c>
      <c r="M117" s="63">
        <f t="shared" si="22"/>
        <v>0</v>
      </c>
      <c r="N117" s="82"/>
      <c r="O117" s="38">
        <v>300</v>
      </c>
      <c r="P117" s="38">
        <v>350</v>
      </c>
      <c r="Q117" s="63">
        <f t="shared" si="23"/>
        <v>0</v>
      </c>
      <c r="R117" s="63">
        <v>2.7029999999999998E-2</v>
      </c>
      <c r="T117" s="63"/>
      <c r="U117" s="43">
        <f t="shared" si="24"/>
        <v>0</v>
      </c>
    </row>
    <row r="118" spans="1:21" x14ac:dyDescent="0.3">
      <c r="A118" s="12" t="s">
        <v>57</v>
      </c>
      <c r="B118" s="83">
        <v>487</v>
      </c>
      <c r="C118" s="83">
        <v>91133400</v>
      </c>
      <c r="D118" s="63">
        <f t="shared" ref="D118:D149" si="25">IFERROR(B118/$B$84,0)</f>
        <v>2.199340649415165E-2</v>
      </c>
      <c r="E118" s="84">
        <f t="shared" ref="E118:E149" si="26">IFERROR(C118/B118/500,0)</f>
        <v>374.26447638603696</v>
      </c>
      <c r="F118" s="82"/>
      <c r="G118" s="12" t="s">
        <v>57</v>
      </c>
      <c r="H118" s="88">
        <v>0</v>
      </c>
      <c r="I118" s="45">
        <f t="shared" ref="I118:I149" si="27">IFERROR(B118/$B$84,0)</f>
        <v>2.199340649415165E-2</v>
      </c>
      <c r="J118" s="45">
        <f t="shared" ref="J118:J149" si="28">IFERROR(K118/$B$2,0)</f>
        <v>0</v>
      </c>
      <c r="K118" s="81">
        <v>0</v>
      </c>
      <c r="L118" s="63">
        <f t="shared" ref="L118:L149" si="29">IFERROR(K118/$B$2,0)</f>
        <v>0</v>
      </c>
      <c r="M118" s="63">
        <f t="shared" ref="M118:M149" si="30">IFERROR(L118*E118,0)</f>
        <v>0</v>
      </c>
      <c r="N118" s="82"/>
      <c r="O118" s="38">
        <v>350</v>
      </c>
      <c r="P118" s="38">
        <v>400</v>
      </c>
      <c r="Q118" s="63">
        <f t="shared" ref="Q118:Q149" si="31">L118</f>
        <v>0</v>
      </c>
      <c r="R118" s="63">
        <v>0</v>
      </c>
      <c r="T118" s="63"/>
      <c r="U118" s="43">
        <f t="shared" ref="U118:U149" si="32">IFERROR(ROUND(T118/L118,2),0)</f>
        <v>0</v>
      </c>
    </row>
    <row r="119" spans="1:21" x14ac:dyDescent="0.3">
      <c r="A119" s="12" t="s">
        <v>58</v>
      </c>
      <c r="B119" s="83">
        <v>376</v>
      </c>
      <c r="C119" s="83">
        <v>79656475</v>
      </c>
      <c r="D119" s="63">
        <f t="shared" si="25"/>
        <v>1.6980535609447681E-2</v>
      </c>
      <c r="E119" s="84">
        <f t="shared" si="26"/>
        <v>423.70465425531916</v>
      </c>
      <c r="F119" s="82"/>
      <c r="G119" s="12" t="s">
        <v>58</v>
      </c>
      <c r="H119" s="88">
        <v>0</v>
      </c>
      <c r="I119" s="45">
        <f t="shared" si="27"/>
        <v>1.6980535609447681E-2</v>
      </c>
      <c r="J119" s="45">
        <f t="shared" si="28"/>
        <v>0</v>
      </c>
      <c r="K119" s="81">
        <v>0</v>
      </c>
      <c r="L119" s="63">
        <f t="shared" si="29"/>
        <v>0</v>
      </c>
      <c r="M119" s="63">
        <f t="shared" si="30"/>
        <v>0</v>
      </c>
      <c r="N119" s="82"/>
      <c r="O119" s="38">
        <v>400</v>
      </c>
      <c r="P119" s="38">
        <v>450</v>
      </c>
      <c r="Q119" s="63">
        <f t="shared" si="31"/>
        <v>0</v>
      </c>
      <c r="R119" s="63">
        <v>1.3509999999999999E-2</v>
      </c>
      <c r="T119" s="63"/>
      <c r="U119" s="43">
        <f t="shared" si="32"/>
        <v>0</v>
      </c>
    </row>
    <row r="120" spans="1:21" x14ac:dyDescent="0.3">
      <c r="A120" s="12" t="s">
        <v>59</v>
      </c>
      <c r="B120" s="83">
        <v>266</v>
      </c>
      <c r="C120" s="83">
        <v>63172300</v>
      </c>
      <c r="D120" s="63">
        <f t="shared" si="25"/>
        <v>1.2012825723705009E-2</v>
      </c>
      <c r="E120" s="84">
        <f t="shared" si="26"/>
        <v>474.97969924812031</v>
      </c>
      <c r="F120" s="82"/>
      <c r="G120" s="12" t="s">
        <v>59</v>
      </c>
      <c r="H120" s="88">
        <v>0</v>
      </c>
      <c r="I120" s="45">
        <f t="shared" si="27"/>
        <v>1.2012825723705009E-2</v>
      </c>
      <c r="J120" s="45">
        <f t="shared" si="28"/>
        <v>0</v>
      </c>
      <c r="K120" s="81">
        <v>0</v>
      </c>
      <c r="L120" s="63">
        <f t="shared" si="29"/>
        <v>0</v>
      </c>
      <c r="M120" s="63">
        <f t="shared" si="30"/>
        <v>0</v>
      </c>
      <c r="N120" s="82"/>
      <c r="O120" s="38">
        <v>450</v>
      </c>
      <c r="P120" s="38">
        <v>500</v>
      </c>
      <c r="Q120" s="63">
        <f t="shared" si="31"/>
        <v>0</v>
      </c>
      <c r="R120" s="63">
        <v>0</v>
      </c>
      <c r="T120" s="63"/>
      <c r="U120" s="43">
        <f t="shared" si="32"/>
        <v>0</v>
      </c>
    </row>
    <row r="121" spans="1:21" x14ac:dyDescent="0.3">
      <c r="A121" s="12" t="s">
        <v>60</v>
      </c>
      <c r="B121" s="83">
        <v>191</v>
      </c>
      <c r="C121" s="83">
        <v>50053025</v>
      </c>
      <c r="D121" s="63">
        <f t="shared" si="25"/>
        <v>8.6257508016077313E-3</v>
      </c>
      <c r="E121" s="84">
        <f t="shared" si="26"/>
        <v>524.11544502617801</v>
      </c>
      <c r="F121" s="82"/>
      <c r="G121" s="12" t="s">
        <v>60</v>
      </c>
      <c r="H121" s="88">
        <v>0</v>
      </c>
      <c r="I121" s="45">
        <f t="shared" si="27"/>
        <v>8.6257508016077313E-3</v>
      </c>
      <c r="J121" s="45">
        <f t="shared" si="28"/>
        <v>0</v>
      </c>
      <c r="K121" s="81">
        <v>0</v>
      </c>
      <c r="L121" s="63">
        <f t="shared" si="29"/>
        <v>0</v>
      </c>
      <c r="M121" s="63">
        <f t="shared" si="30"/>
        <v>0</v>
      </c>
      <c r="N121" s="82"/>
      <c r="O121" s="38">
        <v>500</v>
      </c>
      <c r="P121" s="38">
        <v>550</v>
      </c>
      <c r="Q121" s="63">
        <f t="shared" si="31"/>
        <v>0</v>
      </c>
      <c r="R121" s="63">
        <v>0</v>
      </c>
      <c r="T121" s="63"/>
      <c r="U121" s="43">
        <f t="shared" si="32"/>
        <v>0</v>
      </c>
    </row>
    <row r="122" spans="1:21" x14ac:dyDescent="0.3">
      <c r="A122" s="12" t="s">
        <v>61</v>
      </c>
      <c r="B122" s="83">
        <v>160</v>
      </c>
      <c r="C122" s="83">
        <v>45869475</v>
      </c>
      <c r="D122" s="63">
        <f t="shared" si="25"/>
        <v>7.2257598338075239E-3</v>
      </c>
      <c r="E122" s="84">
        <f t="shared" si="26"/>
        <v>573.36843750000003</v>
      </c>
      <c r="F122" s="82"/>
      <c r="G122" s="12" t="s">
        <v>61</v>
      </c>
      <c r="H122" s="80">
        <v>0</v>
      </c>
      <c r="I122" s="63">
        <f t="shared" si="27"/>
        <v>7.2257598338075239E-3</v>
      </c>
      <c r="J122" s="63">
        <f t="shared" si="28"/>
        <v>0</v>
      </c>
      <c r="K122" s="81">
        <v>0</v>
      </c>
      <c r="L122" s="63">
        <f t="shared" si="29"/>
        <v>0</v>
      </c>
      <c r="M122" s="63">
        <f t="shared" si="30"/>
        <v>0</v>
      </c>
      <c r="N122" s="82"/>
      <c r="O122" s="38">
        <v>550</v>
      </c>
      <c r="P122" s="38">
        <v>600</v>
      </c>
      <c r="Q122" s="63">
        <f t="shared" si="31"/>
        <v>0</v>
      </c>
      <c r="R122" s="63">
        <v>0</v>
      </c>
      <c r="T122" s="63"/>
      <c r="U122" s="43">
        <f t="shared" si="32"/>
        <v>0</v>
      </c>
    </row>
    <row r="123" spans="1:21" x14ac:dyDescent="0.3">
      <c r="A123" s="12" t="s">
        <v>62</v>
      </c>
      <c r="B123" s="83">
        <v>136</v>
      </c>
      <c r="C123" s="83">
        <v>42467175</v>
      </c>
      <c r="D123" s="63">
        <f t="shared" si="25"/>
        <v>6.141895858736395E-3</v>
      </c>
      <c r="E123" s="84">
        <f t="shared" si="26"/>
        <v>624.51727941176466</v>
      </c>
      <c r="F123" s="82"/>
      <c r="G123" s="12" t="s">
        <v>62</v>
      </c>
      <c r="H123" s="80">
        <v>0</v>
      </c>
      <c r="I123" s="63">
        <f t="shared" si="27"/>
        <v>6.141895858736395E-3</v>
      </c>
      <c r="J123" s="63">
        <f t="shared" si="28"/>
        <v>0</v>
      </c>
      <c r="K123" s="81">
        <v>0</v>
      </c>
      <c r="L123" s="63">
        <f t="shared" si="29"/>
        <v>0</v>
      </c>
      <c r="M123" s="63">
        <f t="shared" si="30"/>
        <v>0</v>
      </c>
      <c r="N123" s="82"/>
      <c r="O123" s="38">
        <v>600</v>
      </c>
      <c r="P123" s="38">
        <v>650</v>
      </c>
      <c r="Q123" s="63">
        <f t="shared" si="31"/>
        <v>0</v>
      </c>
      <c r="R123" s="63">
        <v>0</v>
      </c>
      <c r="T123" s="63"/>
      <c r="U123" s="43">
        <f t="shared" si="32"/>
        <v>0</v>
      </c>
    </row>
    <row r="124" spans="1:21" x14ac:dyDescent="0.3">
      <c r="A124" s="12" t="s">
        <v>63</v>
      </c>
      <c r="B124" s="83">
        <v>111</v>
      </c>
      <c r="C124" s="83">
        <v>37432250</v>
      </c>
      <c r="D124" s="63">
        <f t="shared" si="25"/>
        <v>5.0128708847039698E-3</v>
      </c>
      <c r="E124" s="84">
        <f t="shared" si="26"/>
        <v>674.45495495495493</v>
      </c>
      <c r="F124" s="82"/>
      <c r="G124" s="12" t="s">
        <v>63</v>
      </c>
      <c r="H124" s="80">
        <v>0</v>
      </c>
      <c r="I124" s="63">
        <f t="shared" si="27"/>
        <v>5.0128708847039698E-3</v>
      </c>
      <c r="J124" s="63">
        <f t="shared" si="28"/>
        <v>0</v>
      </c>
      <c r="K124" s="81">
        <v>0</v>
      </c>
      <c r="L124" s="63">
        <f t="shared" si="29"/>
        <v>0</v>
      </c>
      <c r="M124" s="63">
        <f t="shared" si="30"/>
        <v>0</v>
      </c>
      <c r="N124" s="82"/>
      <c r="O124" s="38">
        <v>650</v>
      </c>
      <c r="P124" s="38">
        <v>700</v>
      </c>
      <c r="Q124" s="63">
        <f t="shared" si="31"/>
        <v>0</v>
      </c>
      <c r="R124" s="63">
        <v>0</v>
      </c>
      <c r="T124" s="63"/>
      <c r="U124" s="43">
        <f t="shared" si="32"/>
        <v>0</v>
      </c>
    </row>
    <row r="125" spans="1:21" x14ac:dyDescent="0.3">
      <c r="A125" s="12" t="s">
        <v>64</v>
      </c>
      <c r="B125" s="83">
        <v>110</v>
      </c>
      <c r="C125" s="83">
        <v>39826600</v>
      </c>
      <c r="D125" s="63">
        <f t="shared" si="25"/>
        <v>4.9677098857426726E-3</v>
      </c>
      <c r="E125" s="84">
        <f t="shared" si="26"/>
        <v>724.12</v>
      </c>
      <c r="F125" s="82"/>
      <c r="G125" s="12" t="s">
        <v>64</v>
      </c>
      <c r="H125" s="80">
        <v>0</v>
      </c>
      <c r="I125" s="63">
        <f t="shared" si="27"/>
        <v>4.9677098857426726E-3</v>
      </c>
      <c r="J125" s="63">
        <f t="shared" si="28"/>
        <v>0</v>
      </c>
      <c r="K125" s="81">
        <v>0</v>
      </c>
      <c r="L125" s="63">
        <f t="shared" si="29"/>
        <v>0</v>
      </c>
      <c r="M125" s="63">
        <f t="shared" si="30"/>
        <v>0</v>
      </c>
      <c r="N125" s="82"/>
      <c r="O125" s="38">
        <v>700</v>
      </c>
      <c r="P125" s="38">
        <v>750</v>
      </c>
      <c r="Q125" s="63">
        <f t="shared" si="31"/>
        <v>0</v>
      </c>
      <c r="R125" s="63">
        <v>0</v>
      </c>
      <c r="T125" s="63"/>
      <c r="U125" s="43">
        <f t="shared" si="32"/>
        <v>0</v>
      </c>
    </row>
    <row r="126" spans="1:21" x14ac:dyDescent="0.3">
      <c r="A126" s="12" t="s">
        <v>65</v>
      </c>
      <c r="B126" s="83">
        <v>70</v>
      </c>
      <c r="C126" s="83">
        <v>27146550</v>
      </c>
      <c r="D126" s="63">
        <f t="shared" si="25"/>
        <v>3.1612699272907919E-3</v>
      </c>
      <c r="E126" s="84">
        <f t="shared" si="26"/>
        <v>775.61571428571438</v>
      </c>
      <c r="F126" s="82"/>
      <c r="G126" s="12" t="s">
        <v>65</v>
      </c>
      <c r="H126" s="80">
        <v>0</v>
      </c>
      <c r="I126" s="63">
        <f t="shared" si="27"/>
        <v>3.1612699272907919E-3</v>
      </c>
      <c r="J126" s="63">
        <f t="shared" si="28"/>
        <v>0</v>
      </c>
      <c r="K126" s="81">
        <v>0</v>
      </c>
      <c r="L126" s="63">
        <f t="shared" si="29"/>
        <v>0</v>
      </c>
      <c r="M126" s="63">
        <f t="shared" si="30"/>
        <v>0</v>
      </c>
      <c r="N126" s="82"/>
      <c r="O126" s="38">
        <v>750</v>
      </c>
      <c r="P126" s="38">
        <v>800</v>
      </c>
      <c r="Q126" s="63">
        <f t="shared" si="31"/>
        <v>0</v>
      </c>
      <c r="R126" s="63">
        <v>0</v>
      </c>
      <c r="T126" s="63"/>
      <c r="U126" s="43">
        <f t="shared" si="32"/>
        <v>0</v>
      </c>
    </row>
    <row r="127" spans="1:21" x14ac:dyDescent="0.3">
      <c r="A127" s="12" t="s">
        <v>66</v>
      </c>
      <c r="B127" s="83">
        <v>57</v>
      </c>
      <c r="C127" s="83">
        <v>23470475</v>
      </c>
      <c r="D127" s="63">
        <f t="shared" si="25"/>
        <v>2.5741769407939302E-3</v>
      </c>
      <c r="E127" s="84">
        <f t="shared" si="26"/>
        <v>823.5254385964912</v>
      </c>
      <c r="F127" s="82"/>
      <c r="G127" s="12" t="s">
        <v>66</v>
      </c>
      <c r="H127" s="80">
        <v>0</v>
      </c>
      <c r="I127" s="63">
        <f t="shared" si="27"/>
        <v>2.5741769407939302E-3</v>
      </c>
      <c r="J127" s="63">
        <f t="shared" si="28"/>
        <v>0</v>
      </c>
      <c r="K127" s="81">
        <v>0</v>
      </c>
      <c r="L127" s="63">
        <f t="shared" si="29"/>
        <v>0</v>
      </c>
      <c r="M127" s="63">
        <f t="shared" si="30"/>
        <v>0</v>
      </c>
      <c r="N127" s="82"/>
      <c r="O127" s="38">
        <v>800</v>
      </c>
      <c r="P127" s="38">
        <v>850</v>
      </c>
      <c r="Q127" s="63">
        <f t="shared" si="31"/>
        <v>0</v>
      </c>
      <c r="R127" s="63">
        <v>0</v>
      </c>
      <c r="T127" s="63"/>
      <c r="U127" s="43">
        <f t="shared" si="32"/>
        <v>0</v>
      </c>
    </row>
    <row r="128" spans="1:21" x14ac:dyDescent="0.3">
      <c r="A128" s="12" t="s">
        <v>67</v>
      </c>
      <c r="B128" s="83">
        <v>45</v>
      </c>
      <c r="C128" s="83">
        <v>19698500</v>
      </c>
      <c r="D128" s="63">
        <f t="shared" si="25"/>
        <v>2.0322449532583662E-3</v>
      </c>
      <c r="E128" s="84">
        <f t="shared" si="26"/>
        <v>875.48888888888882</v>
      </c>
      <c r="F128" s="82"/>
      <c r="G128" s="12" t="s">
        <v>67</v>
      </c>
      <c r="H128" s="80">
        <v>0</v>
      </c>
      <c r="I128" s="63">
        <f t="shared" si="27"/>
        <v>2.0322449532583662E-3</v>
      </c>
      <c r="J128" s="63">
        <f t="shared" si="28"/>
        <v>0</v>
      </c>
      <c r="K128" s="86">
        <v>0</v>
      </c>
      <c r="L128" s="63">
        <f t="shared" si="29"/>
        <v>0</v>
      </c>
      <c r="M128" s="63">
        <f t="shared" si="30"/>
        <v>0</v>
      </c>
      <c r="N128" s="82"/>
      <c r="O128" s="38">
        <v>850</v>
      </c>
      <c r="P128" s="38">
        <v>900</v>
      </c>
      <c r="Q128" s="63">
        <f t="shared" si="31"/>
        <v>0</v>
      </c>
      <c r="R128" s="63">
        <v>0</v>
      </c>
      <c r="T128" s="63"/>
      <c r="U128" s="43">
        <f t="shared" si="32"/>
        <v>0</v>
      </c>
    </row>
    <row r="129" spans="1:21" x14ac:dyDescent="0.3">
      <c r="A129" s="12" t="s">
        <v>68</v>
      </c>
      <c r="B129" s="83">
        <v>46</v>
      </c>
      <c r="C129" s="83">
        <v>21257275</v>
      </c>
      <c r="D129" s="63">
        <f t="shared" si="25"/>
        <v>2.077405952219663E-3</v>
      </c>
      <c r="E129" s="84">
        <f t="shared" si="26"/>
        <v>924.22934782608695</v>
      </c>
      <c r="F129" s="82"/>
      <c r="G129" s="12" t="s">
        <v>68</v>
      </c>
      <c r="H129" s="80">
        <v>0</v>
      </c>
      <c r="I129" s="63">
        <f t="shared" si="27"/>
        <v>2.077405952219663E-3</v>
      </c>
      <c r="J129" s="63">
        <f t="shared" si="28"/>
        <v>0</v>
      </c>
      <c r="K129" s="86">
        <v>0</v>
      </c>
      <c r="L129" s="63">
        <f t="shared" si="29"/>
        <v>0</v>
      </c>
      <c r="M129" s="63">
        <f t="shared" si="30"/>
        <v>0</v>
      </c>
      <c r="N129" s="82"/>
      <c r="O129" s="38">
        <v>900</v>
      </c>
      <c r="P129" s="38">
        <v>950</v>
      </c>
      <c r="Q129" s="63">
        <f t="shared" si="31"/>
        <v>0</v>
      </c>
      <c r="R129" s="63">
        <v>0</v>
      </c>
      <c r="T129" s="63"/>
      <c r="U129" s="43">
        <f t="shared" si="32"/>
        <v>0</v>
      </c>
    </row>
    <row r="130" spans="1:21" x14ac:dyDescent="0.3">
      <c r="A130" s="12" t="s">
        <v>69</v>
      </c>
      <c r="B130" s="83">
        <v>38</v>
      </c>
      <c r="C130" s="83">
        <v>18530225</v>
      </c>
      <c r="D130" s="63">
        <f t="shared" si="25"/>
        <v>1.7161179605292868E-3</v>
      </c>
      <c r="E130" s="84">
        <f t="shared" si="26"/>
        <v>975.27499999999998</v>
      </c>
      <c r="F130" s="82"/>
      <c r="G130" s="12" t="s">
        <v>69</v>
      </c>
      <c r="H130" s="80">
        <v>0</v>
      </c>
      <c r="I130" s="63">
        <f t="shared" si="27"/>
        <v>1.7161179605292868E-3</v>
      </c>
      <c r="J130" s="63">
        <f t="shared" si="28"/>
        <v>0</v>
      </c>
      <c r="K130" s="86">
        <v>0</v>
      </c>
      <c r="L130" s="63">
        <f t="shared" si="29"/>
        <v>0</v>
      </c>
      <c r="M130" s="63">
        <f t="shared" si="30"/>
        <v>0</v>
      </c>
      <c r="N130" s="82"/>
      <c r="O130" s="38">
        <v>950</v>
      </c>
      <c r="P130" s="38">
        <v>1000</v>
      </c>
      <c r="Q130" s="63">
        <f t="shared" si="31"/>
        <v>0</v>
      </c>
      <c r="R130" s="63">
        <v>0</v>
      </c>
      <c r="T130" s="63"/>
      <c r="U130" s="43">
        <f t="shared" si="32"/>
        <v>0</v>
      </c>
    </row>
    <row r="131" spans="1:21" x14ac:dyDescent="0.3">
      <c r="A131" s="12" t="s">
        <v>70</v>
      </c>
      <c r="B131" s="83">
        <v>282</v>
      </c>
      <c r="C131" s="83">
        <v>189427400</v>
      </c>
      <c r="D131" s="63">
        <f t="shared" si="25"/>
        <v>1.273540170708576E-2</v>
      </c>
      <c r="E131" s="84">
        <f t="shared" si="26"/>
        <v>1343.4567375886525</v>
      </c>
      <c r="F131" s="82"/>
      <c r="G131" s="12" t="s">
        <v>70</v>
      </c>
      <c r="H131" s="80">
        <v>0</v>
      </c>
      <c r="I131" s="63">
        <f t="shared" si="27"/>
        <v>1.273540170708576E-2</v>
      </c>
      <c r="J131" s="63">
        <f t="shared" si="28"/>
        <v>0</v>
      </c>
      <c r="K131" s="86">
        <v>0</v>
      </c>
      <c r="L131" s="63">
        <f t="shared" si="29"/>
        <v>0</v>
      </c>
      <c r="M131" s="63">
        <f t="shared" si="30"/>
        <v>0</v>
      </c>
      <c r="N131" s="82"/>
      <c r="O131" s="38">
        <v>1000</v>
      </c>
      <c r="P131" s="38">
        <v>2000</v>
      </c>
      <c r="Q131" s="63">
        <f t="shared" si="31"/>
        <v>0</v>
      </c>
      <c r="R131" s="63">
        <v>0</v>
      </c>
      <c r="T131" s="63"/>
      <c r="U131" s="43">
        <f t="shared" si="32"/>
        <v>0</v>
      </c>
    </row>
    <row r="132" spans="1:21" x14ac:dyDescent="0.3">
      <c r="A132" s="12" t="s">
        <v>71</v>
      </c>
      <c r="B132" s="83">
        <v>108</v>
      </c>
      <c r="C132" s="83">
        <v>131241425</v>
      </c>
      <c r="D132" s="63">
        <f t="shared" si="25"/>
        <v>4.8773878878200783E-3</v>
      </c>
      <c r="E132" s="84">
        <f t="shared" si="26"/>
        <v>2430.3967592592594</v>
      </c>
      <c r="F132" s="82"/>
      <c r="G132" s="12" t="s">
        <v>71</v>
      </c>
      <c r="H132" s="80">
        <v>0</v>
      </c>
      <c r="I132" s="63">
        <f t="shared" si="27"/>
        <v>4.8773878878200783E-3</v>
      </c>
      <c r="J132" s="63">
        <f t="shared" si="28"/>
        <v>0</v>
      </c>
      <c r="K132" s="86">
        <v>0</v>
      </c>
      <c r="L132" s="63">
        <f t="shared" si="29"/>
        <v>0</v>
      </c>
      <c r="M132" s="63">
        <f t="shared" si="30"/>
        <v>0</v>
      </c>
      <c r="N132" s="82"/>
      <c r="O132" s="38">
        <v>2000</v>
      </c>
      <c r="P132" s="38">
        <v>3000</v>
      </c>
      <c r="Q132" s="63">
        <f t="shared" si="31"/>
        <v>0</v>
      </c>
      <c r="R132" s="63">
        <v>0</v>
      </c>
      <c r="T132" s="63"/>
      <c r="U132" s="43">
        <f t="shared" si="32"/>
        <v>0</v>
      </c>
    </row>
    <row r="133" spans="1:21" x14ac:dyDescent="0.3">
      <c r="A133" s="12" t="s">
        <v>72</v>
      </c>
      <c r="B133" s="83">
        <v>48</v>
      </c>
      <c r="C133" s="83">
        <v>81755950</v>
      </c>
      <c r="D133" s="63">
        <f t="shared" si="25"/>
        <v>2.1677279501422573E-3</v>
      </c>
      <c r="E133" s="84">
        <f t="shared" si="26"/>
        <v>3406.4979166666667</v>
      </c>
      <c r="F133" s="82"/>
      <c r="G133" s="12" t="s">
        <v>72</v>
      </c>
      <c r="H133" s="80">
        <v>0</v>
      </c>
      <c r="I133" s="63">
        <f t="shared" si="27"/>
        <v>2.1677279501422573E-3</v>
      </c>
      <c r="J133" s="63">
        <f t="shared" si="28"/>
        <v>0</v>
      </c>
      <c r="K133" s="86">
        <v>0</v>
      </c>
      <c r="L133" s="63">
        <f t="shared" si="29"/>
        <v>0</v>
      </c>
      <c r="M133" s="63">
        <f t="shared" si="30"/>
        <v>0</v>
      </c>
      <c r="N133" s="82"/>
      <c r="O133" s="38">
        <v>3000</v>
      </c>
      <c r="P133" s="38">
        <v>4000</v>
      </c>
      <c r="Q133" s="63">
        <f t="shared" si="31"/>
        <v>0</v>
      </c>
      <c r="R133" s="63">
        <v>0</v>
      </c>
      <c r="T133" s="63"/>
      <c r="U133" s="43">
        <f t="shared" si="32"/>
        <v>0</v>
      </c>
    </row>
    <row r="134" spans="1:21" x14ac:dyDescent="0.3">
      <c r="A134" s="12" t="s">
        <v>73</v>
      </c>
      <c r="B134" s="83">
        <v>29</v>
      </c>
      <c r="C134" s="83">
        <v>64193125</v>
      </c>
      <c r="D134" s="63">
        <f t="shared" si="25"/>
        <v>1.3096689698776137E-3</v>
      </c>
      <c r="E134" s="84">
        <f t="shared" si="26"/>
        <v>4427.1120689655172</v>
      </c>
      <c r="F134" s="82"/>
      <c r="G134" s="12" t="s">
        <v>73</v>
      </c>
      <c r="H134" s="80">
        <v>0</v>
      </c>
      <c r="I134" s="63">
        <f t="shared" si="27"/>
        <v>1.3096689698776137E-3</v>
      </c>
      <c r="J134" s="63">
        <f t="shared" si="28"/>
        <v>0</v>
      </c>
      <c r="K134" s="86">
        <v>0</v>
      </c>
      <c r="L134" s="63">
        <f t="shared" si="29"/>
        <v>0</v>
      </c>
      <c r="M134" s="63">
        <f t="shared" si="30"/>
        <v>0</v>
      </c>
      <c r="N134" s="82"/>
      <c r="O134" s="38">
        <v>4000</v>
      </c>
      <c r="P134" s="38">
        <v>5000</v>
      </c>
      <c r="Q134" s="63">
        <f t="shared" si="31"/>
        <v>0</v>
      </c>
      <c r="R134" s="63">
        <v>0</v>
      </c>
      <c r="T134" s="63"/>
      <c r="U134" s="43">
        <f t="shared" si="32"/>
        <v>0</v>
      </c>
    </row>
    <row r="135" spans="1:21" x14ac:dyDescent="0.3">
      <c r="A135" s="12" t="s">
        <v>74</v>
      </c>
      <c r="B135" s="83">
        <v>24</v>
      </c>
      <c r="C135" s="83">
        <v>65473300</v>
      </c>
      <c r="D135" s="63">
        <f t="shared" si="25"/>
        <v>1.0838639750711287E-3</v>
      </c>
      <c r="E135" s="84">
        <f t="shared" si="26"/>
        <v>5456.1083333333327</v>
      </c>
      <c r="F135" s="82"/>
      <c r="G135" s="12" t="s">
        <v>74</v>
      </c>
      <c r="H135" s="80">
        <v>0</v>
      </c>
      <c r="I135" s="63">
        <f t="shared" si="27"/>
        <v>1.0838639750711287E-3</v>
      </c>
      <c r="J135" s="63">
        <f t="shared" si="28"/>
        <v>0</v>
      </c>
      <c r="K135" s="86">
        <v>0</v>
      </c>
      <c r="L135" s="63">
        <f t="shared" si="29"/>
        <v>0</v>
      </c>
      <c r="M135" s="63">
        <f t="shared" si="30"/>
        <v>0</v>
      </c>
      <c r="N135" s="82"/>
      <c r="O135" s="38">
        <v>5000</v>
      </c>
      <c r="P135" s="38">
        <v>6000</v>
      </c>
      <c r="Q135" s="63">
        <f t="shared" si="31"/>
        <v>0</v>
      </c>
      <c r="R135" s="63">
        <v>0</v>
      </c>
      <c r="T135" s="63"/>
      <c r="U135" s="43">
        <f t="shared" si="32"/>
        <v>0</v>
      </c>
    </row>
    <row r="136" spans="1:21" x14ac:dyDescent="0.3">
      <c r="A136" s="12" t="s">
        <v>75</v>
      </c>
      <c r="B136" s="83">
        <v>11</v>
      </c>
      <c r="C136" s="83">
        <v>35415325</v>
      </c>
      <c r="D136" s="63">
        <f t="shared" si="25"/>
        <v>4.9677098857426726E-4</v>
      </c>
      <c r="E136" s="84">
        <f t="shared" si="26"/>
        <v>6439.15</v>
      </c>
      <c r="F136" s="82"/>
      <c r="G136" s="12" t="s">
        <v>75</v>
      </c>
      <c r="H136" s="80">
        <v>0</v>
      </c>
      <c r="I136" s="63">
        <f t="shared" si="27"/>
        <v>4.9677098857426726E-4</v>
      </c>
      <c r="J136" s="63">
        <f t="shared" si="28"/>
        <v>0</v>
      </c>
      <c r="K136" s="86">
        <v>0</v>
      </c>
      <c r="L136" s="63">
        <f t="shared" si="29"/>
        <v>0</v>
      </c>
      <c r="M136" s="63">
        <f t="shared" si="30"/>
        <v>0</v>
      </c>
      <c r="N136" s="82"/>
      <c r="O136" s="38">
        <v>6000</v>
      </c>
      <c r="P136" s="38">
        <v>7000</v>
      </c>
      <c r="Q136" s="63">
        <f t="shared" si="31"/>
        <v>0</v>
      </c>
      <c r="R136" s="63">
        <v>0</v>
      </c>
      <c r="T136" s="63"/>
      <c r="U136" s="43">
        <f t="shared" si="32"/>
        <v>0</v>
      </c>
    </row>
    <row r="137" spans="1:21" x14ac:dyDescent="0.3">
      <c r="A137" s="12" t="s">
        <v>76</v>
      </c>
      <c r="B137" s="83">
        <v>21</v>
      </c>
      <c r="C137" s="83">
        <v>78000875</v>
      </c>
      <c r="D137" s="63">
        <f t="shared" si="25"/>
        <v>9.4838097818723745E-4</v>
      </c>
      <c r="E137" s="84">
        <f t="shared" si="26"/>
        <v>7428.6547619047624</v>
      </c>
      <c r="F137" s="82"/>
      <c r="G137" s="12" t="s">
        <v>76</v>
      </c>
      <c r="H137" s="80">
        <v>0</v>
      </c>
      <c r="I137" s="63">
        <f t="shared" si="27"/>
        <v>9.4838097818723745E-4</v>
      </c>
      <c r="J137" s="63">
        <f t="shared" si="28"/>
        <v>0</v>
      </c>
      <c r="K137" s="86">
        <v>0</v>
      </c>
      <c r="L137" s="63">
        <f t="shared" si="29"/>
        <v>0</v>
      </c>
      <c r="M137" s="63">
        <f t="shared" si="30"/>
        <v>0</v>
      </c>
      <c r="N137" s="82"/>
      <c r="O137" s="38">
        <v>7000</v>
      </c>
      <c r="P137" s="38">
        <v>8000</v>
      </c>
      <c r="Q137" s="63">
        <f t="shared" si="31"/>
        <v>0</v>
      </c>
      <c r="R137" s="63">
        <v>0</v>
      </c>
      <c r="T137" s="63"/>
      <c r="U137" s="43">
        <f t="shared" si="32"/>
        <v>0</v>
      </c>
    </row>
    <row r="138" spans="1:21" x14ac:dyDescent="0.3">
      <c r="A138" s="12" t="s">
        <v>77</v>
      </c>
      <c r="B138" s="83">
        <v>13</v>
      </c>
      <c r="C138" s="83">
        <v>55288500</v>
      </c>
      <c r="D138" s="63">
        <f t="shared" si="25"/>
        <v>5.870929864968613E-4</v>
      </c>
      <c r="E138" s="84">
        <f t="shared" si="26"/>
        <v>8505.9230769230762</v>
      </c>
      <c r="F138" s="82"/>
      <c r="G138" s="12" t="s">
        <v>77</v>
      </c>
      <c r="H138" s="80">
        <v>0</v>
      </c>
      <c r="I138" s="63">
        <f t="shared" si="27"/>
        <v>5.870929864968613E-4</v>
      </c>
      <c r="J138" s="63">
        <f t="shared" si="28"/>
        <v>0</v>
      </c>
      <c r="K138" s="86">
        <v>0</v>
      </c>
      <c r="L138" s="63">
        <f t="shared" si="29"/>
        <v>0</v>
      </c>
      <c r="M138" s="63">
        <f t="shared" si="30"/>
        <v>0</v>
      </c>
      <c r="N138" s="82"/>
      <c r="O138" s="38">
        <v>8000</v>
      </c>
      <c r="P138" s="38">
        <v>9000</v>
      </c>
      <c r="Q138" s="63">
        <f t="shared" si="31"/>
        <v>0</v>
      </c>
      <c r="R138" s="63">
        <v>0</v>
      </c>
      <c r="T138" s="63"/>
      <c r="U138" s="43">
        <f t="shared" si="32"/>
        <v>0</v>
      </c>
    </row>
    <row r="139" spans="1:21" x14ac:dyDescent="0.3">
      <c r="A139" s="12" t="s">
        <v>78</v>
      </c>
      <c r="B139" s="83">
        <v>8</v>
      </c>
      <c r="C139" s="83">
        <v>37807150</v>
      </c>
      <c r="D139" s="63">
        <f t="shared" si="25"/>
        <v>3.6128799169037621E-4</v>
      </c>
      <c r="E139" s="84">
        <f t="shared" si="26"/>
        <v>9451.7875000000004</v>
      </c>
      <c r="F139" s="82"/>
      <c r="G139" s="12" t="s">
        <v>78</v>
      </c>
      <c r="H139" s="80">
        <v>0</v>
      </c>
      <c r="I139" s="63">
        <f t="shared" si="27"/>
        <v>3.6128799169037621E-4</v>
      </c>
      <c r="J139" s="63">
        <f t="shared" si="28"/>
        <v>0</v>
      </c>
      <c r="K139" s="86">
        <v>0</v>
      </c>
      <c r="L139" s="63">
        <f t="shared" si="29"/>
        <v>0</v>
      </c>
      <c r="M139" s="63">
        <f t="shared" si="30"/>
        <v>0</v>
      </c>
      <c r="N139" s="82"/>
      <c r="O139" s="38">
        <v>9000</v>
      </c>
      <c r="P139" s="38">
        <v>10000</v>
      </c>
      <c r="Q139" s="63">
        <f t="shared" si="31"/>
        <v>0</v>
      </c>
      <c r="R139" s="63">
        <v>0</v>
      </c>
      <c r="T139" s="63"/>
      <c r="U139" s="43">
        <f t="shared" si="32"/>
        <v>0</v>
      </c>
    </row>
    <row r="140" spans="1:21" x14ac:dyDescent="0.3">
      <c r="A140" s="12" t="s">
        <v>79</v>
      </c>
      <c r="B140" s="83">
        <v>50</v>
      </c>
      <c r="C140" s="83">
        <v>336658675</v>
      </c>
      <c r="D140" s="63">
        <f t="shared" si="25"/>
        <v>2.2580499480648513E-3</v>
      </c>
      <c r="E140" s="84">
        <f t="shared" si="26"/>
        <v>13466.347</v>
      </c>
      <c r="F140" s="82"/>
      <c r="G140" s="12" t="s">
        <v>79</v>
      </c>
      <c r="H140" s="80">
        <v>0</v>
      </c>
      <c r="I140" s="63">
        <f t="shared" si="27"/>
        <v>2.2580499480648513E-3</v>
      </c>
      <c r="J140" s="63">
        <f t="shared" si="28"/>
        <v>0</v>
      </c>
      <c r="K140" s="86">
        <v>0</v>
      </c>
      <c r="L140" s="63">
        <f t="shared" si="29"/>
        <v>0</v>
      </c>
      <c r="M140" s="63">
        <f t="shared" si="30"/>
        <v>0</v>
      </c>
      <c r="N140" s="82"/>
      <c r="O140" s="38">
        <v>10000</v>
      </c>
      <c r="P140" s="38">
        <v>20000</v>
      </c>
      <c r="Q140" s="63">
        <f t="shared" si="31"/>
        <v>0</v>
      </c>
      <c r="R140" s="63">
        <v>0</v>
      </c>
      <c r="T140" s="63"/>
      <c r="U140" s="43">
        <f t="shared" si="32"/>
        <v>0</v>
      </c>
    </row>
    <row r="141" spans="1:21" x14ac:dyDescent="0.3">
      <c r="A141" s="12" t="s">
        <v>80</v>
      </c>
      <c r="B141" s="83">
        <v>16</v>
      </c>
      <c r="C141" s="83">
        <v>187660300</v>
      </c>
      <c r="D141" s="63">
        <f t="shared" si="25"/>
        <v>7.2257598338075241E-4</v>
      </c>
      <c r="E141" s="84">
        <f t="shared" si="26"/>
        <v>23457.537499999999</v>
      </c>
      <c r="F141" s="82"/>
      <c r="G141" s="12" t="s">
        <v>80</v>
      </c>
      <c r="H141" s="80">
        <v>0</v>
      </c>
      <c r="I141" s="63">
        <f t="shared" si="27"/>
        <v>7.2257598338075241E-4</v>
      </c>
      <c r="J141" s="63">
        <f t="shared" si="28"/>
        <v>0</v>
      </c>
      <c r="K141" s="86">
        <v>0</v>
      </c>
      <c r="L141" s="63">
        <f t="shared" si="29"/>
        <v>0</v>
      </c>
      <c r="M141" s="63">
        <f t="shared" si="30"/>
        <v>0</v>
      </c>
      <c r="N141" s="82"/>
      <c r="O141" s="38">
        <v>20000</v>
      </c>
      <c r="P141" s="38">
        <v>30000</v>
      </c>
      <c r="Q141" s="63">
        <f t="shared" si="31"/>
        <v>0</v>
      </c>
      <c r="R141" s="63">
        <v>0</v>
      </c>
      <c r="T141" s="63"/>
      <c r="U141" s="43">
        <f t="shared" si="32"/>
        <v>0</v>
      </c>
    </row>
    <row r="142" spans="1:21" x14ac:dyDescent="0.3">
      <c r="A142" s="12" t="s">
        <v>81</v>
      </c>
      <c r="B142" s="83">
        <v>9</v>
      </c>
      <c r="C142" s="83">
        <v>151608925</v>
      </c>
      <c r="D142" s="63">
        <f t="shared" si="25"/>
        <v>4.0644899065167322E-4</v>
      </c>
      <c r="E142" s="84">
        <f t="shared" si="26"/>
        <v>33690.87222222222</v>
      </c>
      <c r="F142" s="82"/>
      <c r="G142" s="12" t="s">
        <v>81</v>
      </c>
      <c r="H142" s="80">
        <v>0</v>
      </c>
      <c r="I142" s="63">
        <f t="shared" si="27"/>
        <v>4.0644899065167322E-4</v>
      </c>
      <c r="J142" s="63">
        <f t="shared" si="28"/>
        <v>0</v>
      </c>
      <c r="K142" s="86">
        <v>0</v>
      </c>
      <c r="L142" s="63">
        <f t="shared" si="29"/>
        <v>0</v>
      </c>
      <c r="M142" s="63">
        <f t="shared" si="30"/>
        <v>0</v>
      </c>
      <c r="N142" s="82"/>
      <c r="O142" s="38">
        <v>30000</v>
      </c>
      <c r="P142" s="38">
        <v>40000</v>
      </c>
      <c r="Q142" s="63">
        <f t="shared" si="31"/>
        <v>0</v>
      </c>
      <c r="R142" s="63">
        <v>0</v>
      </c>
      <c r="T142" s="63"/>
      <c r="U142" s="43">
        <f t="shared" si="32"/>
        <v>0</v>
      </c>
    </row>
    <row r="143" spans="1:21" x14ac:dyDescent="0.3">
      <c r="A143" s="12" t="s">
        <v>82</v>
      </c>
      <c r="B143" s="83">
        <v>5</v>
      </c>
      <c r="C143" s="83">
        <v>108769475</v>
      </c>
      <c r="D143" s="63">
        <f t="shared" si="25"/>
        <v>2.2580499480648512E-4</v>
      </c>
      <c r="E143" s="84">
        <f t="shared" si="26"/>
        <v>43507.79</v>
      </c>
      <c r="F143" s="82"/>
      <c r="G143" s="12" t="s">
        <v>82</v>
      </c>
      <c r="H143" s="80">
        <v>0</v>
      </c>
      <c r="I143" s="63">
        <f t="shared" si="27"/>
        <v>2.2580499480648512E-4</v>
      </c>
      <c r="J143" s="63">
        <f t="shared" si="28"/>
        <v>0</v>
      </c>
      <c r="K143" s="86">
        <v>0</v>
      </c>
      <c r="L143" s="63">
        <f t="shared" si="29"/>
        <v>0</v>
      </c>
      <c r="M143" s="63">
        <f t="shared" si="30"/>
        <v>0</v>
      </c>
      <c r="N143" s="82"/>
      <c r="O143" s="38">
        <v>40000</v>
      </c>
      <c r="P143" s="38">
        <v>50000</v>
      </c>
      <c r="Q143" s="63">
        <f t="shared" si="31"/>
        <v>0</v>
      </c>
      <c r="R143" s="63">
        <v>0</v>
      </c>
      <c r="T143" s="63"/>
      <c r="U143" s="43">
        <f t="shared" si="32"/>
        <v>0</v>
      </c>
    </row>
    <row r="144" spans="1:21" x14ac:dyDescent="0.3">
      <c r="A144" s="12" t="s">
        <v>83</v>
      </c>
      <c r="B144" s="83">
        <v>3</v>
      </c>
      <c r="C144" s="83">
        <v>84692275</v>
      </c>
      <c r="D144" s="63">
        <f t="shared" si="25"/>
        <v>1.3548299688389108E-4</v>
      </c>
      <c r="E144" s="84">
        <f t="shared" si="26"/>
        <v>56461.516666666663</v>
      </c>
      <c r="F144" s="82"/>
      <c r="G144" s="12" t="s">
        <v>83</v>
      </c>
      <c r="H144" s="80">
        <v>0</v>
      </c>
      <c r="I144" s="63">
        <f t="shared" si="27"/>
        <v>1.3548299688389108E-4</v>
      </c>
      <c r="J144" s="63">
        <f t="shared" si="28"/>
        <v>0</v>
      </c>
      <c r="K144" s="86">
        <v>0</v>
      </c>
      <c r="L144" s="63">
        <f t="shared" si="29"/>
        <v>0</v>
      </c>
      <c r="M144" s="63">
        <f t="shared" si="30"/>
        <v>0</v>
      </c>
      <c r="N144" s="82"/>
      <c r="O144" s="38">
        <v>50000</v>
      </c>
      <c r="P144" s="38">
        <v>60000</v>
      </c>
      <c r="Q144" s="63">
        <f t="shared" si="31"/>
        <v>0</v>
      </c>
      <c r="R144" s="63">
        <v>0</v>
      </c>
      <c r="T144" s="63"/>
      <c r="U144" s="43">
        <f t="shared" si="32"/>
        <v>0</v>
      </c>
    </row>
    <row r="145" spans="1:21" x14ac:dyDescent="0.3">
      <c r="A145" s="12" t="s">
        <v>84</v>
      </c>
      <c r="B145" s="83">
        <v>1</v>
      </c>
      <c r="C145" s="83">
        <v>31146150</v>
      </c>
      <c r="D145" s="63">
        <f t="shared" si="25"/>
        <v>4.5160998961297026E-5</v>
      </c>
      <c r="E145" s="84">
        <f t="shared" si="26"/>
        <v>62292.3</v>
      </c>
      <c r="F145" s="82"/>
      <c r="G145" s="12" t="s">
        <v>84</v>
      </c>
      <c r="H145" s="80">
        <v>0</v>
      </c>
      <c r="I145" s="63">
        <f t="shared" si="27"/>
        <v>4.5160998961297026E-5</v>
      </c>
      <c r="J145" s="63">
        <f t="shared" si="28"/>
        <v>0</v>
      </c>
      <c r="K145" s="86">
        <v>0</v>
      </c>
      <c r="L145" s="63">
        <f t="shared" si="29"/>
        <v>0</v>
      </c>
      <c r="M145" s="63">
        <f t="shared" si="30"/>
        <v>0</v>
      </c>
      <c r="N145" s="82"/>
      <c r="O145" s="38">
        <v>60000</v>
      </c>
      <c r="P145" s="38">
        <v>70000</v>
      </c>
      <c r="Q145" s="63">
        <f t="shared" si="31"/>
        <v>0</v>
      </c>
      <c r="R145" s="63">
        <v>0</v>
      </c>
      <c r="T145" s="63"/>
      <c r="U145" s="43">
        <f t="shared" si="32"/>
        <v>0</v>
      </c>
    </row>
    <row r="146" spans="1:21" x14ac:dyDescent="0.3">
      <c r="A146" s="12" t="s">
        <v>85</v>
      </c>
      <c r="B146" s="83">
        <v>3</v>
      </c>
      <c r="C146" s="83">
        <v>111421575</v>
      </c>
      <c r="D146" s="63">
        <f t="shared" si="25"/>
        <v>1.3548299688389108E-4</v>
      </c>
      <c r="E146" s="84">
        <f t="shared" si="26"/>
        <v>74281.05</v>
      </c>
      <c r="F146" s="82"/>
      <c r="G146" s="12" t="s">
        <v>85</v>
      </c>
      <c r="H146" s="80">
        <v>0</v>
      </c>
      <c r="I146" s="63">
        <f t="shared" si="27"/>
        <v>1.3548299688389108E-4</v>
      </c>
      <c r="J146" s="63">
        <f t="shared" si="28"/>
        <v>0</v>
      </c>
      <c r="K146" s="86">
        <v>0</v>
      </c>
      <c r="L146" s="63">
        <f t="shared" si="29"/>
        <v>0</v>
      </c>
      <c r="M146" s="63">
        <f t="shared" si="30"/>
        <v>0</v>
      </c>
      <c r="N146" s="82"/>
      <c r="O146" s="38">
        <v>70000</v>
      </c>
      <c r="P146" s="38">
        <v>80000</v>
      </c>
      <c r="Q146" s="63">
        <f t="shared" si="31"/>
        <v>0</v>
      </c>
      <c r="R146" s="63">
        <v>0</v>
      </c>
      <c r="T146" s="63"/>
      <c r="U146" s="43">
        <f t="shared" si="32"/>
        <v>0</v>
      </c>
    </row>
    <row r="147" spans="1:21" x14ac:dyDescent="0.3">
      <c r="A147" s="12" t="s">
        <v>86</v>
      </c>
      <c r="B147" s="83">
        <v>1</v>
      </c>
      <c r="C147" s="83">
        <v>40959900</v>
      </c>
      <c r="D147" s="63">
        <f t="shared" si="25"/>
        <v>4.5160998961297026E-5</v>
      </c>
      <c r="E147" s="84">
        <f t="shared" si="26"/>
        <v>81919.8</v>
      </c>
      <c r="F147" s="82"/>
      <c r="G147" s="12" t="s">
        <v>86</v>
      </c>
      <c r="H147" s="80">
        <v>0</v>
      </c>
      <c r="I147" s="63">
        <f t="shared" si="27"/>
        <v>4.5160998961297026E-5</v>
      </c>
      <c r="J147" s="63">
        <f t="shared" si="28"/>
        <v>0</v>
      </c>
      <c r="K147" s="86">
        <v>0</v>
      </c>
      <c r="L147" s="63">
        <f t="shared" si="29"/>
        <v>0</v>
      </c>
      <c r="M147" s="63">
        <f t="shared" si="30"/>
        <v>0</v>
      </c>
      <c r="N147" s="82"/>
      <c r="O147" s="38">
        <v>80000</v>
      </c>
      <c r="P147" s="38">
        <v>90000</v>
      </c>
      <c r="Q147" s="63">
        <f t="shared" si="31"/>
        <v>0</v>
      </c>
      <c r="R147" s="63">
        <v>0</v>
      </c>
      <c r="T147" s="63"/>
      <c r="U147" s="43">
        <f t="shared" si="32"/>
        <v>0</v>
      </c>
    </row>
    <row r="148" spans="1:21" x14ac:dyDescent="0.3">
      <c r="A148" s="12" t="s">
        <v>87</v>
      </c>
      <c r="B148" s="83">
        <v>0</v>
      </c>
      <c r="C148" s="83">
        <v>0</v>
      </c>
      <c r="D148" s="63">
        <f t="shared" si="25"/>
        <v>0</v>
      </c>
      <c r="E148" s="84">
        <f t="shared" si="26"/>
        <v>0</v>
      </c>
      <c r="F148" s="82"/>
      <c r="G148" s="12" t="s">
        <v>87</v>
      </c>
      <c r="H148" s="80">
        <v>0</v>
      </c>
      <c r="I148" s="63">
        <f t="shared" si="27"/>
        <v>0</v>
      </c>
      <c r="J148" s="63">
        <f t="shared" si="28"/>
        <v>0</v>
      </c>
      <c r="K148" s="86">
        <v>0</v>
      </c>
      <c r="L148" s="63">
        <f t="shared" si="29"/>
        <v>0</v>
      </c>
      <c r="M148" s="63">
        <f t="shared" si="30"/>
        <v>0</v>
      </c>
      <c r="N148" s="82"/>
      <c r="O148" s="38">
        <v>90000</v>
      </c>
      <c r="P148" s="38">
        <v>100000</v>
      </c>
      <c r="Q148" s="63">
        <f t="shared" si="31"/>
        <v>0</v>
      </c>
      <c r="R148" s="63">
        <v>0</v>
      </c>
      <c r="T148" s="63"/>
      <c r="U148" s="43">
        <f t="shared" si="32"/>
        <v>0</v>
      </c>
    </row>
    <row r="149" spans="1:21" x14ac:dyDescent="0.3">
      <c r="A149" s="12" t="s">
        <v>88</v>
      </c>
      <c r="B149" s="83">
        <v>0</v>
      </c>
      <c r="C149" s="83">
        <v>0</v>
      </c>
      <c r="D149" s="63">
        <f t="shared" si="25"/>
        <v>0</v>
      </c>
      <c r="E149" s="84">
        <f t="shared" si="26"/>
        <v>0</v>
      </c>
      <c r="F149" s="82"/>
      <c r="G149" s="12" t="s">
        <v>88</v>
      </c>
      <c r="H149" s="80">
        <v>0</v>
      </c>
      <c r="I149" s="63">
        <f t="shared" si="27"/>
        <v>0</v>
      </c>
      <c r="J149" s="63">
        <f t="shared" si="28"/>
        <v>0</v>
      </c>
      <c r="K149" s="86">
        <v>0</v>
      </c>
      <c r="L149" s="63">
        <f t="shared" si="29"/>
        <v>0</v>
      </c>
      <c r="M149" s="63">
        <f t="shared" si="30"/>
        <v>0</v>
      </c>
      <c r="N149" s="82"/>
      <c r="O149" s="38">
        <v>100000</v>
      </c>
      <c r="P149" s="38">
        <v>9999999</v>
      </c>
      <c r="Q149" s="63">
        <f t="shared" si="31"/>
        <v>0</v>
      </c>
      <c r="R149" s="63">
        <v>0</v>
      </c>
      <c r="T149" s="63"/>
      <c r="U149" s="43">
        <f t="shared" si="32"/>
        <v>0</v>
      </c>
    </row>
    <row r="150" spans="1:21" x14ac:dyDescent="0.3">
      <c r="F150" s="4"/>
      <c r="K150">
        <f>SUM(K86:K149)</f>
        <v>1000000000</v>
      </c>
      <c r="M150">
        <f>SUM(M86:M149)</f>
        <v>59.99999294629346</v>
      </c>
      <c r="N150" s="4"/>
      <c r="O150" s="4"/>
      <c r="P150" s="4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5" width="8.88671875" style="4" customWidth="1"/>
    <col min="16" max="16384" width="8.88671875" style="4"/>
  </cols>
  <sheetData>
    <row r="2" spans="1:3" x14ac:dyDescent="0.3">
      <c r="B2" s="7" t="s">
        <v>89</v>
      </c>
      <c r="C2" s="91">
        <v>10000000000</v>
      </c>
    </row>
    <row r="4" spans="1:3" x14ac:dyDescent="0.3">
      <c r="B4" s="11" t="s">
        <v>5</v>
      </c>
      <c r="C4" s="11" t="s">
        <v>120</v>
      </c>
    </row>
    <row r="5" spans="1:3" x14ac:dyDescent="0.3">
      <c r="A5" s="19"/>
      <c r="B5" s="13" t="s">
        <v>121</v>
      </c>
      <c r="C5" s="64">
        <v>3615908800</v>
      </c>
    </row>
    <row r="6" spans="1:3" x14ac:dyDescent="0.3">
      <c r="A6" s="19"/>
      <c r="B6" s="13" t="s">
        <v>122</v>
      </c>
      <c r="C6" s="64">
        <v>3617019900</v>
      </c>
    </row>
    <row r="7" spans="1:3" x14ac:dyDescent="0.3">
      <c r="A7" s="19"/>
      <c r="B7" s="13" t="s">
        <v>123</v>
      </c>
      <c r="C7" s="64">
        <v>38131173000</v>
      </c>
    </row>
    <row r="8" spans="1:3" x14ac:dyDescent="0.3">
      <c r="B8" s="13" t="s">
        <v>124</v>
      </c>
      <c r="C8" s="64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2026-09-02T06:01:58Z</dcterms:modified>
</cp:coreProperties>
</file>